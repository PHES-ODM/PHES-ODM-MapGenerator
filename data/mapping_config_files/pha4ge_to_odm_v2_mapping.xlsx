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martinwellman/Documents/Health/Wastewater/PHES-ODM-MapGenerator/PHES-ODM-MapGenerator/data/mapping_config_files/"/>
    </mc:Choice>
  </mc:AlternateContent>
  <xr:revisionPtr revIDLastSave="0" documentId="13_ncr:1_{8D4A2830-20E0-9343-B0D0-A9745D2B727A}" xr6:coauthVersionLast="47" xr6:coauthVersionMax="47" xr10:uidLastSave="{00000000-0000-0000-0000-000000000000}"/>
  <bookViews>
    <workbookView xWindow="0" yWindow="520" windowWidth="40980" windowHeight="20900" firstSheet="10" activeTab="16" xr2:uid="{D031FD9F-8EDE-1249-89E5-2C42697DC0B4}"/>
  </bookViews>
  <sheets>
    <sheet name="maps" sheetId="4" r:id="rId1"/>
    <sheet name="maps_OTHER" sheetId="26" r:id="rId2"/>
    <sheet name="maps_sites" sheetId="25" r:id="rId3"/>
    <sheet name="maps_samples" sheetId="24" r:id="rId4"/>
    <sheet name="wide_samples" sheetId="27" r:id="rId5"/>
    <sheet name="enums_samples" sheetId="28" r:id="rId6"/>
    <sheet name="wide_sampleRelationships" sheetId="29" r:id="rId7"/>
    <sheet name="maps_repositories" sheetId="23" r:id="rId8"/>
    <sheet name="wide_repositories" sheetId="6" r:id="rId9"/>
    <sheet name="maps_qualityReports" sheetId="22" r:id="rId10"/>
    <sheet name="maps_protocolSteps" sheetId="21" r:id="rId11"/>
    <sheet name="wide_protocolSteps" sheetId="8" r:id="rId12"/>
    <sheet name="maps_protocols" sheetId="20" r:id="rId13"/>
    <sheet name="wide_protocols" sheetId="10" r:id="rId14"/>
    <sheet name="maps_polygons" sheetId="19" r:id="rId15"/>
    <sheet name="maps_measures" sheetId="17" r:id="rId16"/>
    <sheet name="wide_measures" sheetId="7" r:id="rId17"/>
    <sheet name="enums_measures" sheetId="30" r:id="rId18"/>
    <sheet name="maps_instruments" sheetId="16" r:id="rId19"/>
    <sheet name="maps_datasets" sheetId="15" r:id="rId20"/>
    <sheet name="maps_contacts" sheetId="14" r:id="rId21"/>
    <sheet name="wide_contacts" sheetId="11" r:id="rId22"/>
    <sheet name="maps_addresses" sheetId="13" r:id="rId23"/>
    <sheet name="maps_accessions" sheetId="12" r:id="rId24"/>
    <sheet name="enums" sheetId="5" r:id="rId25"/>
    <sheet name="wide-original" sheetId="2" r:id="rId26"/>
  </sheets>
  <externalReferences>
    <externalReference r:id="rId27"/>
  </externalReferences>
  <definedNames>
    <definedName name="_xlnm._FilterDatabase" localSheetId="24" hidden="1">enums!$A$1:$M$710</definedName>
    <definedName name="_xlnm._FilterDatabase" localSheetId="0" hidden="1">maps!$A$1:$AE$872</definedName>
    <definedName name="_xlnm._FilterDatabase" localSheetId="13" hidden="1">wide_protocols!$A$1:$G$1</definedName>
    <definedName name="partID">[1]parts!$A:$A</definedName>
    <definedName name="partLabel">[1]parts!$B:$B</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42" i="28" l="1"/>
  <c r="B41" i="28"/>
  <c r="B40" i="28"/>
  <c r="B39" i="28"/>
  <c r="B38" i="28"/>
  <c r="B37" i="28"/>
  <c r="B36" i="28"/>
  <c r="B34" i="28"/>
  <c r="B33" i="28"/>
  <c r="B32" i="28"/>
  <c r="B31" i="28"/>
  <c r="B29" i="28"/>
  <c r="B28" i="28"/>
  <c r="B27" i="28"/>
  <c r="B26" i="28"/>
  <c r="B25" i="28"/>
  <c r="B24" i="28"/>
  <c r="B23" i="28"/>
  <c r="B22" i="28"/>
  <c r="B21" i="28"/>
  <c r="B19" i="28"/>
  <c r="B18" i="28"/>
  <c r="B17" i="28"/>
  <c r="B16" i="28"/>
  <c r="B15" i="28"/>
  <c r="B13" i="28"/>
  <c r="B12" i="28"/>
  <c r="B11" i="28"/>
  <c r="B10" i="28"/>
  <c r="B9" i="28"/>
  <c r="B8" i="28"/>
  <c r="B7" i="28"/>
  <c r="B6" i="28"/>
  <c r="B5" i="28"/>
  <c r="B4" i="28"/>
  <c r="B3" i="28"/>
  <c r="B2" i="28"/>
  <c r="B132" i="30"/>
  <c r="B131" i="30"/>
  <c r="B130" i="30"/>
  <c r="B128" i="30"/>
  <c r="B127" i="30"/>
  <c r="B126" i="30"/>
  <c r="B125" i="30"/>
  <c r="B124" i="30"/>
  <c r="B123" i="30"/>
  <c r="B122" i="30"/>
  <c r="B120" i="30"/>
  <c r="B119" i="30"/>
  <c r="B118" i="30"/>
  <c r="B117" i="30"/>
  <c r="B116" i="30"/>
  <c r="B115" i="30"/>
  <c r="B114" i="30"/>
  <c r="B112" i="30"/>
  <c r="B111" i="30"/>
  <c r="B110" i="30"/>
  <c r="B109" i="30"/>
  <c r="B107" i="30"/>
  <c r="B105" i="30"/>
  <c r="B103" i="30"/>
  <c r="B102" i="30"/>
  <c r="B100" i="30"/>
  <c r="B99" i="30"/>
  <c r="B97" i="30"/>
  <c r="B96" i="30"/>
  <c r="B94" i="30"/>
  <c r="B93" i="30"/>
  <c r="B92" i="30"/>
  <c r="B91" i="30"/>
  <c r="B90" i="30"/>
  <c r="B88" i="30"/>
  <c r="B87" i="30"/>
  <c r="B86" i="30"/>
  <c r="B84" i="30"/>
  <c r="B83" i="30"/>
  <c r="B81" i="30"/>
  <c r="B80" i="30"/>
  <c r="B79" i="30"/>
  <c r="B78" i="30"/>
  <c r="B77" i="30"/>
  <c r="B76" i="30"/>
  <c r="B75" i="30"/>
  <c r="B74" i="30"/>
  <c r="B72" i="30"/>
  <c r="B71" i="30"/>
  <c r="B69" i="30"/>
  <c r="B68" i="30"/>
  <c r="B66" i="30"/>
  <c r="B65" i="30"/>
  <c r="B64" i="30"/>
  <c r="B63" i="30"/>
  <c r="B62" i="30"/>
  <c r="B60" i="30"/>
  <c r="B59" i="30"/>
  <c r="B58" i="30"/>
  <c r="B57" i="30"/>
  <c r="B56" i="30"/>
  <c r="B54" i="30"/>
  <c r="B52" i="30"/>
  <c r="B51" i="30"/>
  <c r="B50" i="30"/>
  <c r="B49" i="30"/>
  <c r="B48" i="30"/>
  <c r="B47" i="30"/>
  <c r="B46" i="30"/>
  <c r="B45" i="30"/>
  <c r="B43" i="30"/>
  <c r="B42" i="30"/>
  <c r="B41" i="30"/>
  <c r="B40" i="30"/>
  <c r="B38" i="30"/>
  <c r="B37" i="30"/>
  <c r="B36" i="30"/>
  <c r="B35" i="30"/>
  <c r="B34" i="30"/>
  <c r="B33" i="30"/>
  <c r="B31" i="30"/>
  <c r="B30" i="30"/>
  <c r="B29" i="30"/>
  <c r="B28" i="30"/>
  <c r="B27" i="30"/>
  <c r="B26" i="30"/>
  <c r="B25" i="30"/>
  <c r="B24" i="30"/>
  <c r="B23" i="30"/>
  <c r="B21" i="30"/>
  <c r="B20" i="30"/>
  <c r="B19" i="30"/>
  <c r="B11" i="30"/>
  <c r="B9" i="30"/>
  <c r="B17" i="30"/>
  <c r="B16" i="30"/>
  <c r="B15" i="30"/>
  <c r="B14" i="30"/>
  <c r="B13" i="30"/>
  <c r="B7" i="30"/>
  <c r="B6" i="30"/>
  <c r="B4" i="30"/>
  <c r="B3" i="30"/>
  <c r="B2" i="30"/>
  <c r="H848" i="4" l="1" a="1"/>
  <c r="H848" i="4"/>
  <c r="H846" i="4" a="1"/>
  <c r="H846" i="4"/>
  <c r="H845" i="4" a="1"/>
  <c r="H845" i="4"/>
  <c r="H844" i="4" a="1"/>
  <c r="H844" i="4"/>
  <c r="H842" i="4" a="1"/>
  <c r="H842" i="4"/>
  <c r="H743" i="4" a="1"/>
  <c r="H743" i="4"/>
  <c r="H742" i="4" a="1"/>
  <c r="H742" i="4"/>
  <c r="H741" i="4" a="1"/>
  <c r="H741" i="4"/>
  <c r="H740" i="4" a="1"/>
  <c r="H740" i="4"/>
  <c r="H739" i="4" a="1"/>
  <c r="H739" i="4"/>
  <c r="H722" i="4" a="1"/>
  <c r="H722" i="4"/>
  <c r="H719" i="4" a="1"/>
  <c r="H719" i="4"/>
  <c r="H718" i="4" a="1"/>
  <c r="H718" i="4"/>
  <c r="H717" i="4" a="1"/>
  <c r="H717" i="4"/>
  <c r="H716" i="4" a="1"/>
  <c r="H716" i="4"/>
  <c r="H715" i="4" a="1"/>
  <c r="H715" i="4"/>
  <c r="H714" i="4" a="1"/>
  <c r="H714" i="4"/>
  <c r="H713" i="4" a="1"/>
  <c r="H713" i="4"/>
  <c r="H712" i="4" a="1"/>
  <c r="H712" i="4"/>
  <c r="H711" i="4" a="1"/>
  <c r="H711" i="4"/>
  <c r="H710" i="4" a="1"/>
  <c r="H710" i="4"/>
  <c r="H709" i="4" a="1"/>
  <c r="H709" i="4"/>
  <c r="H708" i="4" a="1"/>
  <c r="H708" i="4"/>
  <c r="H707" i="4" a="1"/>
  <c r="H707" i="4"/>
  <c r="H706" i="4" a="1"/>
  <c r="H706" i="4"/>
  <c r="H705" i="4" a="1"/>
  <c r="H705" i="4"/>
  <c r="H704" i="4" a="1"/>
  <c r="H704" i="4"/>
  <c r="H703" i="4" a="1"/>
  <c r="H703" i="4"/>
  <c r="H702" i="4" a="1"/>
  <c r="H702" i="4"/>
  <c r="H701" i="4" a="1"/>
  <c r="H701" i="4"/>
  <c r="H700" i="4" a="1"/>
  <c r="H700" i="4"/>
  <c r="H699" i="4" a="1"/>
  <c r="H699" i="4"/>
  <c r="H698" i="4" a="1"/>
  <c r="H698" i="4"/>
  <c r="H697" i="4" a="1"/>
  <c r="H697" i="4"/>
  <c r="H696" i="4" a="1"/>
  <c r="H696" i="4"/>
  <c r="H695" i="4" a="1"/>
  <c r="H695" i="4"/>
  <c r="H694" i="4" a="1"/>
  <c r="H694" i="4"/>
  <c r="H678" i="4" a="1"/>
  <c r="H678" i="4"/>
  <c r="H677" i="4" a="1"/>
  <c r="H677" i="4"/>
  <c r="H676" i="4" a="1"/>
  <c r="H676" i="4"/>
  <c r="H675" i="4" a="1"/>
  <c r="H675" i="4"/>
  <c r="H674" i="4" a="1"/>
  <c r="H674" i="4"/>
  <c r="H673" i="4" a="1"/>
  <c r="H673" i="4"/>
  <c r="H672" i="4" a="1"/>
  <c r="H672" i="4"/>
  <c r="H671" i="4" a="1"/>
  <c r="H671" i="4"/>
  <c r="H670" i="4" a="1"/>
  <c r="H670" i="4"/>
  <c r="H669" i="4" a="1"/>
  <c r="H669" i="4"/>
  <c r="H668" i="4" a="1"/>
  <c r="H668" i="4"/>
  <c r="H667" i="4" a="1"/>
  <c r="H667" i="4"/>
  <c r="H666" i="4" a="1"/>
  <c r="H666" i="4"/>
  <c r="H661" i="4" a="1"/>
  <c r="H661" i="4"/>
  <c r="H660" i="4" a="1"/>
  <c r="H660" i="4"/>
  <c r="H621" i="4" a="1"/>
  <c r="H621" i="4"/>
  <c r="H620" i="4" a="1"/>
  <c r="H620" i="4"/>
  <c r="H619" i="4" a="1"/>
  <c r="H619" i="4"/>
  <c r="H618" i="4" a="1"/>
  <c r="H618" i="4"/>
  <c r="H617" i="4" a="1"/>
  <c r="H617" i="4"/>
  <c r="H616" i="4" a="1"/>
  <c r="H616" i="4"/>
  <c r="H615" i="4" a="1"/>
  <c r="H615" i="4"/>
  <c r="H614" i="4" a="1"/>
  <c r="H614" i="4"/>
  <c r="H613" i="4" a="1"/>
  <c r="H613" i="4"/>
  <c r="H612" i="4" a="1"/>
  <c r="H612" i="4"/>
  <c r="H333" i="4" a="1"/>
  <c r="H333" i="4"/>
  <c r="H330" i="4" a="1"/>
  <c r="H330" i="4"/>
  <c r="H287" i="4" a="1"/>
  <c r="H287" i="4"/>
  <c r="H286" i="4" a="1"/>
  <c r="H286" i="4"/>
  <c r="H285" i="4" a="1"/>
  <c r="H285" i="4"/>
  <c r="H284" i="4" a="1"/>
  <c r="H284" i="4"/>
  <c r="H283" i="4" a="1"/>
  <c r="H283" i="4"/>
  <c r="H282" i="4" a="1"/>
  <c r="H282" i="4"/>
  <c r="H281" i="4" a="1"/>
  <c r="H281" i="4"/>
  <c r="H280" i="4" a="1"/>
  <c r="H280" i="4"/>
  <c r="H279" i="4" a="1"/>
  <c r="H279" i="4"/>
  <c r="H278" i="4" a="1"/>
  <c r="H278" i="4"/>
  <c r="H277" i="4" a="1"/>
  <c r="H277" i="4"/>
  <c r="H267" i="4" a="1"/>
  <c r="H267" i="4"/>
  <c r="H247" i="4" a="1"/>
  <c r="H247" i="4"/>
  <c r="H246" i="4" a="1"/>
  <c r="H246" i="4"/>
  <c r="H245" i="4" a="1"/>
  <c r="H245" i="4"/>
  <c r="H237" i="4" a="1"/>
  <c r="H237" i="4"/>
  <c r="H236" i="4" a="1"/>
  <c r="H236" i="4"/>
  <c r="H235" i="4" a="1"/>
  <c r="H235" i="4"/>
  <c r="H227" i="4" a="1"/>
  <c r="H227" i="4"/>
  <c r="H225" i="4" a="1"/>
  <c r="H225" i="4"/>
  <c r="H224" i="4" a="1"/>
  <c r="H224" i="4"/>
  <c r="H223" i="4" a="1"/>
  <c r="H223" i="4"/>
  <c r="H222" i="4" a="1"/>
  <c r="H222" i="4"/>
  <c r="H221" i="4" a="1"/>
  <c r="H221" i="4"/>
  <c r="H220" i="4" a="1"/>
  <c r="H220" i="4"/>
  <c r="H219" i="4" a="1"/>
  <c r="H219" i="4"/>
  <c r="H218" i="4" a="1"/>
  <c r="H218" i="4"/>
  <c r="H217" i="4" a="1"/>
  <c r="H217" i="4"/>
  <c r="H216" i="4" a="1"/>
  <c r="H216" i="4"/>
  <c r="H211" i="4" a="1"/>
  <c r="H211" i="4"/>
  <c r="H207" i="4" a="1"/>
  <c r="H207" i="4"/>
  <c r="H203" i="4" a="1"/>
  <c r="H203" i="4"/>
  <c r="H199" i="4" a="1"/>
  <c r="H199" i="4"/>
  <c r="H195" i="4" a="1"/>
  <c r="H195" i="4"/>
  <c r="H188" i="4" a="1"/>
  <c r="H188" i="4"/>
  <c r="H183" i="4" a="1"/>
  <c r="H183" i="4"/>
  <c r="H179" i="4" a="1"/>
  <c r="H179" i="4"/>
  <c r="H169" i="4" a="1"/>
  <c r="H169" i="4"/>
  <c r="H168" i="4" a="1"/>
  <c r="H168" i="4"/>
  <c r="H167" i="4" a="1"/>
  <c r="H167" i="4"/>
  <c r="H166" i="4" a="1"/>
  <c r="H166" i="4"/>
  <c r="H165" i="4" a="1"/>
  <c r="H165" i="4"/>
  <c r="H164" i="4" a="1"/>
  <c r="H164" i="4"/>
  <c r="H163" i="4" a="1"/>
  <c r="H163" i="4"/>
  <c r="H162" i="4" a="1"/>
  <c r="H162" i="4"/>
  <c r="H161" i="4" a="1"/>
  <c r="H161" i="4"/>
  <c r="H160" i="4" a="1"/>
  <c r="H160" i="4"/>
  <c r="H155" i="4" a="1"/>
  <c r="H155" i="4"/>
  <c r="H148" i="4" a="1"/>
  <c r="H148" i="4"/>
  <c r="H147" i="4" a="1"/>
  <c r="H147" i="4"/>
  <c r="H146" i="4" a="1"/>
  <c r="H146" i="4"/>
  <c r="H145" i="4" a="1"/>
  <c r="H145" i="4"/>
  <c r="H144" i="4" a="1"/>
  <c r="H144" i="4"/>
  <c r="H143" i="4" a="1"/>
  <c r="H143" i="4"/>
  <c r="H142" i="4" a="1"/>
  <c r="H142" i="4"/>
  <c r="H141" i="4" a="1"/>
  <c r="H141" i="4"/>
  <c r="H140" i="4" a="1"/>
  <c r="H140" i="4"/>
  <c r="H133" i="4" a="1"/>
  <c r="H133" i="4"/>
  <c r="H132" i="4" a="1"/>
  <c r="H132" i="4"/>
  <c r="H131" i="4" a="1"/>
  <c r="H131" i="4"/>
  <c r="H130" i="4" a="1"/>
  <c r="H130" i="4"/>
  <c r="H128" i="4" a="1"/>
  <c r="H128" i="4"/>
  <c r="H125" i="4" a="1"/>
  <c r="H125" i="4"/>
  <c r="H115" i="4" a="1"/>
  <c r="H115" i="4"/>
  <c r="H103" i="4" a="1"/>
  <c r="H103" i="4"/>
  <c r="H92" i="4" a="1"/>
  <c r="H92" i="4"/>
  <c r="H87" i="4" a="1"/>
  <c r="H87" i="4"/>
  <c r="H80" i="4" a="1"/>
  <c r="H80" i="4"/>
  <c r="H77" i="4" a="1"/>
  <c r="H77" i="4"/>
  <c r="H74" i="4" a="1"/>
  <c r="H74" i="4"/>
  <c r="H71" i="4" a="1"/>
  <c r="H71" i="4"/>
  <c r="H66" i="4" a="1"/>
  <c r="H66" i="4"/>
  <c r="H59" i="4" a="1"/>
  <c r="H59" i="4"/>
  <c r="H58" i="4" a="1"/>
  <c r="H58" i="4"/>
  <c r="H56" i="4" a="1"/>
  <c r="H56" i="4"/>
  <c r="H55" i="4" a="1"/>
  <c r="H55" i="4"/>
  <c r="H54" i="4" a="1"/>
  <c r="H54" i="4"/>
  <c r="H53" i="4" a="1"/>
  <c r="H53" i="4"/>
  <c r="H52" i="4" a="1"/>
  <c r="H52" i="4"/>
  <c r="H51" i="4" a="1"/>
  <c r="H51" i="4"/>
  <c r="H50" i="4" a="1"/>
  <c r="H50" i="4"/>
  <c r="H49" i="4" a="1"/>
  <c r="H49" i="4"/>
  <c r="H46" i="4" a="1"/>
  <c r="H46" i="4"/>
  <c r="H45" i="4" a="1"/>
  <c r="H45" i="4"/>
  <c r="H43" i="4" a="1"/>
  <c r="H43" i="4"/>
  <c r="H41" i="4" a="1"/>
  <c r="H41" i="4"/>
  <c r="H25" i="4" a="1"/>
  <c r="H25" i="4"/>
  <c r="H24" i="4" a="1"/>
  <c r="H24" i="4"/>
  <c r="H23" i="4" a="1"/>
  <c r="H23" i="4"/>
  <c r="H22" i="4" a="1"/>
  <c r="H22" i="4"/>
  <c r="H21" i="4" a="1"/>
  <c r="H21" i="4"/>
  <c r="H20" i="4" a="1"/>
  <c r="H20" i="4"/>
  <c r="H19" i="4" a="1"/>
  <c r="H19" i="4"/>
  <c r="H18" i="4" a="1"/>
  <c r="H18" i="4"/>
  <c r="H17" i="4" a="1"/>
  <c r="H17" i="4"/>
  <c r="H16" i="4" a="1"/>
  <c r="H16" i="4"/>
  <c r="H15" i="4" a="1"/>
  <c r="H15" i="4"/>
  <c r="H14" i="4" a="1"/>
  <c r="H14" i="4"/>
  <c r="H13" i="4" a="1"/>
  <c r="H13" i="4"/>
  <c r="H12" i="4" a="1"/>
  <c r="H12" i="4"/>
  <c r="H10" i="4" a="1"/>
  <c r="H10" i="4"/>
  <c r="H9" i="4" a="1"/>
  <c r="H9" i="4"/>
  <c r="H8" i="4" a="1"/>
  <c r="H8" i="4"/>
  <c r="C634" i="4" l="1"/>
  <c r="C632" i="4"/>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2" i="5"/>
  <c r="B715" i="5"/>
  <c r="C4" i="4"/>
  <c r="C5" i="4"/>
  <c r="C6" i="4"/>
  <c r="C7" i="4"/>
  <c r="C11" i="4"/>
  <c r="C26" i="4"/>
  <c r="C27" i="4"/>
  <c r="C28" i="4"/>
  <c r="C29" i="4"/>
  <c r="C30" i="4"/>
  <c r="C31" i="4"/>
  <c r="C32" i="4"/>
  <c r="C33" i="4"/>
  <c r="C34" i="4"/>
  <c r="C35" i="4"/>
  <c r="C36" i="4"/>
  <c r="C37" i="4"/>
  <c r="C38" i="4"/>
  <c r="C39" i="4"/>
  <c r="C40" i="4"/>
  <c r="C44" i="4"/>
  <c r="C47" i="4"/>
  <c r="C48" i="4"/>
  <c r="C57" i="4"/>
  <c r="C60" i="4"/>
  <c r="C61" i="4"/>
  <c r="C62" i="4"/>
  <c r="C63" i="4"/>
  <c r="C64" i="4"/>
  <c r="C65" i="4"/>
  <c r="C67" i="4"/>
  <c r="C68" i="4"/>
  <c r="C69" i="4"/>
  <c r="C70" i="4"/>
  <c r="C72" i="4"/>
  <c r="C73" i="4"/>
  <c r="C75" i="4"/>
  <c r="C76" i="4"/>
  <c r="C78" i="4"/>
  <c r="C79" i="4"/>
  <c r="C81" i="4"/>
  <c r="C82" i="4"/>
  <c r="C83" i="4"/>
  <c r="C84" i="4"/>
  <c r="C85" i="4"/>
  <c r="C86" i="4"/>
  <c r="C88" i="4"/>
  <c r="C89" i="4"/>
  <c r="C90" i="4"/>
  <c r="C91" i="4"/>
  <c r="C93" i="4"/>
  <c r="C94" i="4"/>
  <c r="C95" i="4"/>
  <c r="C96" i="4"/>
  <c r="C97" i="4"/>
  <c r="C98" i="4"/>
  <c r="C99" i="4"/>
  <c r="C100" i="4"/>
  <c r="C101" i="4"/>
  <c r="C102" i="4"/>
  <c r="C104" i="4"/>
  <c r="C105" i="4"/>
  <c r="C106" i="4"/>
  <c r="C107" i="4"/>
  <c r="C108" i="4"/>
  <c r="C109" i="4"/>
  <c r="C110" i="4"/>
  <c r="C111" i="4"/>
  <c r="C112" i="4"/>
  <c r="C113" i="4"/>
  <c r="C114" i="4"/>
  <c r="C116" i="4"/>
  <c r="C117" i="4"/>
  <c r="C118" i="4"/>
  <c r="C119" i="4"/>
  <c r="C120" i="4"/>
  <c r="C121" i="4"/>
  <c r="C122" i="4"/>
  <c r="C123" i="4"/>
  <c r="C124" i="4"/>
  <c r="C126" i="4"/>
  <c r="C127" i="4"/>
  <c r="C129" i="4"/>
  <c r="C134" i="4"/>
  <c r="C135" i="4"/>
  <c r="C136" i="4"/>
  <c r="C137" i="4"/>
  <c r="C138" i="4"/>
  <c r="C139" i="4"/>
  <c r="C149" i="4"/>
  <c r="C150" i="4"/>
  <c r="C151" i="4"/>
  <c r="C152" i="4"/>
  <c r="C153" i="4"/>
  <c r="C154" i="4"/>
  <c r="C156" i="4"/>
  <c r="C157" i="4"/>
  <c r="C158" i="4"/>
  <c r="C159" i="4"/>
  <c r="C170" i="4"/>
  <c r="C171" i="4"/>
  <c r="C172" i="4"/>
  <c r="C173" i="4"/>
  <c r="C174" i="4"/>
  <c r="C175" i="4"/>
  <c r="C176" i="4"/>
  <c r="C177" i="4"/>
  <c r="C178" i="4"/>
  <c r="C180" i="4"/>
  <c r="C181" i="4"/>
  <c r="C182" i="4"/>
  <c r="C184" i="4"/>
  <c r="C185" i="4"/>
  <c r="C186" i="4"/>
  <c r="C187" i="4"/>
  <c r="C189" i="4"/>
  <c r="C190" i="4"/>
  <c r="C191" i="4"/>
  <c r="C192" i="4"/>
  <c r="C193" i="4"/>
  <c r="C194" i="4"/>
  <c r="C196" i="4"/>
  <c r="C197" i="4"/>
  <c r="C198" i="4"/>
  <c r="C200" i="4"/>
  <c r="C201" i="4"/>
  <c r="C202" i="4"/>
  <c r="C204" i="4"/>
  <c r="C205" i="4"/>
  <c r="C206" i="4"/>
  <c r="C208" i="4"/>
  <c r="C209" i="4"/>
  <c r="C210" i="4"/>
  <c r="C212" i="4"/>
  <c r="C213" i="4"/>
  <c r="C214" i="4"/>
  <c r="C215" i="4"/>
  <c r="C226" i="4"/>
  <c r="C228" i="4"/>
  <c r="C229" i="4"/>
  <c r="C230" i="4"/>
  <c r="C231" i="4"/>
  <c r="C232" i="4"/>
  <c r="C233" i="4"/>
  <c r="C234" i="4"/>
  <c r="C238" i="4"/>
  <c r="C239" i="4"/>
  <c r="C240" i="4"/>
  <c r="C241" i="4"/>
  <c r="C242" i="4"/>
  <c r="C243" i="4"/>
  <c r="C244" i="4"/>
  <c r="C248" i="4"/>
  <c r="C249" i="4"/>
  <c r="C250" i="4"/>
  <c r="C251" i="4"/>
  <c r="C252" i="4"/>
  <c r="C253" i="4"/>
  <c r="C254" i="4"/>
  <c r="C255" i="4"/>
  <c r="C256" i="4"/>
  <c r="C257" i="4"/>
  <c r="C258" i="4"/>
  <c r="C259" i="4"/>
  <c r="C260" i="4"/>
  <c r="C261" i="4"/>
  <c r="C262" i="4"/>
  <c r="C263" i="4"/>
  <c r="C264" i="4"/>
  <c r="C265" i="4"/>
  <c r="C266" i="4"/>
  <c r="C268" i="4"/>
  <c r="C269" i="4"/>
  <c r="C270" i="4"/>
  <c r="C271" i="4"/>
  <c r="C272" i="4"/>
  <c r="C273" i="4"/>
  <c r="C274" i="4"/>
  <c r="C275" i="4"/>
  <c r="C276"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2"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23" i="4"/>
  <c r="C624" i="4"/>
  <c r="C625" i="4"/>
  <c r="C626" i="4"/>
  <c r="C627" i="4"/>
  <c r="C628" i="4"/>
  <c r="C629" i="4"/>
  <c r="C630" i="4"/>
  <c r="C631" i="4"/>
  <c r="C633"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2" i="4"/>
  <c r="C663" i="4"/>
  <c r="C664" i="4"/>
  <c r="C665" i="4"/>
  <c r="C679" i="4"/>
  <c r="C680" i="4"/>
  <c r="C681" i="4"/>
  <c r="C682" i="4"/>
  <c r="C683" i="4"/>
  <c r="C684" i="4"/>
  <c r="C685" i="4"/>
  <c r="C686" i="4"/>
  <c r="C687" i="4"/>
  <c r="C688" i="4"/>
  <c r="C689" i="4"/>
  <c r="C690" i="4"/>
  <c r="C691" i="4"/>
  <c r="C692" i="4"/>
  <c r="C693" i="4"/>
  <c r="C720" i="4"/>
  <c r="C721" i="4"/>
  <c r="C723" i="4"/>
  <c r="C724" i="4"/>
  <c r="C725" i="4"/>
  <c r="C726" i="4"/>
  <c r="C727" i="4"/>
  <c r="C728" i="4"/>
  <c r="C729" i="4"/>
  <c r="C730" i="4"/>
  <c r="C731" i="4"/>
  <c r="C732" i="4"/>
  <c r="C733" i="4"/>
  <c r="C734" i="4"/>
  <c r="C735" i="4"/>
  <c r="C736" i="4"/>
  <c r="C737" i="4"/>
  <c r="C738"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3" i="4"/>
  <c r="C847" i="4"/>
  <c r="C849" i="4"/>
  <c r="C850" i="4"/>
  <c r="C851" i="4"/>
  <c r="C852" i="4"/>
  <c r="C853" i="4"/>
  <c r="C2" i="4"/>
  <c r="H3" i="4" a="1"/>
  <c r="B712" i="5" l="1"/>
  <c r="B713" i="5" s="1"/>
  <c r="C87" i="4"/>
  <c r="C672" i="4"/>
  <c r="C115" i="4"/>
  <c r="C330" i="4"/>
  <c r="C56" i="4"/>
  <c r="C225" i="4"/>
  <c r="C66" i="4"/>
  <c r="C280" i="4"/>
  <c r="C333" i="4"/>
  <c r="C707" i="4"/>
  <c r="C741" i="4"/>
  <c r="C160" i="4"/>
  <c r="C618" i="4"/>
  <c r="C715" i="4"/>
  <c r="C55" i="4"/>
  <c r="C163" i="4"/>
  <c r="C285" i="4"/>
  <c r="C25" i="4"/>
  <c r="C203" i="4"/>
  <c r="C719" i="4"/>
  <c r="C145" i="4"/>
  <c r="C676" i="4"/>
  <c r="C207" i="4"/>
  <c r="C46" i="4"/>
  <c r="C131" i="4"/>
  <c r="C146" i="4"/>
  <c r="C217" i="4"/>
  <c r="C227" i="4"/>
  <c r="C614" i="4"/>
  <c r="C661" i="4"/>
  <c r="C677" i="4"/>
  <c r="C52" i="4"/>
  <c r="C245" i="4"/>
  <c r="C669" i="4"/>
  <c r="C142" i="4"/>
  <c r="C619" i="4"/>
  <c r="C45" i="4"/>
  <c r="C277" i="4"/>
  <c r="C167" i="4"/>
  <c r="C8" i="4"/>
  <c r="C51" i="4"/>
  <c r="C71" i="4"/>
  <c r="C155" i="4"/>
  <c r="C168" i="4"/>
  <c r="C237" i="4"/>
  <c r="C281" i="4"/>
  <c r="C668" i="4"/>
  <c r="C695" i="4"/>
  <c r="C711" i="4"/>
  <c r="C844" i="4"/>
  <c r="C141" i="4"/>
  <c r="C221" i="4"/>
  <c r="C699" i="4"/>
  <c r="C188" i="4"/>
  <c r="C267" i="4"/>
  <c r="C222" i="4"/>
  <c r="C703" i="4"/>
  <c r="C164" i="4"/>
  <c r="C660" i="4"/>
  <c r="C125" i="4"/>
  <c r="H3" i="4"/>
  <c r="C3" i="4" s="1"/>
  <c r="C12" i="4"/>
  <c r="C80" i="4"/>
  <c r="C132" i="4"/>
  <c r="C183" i="4"/>
  <c r="C218" i="4"/>
  <c r="C284" i="4"/>
  <c r="C615" i="4"/>
  <c r="C673" i="4"/>
  <c r="C700" i="4"/>
  <c r="C712" i="4"/>
  <c r="C845" i="4"/>
  <c r="C14" i="4"/>
  <c r="C41" i="4"/>
  <c r="C58" i="4"/>
  <c r="C128" i="4"/>
  <c r="C147" i="4"/>
  <c r="C161" i="4"/>
  <c r="C169" i="4"/>
  <c r="C195" i="4"/>
  <c r="C211" i="4"/>
  <c r="C219" i="4"/>
  <c r="C223" i="4"/>
  <c r="C235" i="4"/>
  <c r="C246" i="4"/>
  <c r="C278" i="4"/>
  <c r="C282" i="4"/>
  <c r="C286" i="4"/>
  <c r="C612" i="4"/>
  <c r="C616" i="4"/>
  <c r="C620" i="4"/>
  <c r="C666" i="4"/>
  <c r="C670" i="4"/>
  <c r="C674" i="4"/>
  <c r="C697" i="4"/>
  <c r="C701" i="4"/>
  <c r="C705" i="4"/>
  <c r="C709" i="4"/>
  <c r="C713" i="4"/>
  <c r="C717" i="4"/>
  <c r="C739" i="4"/>
  <c r="C743" i="4"/>
  <c r="C846" i="4"/>
  <c r="C696" i="4"/>
  <c r="C708" i="4"/>
  <c r="C722" i="4"/>
  <c r="C9" i="4"/>
  <c r="C53" i="4"/>
  <c r="C92" i="4"/>
  <c r="C143" i="4"/>
  <c r="C165" i="4"/>
  <c r="C678" i="4"/>
  <c r="C140" i="4"/>
  <c r="C148" i="4"/>
  <c r="C166" i="4"/>
  <c r="C199" i="4"/>
  <c r="C220" i="4"/>
  <c r="C236" i="4"/>
  <c r="C283" i="4"/>
  <c r="C613" i="4"/>
  <c r="C621" i="4"/>
  <c r="C671" i="4"/>
  <c r="C694" i="4"/>
  <c r="C702" i="4"/>
  <c r="C710" i="4"/>
  <c r="C718" i="4"/>
  <c r="C848" i="4"/>
  <c r="C704" i="4"/>
  <c r="C716" i="4"/>
  <c r="C742" i="4"/>
  <c r="C49" i="4"/>
  <c r="C74" i="4"/>
  <c r="C133" i="4"/>
  <c r="C10" i="4"/>
  <c r="C15" i="4"/>
  <c r="C19" i="4"/>
  <c r="C50" i="4"/>
  <c r="C54" i="4"/>
  <c r="C59" i="4"/>
  <c r="C77" i="4"/>
  <c r="C103" i="4"/>
  <c r="C130" i="4"/>
  <c r="C144" i="4"/>
  <c r="C162" i="4"/>
  <c r="C179" i="4"/>
  <c r="C216" i="4"/>
  <c r="C224" i="4"/>
  <c r="C247" i="4"/>
  <c r="C279" i="4"/>
  <c r="C287" i="4"/>
  <c r="C617" i="4"/>
  <c r="C667" i="4"/>
  <c r="C675" i="4"/>
  <c r="C698" i="4"/>
  <c r="C706" i="4"/>
  <c r="C714" i="4"/>
  <c r="C740" i="4"/>
  <c r="C842" i="4"/>
  <c r="C23" i="4"/>
  <c r="C16" i="4"/>
  <c r="C20" i="4"/>
  <c r="C24" i="4"/>
  <c r="C18" i="4"/>
  <c r="C43" i="4"/>
  <c r="C17" i="4"/>
  <c r="C21" i="4"/>
  <c r="C22" i="4"/>
  <c r="C1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<sst xmlns="http://schemas.openxmlformats.org/spreadsheetml/2006/main" count="24099" uniqueCount="2047">
  <si>
    <t>Complete</t>
  </si>
  <si>
    <t>sourceClass</t>
  </si>
  <si>
    <t>sourceSlot</t>
  </si>
  <si>
    <t>sourceValue</t>
  </si>
  <si>
    <t>targetClass</t>
  </si>
  <si>
    <t>targetSlot</t>
  </si>
  <si>
    <t>targetValue</t>
  </si>
  <si>
    <t>exprValue</t>
  </si>
  <si>
    <t>customData</t>
  </si>
  <si>
    <t>notes</t>
  </si>
  <si>
    <t>PHA4GE_table</t>
  </si>
  <si>
    <t>Bioinformatics and QC metrics</t>
  </si>
  <si>
    <t>consensus genome length</t>
  </si>
  <si>
    <t>consensus sequence software name</t>
  </si>
  <si>
    <t>consensus sequence software version</t>
  </si>
  <si>
    <t>deduplication method</t>
  </si>
  <si>
    <t>Sequence information</t>
  </si>
  <si>
    <t>sequence submitter contact email</t>
  </si>
  <si>
    <t>dehosting method</t>
  </si>
  <si>
    <t>sequencing instrument</t>
  </si>
  <si>
    <t>depth of coverage threshold</t>
  </si>
  <si>
    <t>sequencing date</t>
  </si>
  <si>
    <t>genome completeness</t>
  </si>
  <si>
    <t>minimum post-trimming read length</t>
  </si>
  <si>
    <t>Environmental conditions and measurements</t>
  </si>
  <si>
    <t>alkalinity measurement method</t>
  </si>
  <si>
    <t>carbonaceous biochemical oxygen demand (CBOD) measurement method</t>
  </si>
  <si>
    <t>chemical oxygen demand (COD) measurement method</t>
  </si>
  <si>
    <t>conductivity measurement method</t>
  </si>
  <si>
    <t>dissolved oxygen measurement method</t>
  </si>
  <si>
    <t>fecal coliform count method</t>
  </si>
  <si>
    <t>fecal contamination method</t>
  </si>
  <si>
    <t>oxygen reduction potential (ORP) measurement method</t>
  </si>
  <si>
    <t>precipitation measurement method</t>
  </si>
  <si>
    <t>salinity measurement method</t>
  </si>
  <si>
    <t>total dissolved solids (TDS) measurement method</t>
  </si>
  <si>
    <t>total nitrogen (TN) measurement method</t>
  </si>
  <si>
    <t>total phosphorus (TP) measurement method</t>
  </si>
  <si>
    <t>total solids (TS) measurement method</t>
  </si>
  <si>
    <t>total suspended solids (TSS) measurement method</t>
  </si>
  <si>
    <t>turbidity measurement method</t>
  </si>
  <si>
    <t>urinary contamination method</t>
  </si>
  <si>
    <t xml:space="preserve">purpose of sequencing  </t>
  </si>
  <si>
    <t>alkalinity measurement unit</t>
  </si>
  <si>
    <t>ambient temperature measurement unit</t>
  </si>
  <si>
    <t>carbonaceous biochemical oxygen demand (CBOD) measurement unit</t>
  </si>
  <si>
    <t>chemical oxygen demand (COD) measurement unit</t>
  </si>
  <si>
    <t>conductivity measurement unit</t>
  </si>
  <si>
    <t>dissolved oxygen measurement unit</t>
  </si>
  <si>
    <t>fecal coliform count unit</t>
  </si>
  <si>
    <t>fecal contamination unit</t>
  </si>
  <si>
    <t>oxygen reduction potential (ORP) measurement unit</t>
  </si>
  <si>
    <t>pH measurement method</t>
  </si>
  <si>
    <t>precipitation measurement unit</t>
  </si>
  <si>
    <t>salinity measurement unit</t>
  </si>
  <si>
    <t>N50</t>
  </si>
  <si>
    <t>sample temperature unit (at collection)</t>
  </si>
  <si>
    <t>sample temperature unit (when received)</t>
  </si>
  <si>
    <t>Ns per 100 kbp</t>
  </si>
  <si>
    <t>total dissolved solids (TDS) measurement unit</t>
  </si>
  <si>
    <t>total nitrogen (TN) measurement unit</t>
  </si>
  <si>
    <t>total phosphorus (TP) measurement unit</t>
  </si>
  <si>
    <t>total solids (TS) measurement unit</t>
  </si>
  <si>
    <t>total suspended solids (TSS) measurement unit</t>
  </si>
  <si>
    <t>turbidity measurement unit</t>
  </si>
  <si>
    <t>urinary contamination unit</t>
  </si>
  <si>
    <t>alkalinity measurement value</t>
  </si>
  <si>
    <t>amplicon size</t>
  </si>
  <si>
    <t>Database identifiers</t>
  </si>
  <si>
    <t>BioProject accession</t>
  </si>
  <si>
    <t>BioSample accession</t>
  </si>
  <si>
    <t>number of base pairs sequenced</t>
  </si>
  <si>
    <t>number of contigs</t>
  </si>
  <si>
    <t>number of total reads</t>
  </si>
  <si>
    <t>number of unique reads</t>
  </si>
  <si>
    <t>DDBJ accession</t>
  </si>
  <si>
    <t>percent Ns across total genome length</t>
  </si>
  <si>
    <t xml:space="preserve">percent read contamination </t>
  </si>
  <si>
    <t>quality control method name</t>
  </si>
  <si>
    <t>dissolved oxygen measurement value</t>
  </si>
  <si>
    <t>DNA fragment length</t>
  </si>
  <si>
    <t>DRA accession</t>
  </si>
  <si>
    <t>ENA accession</t>
  </si>
  <si>
    <t>Enterobase accession</t>
  </si>
  <si>
    <t>quality control method version</t>
  </si>
  <si>
    <t>fecal coliform count value</t>
  </si>
  <si>
    <t>GenBank accession (versioned)</t>
  </si>
  <si>
    <t>raw sequence data processing method</t>
  </si>
  <si>
    <t>genomic target enrichment method</t>
  </si>
  <si>
    <t>read mapping criteria</t>
  </si>
  <si>
    <t>GISAID accession</t>
  </si>
  <si>
    <t>GISAID virus name</t>
  </si>
  <si>
    <t>GSA accession</t>
  </si>
  <si>
    <t>library ID</t>
  </si>
  <si>
    <t>library preparation kit</t>
  </si>
  <si>
    <t>metagenome-assembled genome (MAG) ID</t>
  </si>
  <si>
    <t>read mapping software name</t>
  </si>
  <si>
    <t>read mapping software version</t>
  </si>
  <si>
    <t>reference genome accession</t>
  </si>
  <si>
    <t>sequence assembly length</t>
  </si>
  <si>
    <t>sequence assembly software name</t>
  </si>
  <si>
    <t>sequence assembly software version</t>
  </si>
  <si>
    <t>taxonomic reference database name</t>
  </si>
  <si>
    <t>oxygen reduction potential (ORP) measurement value</t>
  </si>
  <si>
    <t>taxonomic reference database version</t>
  </si>
  <si>
    <t>bioinformatics protocol</t>
  </si>
  <si>
    <t>populated area type</t>
  </si>
  <si>
    <t>quality control details</t>
  </si>
  <si>
    <t>quality control issues</t>
  </si>
  <si>
    <t>purpose of sequencing details</t>
  </si>
  <si>
    <t>quality control determination</t>
  </si>
  <si>
    <t>breadth of coverage value</t>
  </si>
  <si>
    <t>depth of coverage value</t>
  </si>
  <si>
    <t>Sample collection and processing</t>
  </si>
  <si>
    <t>geo_loc_name (city)</t>
  </si>
  <si>
    <t>geo_loc_name (country)</t>
  </si>
  <si>
    <t>geo_loc_name (state/province/territory)</t>
  </si>
  <si>
    <t>sample collector contact email</t>
  </si>
  <si>
    <t>salinity measurement value</t>
  </si>
  <si>
    <t>sample collection data steward name</t>
  </si>
  <si>
    <t>sample processing date</t>
  </si>
  <si>
    <t>sampling event ID</t>
  </si>
  <si>
    <t>organism</t>
  </si>
  <si>
    <t xml:space="preserve">sample storage method
</t>
  </si>
  <si>
    <t>sample storage duration unit</t>
  </si>
  <si>
    <t>sequencing platform</t>
  </si>
  <si>
    <t xml:space="preserve">SRA accession </t>
  </si>
  <si>
    <t>sample volume measurement unit</t>
  </si>
  <si>
    <t>collection device</t>
  </si>
  <si>
    <t>total dissolved solids (TDS) measurement value</t>
  </si>
  <si>
    <t>water catchment human population range</t>
  </si>
  <si>
    <t>environmental material properties</t>
  </si>
  <si>
    <t>sequence submitted by</t>
  </si>
  <si>
    <t>water catchment human population measurement value</t>
  </si>
  <si>
    <t>geo_loc name (county/region)</t>
  </si>
  <si>
    <t>sequencing protocol</t>
  </si>
  <si>
    <t>presampling activity</t>
  </si>
  <si>
    <t>presampling activity details</t>
  </si>
  <si>
    <t>sample collection time of day</t>
  </si>
  <si>
    <t>amplicon pcr primer scheme</t>
  </si>
  <si>
    <t>sample storage medium</t>
  </si>
  <si>
    <t>genomic target enrichment method details</t>
  </si>
  <si>
    <t>sample collected by</t>
  </si>
  <si>
    <t>specimen processing</t>
  </si>
  <si>
    <t>specimen processing details</t>
  </si>
  <si>
    <t>Contributor acknowledgement</t>
  </si>
  <si>
    <t>authors</t>
  </si>
  <si>
    <t>extraction kit</t>
  </si>
  <si>
    <t>extraction method</t>
  </si>
  <si>
    <t>Pathogen diagnostic testing</t>
  </si>
  <si>
    <t>diagnostic measurement method</t>
  </si>
  <si>
    <t>diagnostic measurement unit</t>
  </si>
  <si>
    <t>diagnostic measurement value</t>
  </si>
  <si>
    <t xml:space="preserve">fecal contamination indicator </t>
  </si>
  <si>
    <t>fecal contamination value</t>
  </si>
  <si>
    <t>gene name</t>
  </si>
  <si>
    <t>presampling weather conditions</t>
  </si>
  <si>
    <t>sample collection time duration unit</t>
  </si>
  <si>
    <t>specimen collector subsample ID</t>
  </si>
  <si>
    <t>urinary contamination indicator</t>
  </si>
  <si>
    <t>urinary contamination value</t>
  </si>
  <si>
    <t>water catchment human population density unit</t>
  </si>
  <si>
    <t>water catchment human population density value</t>
  </si>
  <si>
    <t>water catchment human population measurement method</t>
  </si>
  <si>
    <t xml:space="preserve">geo_loc name (site)  </t>
  </si>
  <si>
    <t xml:space="preserve">environmental site  </t>
  </si>
  <si>
    <t>sampling site ID</t>
  </si>
  <si>
    <t>wastewater system type</t>
  </si>
  <si>
    <t>sample collection date</t>
  </si>
  <si>
    <t>sample collection time duration value</t>
  </si>
  <si>
    <t xml:space="preserve">collection method  </t>
  </si>
  <si>
    <t>experimental control details</t>
  </si>
  <si>
    <t>purpose of sampling</t>
  </si>
  <si>
    <t>sample received date</t>
  </si>
  <si>
    <t>environmental material</t>
  </si>
  <si>
    <t>specimen collector sample ID</t>
  </si>
  <si>
    <t>pH measurement value</t>
  </si>
  <si>
    <t>sample temperature value (when received)</t>
  </si>
  <si>
    <t>sample volume measurement value</t>
  </si>
  <si>
    <t>sample storage duration value</t>
  </si>
  <si>
    <t>sample temperature value (at collection)</t>
  </si>
  <si>
    <t>ambient temperature measurement value</t>
  </si>
  <si>
    <t>precipitation measurement value</t>
  </si>
  <si>
    <t>sampling weather conditions</t>
  </si>
  <si>
    <t>carbonaceous biochemical oxygen demand (CBOD) measurement value</t>
  </si>
  <si>
    <t>chemical oxygen demand (COD) measurement value</t>
  </si>
  <si>
    <t>conductivity measurement value</t>
  </si>
  <si>
    <t>total phosphorus (TP) measurement value</t>
  </si>
  <si>
    <t>total nitrogen (TN) measurement value</t>
  </si>
  <si>
    <t>total solids (TS) measurement value</t>
  </si>
  <si>
    <t>total suspended solids (TSS) measurement value</t>
  </si>
  <si>
    <t>turbidity measurement value</t>
  </si>
  <si>
    <t>pha4ge</t>
  </si>
  <si>
    <t>Wastewater treatment efficiency assessment</t>
  </si>
  <si>
    <t>Wastewater chemical surveillance</t>
  </si>
  <si>
    <t>Wastewater drug surveillance</t>
  </si>
  <si>
    <t>Wastewater pathogen surveillance</t>
  </si>
  <si>
    <t>Research</t>
  </si>
  <si>
    <t>Environmental survey (profiling)</t>
  </si>
  <si>
    <t>Protocol testing</t>
  </si>
  <si>
    <t>Community-level surveillance</t>
  </si>
  <si>
    <t>Institution-level surveillance</t>
  </si>
  <si>
    <t>Building-level surveillance</t>
  </si>
  <si>
    <t>Morning</t>
  </si>
  <si>
    <t>Afternoon</t>
  </si>
  <si>
    <t>Evening</t>
  </si>
  <si>
    <t>Night</t>
  </si>
  <si>
    <t>Second</t>
  </si>
  <si>
    <t>Minute</t>
  </si>
  <si>
    <t>Hour</t>
  </si>
  <si>
    <t>Day</t>
  </si>
  <si>
    <t>Week</t>
  </si>
  <si>
    <t>Month</t>
  </si>
  <si>
    <t>Year</t>
  </si>
  <si>
    <t>Agricultural activity</t>
  </si>
  <si>
    <t>Animal husbandry</t>
  </si>
  <si>
    <t>Industrial activity</t>
  </si>
  <si>
    <t>Healthcare activity</t>
  </si>
  <si>
    <t>Wastewater treatment</t>
  </si>
  <si>
    <t xml:space="preserve">      Wastewater filtration</t>
  </si>
  <si>
    <t xml:space="preserve">      Wastewater grit removal</t>
  </si>
  <si>
    <t xml:space="preserve">      Wastewtaer primary sedimentation</t>
  </si>
  <si>
    <t xml:space="preserve">      Wastewater secondary sedimentation</t>
  </si>
  <si>
    <t>microliter (uL)</t>
  </si>
  <si>
    <t>milliliter (mL)</t>
  </si>
  <si>
    <t>liter (L)</t>
  </si>
  <si>
    <t>Concentration</t>
  </si>
  <si>
    <t>Centrifugation</t>
  </si>
  <si>
    <t>Filtration</t>
  </si>
  <si>
    <t>Flocculation</t>
  </si>
  <si>
    <t>Magnetic nanobead binding</t>
  </si>
  <si>
    <t>Precipitation</t>
  </si>
  <si>
    <t>Gravity settling</t>
  </si>
  <si>
    <t>Pasteurization</t>
  </si>
  <si>
    <t>Technical replicate</t>
  </si>
  <si>
    <t>Biological replicate</t>
  </si>
  <si>
    <t>Correctional facility</t>
  </si>
  <si>
    <t>Healthcare facility</t>
  </si>
  <si>
    <t xml:space="preserve">      Hospital</t>
  </si>
  <si>
    <t xml:space="preserve">      Clinic</t>
  </si>
  <si>
    <t>Educational facility</t>
  </si>
  <si>
    <t xml:space="preserve">      Daycare facility</t>
  </si>
  <si>
    <t xml:space="preserve">      School</t>
  </si>
  <si>
    <t xml:space="preserve">      College or university</t>
  </si>
  <si>
    <t>Residential building</t>
  </si>
  <si>
    <t xml:space="preserve">      Homeless shelter</t>
  </si>
  <si>
    <t xml:space="preserve">      Long-term care facility</t>
  </si>
  <si>
    <t>Transport hub</t>
  </si>
  <si>
    <t xml:space="preserve">      Airport</t>
  </si>
  <si>
    <t>Farm</t>
  </si>
  <si>
    <t>Refugee camp</t>
  </si>
  <si>
    <t>Industrial plant</t>
  </si>
  <si>
    <t xml:space="preserve">      Meat processing plant</t>
  </si>
  <si>
    <t xml:space="preserve">      Pharmaceutical manufacturing plant</t>
  </si>
  <si>
    <t>Body of water</t>
  </si>
  <si>
    <t xml:space="preserve">      Surface water</t>
  </si>
  <si>
    <t xml:space="preserve">            Lake</t>
  </si>
  <si>
    <t xml:space="preserve">            Stream</t>
  </si>
  <si>
    <t xml:space="preserve">                  River</t>
  </si>
  <si>
    <t xml:space="preserve">            Ocean</t>
  </si>
  <si>
    <t xml:space="preserve">            Sea</t>
  </si>
  <si>
    <t xml:space="preserve">            Canal</t>
  </si>
  <si>
    <t xml:space="preserve">            Reservoir</t>
  </si>
  <si>
    <t xml:space="preserve">      Ground water</t>
  </si>
  <si>
    <t xml:space="preserve">            Well</t>
  </si>
  <si>
    <t xml:space="preserve">            Spring</t>
  </si>
  <si>
    <t>Transportation vehicle</t>
  </si>
  <si>
    <t xml:space="preserve">      Boat</t>
  </si>
  <si>
    <t xml:space="preserve">      Airplane</t>
  </si>
  <si>
    <t>Wastewater treatment plant</t>
  </si>
  <si>
    <t>Wastewater sediment</t>
  </si>
  <si>
    <t>Sludge</t>
  </si>
  <si>
    <t xml:space="preserve">      Primary sludge</t>
  </si>
  <si>
    <t xml:space="preserve">      Secondary sludge</t>
  </si>
  <si>
    <t>Wastewater effluent</t>
  </si>
  <si>
    <t xml:space="preserve">      Primary wastwater effluent</t>
  </si>
  <si>
    <t xml:space="preserve">      Secondary wastwater effluent</t>
  </si>
  <si>
    <t>Stagnant</t>
  </si>
  <si>
    <t>Slow-flowing</t>
  </si>
  <si>
    <t>Fast-flowing</t>
  </si>
  <si>
    <t>Liquid</t>
  </si>
  <si>
    <t>Slurry</t>
  </si>
  <si>
    <t>Semi-solid</t>
  </si>
  <si>
    <t>Solid</t>
  </si>
  <si>
    <t>Grab sampler</t>
  </si>
  <si>
    <t xml:space="preserve">      Core sampling device</t>
  </si>
  <si>
    <t xml:space="preserve">      Vacuum sludge sampling device</t>
  </si>
  <si>
    <t xml:space="preserve">      Cone-shaped sampling device</t>
  </si>
  <si>
    <t xml:space="preserve">      Horizontal grab sampling device</t>
  </si>
  <si>
    <t xml:space="preserve">      Vertical grab sampling device</t>
  </si>
  <si>
    <t>Composite sampler</t>
  </si>
  <si>
    <t xml:space="preserve">      Passive (trap) sampler</t>
  </si>
  <si>
    <t xml:space="preserve">            Moore swab</t>
  </si>
  <si>
    <t xml:space="preserve">      Automatic composite sampler</t>
  </si>
  <si>
    <t xml:space="preserve">            Automatic flow-proportional sampler</t>
  </si>
  <si>
    <t xml:space="preserve">            Automatic sequential sampler</t>
  </si>
  <si>
    <t>Grab sampling</t>
  </si>
  <si>
    <t>Composite sampling</t>
  </si>
  <si>
    <t xml:space="preserve">      Passive composite sampling</t>
  </si>
  <si>
    <t xml:space="preserve">      Automatic composite sampling</t>
  </si>
  <si>
    <t>&lt;10 people</t>
  </si>
  <si>
    <t>10 - 100 people</t>
  </si>
  <si>
    <t>100 - 1,000 people</t>
  </si>
  <si>
    <t>1,000 - 10,000 people</t>
  </si>
  <si>
    <t>10,000 - 100,000 people</t>
  </si>
  <si>
    <t>100,000 -  1,000,000 people</t>
  </si>
  <si>
    <t>1,000,000+ people</t>
  </si>
  <si>
    <t>person per square mile</t>
  </si>
  <si>
    <t>person for square kilometer</t>
  </si>
  <si>
    <t>resident per square mile</t>
  </si>
  <si>
    <t>residential per square kilometer</t>
  </si>
  <si>
    <t>suburban</t>
  </si>
  <si>
    <t>rural</t>
  </si>
  <si>
    <t>urban</t>
  </si>
  <si>
    <t>Cloudy/Overcast</t>
  </si>
  <si>
    <t xml:space="preserve">      Partially cloudy</t>
  </si>
  <si>
    <t>Drizzle</t>
  </si>
  <si>
    <t>Fog</t>
  </si>
  <si>
    <t>Rain</t>
  </si>
  <si>
    <t>Snow</t>
  </si>
  <si>
    <t>Storm</t>
  </si>
  <si>
    <t>Sunny/Clear</t>
  </si>
  <si>
    <t>millimeter (mm)</t>
  </si>
  <si>
    <t>meter (m)</t>
  </si>
  <si>
    <t>inch (in)</t>
  </si>
  <si>
    <t>foot (ft)</t>
  </si>
  <si>
    <t>degree Fahrenheit (F)</t>
  </si>
  <si>
    <t>degree Celsius (C)</t>
  </si>
  <si>
    <t>cubic meter per second (m^3/s)</t>
  </si>
  <si>
    <t>cubic meter per minute (m^3/min)</t>
  </si>
  <si>
    <t>cubic meter per hour (m^3/h)</t>
  </si>
  <si>
    <t>liter per second (L/s)</t>
  </si>
  <si>
    <t>liter per minute (L/min)</t>
  </si>
  <si>
    <t>liter per hour (L/h)</t>
  </si>
  <si>
    <t>nephelometric turbidity unit (NTU)</t>
  </si>
  <si>
    <t>formazin nephelometric unit (FNU)</t>
  </si>
  <si>
    <t>milligram per liter (mg/L)</t>
  </si>
  <si>
    <t>kilogram per cubic meter (kg/m^3)</t>
  </si>
  <si>
    <t>part per million (ppm)</t>
  </si>
  <si>
    <t>milliVolt (mV)</t>
  </si>
  <si>
    <t>percent (%)</t>
  </si>
  <si>
    <t>gram per liter (g/L)</t>
  </si>
  <si>
    <t>nitrogen per total solids (gN/gTS)</t>
  </si>
  <si>
    <t>orthophosphate per total solids (gPO43–/gTS)</t>
  </si>
  <si>
    <t>orthophosphate as phosphorus per total solids (gPO4-P/gTS)</t>
  </si>
  <si>
    <t>milligrams orthophosphate per liter (mg PO43–/L)</t>
  </si>
  <si>
    <t>milligrams orthophosphate as phosphorus per liter (mg PO4-P/L)</t>
  </si>
  <si>
    <t>milliequivalent per liter (meq/L)</t>
  </si>
  <si>
    <t>milligram per liter of calcium carbonate (mg/L CaCO3)</t>
  </si>
  <si>
    <t>milliSiemen per centimeter (mS/cm)</t>
  </si>
  <si>
    <t>microSiemen per centimeter (μS/cm)</t>
  </si>
  <si>
    <t>Siemen per meter (S/m)</t>
  </si>
  <si>
    <t>millimho per centimeter (mmho/cm)</t>
  </si>
  <si>
    <t>micromho per centimeter (μmho/cm)</t>
  </si>
  <si>
    <t>practical salinity unit (PSU)</t>
  </si>
  <si>
    <t>weight for weight (% w/w)</t>
  </si>
  <si>
    <t>gram per kilogram (g/kg)</t>
  </si>
  <si>
    <t>crAssphage</t>
  </si>
  <si>
    <t>PMMoV / pepper mild mottle virus</t>
  </si>
  <si>
    <t>Bacteroides HF183</t>
  </si>
  <si>
    <t>Lachnospiraceae Lachno3</t>
  </si>
  <si>
    <t>Male-specific (F+) coliphages</t>
  </si>
  <si>
    <t>stercobilin</t>
  </si>
  <si>
    <t>log10 gene copies per 100 milliliter (log10 GC/100 mL)</t>
  </si>
  <si>
    <t>gene copies per liter (GC/L)</t>
  </si>
  <si>
    <t>cycle threshold (Ct) / quantification cycle (Cq)</t>
  </si>
  <si>
    <t>log10 gene copies per nanogram total DNA</t>
  </si>
  <si>
    <t>nanograms per liter (ng/L)</t>
  </si>
  <si>
    <t>urobilin</t>
  </si>
  <si>
    <t>colony forming units per milliliter (CFU/mL)</t>
  </si>
  <si>
    <t>colony forming units per 100 milliliter (CFU/100 mL)</t>
  </si>
  <si>
    <t>colony forming units per grams total solids (CFU/gTS)</t>
  </si>
  <si>
    <t>most probable number per milliliter (MPN/mL)</t>
  </si>
  <si>
    <t>most probable number per 100 milliliter (MPN/100 mL)</t>
  </si>
  <si>
    <t>Baseline surveillance (random sampling)</t>
  </si>
  <si>
    <t>Targeted surveillance (non-random sampling)</t>
  </si>
  <si>
    <t>Priority surveillance project</t>
  </si>
  <si>
    <t>Longitudinal surveillance (repeat sampling)</t>
  </si>
  <si>
    <t>Travel-associated surveillance</t>
  </si>
  <si>
    <t xml:space="preserve">      Domestic travel surveillance</t>
  </si>
  <si>
    <t xml:space="preserve">      International travel surveillance</t>
  </si>
  <si>
    <t xml:space="preserve">     Viral passage experiment</t>
  </si>
  <si>
    <t xml:space="preserve">     Protocol testing experiment</t>
  </si>
  <si>
    <t>Illumina</t>
  </si>
  <si>
    <t>Pacific Biosciences</t>
  </si>
  <si>
    <t>Ion Torrent</t>
  </si>
  <si>
    <t>Oxford Nanopore Technologies</t>
  </si>
  <si>
    <t>BGI Genomics</t>
  </si>
  <si>
    <t>MGI</t>
  </si>
  <si>
    <t>Roche LS454</t>
  </si>
  <si>
    <t>SOLiD sequencing</t>
  </si>
  <si>
    <t>Complete Genomics</t>
  </si>
  <si>
    <t>Helicos</t>
  </si>
  <si>
    <t>Applied Biosystems</t>
  </si>
  <si>
    <t xml:space="preserve">     Illumina Genome Analyzer</t>
  </si>
  <si>
    <t xml:space="preserve">     Illumina Genome Analyzer II</t>
  </si>
  <si>
    <t xml:space="preserve">     Illumina Genome Analyzer IIx</t>
  </si>
  <si>
    <t xml:space="preserve">     Illumina HiScanSQ</t>
  </si>
  <si>
    <t xml:space="preserve">     Illumina HiSeq</t>
  </si>
  <si>
    <t xml:space="preserve">          Illumina HiSeq X</t>
  </si>
  <si>
    <t xml:space="preserve">          Illumina HiSeq X Five </t>
  </si>
  <si>
    <t xml:space="preserve">          Illumina HiSeq X Ten</t>
  </si>
  <si>
    <t xml:space="preserve">          Illumina HiSeq 1000</t>
  </si>
  <si>
    <t xml:space="preserve">          Illumina HiSeq 1500</t>
  </si>
  <si>
    <t xml:space="preserve">          Illumina HiSeq 2000   </t>
  </si>
  <si>
    <t xml:space="preserve">          Illumina HiSeq 2500</t>
  </si>
  <si>
    <t xml:space="preserve">          Illumina HiSeq 3000</t>
  </si>
  <si>
    <t xml:space="preserve">          Illumina HiSeq 4000</t>
  </si>
  <si>
    <t xml:space="preserve">     Illumina iSeq  </t>
  </si>
  <si>
    <t xml:space="preserve">          Illumina iSeq 100</t>
  </si>
  <si>
    <t xml:space="preserve">     Illumina NovaSeq  </t>
  </si>
  <si>
    <t xml:space="preserve">          Illumina NovaSeq 6000</t>
  </si>
  <si>
    <t xml:space="preserve">     Illumina MiniSeq</t>
  </si>
  <si>
    <t xml:space="preserve">     Illumina MiSeq</t>
  </si>
  <si>
    <t xml:space="preserve">     Illumina NextSeq</t>
  </si>
  <si>
    <t xml:space="preserve">          Illumina NextSeq 500</t>
  </si>
  <si>
    <t xml:space="preserve">          Illumina NextSeq 550</t>
  </si>
  <si>
    <t xml:space="preserve">          Illumina NextSeq 1000</t>
  </si>
  <si>
    <t xml:space="preserve">          Illumina NextSeq 2000</t>
  </si>
  <si>
    <t>PacBio</t>
  </si>
  <si>
    <t xml:space="preserve">     PacBio RS </t>
  </si>
  <si>
    <t xml:space="preserve">     PacBio RS II</t>
  </si>
  <si>
    <t xml:space="preserve">     PacBio Sequel</t>
  </si>
  <si>
    <t xml:space="preserve">     PacBio Sequel II</t>
  </si>
  <si>
    <t xml:space="preserve">     Ion Torrent PGM</t>
  </si>
  <si>
    <t xml:space="preserve">     Ion Torrent Proton</t>
  </si>
  <si>
    <t xml:space="preserve">     Ion Torrent S5 XL</t>
  </si>
  <si>
    <t xml:space="preserve">     Ion Torrent S5</t>
  </si>
  <si>
    <t>Oxford Nanopore</t>
  </si>
  <si>
    <t xml:space="preserve">     Oxford Nanopore Flongle</t>
  </si>
  <si>
    <t xml:space="preserve">     Oxford Nanopore GridION</t>
  </si>
  <si>
    <t xml:space="preserve">     Oxford Nanopore MinION</t>
  </si>
  <si>
    <t xml:space="preserve">     Oxford Nanopore PromethION</t>
  </si>
  <si>
    <t xml:space="preserve">      MGISEQ-2000RS
</t>
  </si>
  <si>
    <t>454 Genome Sequencer</t>
  </si>
  <si>
    <t xml:space="preserve">      454 Genome Sequencer 20</t>
  </si>
  <si>
    <t xml:space="preserve">      454 Genome Sequencer FLX</t>
  </si>
  <si>
    <t xml:space="preserve">      454 Genome Sequencer FLX+</t>
  </si>
  <si>
    <t xml:space="preserve">      454 Genome Sequencer FLX Titanium</t>
  </si>
  <si>
    <t xml:space="preserve">      454 Genome Sequencer Junior</t>
  </si>
  <si>
    <t>SOLiD System</t>
  </si>
  <si>
    <t xml:space="preserve">      SOLiD 5500</t>
  </si>
  <si>
    <t xml:space="preserve">      SOLiD 5500xl Genetic Analyzer</t>
  </si>
  <si>
    <t xml:space="preserve">      SOLiD 3 Plus System</t>
  </si>
  <si>
    <t xml:space="preserve">      SOLiD 4 System</t>
  </si>
  <si>
    <t xml:space="preserve">      SOLiD 4hq System</t>
  </si>
  <si>
    <t xml:space="preserve">      SOLiD PI System</t>
  </si>
  <si>
    <t xml:space="preserve">      SOLiD System 2.0</t>
  </si>
  <si>
    <t xml:space="preserve">      SOLiD System 3.0</t>
  </si>
  <si>
    <t xml:space="preserve">      AB 3130 Genetic Analyzer</t>
  </si>
  <si>
    <t xml:space="preserve">      AB 3130xL Genetic Analyzer</t>
  </si>
  <si>
    <t xml:space="preserve">      AB 3500 Genetic Analyzer</t>
  </si>
  <si>
    <t xml:space="preserve">      AB 3500xL Genetic Analyzer</t>
  </si>
  <si>
    <t xml:space="preserve">      AB 3730 Genetic Analyzer</t>
  </si>
  <si>
    <t xml:space="preserve">      AB 3730xL Genetic Analyzer</t>
  </si>
  <si>
    <t>artic-v1</t>
  </si>
  <si>
    <t>artic-v2</t>
  </si>
  <si>
    <t>artic-v3</t>
  </si>
  <si>
    <t>artic-v4</t>
  </si>
  <si>
    <t>artic-v4.1</t>
  </si>
  <si>
    <t>artic-v5.0.0_400</t>
  </si>
  <si>
    <t>artic-v5.1.0_400</t>
  </si>
  <si>
    <t>artic-v5.2.0_1200</t>
  </si>
  <si>
    <t>artic-v5.2.0_400</t>
  </si>
  <si>
    <t>artic-v5.3.2_400</t>
  </si>
  <si>
    <t>eden-v1</t>
  </si>
  <si>
    <t>midnight-bccdc-v1</t>
  </si>
  <si>
    <t>midnight-bccdc-v2</t>
  </si>
  <si>
    <t>midnight-bccdc-v3</t>
  </si>
  <si>
    <t>midnight-bccdc-v4</t>
  </si>
  <si>
    <t>midnight-ont-v3</t>
  </si>
  <si>
    <t>midnight-v1</t>
  </si>
  <si>
    <t>midnight-v2</t>
  </si>
  <si>
    <t>varskip-vsl1a</t>
  </si>
  <si>
    <t>varskip-vss1a</t>
  </si>
  <si>
    <t>varskip-vss2a</t>
  </si>
  <si>
    <t>varskip-vss2b</t>
  </si>
  <si>
    <t>no quality control issues identified</t>
  </si>
  <si>
    <t>sequence passed quality control</t>
  </si>
  <si>
    <t>sequence failed quality control</t>
  </si>
  <si>
    <t>minor quality control issues identified</t>
  </si>
  <si>
    <t>sequence flagged for potential quality control issues</t>
  </si>
  <si>
    <t>quality control not performed</t>
  </si>
  <si>
    <t>low quality sequence</t>
  </si>
  <si>
    <t>sequence contaminated</t>
  </si>
  <si>
    <t>low average genome coverage</t>
  </si>
  <si>
    <t>low percent genome captured</t>
  </si>
  <si>
    <t>read lengths shorter than expected</t>
  </si>
  <si>
    <t>sequence amplification artifacts</t>
  </si>
  <si>
    <t>low signal to noise ratio</t>
  </si>
  <si>
    <t>low coverage of characteristic mutations</t>
  </si>
  <si>
    <t>null values</t>
  </si>
  <si>
    <t>Not Applicable</t>
  </si>
  <si>
    <t>Not Collected</t>
  </si>
  <si>
    <t>Not Provided</t>
  </si>
  <si>
    <t>Missing</t>
  </si>
  <si>
    <t>Restricted Access</t>
  </si>
  <si>
    <t>NA</t>
  </si>
  <si>
    <t>AF</t>
  </si>
  <si>
    <t>Afghanistan</t>
  </si>
  <si>
    <t>AL</t>
  </si>
  <si>
    <t>Albania</t>
  </si>
  <si>
    <t>DZ</t>
  </si>
  <si>
    <t>Algeria</t>
  </si>
  <si>
    <t>AS</t>
  </si>
  <si>
    <t>American Samoa</t>
  </si>
  <si>
    <t>AD</t>
  </si>
  <si>
    <t>Andorra</t>
  </si>
  <si>
    <t>AO</t>
  </si>
  <si>
    <t>Angola</t>
  </si>
  <si>
    <t>AI</t>
  </si>
  <si>
    <t>Anguilla</t>
  </si>
  <si>
    <t>AQ</t>
  </si>
  <si>
    <t>Antarctica</t>
  </si>
  <si>
    <t>AG</t>
  </si>
  <si>
    <t>Antigua and Barbuda</t>
  </si>
  <si>
    <t>AR</t>
  </si>
  <si>
    <t>Argentina</t>
  </si>
  <si>
    <t>AM</t>
  </si>
  <si>
    <t>Armenia</t>
  </si>
  <si>
    <t>AW</t>
  </si>
  <si>
    <t>Aruba</t>
  </si>
  <si>
    <t>Ashmore and Cartier Islands</t>
  </si>
  <si>
    <t>AU</t>
  </si>
  <si>
    <t>Australia</t>
  </si>
  <si>
    <t>AT</t>
  </si>
  <si>
    <t>Austria</t>
  </si>
  <si>
    <t>AZ</t>
  </si>
  <si>
    <t>Azerbaijan</t>
  </si>
  <si>
    <t>BS</t>
  </si>
  <si>
    <t>Bahamas</t>
  </si>
  <si>
    <t>BH</t>
  </si>
  <si>
    <t>Bahrain</t>
  </si>
  <si>
    <t>Baker Island</t>
  </si>
  <si>
    <t>BD</t>
  </si>
  <si>
    <t>Bangladesh</t>
  </si>
  <si>
    <t>BB</t>
  </si>
  <si>
    <t>Barbados</t>
  </si>
  <si>
    <t>Bassas da India</t>
  </si>
  <si>
    <t>BY</t>
  </si>
  <si>
    <t>Belarus</t>
  </si>
  <si>
    <t>BE</t>
  </si>
  <si>
    <t>Belgium</t>
  </si>
  <si>
    <t>BZ</t>
  </si>
  <si>
    <t>Belize</t>
  </si>
  <si>
    <t>BJ</t>
  </si>
  <si>
    <t>Benin</t>
  </si>
  <si>
    <t>BM</t>
  </si>
  <si>
    <t>Bermuda</t>
  </si>
  <si>
    <t>BT</t>
  </si>
  <si>
    <t>Bhutan</t>
  </si>
  <si>
    <t>BO</t>
  </si>
  <si>
    <t>Bolivia</t>
  </si>
  <si>
    <t>BQ</t>
  </si>
  <si>
    <t>Borneo</t>
  </si>
  <si>
    <t>BA</t>
  </si>
  <si>
    <t>Bosnia and Herzegovina</t>
  </si>
  <si>
    <t>BW</t>
  </si>
  <si>
    <t>Botswana</t>
  </si>
  <si>
    <t>BV</t>
  </si>
  <si>
    <t>Bouvet Island</t>
  </si>
  <si>
    <t>BR</t>
  </si>
  <si>
    <t>Brazil</t>
  </si>
  <si>
    <t>IO</t>
  </si>
  <si>
    <t>British Virgin Islands</t>
  </si>
  <si>
    <t>BN</t>
  </si>
  <si>
    <t>Brunei</t>
  </si>
  <si>
    <t>BG</t>
  </si>
  <si>
    <t>Bulgaria</t>
  </si>
  <si>
    <t>BF</t>
  </si>
  <si>
    <t>Burkina Faso</t>
  </si>
  <si>
    <t>BI</t>
  </si>
  <si>
    <t>Burundi</t>
  </si>
  <si>
    <t>KH</t>
  </si>
  <si>
    <t>Cambodia</t>
  </si>
  <si>
    <t>CM</t>
  </si>
  <si>
    <t>Cameroon</t>
  </si>
  <si>
    <t>CA</t>
  </si>
  <si>
    <t>Canada</t>
  </si>
  <si>
    <t>CV</t>
  </si>
  <si>
    <t>Cape Verde</t>
  </si>
  <si>
    <t>KY</t>
  </si>
  <si>
    <t>Cayman Islands</t>
  </si>
  <si>
    <t>CF</t>
  </si>
  <si>
    <t>Central African Republic</t>
  </si>
  <si>
    <t>TD</t>
  </si>
  <si>
    <t>Chad</t>
  </si>
  <si>
    <t>CL</t>
  </si>
  <si>
    <t>Chile</t>
  </si>
  <si>
    <t>CN</t>
  </si>
  <si>
    <t>China</t>
  </si>
  <si>
    <t>CX</t>
  </si>
  <si>
    <t>Christmas Island</t>
  </si>
  <si>
    <t>Clipperton Island</t>
  </si>
  <si>
    <t>CC</t>
  </si>
  <si>
    <t>Cocos Islands</t>
  </si>
  <si>
    <t>CO</t>
  </si>
  <si>
    <t>Colombia</t>
  </si>
  <si>
    <t>KM</t>
  </si>
  <si>
    <t>Comoros</t>
  </si>
  <si>
    <t>CK</t>
  </si>
  <si>
    <t>Cook Islands</t>
  </si>
  <si>
    <t>Coral Sea Islands</t>
  </si>
  <si>
    <t>CR</t>
  </si>
  <si>
    <t>Costa Rica</t>
  </si>
  <si>
    <t>CI</t>
  </si>
  <si>
    <t>Cote d'Ivoire</t>
  </si>
  <si>
    <t>HR</t>
  </si>
  <si>
    <t>Croatia</t>
  </si>
  <si>
    <t>CU</t>
  </si>
  <si>
    <t>Cuba</t>
  </si>
  <si>
    <t>CW</t>
  </si>
  <si>
    <t>Curacao</t>
  </si>
  <si>
    <t>CY</t>
  </si>
  <si>
    <t>Cyprus</t>
  </si>
  <si>
    <t>CZ</t>
  </si>
  <si>
    <t>Czech Republic</t>
  </si>
  <si>
    <t>CD</t>
  </si>
  <si>
    <t>Democratic Republic of the Congo</t>
  </si>
  <si>
    <t>DK</t>
  </si>
  <si>
    <t>Denmark</t>
  </si>
  <si>
    <t>DJ</t>
  </si>
  <si>
    <t>Djibouti</t>
  </si>
  <si>
    <t>DM</t>
  </si>
  <si>
    <t>Dominica</t>
  </si>
  <si>
    <t>DO</t>
  </si>
  <si>
    <t>Dominican Republic</t>
  </si>
  <si>
    <t>EC</t>
  </si>
  <si>
    <t>Ecuador</t>
  </si>
  <si>
    <t>EG</t>
  </si>
  <si>
    <t>Egypt</t>
  </si>
  <si>
    <t>SV</t>
  </si>
  <si>
    <t>El Salvador</t>
  </si>
  <si>
    <t>GQ</t>
  </si>
  <si>
    <t>Equatorial Guinea</t>
  </si>
  <si>
    <t>ER</t>
  </si>
  <si>
    <t>Eritrea</t>
  </si>
  <si>
    <t>EE</t>
  </si>
  <si>
    <t>Estonia</t>
  </si>
  <si>
    <t>SZ</t>
  </si>
  <si>
    <t>Eswatini</t>
  </si>
  <si>
    <t>ET</t>
  </si>
  <si>
    <t>Ethiopia</t>
  </si>
  <si>
    <t>Europa Island</t>
  </si>
  <si>
    <t>FK</t>
  </si>
  <si>
    <t>Falkland Islands (Islas Malvinas)</t>
  </si>
  <si>
    <t>FO</t>
  </si>
  <si>
    <t>Faroe Islands</t>
  </si>
  <si>
    <t>FJ</t>
  </si>
  <si>
    <t>Fiji</t>
  </si>
  <si>
    <t>FI</t>
  </si>
  <si>
    <t>Finland</t>
  </si>
  <si>
    <t>FR</t>
  </si>
  <si>
    <t>France</t>
  </si>
  <si>
    <t>GF</t>
  </si>
  <si>
    <t>French Guiana</t>
  </si>
  <si>
    <t>PF</t>
  </si>
  <si>
    <t>French Polynesia</t>
  </si>
  <si>
    <t>TF</t>
  </si>
  <si>
    <t>French Southern and Antarctic Lands</t>
  </si>
  <si>
    <t>GA</t>
  </si>
  <si>
    <t>Gabon</t>
  </si>
  <si>
    <t>GM</t>
  </si>
  <si>
    <t>Gambia</t>
  </si>
  <si>
    <t>Gaza Strip</t>
  </si>
  <si>
    <t>GE</t>
  </si>
  <si>
    <t>Georgia</t>
  </si>
  <si>
    <t>DE</t>
  </si>
  <si>
    <t>Germany</t>
  </si>
  <si>
    <t>GH</t>
  </si>
  <si>
    <t>Ghana</t>
  </si>
  <si>
    <t>GI</t>
  </si>
  <si>
    <t>Gibraltar</t>
  </si>
  <si>
    <t>Glorioso Islands</t>
  </si>
  <si>
    <t>GR</t>
  </si>
  <si>
    <t>Greece</t>
  </si>
  <si>
    <t>GL</t>
  </si>
  <si>
    <t>Greenland</t>
  </si>
  <si>
    <t>GD</t>
  </si>
  <si>
    <t>Grenada</t>
  </si>
  <si>
    <t>GP</t>
  </si>
  <si>
    <t>Guadeloupe</t>
  </si>
  <si>
    <t>GU</t>
  </si>
  <si>
    <t>Guam</t>
  </si>
  <si>
    <t>GT</t>
  </si>
  <si>
    <t>Guatemala</t>
  </si>
  <si>
    <t>GG</t>
  </si>
  <si>
    <t>Guernsey</t>
  </si>
  <si>
    <t>GN</t>
  </si>
  <si>
    <t>Guinea</t>
  </si>
  <si>
    <t>GW</t>
  </si>
  <si>
    <t>Guinea-Bissau</t>
  </si>
  <si>
    <t>GY</t>
  </si>
  <si>
    <t>Guyana</t>
  </si>
  <si>
    <t>HT</t>
  </si>
  <si>
    <t>Haiti</t>
  </si>
  <si>
    <t>HM</t>
  </si>
  <si>
    <t>Heard Island and McDonald Islands</t>
  </si>
  <si>
    <t>HN</t>
  </si>
  <si>
    <t>Honduras</t>
  </si>
  <si>
    <t>HK</t>
  </si>
  <si>
    <t>Hong Kong</t>
  </si>
  <si>
    <t>Howland Island</t>
  </si>
  <si>
    <t>HU</t>
  </si>
  <si>
    <t>Hungary</t>
  </si>
  <si>
    <t>IS</t>
  </si>
  <si>
    <t>Iceland</t>
  </si>
  <si>
    <t>IN</t>
  </si>
  <si>
    <t>India</t>
  </si>
  <si>
    <t>ID</t>
  </si>
  <si>
    <t>Indonesia</t>
  </si>
  <si>
    <t>IR</t>
  </si>
  <si>
    <t>Iran</t>
  </si>
  <si>
    <t>IQ</t>
  </si>
  <si>
    <t>Iraq</t>
  </si>
  <si>
    <t>IE</t>
  </si>
  <si>
    <t>Ireland</t>
  </si>
  <si>
    <t>IM</t>
  </si>
  <si>
    <t>Isle of Man</t>
  </si>
  <si>
    <t>IL</t>
  </si>
  <si>
    <t>Israel</t>
  </si>
  <si>
    <t>IT</t>
  </si>
  <si>
    <t>Italy</t>
  </si>
  <si>
    <t>JM</t>
  </si>
  <si>
    <t>Jamaica</t>
  </si>
  <si>
    <t>Jan Mayen</t>
  </si>
  <si>
    <t>JP</t>
  </si>
  <si>
    <t>Japan</t>
  </si>
  <si>
    <t>Jarvis Island</t>
  </si>
  <si>
    <t>JE</t>
  </si>
  <si>
    <t>Jersey</t>
  </si>
  <si>
    <t>Johnston Atoll</t>
  </si>
  <si>
    <t>JO</t>
  </si>
  <si>
    <t>Jordan</t>
  </si>
  <si>
    <t>Juan de Nova Island</t>
  </si>
  <si>
    <t>KZ</t>
  </si>
  <si>
    <t>Kazakhstan</t>
  </si>
  <si>
    <t>KE</t>
  </si>
  <si>
    <t>Kenya</t>
  </si>
  <si>
    <t>Kerguelen Archipelago</t>
  </si>
  <si>
    <t>Kingman Reef</t>
  </si>
  <si>
    <t>KI</t>
  </si>
  <si>
    <t>Kiribati</t>
  </si>
  <si>
    <t>XK</t>
  </si>
  <si>
    <t>Kosovo</t>
  </si>
  <si>
    <t>KW</t>
  </si>
  <si>
    <t>Kuwait</t>
  </si>
  <si>
    <t>KG</t>
  </si>
  <si>
    <t>Kyrgyzstan</t>
  </si>
  <si>
    <t>LA</t>
  </si>
  <si>
    <t>Laos</t>
  </si>
  <si>
    <t>LV</t>
  </si>
  <si>
    <t>Latvia</t>
  </si>
  <si>
    <t>LB</t>
  </si>
  <si>
    <t>Lebanon</t>
  </si>
  <si>
    <t>LS</t>
  </si>
  <si>
    <t>Lesotho</t>
  </si>
  <si>
    <t>LR</t>
  </si>
  <si>
    <t>Liberia</t>
  </si>
  <si>
    <t>LY</t>
  </si>
  <si>
    <t>Libya</t>
  </si>
  <si>
    <t>LI</t>
  </si>
  <si>
    <t>Liechtenstein</t>
  </si>
  <si>
    <t>Line Islands</t>
  </si>
  <si>
    <t>LT</t>
  </si>
  <si>
    <t>Lithuania</t>
  </si>
  <si>
    <t>LU</t>
  </si>
  <si>
    <t>Luxembourg</t>
  </si>
  <si>
    <t>MO</t>
  </si>
  <si>
    <t>Macau</t>
  </si>
  <si>
    <t>MG</t>
  </si>
  <si>
    <t>Madagascar</t>
  </si>
  <si>
    <t>MW</t>
  </si>
  <si>
    <t>Malawi</t>
  </si>
  <si>
    <t>MY</t>
  </si>
  <si>
    <t>Malaysia</t>
  </si>
  <si>
    <t>MV</t>
  </si>
  <si>
    <t>Maldives</t>
  </si>
  <si>
    <t>ML</t>
  </si>
  <si>
    <t>Mali</t>
  </si>
  <si>
    <t>MT</t>
  </si>
  <si>
    <t>Malta</t>
  </si>
  <si>
    <t>MH</t>
  </si>
  <si>
    <t>Marshall Islands</t>
  </si>
  <si>
    <t>MQ</t>
  </si>
  <si>
    <t>Martinique</t>
  </si>
  <si>
    <t>MR</t>
  </si>
  <si>
    <t>Mauritania</t>
  </si>
  <si>
    <t>MU</t>
  </si>
  <si>
    <t>Mauritius</t>
  </si>
  <si>
    <t>YT</t>
  </si>
  <si>
    <t>Mayotte</t>
  </si>
  <si>
    <t>MX</t>
  </si>
  <si>
    <t>Mexico</t>
  </si>
  <si>
    <t>FM</t>
  </si>
  <si>
    <t>Micronesia</t>
  </si>
  <si>
    <t>Midway Islands</t>
  </si>
  <si>
    <t>MD</t>
  </si>
  <si>
    <t>Moldova</t>
  </si>
  <si>
    <t>MC</t>
  </si>
  <si>
    <t>Monaco</t>
  </si>
  <si>
    <t>MN</t>
  </si>
  <si>
    <t>Mongolia</t>
  </si>
  <si>
    <t>ME</t>
  </si>
  <si>
    <t>Montenegro</t>
  </si>
  <si>
    <t>MS</t>
  </si>
  <si>
    <t>Montserrat</t>
  </si>
  <si>
    <t>MA</t>
  </si>
  <si>
    <t>Morocco</t>
  </si>
  <si>
    <t>MZ</t>
  </si>
  <si>
    <t>Mozambique</t>
  </si>
  <si>
    <t>MM</t>
  </si>
  <si>
    <t>Myanmar</t>
  </si>
  <si>
    <t>Namibia</t>
  </si>
  <si>
    <t>NR</t>
  </si>
  <si>
    <t>Nauru</t>
  </si>
  <si>
    <t>Navassa Island</t>
  </si>
  <si>
    <t>NP</t>
  </si>
  <si>
    <t>Nepal</t>
  </si>
  <si>
    <t>NL</t>
  </si>
  <si>
    <t>Netherlands</t>
  </si>
  <si>
    <t>NC</t>
  </si>
  <si>
    <t>New Caledonia</t>
  </si>
  <si>
    <t>NZ</t>
  </si>
  <si>
    <t>New Zealand</t>
  </si>
  <si>
    <t>NI</t>
  </si>
  <si>
    <t>Nicaragua</t>
  </si>
  <si>
    <t>NE</t>
  </si>
  <si>
    <t>Niger</t>
  </si>
  <si>
    <t>NG</t>
  </si>
  <si>
    <t>Nigeria</t>
  </si>
  <si>
    <t>NU</t>
  </si>
  <si>
    <t>Niue</t>
  </si>
  <si>
    <t>NF</t>
  </si>
  <si>
    <t>Norfolk Island</t>
  </si>
  <si>
    <t>KP</t>
  </si>
  <si>
    <t>North Korea</t>
  </si>
  <si>
    <t>MK</t>
  </si>
  <si>
    <t>North Macedonia</t>
  </si>
  <si>
    <t>North Sea</t>
  </si>
  <si>
    <t>MP</t>
  </si>
  <si>
    <t>Northern Mariana Islands</t>
  </si>
  <si>
    <t>NO</t>
  </si>
  <si>
    <t>Norway</t>
  </si>
  <si>
    <t>OM</t>
  </si>
  <si>
    <t>Oman</t>
  </si>
  <si>
    <t>PK</t>
  </si>
  <si>
    <t>Pakistan</t>
  </si>
  <si>
    <t>PW</t>
  </si>
  <si>
    <t>Palau</t>
  </si>
  <si>
    <t>PA</t>
  </si>
  <si>
    <t>Panama</t>
  </si>
  <si>
    <t>PG</t>
  </si>
  <si>
    <t>Papua New Guinea</t>
  </si>
  <si>
    <t>Paracel Islands</t>
  </si>
  <si>
    <t>PY</t>
  </si>
  <si>
    <t>Paraguay</t>
  </si>
  <si>
    <t>PE</t>
  </si>
  <si>
    <t>Peru</t>
  </si>
  <si>
    <t>PH</t>
  </si>
  <si>
    <t>Philippines</t>
  </si>
  <si>
    <t>PN</t>
  </si>
  <si>
    <t>Pitcairn Islands</t>
  </si>
  <si>
    <t>PL</t>
  </si>
  <si>
    <t>Poland</t>
  </si>
  <si>
    <t>PT</t>
  </si>
  <si>
    <t>Portugal</t>
  </si>
  <si>
    <t>PR</t>
  </si>
  <si>
    <t>Puerto Rico</t>
  </si>
  <si>
    <t>QA</t>
  </si>
  <si>
    <t>Qatar</t>
  </si>
  <si>
    <t>CG</t>
  </si>
  <si>
    <t>Republic of the Congo</t>
  </si>
  <si>
    <t>RE</t>
  </si>
  <si>
    <t>Reunion</t>
  </si>
  <si>
    <t>RO</t>
  </si>
  <si>
    <t>Romania</t>
  </si>
  <si>
    <t>Ross Sea</t>
  </si>
  <si>
    <t>RU</t>
  </si>
  <si>
    <t>Russia</t>
  </si>
  <si>
    <t>RW</t>
  </si>
  <si>
    <t>Rwanda</t>
  </si>
  <si>
    <t>SH</t>
  </si>
  <si>
    <t>Saint Helena</t>
  </si>
  <si>
    <t>KN</t>
  </si>
  <si>
    <t>Saint Kitts and Nevis</t>
  </si>
  <si>
    <t>LC</t>
  </si>
  <si>
    <t>Saint Lucia</t>
  </si>
  <si>
    <t>PM</t>
  </si>
  <si>
    <t>Saint Pierre and Miquelon</t>
  </si>
  <si>
    <t>MF</t>
  </si>
  <si>
    <t>Saint Martin</t>
  </si>
  <si>
    <t>VC</t>
  </si>
  <si>
    <t>Saint Vincent and the Grenadines</t>
  </si>
  <si>
    <t>WS</t>
  </si>
  <si>
    <t>Samoa</t>
  </si>
  <si>
    <t>SM</t>
  </si>
  <si>
    <t>San Marino</t>
  </si>
  <si>
    <t>ST</t>
  </si>
  <si>
    <t>Sao Tome and Principe</t>
  </si>
  <si>
    <t>SA</t>
  </si>
  <si>
    <t>Saudi Arabia</t>
  </si>
  <si>
    <t>SN</t>
  </si>
  <si>
    <t>Senegal</t>
  </si>
  <si>
    <t>RS</t>
  </si>
  <si>
    <t>Serbia</t>
  </si>
  <si>
    <t>SC</t>
  </si>
  <si>
    <t>Seychelles</t>
  </si>
  <si>
    <t>SL</t>
  </si>
  <si>
    <t>Sierra Leone</t>
  </si>
  <si>
    <t>SG</t>
  </si>
  <si>
    <t>Singapore</t>
  </si>
  <si>
    <t>SX</t>
  </si>
  <si>
    <t>Sint Maarten</t>
  </si>
  <si>
    <t>SK</t>
  </si>
  <si>
    <t>Slovakia</t>
  </si>
  <si>
    <t>SI</t>
  </si>
  <si>
    <t>Slovenia</t>
  </si>
  <si>
    <t>SB</t>
  </si>
  <si>
    <t>Solomon Islands</t>
  </si>
  <si>
    <t>SO</t>
  </si>
  <si>
    <t>Somalia</t>
  </si>
  <si>
    <t>ZA</t>
  </si>
  <si>
    <t>South Africa</t>
  </si>
  <si>
    <t>GS</t>
  </si>
  <si>
    <t>South Georgia and the South Sandwich Islands</t>
  </si>
  <si>
    <t>KR</t>
  </si>
  <si>
    <t>South Korea</t>
  </si>
  <si>
    <t>SS</t>
  </si>
  <si>
    <t>South Sudan</t>
  </si>
  <si>
    <t>ES</t>
  </si>
  <si>
    <t>Spain</t>
  </si>
  <si>
    <t>Spratly Islands</t>
  </si>
  <si>
    <t>LK</t>
  </si>
  <si>
    <t>Sri Lanka</t>
  </si>
  <si>
    <t>PS</t>
  </si>
  <si>
    <t>State of Palestine</t>
  </si>
  <si>
    <t>SD</t>
  </si>
  <si>
    <t>Sudan</t>
  </si>
  <si>
    <t>SR</t>
  </si>
  <si>
    <t>Suriname</t>
  </si>
  <si>
    <t>SJ</t>
  </si>
  <si>
    <t>Svalbard</t>
  </si>
  <si>
    <t>Swaziland</t>
  </si>
  <si>
    <t>SE</t>
  </si>
  <si>
    <t>Sweden</t>
  </si>
  <si>
    <t>CH</t>
  </si>
  <si>
    <t>Switzerland</t>
  </si>
  <si>
    <t>SY</t>
  </si>
  <si>
    <t>Syria</t>
  </si>
  <si>
    <t>TW</t>
  </si>
  <si>
    <t>Taiwan</t>
  </si>
  <si>
    <t>TJ</t>
  </si>
  <si>
    <t>Tajikistan</t>
  </si>
  <si>
    <t>TZ</t>
  </si>
  <si>
    <t>Tanzania</t>
  </si>
  <si>
    <t>TH</t>
  </si>
  <si>
    <t>Thailand</t>
  </si>
  <si>
    <t>TL</t>
  </si>
  <si>
    <t>Timor-Leste</t>
  </si>
  <si>
    <t>TG</t>
  </si>
  <si>
    <t>Togo</t>
  </si>
  <si>
    <t>TK</t>
  </si>
  <si>
    <t>Tokelau</t>
  </si>
  <si>
    <t>TO</t>
  </si>
  <si>
    <t>Tonga</t>
  </si>
  <si>
    <t>TT</t>
  </si>
  <si>
    <t>Trinidad and Tobago</t>
  </si>
  <si>
    <t>Tromelin Island</t>
  </si>
  <si>
    <t>TN</t>
  </si>
  <si>
    <t>Tunisia</t>
  </si>
  <si>
    <t>TR</t>
  </si>
  <si>
    <t>Turkey</t>
  </si>
  <si>
    <t>TM</t>
  </si>
  <si>
    <t>Turkmenistan</t>
  </si>
  <si>
    <t>TC</t>
  </si>
  <si>
    <t>Turks and Caicos Islands</t>
  </si>
  <si>
    <t>TV</t>
  </si>
  <si>
    <t>Tuvalu</t>
  </si>
  <si>
    <t>US</t>
  </si>
  <si>
    <t>United States of America</t>
  </si>
  <si>
    <t>UG</t>
  </si>
  <si>
    <t>Uganda</t>
  </si>
  <si>
    <t>UA</t>
  </si>
  <si>
    <t>Ukraine</t>
  </si>
  <si>
    <t>AE</t>
  </si>
  <si>
    <t>United Arab Emirates</t>
  </si>
  <si>
    <t>GB</t>
  </si>
  <si>
    <t>United Kingdom</t>
  </si>
  <si>
    <t>UY</t>
  </si>
  <si>
    <t>Uruguay</t>
  </si>
  <si>
    <t>UZ</t>
  </si>
  <si>
    <t>Uzbekistan</t>
  </si>
  <si>
    <t>VU</t>
  </si>
  <si>
    <t>Vanuatu</t>
  </si>
  <si>
    <t>VE</t>
  </si>
  <si>
    <t>Venezuela</t>
  </si>
  <si>
    <t>VN</t>
  </si>
  <si>
    <t>Viet Nam</t>
  </si>
  <si>
    <t>VG</t>
  </si>
  <si>
    <t>Virgin Islands</t>
  </si>
  <si>
    <t>Wake Island</t>
  </si>
  <si>
    <t>WF</t>
  </si>
  <si>
    <t>Wallis and Futuna</t>
  </si>
  <si>
    <t>West Bank</t>
  </si>
  <si>
    <t>EH</t>
  </si>
  <si>
    <t>Western Sahara</t>
  </si>
  <si>
    <t>YE</t>
  </si>
  <si>
    <t>Yemen</t>
  </si>
  <si>
    <t>ZM</t>
  </si>
  <si>
    <t>Zambia</t>
  </si>
  <si>
    <t>ZW</t>
  </si>
  <si>
    <t>Zimbabwe</t>
  </si>
  <si>
    <t>measures</t>
  </si>
  <si>
    <t>protocolID</t>
  </si>
  <si>
    <t>ER1`G</t>
  </si>
  <si>
    <t>{{alkalinity measurement method}}</t>
  </si>
  <si>
    <t>{{carbonaceous biochemical oxygen demand (CBOD) measurement method}}</t>
  </si>
  <si>
    <t>{{chemical oxygen demand (COD) measurement method}}</t>
  </si>
  <si>
    <t>{{conductivity measurement method}}</t>
  </si>
  <si>
    <t>{{dissolved oxygen measurement method}}</t>
  </si>
  <si>
    <t>{{fecal coliform count method}}</t>
  </si>
  <si>
    <t>{{fecal contamination method}}</t>
  </si>
  <si>
    <t>{{flow rate measurement method}}</t>
  </si>
  <si>
    <t>{{oxygen reduction potential (ORP) measurement method}}</t>
  </si>
  <si>
    <t>{{precipitation measurement method}}</t>
  </si>
  <si>
    <t>{{salinity measurement method}}</t>
  </si>
  <si>
    <t>{{total dissolved solids (TDS) measurement method}}</t>
  </si>
  <si>
    <t>{{total nitrogen (TN) measurement method}}</t>
  </si>
  <si>
    <t>{{total phosphorus (TP) measurement method}}</t>
  </si>
  <si>
    <t>{{total solids (TS) measurement method}}</t>
  </si>
  <si>
    <t>{{total suspended solids (TSS) measurement method}}</t>
  </si>
  <si>
    <t>{{turbidity measurement method}}</t>
  </si>
  <si>
    <t>{{urinary contamination method}}</t>
  </si>
  <si>
    <t>Note: This may be somewhat problematic of a mapping, since this is a free-text variable in PHA4GE. But I think this will work for now. ALSO, note that these are the same header and such, but need to be linked to the related measure.</t>
  </si>
  <si>
    <t>{{pH measurement method}}</t>
  </si>
  <si>
    <t>unit</t>
  </si>
  <si>
    <t>cel</t>
  </si>
  <si>
    <t>mgL</t>
  </si>
  <si>
    <t>uSCm</t>
  </si>
  <si>
    <t>ppm</t>
  </si>
  <si>
    <t>cfu100</t>
  </si>
  <si>
    <t>gcL</t>
  </si>
  <si>
    <t>m3S</t>
  </si>
  <si>
    <t>m3H</t>
  </si>
  <si>
    <t>Link in measures with the actual measure value.</t>
  </si>
  <si>
    <t>In protocols table, include the text (i.e. "alkilinity measurement method") in the notes field.</t>
  </si>
  <si>
    <t>mm</t>
  </si>
  <si>
    <t>perc</t>
  </si>
  <si>
    <t>ntu</t>
  </si>
  <si>
    <t>meqL</t>
  </si>
  <si>
    <t>mgLCaCO3</t>
  </si>
  <si>
    <t>fah</t>
  </si>
  <si>
    <t>mScm</t>
  </si>
  <si>
    <t>Sm</t>
  </si>
  <si>
    <t>mmhocm</t>
  </si>
  <si>
    <t>umhocm</t>
  </si>
  <si>
    <t>kgm3</t>
  </si>
  <si>
    <t>cfumL</t>
  </si>
  <si>
    <t>cfugTS</t>
  </si>
  <si>
    <t>mpnmL</t>
  </si>
  <si>
    <t>mpn100mL</t>
  </si>
  <si>
    <t>log10gc100mL</t>
  </si>
  <si>
    <t>ctcq</t>
  </si>
  <si>
    <t>log10gcngDNA</t>
  </si>
  <si>
    <t>m3min</t>
  </si>
  <si>
    <t>lsec</t>
  </si>
  <si>
    <t>lmin</t>
  </si>
  <si>
    <t>lhour</t>
  </si>
  <si>
    <t>mvolt</t>
  </si>
  <si>
    <t>meter</t>
  </si>
  <si>
    <t>inch</t>
  </si>
  <si>
    <t>foot</t>
  </si>
  <si>
    <t>psu</t>
  </si>
  <si>
    <t>ww</t>
  </si>
  <si>
    <t>gkg</t>
  </si>
  <si>
    <t>gL</t>
  </si>
  <si>
    <t>gNgTS</t>
  </si>
  <si>
    <t>gPO43gTS</t>
  </si>
  <si>
    <t>gPO4PgTS</t>
  </si>
  <si>
    <t>mgPO43L</t>
  </si>
  <si>
    <t>mgPO4PL</t>
  </si>
  <si>
    <t>fnu</t>
  </si>
  <si>
    <t>ngL</t>
  </si>
  <si>
    <t>wideSourceClass</t>
  </si>
  <si>
    <t>wideSourceSlot</t>
  </si>
  <si>
    <t>wideSourceValue</t>
  </si>
  <si>
    <t>wideTargetClass</t>
  </si>
  <si>
    <t>wideTargetValue</t>
  </si>
  <si>
    <t>wideOtherSlots</t>
  </si>
  <si>
    <t>specimen</t>
  </si>
  <si>
    <t>measure</t>
  </si>
  <si>
    <t>method</t>
  </si>
  <si>
    <t>value</t>
  </si>
  <si>
    <t>aggregation</t>
  </si>
  <si>
    <t>wideNotes</t>
  </si>
  <si>
    <t>{{alkalinity measurement value}}</t>
  </si>
  <si>
    <t>{{dissolved oxygen measurement value}}</t>
  </si>
  <si>
    <t>{{fecal coliform count value}}</t>
  </si>
  <si>
    <t>{{oxygen reduction potential (ORP) measurement value}}</t>
  </si>
  <si>
    <t>{{alkalinity measurement unit}}</t>
  </si>
  <si>
    <t>{{dissolved oxygen measurement unit}}</t>
  </si>
  <si>
    <t>{{fecal coliform count unit}}</t>
  </si>
  <si>
    <t>{{oxygen reduction potential (ORP) measurement unit}}</t>
  </si>
  <si>
    <t>si</t>
  </si>
  <si>
    <t>sa</t>
  </si>
  <si>
    <t>alkaline</t>
  </si>
  <si>
    <t>dissOxy</t>
  </si>
  <si>
    <t>fecalCol</t>
  </si>
  <si>
    <t>orp</t>
  </si>
  <si>
    <t>sin</t>
  </si>
  <si>
    <t>me</t>
  </si>
  <si>
    <t>not sure about the aggregation</t>
  </si>
  <si>
    <t>wide_value</t>
  </si>
  <si>
    <t>popAreaType</t>
  </si>
  <si>
    <t>unitless</t>
  </si>
  <si>
    <t>salinity</t>
  </si>
  <si>
    <t>tds</t>
  </si>
  <si>
    <t>popServRange</t>
  </si>
  <si>
    <t>less10</t>
  </si>
  <si>
    <t>less100</t>
  </si>
  <si>
    <t>less1k</t>
  </si>
  <si>
    <t>less10k</t>
  </si>
  <si>
    <t>less100k</t>
  </si>
  <si>
    <t>less1mil</t>
  </si>
  <si>
    <t>more1mil</t>
  </si>
  <si>
    <t>popServ</t>
  </si>
  <si>
    <t>{{salinity measurement unit}}</t>
  </si>
  <si>
    <t>{{total dissolved solids (TDS) measurement unit}}</t>
  </si>
  <si>
    <t>peeps</t>
  </si>
  <si>
    <t>{{water catchment human population measurement value}}</t>
  </si>
  <si>
    <t>{{total dissolved solids (TDS) measurement value}}</t>
  </si>
  <si>
    <t>{{salinity measurement value}}</t>
  </si>
  <si>
    <t>nr</t>
  </si>
  <si>
    <t>undisc</t>
  </si>
  <si>
    <t>restrict</t>
  </si>
  <si>
    <t>both values map to the NA value as it's used in ODM.</t>
  </si>
  <si>
    <t>preSampWeath</t>
  </si>
  <si>
    <t>cloudy</t>
  </si>
  <si>
    <t>foggy</t>
  </si>
  <si>
    <t>rainy</t>
  </si>
  <si>
    <t>snowy</t>
  </si>
  <si>
    <t>sunny</t>
  </si>
  <si>
    <t>stormy</t>
  </si>
  <si>
    <t>weath</t>
  </si>
  <si>
    <t>total daily flow rate measurement value</t>
  </si>
  <si>
    <t>total daily flow rate measurement unit</t>
  </si>
  <si>
    <t>total daily flow rate measurement method</t>
  </si>
  <si>
    <t>instantaneous flow rate measurement value</t>
  </si>
  <si>
    <t>instantaneous flow rate measurement unit</t>
  </si>
  <si>
    <t>instantaneous flow rate measurement method</t>
  </si>
  <si>
    <t>PCR quantification cycle</t>
  </si>
  <si>
    <t>liter per day (L/day)</t>
  </si>
  <si>
    <t>million gallons per day (MGD)</t>
  </si>
  <si>
    <t>pooled sample ID</t>
  </si>
  <si>
    <t>specimen collector project ID</t>
  </si>
  <si>
    <t/>
  </si>
  <si>
    <t>geo loc latitude</t>
  </si>
  <si>
    <t>geo loc longitude</t>
  </si>
  <si>
    <t>watershed shapefile availability</t>
  </si>
  <si>
    <t>watershed shapefile filename</t>
  </si>
  <si>
    <t>scale of sampling</t>
  </si>
  <si>
    <t>sample collection end date</t>
  </si>
  <si>
    <t>sample collection start time</t>
  </si>
  <si>
    <t>sample collection end time</t>
  </si>
  <si>
    <t>experimental protocol field</t>
  </si>
  <si>
    <t>experimental specimen role type</t>
  </si>
  <si>
    <t>endogenous control details</t>
  </si>
  <si>
    <t>extraction recovery efficiency measurement value</t>
  </si>
  <si>
    <t>extraction recovery efficiency measurement method</t>
  </si>
  <si>
    <t>Strain and isolation information</t>
  </si>
  <si>
    <t>microbiological method</t>
  </si>
  <si>
    <t>strain</t>
  </si>
  <si>
    <t>isolate ID</t>
  </si>
  <si>
    <t>alternative isolate ID</t>
  </si>
  <si>
    <t>progeny isolate ID</t>
  </si>
  <si>
    <t>isolated by</t>
  </si>
  <si>
    <t>isolated by laboratory name</t>
  </si>
  <si>
    <t>isolated by contact name</t>
  </si>
  <si>
    <t>isolated by contact email</t>
  </si>
  <si>
    <t>isolation date</t>
  </si>
  <si>
    <t>isolate received date</t>
  </si>
  <si>
    <t>serovar</t>
  </si>
  <si>
    <t>serotyping method</t>
  </si>
  <si>
    <t>phagetype</t>
  </si>
  <si>
    <t>sequenced by</t>
  </si>
  <si>
    <t>sequenced by contact name</t>
  </si>
  <si>
    <t>sequenced by contact email</t>
  </si>
  <si>
    <t>sequencing assay type</t>
  </si>
  <si>
    <t>Taxonomic identification information</t>
  </si>
  <si>
    <t>taxonomic analysis report filename</t>
  </si>
  <si>
    <t>taxonomic analysis date</t>
  </si>
  <si>
    <t>AMR detection information</t>
  </si>
  <si>
    <t>AMR analysis software name</t>
  </si>
  <si>
    <t>AMR analysis software version</t>
  </si>
  <si>
    <t>AMR reference database name</t>
  </si>
  <si>
    <t>AMR reference database version</t>
  </si>
  <si>
    <t>AMR analysis report filename</t>
  </si>
  <si>
    <t>Lineage/clade information</t>
  </si>
  <si>
    <t>lineage/clade name</t>
  </si>
  <si>
    <t>lineage/clade analysis software name</t>
  </si>
  <si>
    <t>lineage/clade analysis software version</t>
  </si>
  <si>
    <t>lineage/clade analysis report filename</t>
  </si>
  <si>
    <t>diagnostic target presence</t>
  </si>
  <si>
    <t>Available</t>
  </si>
  <si>
    <t>Unknown</t>
  </si>
  <si>
    <t xml:space="preserve">      Wastewater microbial treatment</t>
  </si>
  <si>
    <t>Growth in enrichment broth</t>
  </si>
  <si>
    <t>Pooling specimens</t>
  </si>
  <si>
    <t>Technical replicate process</t>
  </si>
  <si>
    <t>Biological replicate process</t>
  </si>
  <si>
    <t>Waste stabilization pond</t>
  </si>
  <si>
    <t>Plumbing drain</t>
  </si>
  <si>
    <t>Contamination</t>
  </si>
  <si>
    <t xml:space="preserve">      Fecal-contamination</t>
  </si>
  <si>
    <t>Treated</t>
  </si>
  <si>
    <t>Untreated</t>
  </si>
  <si>
    <t>Sewer (drain)</t>
  </si>
  <si>
    <t>Positive experimental control</t>
  </si>
  <si>
    <t>Negative experimental control</t>
  </si>
  <si>
    <t xml:space="preserve">      Manual composite sampling</t>
  </si>
  <si>
    <t>centimeter (cm)</t>
  </si>
  <si>
    <t>parts per thousand</t>
  </si>
  <si>
    <t>gram per total solids (g/gTS)</t>
  </si>
  <si>
    <t>MGI sequencing instrument</t>
  </si>
  <si>
    <t xml:space="preserve">      MGI DNBSEQ-G99</t>
  </si>
  <si>
    <t xml:space="preserve">      MGI DNBSEQ-G400</t>
  </si>
  <si>
    <t xml:space="preserve">            MGI DNBSEQ-G400RS FAST</t>
  </si>
  <si>
    <t xml:space="preserve">      MGI DNBSEQ-T7</t>
  </si>
  <si>
    <t xml:space="preserve">      MGI DNBSEQ-E25</t>
  </si>
  <si>
    <t xml:space="preserve">      MGI DNBSEQ-G50</t>
  </si>
  <si>
    <t xml:space="preserve">      ABI PRISM 310 Genetic Analyzer</t>
  </si>
  <si>
    <t>amplicon sequencing assay</t>
  </si>
  <si>
    <t xml:space="preserve">      16S ribosomal gene sequencing assay</t>
  </si>
  <si>
    <t>whole genome sequencing assay</t>
  </si>
  <si>
    <t>whole metagenome sequencing assay</t>
  </si>
  <si>
    <t xml:space="preserve">      whole virome sequencing assay</t>
  </si>
  <si>
    <t>hybrid selection method</t>
  </si>
  <si>
    <t>rRNA depletion method</t>
  </si>
  <si>
    <t>diagnostic target present</t>
  </si>
  <si>
    <t>diagnostic target absent</t>
  </si>
  <si>
    <t>quantitative real time polymerase chain reaction (qPCR)</t>
  </si>
  <si>
    <t>digital real time polymerase chain reaction (dPCR)</t>
  </si>
  <si>
    <t>bacteria culture test</t>
  </si>
  <si>
    <t>surface water</t>
  </si>
  <si>
    <t>wastewater</t>
  </si>
  <si>
    <t>datasets</t>
  </si>
  <si>
    <t>name</t>
  </si>
  <si>
    <t>{{authors}}</t>
  </si>
  <si>
    <t>May need to shift the mapping depending on the kinds of values received here… tbd</t>
  </si>
  <si>
    <t>repositories</t>
  </si>
  <si>
    <t>wideTargetSlot</t>
  </si>
  <si>
    <t>dataRepo</t>
  </si>
  <si>
    <t>insdc</t>
  </si>
  <si>
    <t>ddbj</t>
  </si>
  <si>
    <t>dra</t>
  </si>
  <si>
    <t>ena</t>
  </si>
  <si>
    <t>enterobase</t>
  </si>
  <si>
    <t>genBank</t>
  </si>
  <si>
    <t>gisaid</t>
  </si>
  <si>
    <t>gsa</t>
  </si>
  <si>
    <t>sra</t>
  </si>
  <si>
    <t>mag</t>
  </si>
  <si>
    <t>wideTargetSlot2</t>
  </si>
  <si>
    <t>wideTargetValue2</t>
  </si>
  <si>
    <t>{{BioProject accession}}</t>
  </si>
  <si>
    <t>{{BioSample accession}}</t>
  </si>
  <si>
    <t>{{DDBJ accession}}</t>
  </si>
  <si>
    <t>{{DRA accession}}</t>
  </si>
  <si>
    <t>{{ENA accession}}</t>
  </si>
  <si>
    <t>{{Enterobase accession}}</t>
  </si>
  <si>
    <t>{{GenBank accession (versioned)}}</t>
  </si>
  <si>
    <t>{{GISAID accession}}</t>
  </si>
  <si>
    <t>{{GSA accession}}</t>
  </si>
  <si>
    <t>{{metagenome-assembled genome (MAG) ID}}</t>
  </si>
  <si>
    <t>{{SRA accession }}</t>
  </si>
  <si>
    <t>samples</t>
  </si>
  <si>
    <t>sampleID</t>
  </si>
  <si>
    <t>{{specimen collector sample ID}}</t>
  </si>
  <si>
    <t>datasetID</t>
  </si>
  <si>
    <t>{{specimen collector project ID}}</t>
  </si>
  <si>
    <t>may need to instead be mapped to "name' instead - pending.</t>
  </si>
  <si>
    <t>sites</t>
  </si>
  <si>
    <t>siteID</t>
  </si>
  <si>
    <t>{{sampling site ID}}</t>
  </si>
  <si>
    <t>{{GISAID virus name}}</t>
  </si>
  <si>
    <t>map to notes, match with GISAID entry</t>
  </si>
  <si>
    <t>{ "notes" : "{{GISAID virus name}}" }</t>
  </si>
  <si>
    <t>lday</t>
  </si>
  <si>
    <t>mgd</t>
  </si>
  <si>
    <t>cm</t>
  </si>
  <si>
    <t>addresses</t>
  </si>
  <si>
    <t>country</t>
  </si>
  <si>
    <t>Needs to be linked to the siteID in sites, already matches the "countries" table values.</t>
  </si>
  <si>
    <t>contacts</t>
  </si>
  <si>
    <t>email</t>
  </si>
  <si>
    <t>firstName; lastName</t>
  </si>
  <si>
    <t>group</t>
  </si>
  <si>
    <t>seconds</t>
  </si>
  <si>
    <t>minutes</t>
  </si>
  <si>
    <t>hours</t>
  </si>
  <si>
    <t>days</t>
  </si>
  <si>
    <t>months</t>
  </si>
  <si>
    <t>years</t>
  </si>
  <si>
    <t>weeks</t>
  </si>
  <si>
    <t>l</t>
  </si>
  <si>
    <t>ml</t>
  </si>
  <si>
    <t>ul</t>
  </si>
  <si>
    <t>{{geo_loc name (site)}}</t>
  </si>
  <si>
    <t>articV1</t>
  </si>
  <si>
    <t>articV2</t>
  </si>
  <si>
    <t>articV41</t>
  </si>
  <si>
    <t>articV500</t>
  </si>
  <si>
    <t>articV510</t>
  </si>
  <si>
    <t>articV520bp1200</t>
  </si>
  <si>
    <t>articV520bp400</t>
  </si>
  <si>
    <t>articV532</t>
  </si>
  <si>
    <t>edenV1</t>
  </si>
  <si>
    <t>midnightBCCDCv1</t>
  </si>
  <si>
    <t>midnightBCCDCv2</t>
  </si>
  <si>
    <t>midnightBCCDCv3</t>
  </si>
  <si>
    <t>midnightBCCDCv4</t>
  </si>
  <si>
    <t>midnightV3</t>
  </si>
  <si>
    <t>midnightV1</t>
  </si>
  <si>
    <t>midnightV2</t>
  </si>
  <si>
    <t>nebVarSkipV1aLong</t>
  </si>
  <si>
    <t>nebVarSkipV1aShort</t>
  </si>
  <si>
    <t>nebVarSkipV2a</t>
  </si>
  <si>
    <t>nebVarSkipV2b</t>
  </si>
  <si>
    <t>articV3</t>
  </si>
  <si>
    <t>articV4</t>
  </si>
  <si>
    <t>protocolSteps</t>
  </si>
  <si>
    <t>primer</t>
  </si>
  <si>
    <t>collType</t>
  </si>
  <si>
    <t>grb</t>
  </si>
  <si>
    <t>passiveGen</t>
  </si>
  <si>
    <t>organizationID</t>
  </si>
  <si>
    <t>{{sample collected by}}</t>
  </si>
  <si>
    <t>corFcil</t>
  </si>
  <si>
    <t>hosptl</t>
  </si>
  <si>
    <t>lake</t>
  </si>
  <si>
    <t>river</t>
  </si>
  <si>
    <t>ocean</t>
  </si>
  <si>
    <t>sea</t>
  </si>
  <si>
    <t>stabPnd</t>
  </si>
  <si>
    <t>wwtp</t>
  </si>
  <si>
    <t>airpln</t>
  </si>
  <si>
    <t>ship</t>
  </si>
  <si>
    <t>airport</t>
  </si>
  <si>
    <t>school</t>
  </si>
  <si>
    <t>sss</t>
  </si>
  <si>
    <t>ltcfAl</t>
  </si>
  <si>
    <t>uCampus</t>
  </si>
  <si>
    <t>cdc</t>
  </si>
  <si>
    <t>sampleShed</t>
  </si>
  <si>
    <t>siteType</t>
  </si>
  <si>
    <t>wwtpMuC</t>
  </si>
  <si>
    <t>wwtpMuS</t>
  </si>
  <si>
    <t>septTnk</t>
  </si>
  <si>
    <t>collDT</t>
  </si>
  <si>
    <t>collDTEnd</t>
  </si>
  <si>
    <t>collDT; collDTStart</t>
  </si>
  <si>
    <t>collPer</t>
  </si>
  <si>
    <t>{{sample collection date}}</t>
  </si>
  <si>
    <t>{{sample collection end date}}</t>
  </si>
  <si>
    <t>{{sample collection end time}}</t>
  </si>
  <si>
    <t>{{sample collection start time}}</t>
  </si>
  <si>
    <t>{{sample collection time duration value}}</t>
  </si>
  <si>
    <t>Date and time are separated values here, whereas in the ODM they are recorded together. So "sample collection date" needs to be combined with sample collection start time (if available), and "sample collection end date" and "sample collection end time" need to be combined.</t>
  </si>
  <si>
    <t>"collPer" in ODM is always reported in hours, so depending on the units used to report this in PHA4GE, some transformation may be necessary.</t>
  </si>
  <si>
    <t>"collPer" in ODM is always reported in hours, so depending on the units reported here, the actual value will need to be transformed accordingly.</t>
  </si>
  <si>
    <t>see notes</t>
  </si>
  <si>
    <t>ppt</t>
  </si>
  <si>
    <t>gPergTS</t>
  </si>
  <si>
    <t>pcrCycles</t>
  </si>
  <si>
    <t>personPerMile</t>
  </si>
  <si>
    <t>personPerKm</t>
  </si>
  <si>
    <t>resPerMile</t>
  </si>
  <si>
    <t>resPerKm</t>
  </si>
  <si>
    <t>noConcern</t>
  </si>
  <si>
    <t>qualityFlag</t>
  </si>
  <si>
    <t>qualityReports</t>
  </si>
  <si>
    <t>lowQualSeq</t>
  </si>
  <si>
    <t>seqContam</t>
  </si>
  <si>
    <t>lAGC</t>
  </si>
  <si>
    <t>lPGC</t>
  </si>
  <si>
    <t>shortRead</t>
  </si>
  <si>
    <t>ampliArtifact</t>
  </si>
  <si>
    <t>lowSNRatio</t>
  </si>
  <si>
    <t>lowCovMut</t>
  </si>
  <si>
    <t>Need linkage to the measureRepID for the sequencing, generate qulaityIDs.</t>
  </si>
  <si>
    <t>reportable</t>
  </si>
  <si>
    <t>report with sequencing measure</t>
  </si>
  <si>
    <t>Generate a quality report with the the quality flag "qf1" to accompany this report, and then report both with the sequencing measure</t>
  </si>
  <si>
    <t>{{quality control details}}</t>
  </si>
  <si>
    <t>{{purpose of sequencing details}}</t>
  </si>
  <si>
    <t>add to sequencing measure report</t>
  </si>
  <si>
    <t>purposeID</t>
  </si>
  <si>
    <t>match to sampleID entry row</t>
  </si>
  <si>
    <t>match to measureRepID entry row</t>
  </si>
  <si>
    <t>regular</t>
  </si>
  <si>
    <t>match to sampleID entry row; plus add compartment = "wat"</t>
  </si>
  <si>
    <t>testing</t>
  </si>
  <si>
    <t>wwtpAssess</t>
  </si>
  <si>
    <t>chemSurv</t>
  </si>
  <si>
    <t>drugSurv</t>
  </si>
  <si>
    <t>researchPurp</t>
  </si>
  <si>
    <t>profil</t>
  </si>
  <si>
    <t>Random sampling surveillance program</t>
  </si>
  <si>
    <t>Targeted surveillance program</t>
  </si>
  <si>
    <t>Emergency targetted surveillance program</t>
  </si>
  <si>
    <t>Longitudinal, repeat sampling surveillance program</t>
  </si>
  <si>
    <t>Travel hub surveillance - general</t>
  </si>
  <si>
    <t>Domestic travel hub surveillance</t>
  </si>
  <si>
    <t>International travel hub surveillance</t>
  </si>
  <si>
    <t>viralPass</t>
  </si>
  <si>
    <t>geoLat</t>
  </si>
  <si>
    <t>geoLong</t>
  </si>
  <si>
    <t>{{geo loc latitude}}</t>
  </si>
  <si>
    <t>{{geo loc longitude}}</t>
  </si>
  <si>
    <t>{{geo_loc_name (city)}}</t>
  </si>
  <si>
    <t>city</t>
  </si>
  <si>
    <t>link to sites</t>
  </si>
  <si>
    <t>stateProvReg</t>
  </si>
  <si>
    <t>{{geo_loc_name (state/province/territory)}}</t>
  </si>
  <si>
    <t>Unfortunately may need regex because it needs to match a value in the "zones" table.</t>
  </si>
  <si>
    <t>{{sample collector contact email}}</t>
  </si>
  <si>
    <t>{{sample collection data steward name}}</t>
  </si>
  <si>
    <t>{{sample processing date}}</t>
  </si>
  <si>
    <t>{{organism}}</t>
  </si>
  <si>
    <t>{{sample storage method
}}</t>
  </si>
  <si>
    <t>We record first and last name separately, so this will need to be split into two fields in ODM -&gt; firstName and lastName; also this contactID needs to be matched to the datasets table -&gt; custodyCont.</t>
  </si>
  <si>
    <t>Unfortunately may need regex because it needs to match a valid "group" type part in the "parts" table.</t>
  </si>
  <si>
    <t>{{"notes:"{{geo_loc name (county/region)}}}}</t>
  </si>
  <si>
    <t>recDate</t>
  </si>
  <si>
    <t>{{sample received date}}</t>
  </si>
  <si>
    <t>n50</t>
  </si>
  <si>
    <t>nBPSeq</t>
  </si>
  <si>
    <t>nContig</t>
  </si>
  <si>
    <t>nTotRead</t>
  </si>
  <si>
    <t>nUniRead</t>
  </si>
  <si>
    <t>percNLength</t>
  </si>
  <si>
    <t>percContam</t>
  </si>
  <si>
    <t>seqAssLen</t>
  </si>
  <si>
    <t>conGenLen</t>
  </si>
  <si>
    <t>depCovThresh</t>
  </si>
  <si>
    <t>genComplete</t>
  </si>
  <si>
    <t>minPTLength</t>
  </si>
  <si>
    <t>{{consensus genome length}}</t>
  </si>
  <si>
    <t>{{depth of coverage threshold}}</t>
  </si>
  <si>
    <t>{{genome completeness}}</t>
  </si>
  <si>
    <t>{{minimum post-trimming read length}}</t>
  </si>
  <si>
    <t>{{N50}}</t>
  </si>
  <si>
    <t>{{Ns per 100 kbp}}</t>
  </si>
  <si>
    <t>{{number of base pairs sequenced}}</t>
  </si>
  <si>
    <t>{{number of contigs}}</t>
  </si>
  <si>
    <t>{{number of total reads}}</t>
  </si>
  <si>
    <t>{{number of unique reads}}</t>
  </si>
  <si>
    <t>{{percent Ns across total genome length}}</t>
  </si>
  <si>
    <t>{{percent read contamination }}</t>
  </si>
  <si>
    <t>{{sequence assembly length}}</t>
  </si>
  <si>
    <t>megaB</t>
  </si>
  <si>
    <t>ambigNs</t>
  </si>
  <si>
    <t>nPerKbp</t>
  </si>
  <si>
    <t>bps</t>
  </si>
  <si>
    <t>May need to link with separately stored units?</t>
  </si>
  <si>
    <t>{{breadth of coverage value}}</t>
  </si>
  <si>
    <t>{{depth of coverage value}}</t>
  </si>
  <si>
    <t>This should not be reported on it's own, but only as part of the reporting of "fecal contamination value"</t>
  </si>
  <si>
    <t>cra</t>
  </si>
  <si>
    <t>ppmv</t>
  </si>
  <si>
    <t>hf183</t>
  </si>
  <si>
    <t>fColiphage</t>
  </si>
  <si>
    <t>lachno3</t>
  </si>
  <si>
    <t>{{fecal contamination indicator}}</t>
  </si>
  <si>
    <t>{{fecal contamination unit}}</t>
  </si>
  <si>
    <t>{{urinary contamination indicator}}</t>
  </si>
  <si>
    <t>{{urinary contamination value}}</t>
  </si>
  <si>
    <t>{{urinary contamination unit}}</t>
  </si>
  <si>
    <t>{{water catchment human population density value}}</t>
  </si>
  <si>
    <t>{{pH measurement value}}</t>
  </si>
  <si>
    <t>{{sample temperature value (when received)}}</t>
  </si>
  <si>
    <t>{{sample temperature value (at collection)}}</t>
  </si>
  <si>
    <t>{{ambient temperature measurement value}}</t>
  </si>
  <si>
    <t>{{precipitation measurement value}}</t>
  </si>
  <si>
    <t>{{carbonaceous biochemical oxygen demand (CBOD) measurement value}}</t>
  </si>
  <si>
    <t>{{chemical oxygen demand (COD) measurement value}}</t>
  </si>
  <si>
    <t>{{conductivity measurement value}}</t>
  </si>
  <si>
    <t>{{instantaneous flow rate measurement value}}</t>
  </si>
  <si>
    <t>{{total daily flow rate measurement value}}</t>
  </si>
  <si>
    <t>{{total phosphorus (TP) measurement value}}</t>
  </si>
  <si>
    <t>{{total nitrogen (TN) measurement value}}</t>
  </si>
  <si>
    <t>{{total solids (TS) measurement value}}</t>
  </si>
  <si>
    <t>{{total suspended solids (TSS) measurement value}}</t>
  </si>
  <si>
    <t>{{turbidity measurement value}}</t>
  </si>
  <si>
    <t>{{water catchment human population density unit}}</t>
  </si>
  <si>
    <t>{{sample temperature unit (at collection)}}</t>
  </si>
  <si>
    <t>{{sample temperature unit (when received)}}</t>
  </si>
  <si>
    <t>{{ambient temperature measurement unit}}</t>
  </si>
  <si>
    <t>{{precipitation measurement unit}}</t>
  </si>
  <si>
    <t>{{carbonaceous biochemical oxygen demand (CBOD) measurement unit}}</t>
  </si>
  <si>
    <t>{{chemical oxygen demand (COD) measurement unit}}</t>
  </si>
  <si>
    <t>{{conductivity measurement unit}}</t>
  </si>
  <si>
    <t>{{instantaneous flow rate measurement unit}}</t>
  </si>
  <si>
    <t>{{total daily flow rate measurement unit}}</t>
  </si>
  <si>
    <t>{{total phosphorus (TP) measurement unit}}</t>
  </si>
  <si>
    <t>{{total nitrogen (TN) measurement unit}}</t>
  </si>
  <si>
    <t>{{total solids (TS) measurement unit}}</t>
  </si>
  <si>
    <t>{{total suspended solids (TSS) measurement unit}}</t>
  </si>
  <si>
    <t>{{turbidity measurement unit}}</t>
  </si>
  <si>
    <t>popDensity</t>
  </si>
  <si>
    <t>ph</t>
  </si>
  <si>
    <t>fst</t>
  </si>
  <si>
    <t>arTemp</t>
  </si>
  <si>
    <t>airTemp</t>
  </si>
  <si>
    <t>precip</t>
  </si>
  <si>
    <t>cod</t>
  </si>
  <si>
    <t>cbod</t>
  </si>
  <si>
    <t>cond</t>
  </si>
  <si>
    <t>phos</t>
  </si>
  <si>
    <t>tn</t>
  </si>
  <si>
    <t>ts</t>
  </si>
  <si>
    <t>tss</t>
  </si>
  <si>
    <t>turb</t>
  </si>
  <si>
    <t>floRate</t>
  </si>
  <si>
    <t>These are recorded the same, and are the same measure. The difference being that instantaeous is a "single" in the aggregation, and "mean" in the aggregation for the daily.</t>
  </si>
  <si>
    <t>should really be reported in the same row as the measure - the trouble here too is that the organism field here is ostensibly freetext, whereas the ODM field is categorical.</t>
  </si>
  <si>
    <t>{{gene name}}</t>
  </si>
  <si>
    <t>det</t>
  </si>
  <si>
    <t>{{diagnostic measurement unit}}</t>
  </si>
  <si>
    <t>{{diagnostic measurement value}}</t>
  </si>
  <si>
    <t>popAs</t>
  </si>
  <si>
    <t>{{water catchment human population measurement method}}</t>
  </si>
  <si>
    <t>Should match to one of the three possible categorical inputs for this field - ie. census, count, or rev.</t>
  </si>
  <si>
    <t xml:space="preserve">Unsure of aggregation. {{gene name}} here should match the gene name mapping separately, and these measures should be organized together into a measureSet -&gt; meaning a measureSetID will need to be generated. </t>
  </si>
  <si>
    <t>Gene name will need to match a measurement value in the ODM.</t>
  </si>
  <si>
    <t>protocols</t>
  </si>
  <si>
    <t>protocolVersion</t>
  </si>
  <si>
    <t>{{quality control method version}}</t>
  </si>
  <si>
    <t>Need to link with the quality control protocol entry (entry for {{quality control method name}})</t>
  </si>
  <si>
    <t>accessions</t>
  </si>
  <si>
    <t>accessNum</t>
  </si>
  <si>
    <t>{{reference genome accession}}</t>
  </si>
  <si>
    <t>May need to figure out a way to discern the host repository….. I think it links to the {{taxonomic reference database name}} field.</t>
  </si>
  <si>
    <t>dataHost</t>
  </si>
  <si>
    <t>{{taxonomic reference database name}}</t>
  </si>
  <si>
    <t>Again need to go from free-text to categorical….</t>
  </si>
  <si>
    <t>hostVersion</t>
  </si>
  <si>
    <t>{{taxonomic reference database version}}</t>
  </si>
  <si>
    <t>IndexNum</t>
  </si>
  <si>
    <t>dpcr</t>
  </si>
  <si>
    <t>qpcr</t>
  </si>
  <si>
    <t>pcrmeth</t>
  </si>
  <si>
    <t>bacCul</t>
  </si>
  <si>
    <t>bactMeth</t>
  </si>
  <si>
    <t>UM-76</t>
  </si>
  <si>
    <t>AU-AC</t>
  </si>
  <si>
    <t>also populate addresses_country with the value "AU"</t>
  </si>
  <si>
    <t>UM-81</t>
  </si>
  <si>
    <t>also populate addresses_country with the value "UM"</t>
  </si>
  <si>
    <t>FR-BI</t>
  </si>
  <si>
    <t>also populate addresses_country with the value "FR"</t>
  </si>
  <si>
    <t>FR-CP</t>
  </si>
  <si>
    <t>AU-CS</t>
  </si>
  <si>
    <t>FR-EU</t>
  </si>
  <si>
    <t>PS-GZA</t>
  </si>
  <si>
    <t>FR-GL</t>
  </si>
  <si>
    <t>UM-84</t>
  </si>
  <si>
    <t>UM-86</t>
  </si>
  <si>
    <t>also populate addresses_country with the value "PS"</t>
  </si>
  <si>
    <t>UM-67</t>
  </si>
  <si>
    <t>FR-JN</t>
  </si>
  <si>
    <t>FR-KA</t>
  </si>
  <si>
    <t>UM-89</t>
  </si>
  <si>
    <t>KI-L</t>
  </si>
  <si>
    <t>UM-71</t>
  </si>
  <si>
    <t>CN-PA</t>
  </si>
  <si>
    <t>AQ-RS</t>
  </si>
  <si>
    <t>FR-TR</t>
  </si>
  <si>
    <t>UM-79</t>
  </si>
  <si>
    <t>PS-WE</t>
  </si>
  <si>
    <t>also populate addresses_country with the value "KI"</t>
  </si>
  <si>
    <t>also populate addresses_country with the value "CN"</t>
  </si>
  <si>
    <t>also populate addresses_country with the value "AQ"</t>
  </si>
  <si>
    <t>SP</t>
  </si>
  <si>
    <t>{{North Sea}}</t>
  </si>
  <si>
    <t>Needs to be linked to the siteID in sites</t>
  </si>
  <si>
    <t>flowPr</t>
  </si>
  <si>
    <t>moorSw</t>
  </si>
  <si>
    <t>comp</t>
  </si>
  <si>
    <t>manComp</t>
  </si>
  <si>
    <t>saMaterial</t>
  </si>
  <si>
    <t>nww</t>
  </si>
  <si>
    <t>pEfflu</t>
  </si>
  <si>
    <t>pSludge</t>
  </si>
  <si>
    <t>rawWW</t>
  </si>
  <si>
    <t>sEfflu</t>
  </si>
  <si>
    <t>sSludge</t>
  </si>
  <si>
    <t>swrSed</t>
  </si>
  <si>
    <t>sludgeNS</t>
  </si>
  <si>
    <t>effluNS</t>
  </si>
  <si>
    <t>polygons</t>
  </si>
  <si>
    <t>{{watershed shapefile filename}}</t>
  </si>
  <si>
    <t>samVol</t>
  </si>
  <si>
    <t>stoTim</t>
  </si>
  <si>
    <t>{{sample storage duration unit}}</t>
  </si>
  <si>
    <t>{{sample storage duration value}}</t>
  </si>
  <si>
    <t>Should be in a measure set linked to a specific sample to which this measurement in relevant.</t>
  </si>
  <si>
    <t>{{sample volume measurement value}}</t>
  </si>
  <si>
    <t>{{sample volume measurement unit}}</t>
  </si>
  <si>
    <t>poLic</t>
  </si>
  <si>
    <t>open</t>
  </si>
  <si>
    <t>Link polygon/shapefil items together</t>
  </si>
  <si>
    <t>{{sequence submitter contact email}}</t>
  </si>
  <si>
    <t xml:space="preserve">Ultimately for each row in the pha4ge data, there may be up to 4 rows generated in the "contacts" ODM table. 1) Sample collector, 2) sequenced by, 3) sequence submitted by, and 4) isolated by. Complementary contacts metadata need to be grouped together under these ubrellas, but still be separate rows. Furthermore, the "sequenced by/sequence submitted by/isolated by contactIDs should be linked to the measures table, while the sample collector contactID should link to the samples table. </t>
  </si>
  <si>
    <t>firstName</t>
  </si>
  <si>
    <t>{{sequence submitted by}}</t>
  </si>
  <si>
    <t>{{isolated by}}</t>
  </si>
  <si>
    <t>{{isolated by laboratory name}}</t>
  </si>
  <si>
    <t>{{isolated by contact name}}</t>
  </si>
  <si>
    <t>{{isolated by contact email}}</t>
  </si>
  <si>
    <t>{{sequenced by contact email}}</t>
  </si>
  <si>
    <t>{{sequenced by contact name}}</t>
  </si>
  <si>
    <t>aDateEnd</t>
  </si>
  <si>
    <t>{{sequencing date}}</t>
  </si>
  <si>
    <t>{{sequencing protocol}}</t>
  </si>
  <si>
    <t>Not sure how best to link this yet….</t>
  </si>
  <si>
    <t>match to measureRepID entry row for isolation.</t>
  </si>
  <si>
    <t>match to measureRepID entry row for sequencing</t>
  </si>
  <si>
    <t>link with {{genomic target enrichment method details}} as the notes filed in ODM.</t>
  </si>
  <si>
    <t>Link with {{genomic target enrichment method}} protocol step in ODM.</t>
  </si>
  <si>
    <t>{{genomic target enrichment method details}}</t>
  </si>
  <si>
    <t>summ</t>
  </si>
  <si>
    <t>hySel</t>
  </si>
  <si>
    <t>rnaDepl</t>
  </si>
  <si>
    <t>gte</t>
  </si>
  <si>
    <t>bow</t>
  </si>
  <si>
    <t>opWa</t>
  </si>
  <si>
    <t>str</t>
  </si>
  <si>
    <t>canal</t>
  </si>
  <si>
    <t>res</t>
  </si>
  <si>
    <t>grWa</t>
  </si>
  <si>
    <t>well</t>
  </si>
  <si>
    <t>spr</t>
  </si>
  <si>
    <t>pluDra</t>
  </si>
  <si>
    <t>orb</t>
  </si>
  <si>
    <t>hcf</t>
  </si>
  <si>
    <t>clinic</t>
  </si>
  <si>
    <t>edFac</t>
  </si>
  <si>
    <t>tHub</t>
  </si>
  <si>
    <t>farm</t>
  </si>
  <si>
    <t>refCamp</t>
  </si>
  <si>
    <t>indPl</t>
  </si>
  <si>
    <t>meatPl</t>
  </si>
  <si>
    <t>pharmPl</t>
  </si>
  <si>
    <t>transp</t>
  </si>
  <si>
    <t>core</t>
  </si>
  <si>
    <t>vac</t>
  </si>
  <si>
    <t>one</t>
  </si>
  <si>
    <t>horGrb</t>
  </si>
  <si>
    <t>vertGrb</t>
  </si>
  <si>
    <t>trap</t>
  </si>
  <si>
    <t>autoComp</t>
  </si>
  <si>
    <t>autoSeq</t>
  </si>
  <si>
    <t>Collection device and collection method are collapsed into a single field, generally, within the ODM. So when both are being mapped to collType, the {{collection Device}} value should supercede {{collection method}}, but here the collection method should match with a value of "Grab Sampling".</t>
  </si>
  <si>
    <t>Collection device and collection method are collapsed into a single field, generally, within the ODM. So when both are being mapped to collType, the {{collection Device}} value should supercede {{collection method}}, but here the collection method should match with a value of "Composite Sampling".</t>
  </si>
  <si>
    <t>Collection device and collection method are collapsed into a single field, generally, within the ODM. So when both are being mapped to collType, the {{collection Device}} value should supercede {{collection method}}, but here the collection method should match with a value of "Passive Composite Sampling".</t>
  </si>
  <si>
    <t>Collection device and collection method are collapsed into a single field, generally, within the ODM. So when both are being mapped to collType, the {{collection Device}} value should supercede {{collection method}}, but here the collection method should match with a value of "Automatic Composite Sampling".</t>
  </si>
  <si>
    <t>See notes for the {{Collection Device.Grab Sampler}} entry.</t>
  </si>
  <si>
    <t>This mapping pre-supposes that the collection device field is blank.</t>
  </si>
  <si>
    <t>See notes for the {{Collection Device.Automatic Composite Sampler}} entry.</t>
  </si>
  <si>
    <t>See notes for the {{Collection Device.Passive Composite Sampler}} entry.</t>
  </si>
  <si>
    <t>See notes for the {{Collection Device.Composite Sampler}} entry.</t>
  </si>
  <si>
    <t>Mapped to a site measure - make sure linked to a siteID.</t>
  </si>
  <si>
    <t>stag</t>
  </si>
  <si>
    <t>slFlow</t>
  </si>
  <si>
    <t>faFlow</t>
  </si>
  <si>
    <t>liquidMat</t>
  </si>
  <si>
    <t>slur</t>
  </si>
  <si>
    <t>contam</t>
  </si>
  <si>
    <t>fecContam</t>
  </si>
  <si>
    <t>semSol</t>
  </si>
  <si>
    <t>solidMat</t>
  </si>
  <si>
    <t>treat</t>
  </si>
  <si>
    <t>untreat</t>
  </si>
  <si>
    <t>matChar</t>
  </si>
  <si>
    <t>repType</t>
  </si>
  <si>
    <t>posCon</t>
  </si>
  <si>
    <t>negCon</t>
  </si>
  <si>
    <t>techRep</t>
  </si>
  <si>
    <t>bioRep</t>
  </si>
  <si>
    <t>{{presampling activity details}}</t>
  </si>
  <si>
    <t xml:space="preserve">presampling activity </t>
  </si>
  <si>
    <t>Needs to be in the same ODM row//linked with the mapped value for {{presampling activity}}.</t>
  </si>
  <si>
    <t>presampAct</t>
  </si>
  <si>
    <t>agri</t>
  </si>
  <si>
    <t>husb</t>
  </si>
  <si>
    <t>indus</t>
  </si>
  <si>
    <t>hcAct</t>
  </si>
  <si>
    <t>wwTrt</t>
  </si>
  <si>
    <t>wwFilt</t>
  </si>
  <si>
    <t>wwGrit</t>
  </si>
  <si>
    <t>wwMic</t>
  </si>
  <si>
    <t>wwPriSed</t>
  </si>
  <si>
    <t>wwSecSed</t>
  </si>
  <si>
    <t>Should be linked to a site ID and also to the notes field reporting of the {{presampling activity details}}.</t>
  </si>
  <si>
    <t>{{specimen processing details}}</t>
  </si>
  <si>
    <t>Needs to be in the same ODM row//linked with the mapped value for {{specimen processing}}.</t>
  </si>
  <si>
    <t>methodConc</t>
  </si>
  <si>
    <t>Populate 'value', 'unit', and 'aggregation' for this row as "NR"</t>
  </si>
  <si>
    <t>pasteur</t>
  </si>
  <si>
    <t>Populate 'value', with "TRUE" and populate 'unit', and 'aggregation' for this row as "NR"</t>
  </si>
  <si>
    <t>solidSep</t>
  </si>
  <si>
    <t>cent</t>
  </si>
  <si>
    <t>filt</t>
  </si>
  <si>
    <t>floc</t>
  </si>
  <si>
    <t>magBead</t>
  </si>
  <si>
    <t>prec</t>
  </si>
  <si>
    <t>graSet</t>
  </si>
  <si>
    <t>Should be linked to a sample ID and also to the notes field reporting of the {{specimen processing details}}.</t>
  </si>
  <si>
    <t>growBroth</t>
  </si>
  <si>
    <t>{{experimental protocol field}}</t>
  </si>
  <si>
    <t>Combined sewer system</t>
  </si>
  <si>
    <t>Sanitary sewer system</t>
  </si>
  <si>
    <t>Latrine</t>
  </si>
  <si>
    <t>Septic tank</t>
  </si>
  <si>
    <t>Cesspit</t>
  </si>
  <si>
    <t>Composting toilet</t>
  </si>
  <si>
    <t>drain</t>
  </si>
  <si>
    <t>latrine</t>
  </si>
  <si>
    <t>cesspit</t>
  </si>
  <si>
    <t>compToi</t>
  </si>
  <si>
    <t>Need to cross reference with the {{environmental site}} field</t>
  </si>
  <si>
    <t>link to AMR measures? Idk if there are any.</t>
  </si>
  <si>
    <t>stepVer</t>
  </si>
  <si>
    <t>link to AMR analysis software name - this is a tentative mapping.</t>
  </si>
  <si>
    <t>link to AMR reference database name - this is a tentative mapping.</t>
  </si>
  <si>
    <t>amrSoft</t>
  </si>
  <si>
    <t>should be linked to an AMR measure, additional complications if we RegEx map this free-text input to an ODM category.</t>
  </si>
  <si>
    <t>summ (OR reflink?)</t>
  </si>
  <si>
    <t>link to other bioinformatics pieces from the PHA4GE bioinformatics table?</t>
  </si>
  <si>
    <t>link to sequencing measures</t>
  </si>
  <si>
    <t>conSeqSoft</t>
  </si>
  <si>
    <t>should be linked to a sequencing measure, additional complications if we RegEx map this free-text input to an ODM category.</t>
  </si>
  <si>
    <t>link to consensus sequence software name - this is a tentative mapping.</t>
  </si>
  <si>
    <t>link to sequencing measures - may need to figure out a standard way to string these tegother under a protocolID via relationships</t>
  </si>
  <si>
    <t>dedup</t>
  </si>
  <si>
    <t>dehost</t>
  </si>
  <si>
    <t>boc</t>
  </si>
  <si>
    <t>doc</t>
  </si>
  <si>
    <t>I think this aggregation is right… May need to revisit. This needs to be linked with diagnostic target presence (I think).</t>
  </si>
  <si>
    <t>{{fecal contamination value value}}</t>
  </si>
  <si>
    <t>rawSeqProc</t>
  </si>
  <si>
    <t>the version will need to be cleaved off and stored in protocolSteps_stepVer</t>
  </si>
  <si>
    <t>link to sequence assembly software name - this is a tentative mapping.</t>
  </si>
  <si>
    <t>link with sequence assembly software version</t>
  </si>
  <si>
    <t>seqAss</t>
  </si>
  <si>
    <t>link to quality control method version - this is a tentative mapping.</t>
  </si>
  <si>
    <t>link to lineage/clade analysis software name - this is a tentative mapping.</t>
  </si>
  <si>
    <t>link to lineage/clade analysis measures? Idk if there are any.</t>
  </si>
  <si>
    <t>cladeAn</t>
  </si>
  <si>
    <t>should be linked to an organism or gene measure, likely, additional complications if we RegEx map this free-text input to an ODM category.</t>
  </si>
  <si>
    <t>{{lineage/clade name}}</t>
  </si>
  <si>
    <t>likely need to be regexed. Maybe should actually be group? TBD.</t>
  </si>
  <si>
    <t>Needs to be linked to the main measure report, probably through a measure set. Ideally purpose would also be populated with "normalization".</t>
  </si>
  <si>
    <t>{{endogenous control details}}</t>
  </si>
  <si>
    <t>{ "purpose" : "{{endogenous control details}}" }</t>
  </si>
  <si>
    <t>Unsure of aggregation. This will need to be parsed from free text to find out a) what the endogenous target control was so it can be mapped to the measure (ie. PMMoV), and b) whether it was detected or not to populate the value field with T or F. Needs to be linked to the main measure report, probably through a measure set. Ideally purpose would also be populated with "normalization".</t>
  </si>
  <si>
    <t>{{experimental control details}}</t>
  </si>
  <si>
    <t>need to link to a blank protocol, probably, ad auto-generate a protocol. ID&gt;</t>
  </si>
  <si>
    <t>link with {{extraction method}}; same row/entry</t>
  </si>
  <si>
    <t>link with {{extraction kit}}; same row/entry</t>
  </si>
  <si>
    <t>{{extraction method}}</t>
  </si>
  <si>
    <t>{{extraction kit}}</t>
  </si>
  <si>
    <t>extraction</t>
  </si>
  <si>
    <t>should be linked to {{extraction method}}; will likely need to parse freetext with regex to match ODM categories.</t>
  </si>
  <si>
    <t xml:space="preserve">    </t>
  </si>
  <si>
    <t>{{extraction recovery efficiency measurement method}}</t>
  </si>
  <si>
    <t>link with {{extraction recovery efficiency measurement value}}; probably via protocolID to measures table?</t>
  </si>
  <si>
    <t>link with {{extraction recovery efficiency measurement method}}; probably via protocolID to measures table?</t>
  </si>
  <si>
    <t>{{extraction recovery efficiency measurement value}}</t>
  </si>
  <si>
    <t>morn</t>
  </si>
  <si>
    <t>aft</t>
  </si>
  <si>
    <t>eve</t>
  </si>
  <si>
    <t>night</t>
  </si>
  <si>
    <t>Need to find out how to report time as blank, but not date, inside a datetime variable to link here.</t>
  </si>
  <si>
    <t>May need to be revisitted as a mapping because of duplicate targets - link to extraction recovery measure maybe?</t>
  </si>
  <si>
    <t>pro</t>
  </si>
  <si>
    <t>link with sample storage medium, maybe should be a protocol step summary rather than overall protocols?</t>
  </si>
  <si>
    <t>Link with {{sample storage method}}</t>
  </si>
  <si>
    <t>{{sample storage medium}}</t>
  </si>
  <si>
    <t>stoMed</t>
  </si>
  <si>
    <t>Needs to be linked to {{sample storage method}}; a;lso will need regex parsing to go from free text to category.</t>
  </si>
  <si>
    <t>link to measure via measure set?… maybe merits larger discussion with group</t>
  </si>
  <si>
    <t>survLevel</t>
  </si>
  <si>
    <t>builLev</t>
  </si>
  <si>
    <t>instituLev</t>
  </si>
  <si>
    <t>communitLev</t>
  </si>
  <si>
    <t>Link measures via measure set</t>
  </si>
  <si>
    <t>{{amplicon size}}</t>
  </si>
  <si>
    <t>{{DNA fragment length}}</t>
  </si>
  <si>
    <t>ampSize</t>
  </si>
  <si>
    <t>dnaFragLen</t>
  </si>
  <si>
    <t>{{ampSize}}</t>
  </si>
  <si>
    <t>{{dnaFragLen}}</t>
  </si>
  <si>
    <t>link to sequencing measures via measure sets</t>
  </si>
  <si>
    <t>stepID</t>
  </si>
  <si>
    <t>{{library ID}}</t>
  </si>
  <si>
    <t>Link with library ID - same row/entry</t>
  </si>
  <si>
    <t>Link with library preparation kit - same row/entry</t>
  </si>
  <si>
    <t>{{library preparation kit}}</t>
  </si>
  <si>
    <t>libraryKit</t>
  </si>
  <si>
    <t>Link with library ID - same row/entry. Also will need need to maybe use regex to go from PHA4GE's ffreetext format to an ODM category.</t>
  </si>
  <si>
    <t>{{sequenced by}}</t>
  </si>
  <si>
    <t>Linke the measure row for sequencing measures</t>
  </si>
  <si>
    <t>seqStrat</t>
  </si>
  <si>
    <t>16S ribosomal gene sequencing assay</t>
  </si>
  <si>
    <t>whole virome sequencing assay</t>
  </si>
  <si>
    <t>amp</t>
  </si>
  <si>
    <t>wgs</t>
  </si>
  <si>
    <t>16rgs</t>
  </si>
  <si>
    <t>wms</t>
  </si>
  <si>
    <t>wvs</t>
  </si>
  <si>
    <t>link with other sequencing protocols/steps</t>
  </si>
  <si>
    <t>BGI Genomics sequencing instrument</t>
  </si>
  <si>
    <t xml:space="preserve">      BGISEQ-500</t>
  </si>
  <si>
    <t xml:space="preserve">      SOLiD 5500xl-W Genetic Analyzer</t>
  </si>
  <si>
    <t>HeliScope Single Molecule Sequencer</t>
  </si>
  <si>
    <t>Applied Biosystems sequencing instrument model</t>
  </si>
  <si>
    <t>instruments</t>
  </si>
  <si>
    <t>manufacturer</t>
  </si>
  <si>
    <t>Link with {{sequencing instrument}} - an manufactured instrument ID</t>
  </si>
  <si>
    <t>{{alternative isolate ID}}</t>
  </si>
  <si>
    <t>{{isolate ID}}</t>
  </si>
  <si>
    <t>{{isolate received date}}</t>
  </si>
  <si>
    <t>Isolates should be a separate sample from the original sample, but unified via a child relationship in the samples relationships table. Alternative and regular isolate ID samples table entries should match and be linked with a relationship of "duplicate" where applicable.</t>
  </si>
  <si>
    <t>isolate entry, not other entries</t>
  </si>
  <si>
    <t>protocolID / summ</t>
  </si>
  <si>
    <t>{{microbiological method}}</t>
  </si>
  <si>
    <t>Seems that the ID or summary will depend on the dataset? Not standard so harder to map…</t>
  </si>
  <si>
    <t>{{progeny isolate ID}}</t>
  </si>
  <si>
    <t>This new sample ID needs to be linked to the original sample ID with a parent/child relationship ID&gt;</t>
  </si>
  <si>
    <t>{{read mapping criteria}}</t>
  </si>
  <si>
    <t>Link read protocol items all together please</t>
  </si>
  <si>
    <t>{{read mapping software version}}</t>
  </si>
  <si>
    <t>{{taxonomic analysis date}}</t>
  </si>
  <si>
    <t>{{phagetype}}</t>
  </si>
  <si>
    <t>{{serotyping method}}</t>
  </si>
  <si>
    <t>{{serovar}}</t>
  </si>
  <si>
    <t>{{strain}}</t>
  </si>
  <si>
    <t>{{read mapping software name}}</t>
  </si>
  <si>
    <t>seroMeth</t>
  </si>
  <si>
    <t>readMapper</t>
  </si>
  <si>
    <t>{ "version" : "{{the version number at the end of serotyping method (where reported)}}" }</t>
  </si>
  <si>
    <t>regex to match categories from the free-text input/</t>
  </si>
  <si>
    <t>link with isolate sample information, as reated measureSet. Along with serovar and strain.</t>
  </si>
  <si>
    <t>link with isolate sample information, as reated measureSet. Along with phagetype and strain.</t>
  </si>
  <si>
    <t>link with isolate sample information, as reated measureSet. Along with serovar and phagetype.</t>
  </si>
  <si>
    <t>{{AMR analysis report filename}}</t>
  </si>
  <si>
    <t>Add to the measure row of an AMR target in the notes field.</t>
  </si>
  <si>
    <t>{{lineage/clade analysis report filename}}</t>
  </si>
  <si>
    <t>{{taxonomic analysis report filename}}</t>
  </si>
  <si>
    <t>Add to the measure row of lineage/clade measure/target in the notes field.</t>
  </si>
  <si>
    <t>Add to the measure row of a taxonomy measure in the notes field.</t>
  </si>
  <si>
    <t>{{specimen collector subsample ID}}</t>
  </si>
  <si>
    <t>{{pooled sample ID}}</t>
  </si>
  <si>
    <t>{{sampling event ID}}</t>
  </si>
  <si>
    <t>also populate 'repType' with 'sampleEvent'; need to be linked to original sample ID through the relationships table with a "child" relationship, where the original sample is the "child" of this sample.</t>
  </si>
  <si>
    <t>also populate 'repType' with 'subSamp'; need to be linked to original sample ID through the relationships table with a "child" relationship (this subsample is child).</t>
  </si>
  <si>
    <t>also populate 'pooled' with 'TRUE'; need to be linked to original sample ID through the relationships table with a "child" relationship (this pooled sample is child).</t>
  </si>
  <si>
    <t>[caputured under {{database identifiers - pooled sample ID}}]</t>
  </si>
  <si>
    <t>{{gernerate new sampleID and new row for this technical replicate}}</t>
  </si>
  <si>
    <t>{{gernerate new sampleID and new row for this biological replicate}}</t>
  </si>
  <si>
    <t>also in new row populate repType as "techRep"; link to original sampleID as a "lcsd" through the sample relationships table.</t>
  </si>
  <si>
    <t>also in new row populate repType as "bioRep"; link to original sampleID as a "lcsd" through the sample relationships table.</t>
  </si>
  <si>
    <t>extractRecov</t>
  </si>
  <si>
    <t xml:space="preserve">should be linked to extraction kit and extraction method. </t>
  </si>
  <si>
    <t>{{sequence assembly software version}}</t>
  </si>
  <si>
    <t>{{lineage/clade analysis software version}}</t>
  </si>
  <si>
    <t>{{sequencing instrument}}</t>
  </si>
  <si>
    <t>{ "insType" : "sequencer" }</t>
  </si>
  <si>
    <t>Need to probably generate a instrument ID for this… Also revisit if this is the level of detail we really want to record? Lionk as same row as {{sequencing platform}} - also need to link this to a protocol step to link to protocols to link to the actual measure...</t>
  </si>
  <si>
    <t>{{sequencing platform}}</t>
  </si>
  <si>
    <t>collAppxT</t>
  </si>
  <si>
    <t xml:space="preserve">Date and time are separated values here, whereas in the ODM they are recorded together. So "sample collection date" needs to be combined with sample collection start time (if available), and "sample collection end date" and "sample collection end time" need to be combined. In situations where a categorical time of day is reported rather than a precise time, the date should be recorded separately in the {{samples_collDate}} field in ODM. </t>
  </si>
  <si>
    <t>{{AMR analysis software name}}</t>
  </si>
  <si>
    <t>{{consensus sequence software name}}</t>
  </si>
  <si>
    <t>{{deduplication method}}</t>
  </si>
  <si>
    <t>{{dehosting method}}</t>
  </si>
  <si>
    <t>{{raw sequence data processing method}}</t>
  </si>
  <si>
    <t>{{sequence assembly software name}}</t>
  </si>
  <si>
    <t>{{lineage/clade analysis software name}}</t>
  </si>
  <si>
    <t>{{AMR analysis software version}}</t>
  </si>
  <si>
    <t>{{AMR reference database name}}</t>
  </si>
  <si>
    <t>{{AMR reference database version}}</t>
  </si>
  <si>
    <t>{{bioinformatics protocol}}</t>
  </si>
  <si>
    <t>{{consensus sequence software version}}</t>
  </si>
  <si>
    <t>{{amplicon pcr primer scheme}}</t>
  </si>
  <si>
    <t>method_value</t>
  </si>
  <si>
    <t>value_value</t>
  </si>
  <si>
    <t>unit_value</t>
  </si>
  <si>
    <t>aggregation_value</t>
  </si>
  <si>
    <t>measure_value</t>
  </si>
  <si>
    <t>specimen_value</t>
  </si>
  <si>
    <t>{{diagnostic measurement method}}</t>
  </si>
  <si>
    <t>{{genomic target enrichment method}}</t>
  </si>
  <si>
    <t>{{populated area type}}</t>
  </si>
  <si>
    <t>{{water catchment human population range}}</t>
  </si>
  <si>
    <t>{{presampling weather conditions}}</t>
  </si>
  <si>
    <t>{{sampling weather conditions}}</t>
  </si>
  <si>
    <t>{{environmental material properties}}</t>
  </si>
  <si>
    <t>{{presampling activity}}</t>
  </si>
  <si>
    <t>{{scale of sampling}}</t>
  </si>
  <si>
    <t>{ "purpose_value" : "{{endogenous control details}}" }</t>
  </si>
  <si>
    <t>dataRepo_value</t>
  </si>
  <si>
    <t>{ "notes_value" : "{{GISAID virus name}}" }</t>
  </si>
  <si>
    <t>{{sequencing assay type}}</t>
  </si>
  <si>
    <t>{ "stepVer": "{{consensus sequence software version}}" }</t>
  </si>
  <si>
    <t>{ "stepVer": "{{sequence assembly software version}}" }</t>
  </si>
  <si>
    <t>{{fecal contamination value}}</t>
  </si>
  <si>
    <t>{ "stepVer": "{{AMR analysis software version}}" }</t>
  </si>
  <si>
    <t>Martin notes</t>
  </si>
  <si>
    <t>What are AMR measures?</t>
  </si>
  <si>
    <t>What are AMR measures? No accessions table</t>
  </si>
  <si>
    <t>What value to use for targetSlot?</t>
  </si>
  <si>
    <t>Martin Complete</t>
  </si>
  <si>
    <t>Not sure about notes</t>
  </si>
  <si>
    <t>See notes</t>
  </si>
  <si>
    <t>protocolVersion_value</t>
  </si>
  <si>
    <t>name_value</t>
  </si>
  <si>
    <t>{{quality control method name}}</t>
  </si>
  <si>
    <t>See wide_protocols</t>
  </si>
  <si>
    <t>See notes. No accessions table</t>
  </si>
  <si>
    <t>See notes. Should be in wide table? Which one is the original sampleID?</t>
  </si>
  <si>
    <t>"isolated by laboratory name" also mapped to datasetID</t>
  </si>
  <si>
    <t>Should be wide?</t>
  </si>
  <si>
    <t>notes2</t>
  </si>
  <si>
    <t>See notes2 for protocols table</t>
  </si>
  <si>
    <t>Which one is the lineage/clade measure/target?</t>
  </si>
  <si>
    <t>How to link to software name? Which field should it go in?</t>
  </si>
  <si>
    <t>Currently not in measures table</t>
  </si>
  <si>
    <t>Should this be added to protocolID for "diagnostic measurement value"?</t>
  </si>
  <si>
    <t>{{diagnostic target presence}}</t>
  </si>
  <si>
    <t>gene name is recorded in multiple rows in wide_measures. Should it be reported elsewhere as well?</t>
  </si>
  <si>
    <t>Row in wide_measures seems incorrect</t>
  </si>
  <si>
    <t>Which sampleID row?</t>
  </si>
  <si>
    <t>Found in wide_measures, but how should it be linked to a siteID?</t>
  </si>
  <si>
    <t>Martin Notes</t>
  </si>
  <si>
    <t>Maps to different slot based on sourceValue of enumeration</t>
  </si>
  <si>
    <t>{ "summ": "{{extraction method}}" }</t>
  </si>
  <si>
    <t>Note sure how to link with the value. Will need to figure out the protocolIDs</t>
  </si>
  <si>
    <t>{{geo_loc name (county/region)}}</t>
  </si>
  <si>
    <t>Need to link to sites (through addressID: ID Generator)</t>
  </si>
  <si>
    <t>Need to link to sites (through addressID: ID Generator); Maps to multiple slots (country/stateProvReg) depending on the source enum value</t>
  </si>
  <si>
    <t>See notes; Make sure we don't overwrite stateProvReg that gets mapped from "geo_loc_name (country)"</t>
  </si>
  <si>
    <t>Is this the group value for all output rows in the measures table? (that's the current behavior); Has a conflict with sourceTable=Sample collection and processing, sourceSlot=organism (in another row)</t>
  </si>
  <si>
    <t>See notes; has conflict with other row where sourceTable=Pathogen diagnostic testing, sourceSlot=organism</t>
  </si>
  <si>
    <t>See notes: Link to a siteID</t>
  </si>
  <si>
    <t>Has been linked in wide_measures</t>
  </si>
  <si>
    <t>Add compartment = "wat" and match to the sampleID row</t>
  </si>
  <si>
    <t>lastName</t>
  </si>
  <si>
    <t>collDTStart</t>
  </si>
  <si>
    <t>Combine "sample collection end date" and "sample collection end time"</t>
  </si>
  <si>
    <t>Link the contactID with datasets.custodyCont</t>
  </si>
  <si>
    <t>combine "sample collection date" and "sample collection start time"</t>
  </si>
  <si>
    <t>Should we make collDT and collDTStart the same?</t>
  </si>
  <si>
    <t>See notes (create expr)</t>
  </si>
  <si>
    <t>{ "summ": "{{sample storage method}}" }</t>
  </si>
  <si>
    <t>In notes, is NR in value, unit, and aggregation only for sourceValue of "Concentration"? Shoud unit and aggregation be empty for the other sourceValues?</t>
  </si>
  <si>
    <t>"environmental site" maps to same slot (siteType+sampleShed)</t>
  </si>
  <si>
    <t>{ "summ": "{{genomic target enrichment method details}}" }</t>
  </si>
  <si>
    <t>{ "stepID": "{{library ID}}" }</t>
  </si>
  <si>
    <t>Need to set insType to sequencer</t>
  </si>
  <si>
    <t>Create instrumentID</t>
  </si>
  <si>
    <t>wide?</t>
  </si>
  <si>
    <t>sampleShed:corFcil</t>
  </si>
  <si>
    <t>sampleShed:hcf</t>
  </si>
  <si>
    <t>sampleShed:hosptl</t>
  </si>
  <si>
    <t>sampleShed:clinic</t>
  </si>
  <si>
    <t>sampleShed:edFac</t>
  </si>
  <si>
    <t>sampleShed:cdc</t>
  </si>
  <si>
    <t>sampleShed:school</t>
  </si>
  <si>
    <t>sampleShed:uCampus</t>
  </si>
  <si>
    <t>sampleShed:orb</t>
  </si>
  <si>
    <t>sampleShed:sss</t>
  </si>
  <si>
    <t>sampleShed:ltcfAl</t>
  </si>
  <si>
    <t>sampleShed:tHub</t>
  </si>
  <si>
    <t>sampleShed:airport</t>
  </si>
  <si>
    <t>sampleShed:farm</t>
  </si>
  <si>
    <t>sampleShed:refCamp</t>
  </si>
  <si>
    <t>sampleShed:indPl</t>
  </si>
  <si>
    <t>sampleShed:meatPl</t>
  </si>
  <si>
    <t>sampleShed:pharmPl</t>
  </si>
  <si>
    <t>siteType:bow</t>
  </si>
  <si>
    <t>siteType:opWa</t>
  </si>
  <si>
    <t>siteType:lake</t>
  </si>
  <si>
    <t>siteType:str</t>
  </si>
  <si>
    <t>siteType:river</t>
  </si>
  <si>
    <t>siteType:ocean</t>
  </si>
  <si>
    <t>siteType:sea</t>
  </si>
  <si>
    <t>siteType:canal</t>
  </si>
  <si>
    <t>siteType:res</t>
  </si>
  <si>
    <t>siteType:grWa</t>
  </si>
  <si>
    <t>siteType:well</t>
  </si>
  <si>
    <t>siteType:spr</t>
  </si>
  <si>
    <t>siteType:stabPnd</t>
  </si>
  <si>
    <t>siteType:pluDra</t>
  </si>
  <si>
    <t>sampleShed:transp</t>
  </si>
  <si>
    <t>sampleShed:ship</t>
  </si>
  <si>
    <t>sampleShed:airpln</t>
  </si>
  <si>
    <t>siteType:wwtp</t>
  </si>
  <si>
    <t>sampleID_value</t>
  </si>
  <si>
    <t>{ "pooled_value": TRUE }</t>
  </si>
  <si>
    <t>{ "repType_value": "sampleEvent" }</t>
  </si>
  <si>
    <t>targetExpr</t>
  </si>
  <si>
    <t>case((collection_device != "", collection_device), (True, collection_method))</t>
  </si>
  <si>
    <t>{ 
    "repType_value": "subSamp"
}</t>
  </si>
  <si>
    <t>{
    "collType_expr": "case((collection_device != "", collection_device), (True, collection_method))", 
    "saMaterial_value": "{{environmental material}}",
    "repType_value": "{{experimental specimen role type}}",
    "purposeID_value": "{{purpose of sampling}}",
    "organizationID_value": "{{sample collected by}}",
    "collDT_expr": "sample_collection_date + '/!/' + sample_collection_start_time",
    "collDTStart_expr": "sample_collection_start_time",
    "collDTEnd_expr": "sample_collection_end_date + '/!/' + sample_collection_end_time",
    "collPer_expr": "_value = src.sample_collection_time_duration_value
_unit = src.sample_collection_time_duration_unit
if _unit == 'Second':
    target = _value / 60 / 60
elif _unit == 'Minute':
    target = _value / 60
elif _unit == 'Hour':
    target = _value
elif _unit == 'Day':
    target = _value * 24
elif _unit == 'Week':
    target = _value * 24 * 7
elif _unit == 'Month':
    target = _value * 24 * 7 * 30
elif _unit == 'Year':
    target = _value * 24 * 7 * 365
else:
    target = ''
    raise ValueError('Unrecognized value for sample_collection_time_duration_unit: ' + _unit)",
    "recDate_value": "{{sample received date}}",
}</t>
  </si>
  <si>
    <t>{
    "recDate_value": "{{isolate received date}}"
}</t>
  </si>
  <si>
    <t>sampleRelationships</t>
  </si>
  <si>
    <t>sampleRelationshipsID_value</t>
  </si>
  <si>
    <t>sampleIDSubject_value</t>
  </si>
  <si>
    <t>relationshipID_value</t>
  </si>
  <si>
    <t>sampleIDObject_value</t>
  </si>
  <si>
    <t>child</t>
  </si>
  <si>
    <t>labDuplicate</t>
  </si>
  <si>
    <t>Check with Mathew if correct</t>
  </si>
  <si>
    <t>measureSetID_value</t>
  </si>
  <si>
    <t>{{id:measureSetID_gene_name}}</t>
  </si>
  <si>
    <t>How to link with diagnostic target presence? Not sure if this linkage is required</t>
  </si>
  <si>
    <t>See notes: Units should be unitless</t>
  </si>
  <si>
    <t>See notes: Units should be a percentage according to PHA4GE</t>
  </si>
  <si>
    <t>protocolID_value</t>
  </si>
  <si>
    <t>notes_value</t>
  </si>
  <si>
    <t>{{instantaneous flow rate measurement method}}</t>
  </si>
  <si>
    <t>{{total daily flow rate measurement method}}</t>
  </si>
  <si>
    <t>{{total suspended solids (TSS) measurement method}</t>
  </si>
  <si>
    <t>Changed "resident per square mile" to "residents per square mile"</t>
  </si>
  <si>
    <t>Changed "residential per square kilometer" to "residents per square kilometer"</t>
  </si>
  <si>
    <t>residents per square mile</t>
  </si>
  <si>
    <t>residents per square kilometer</t>
  </si>
  <si>
    <t>{ "siteID_value": "{{sampling site ID}}" }</t>
  </si>
  <si>
    <t>{ "siteID_value": "{{sampling site ID}}", "notes_value": "{{presampling activity details}}" }</t>
  </si>
  <si>
    <t>insType</t>
  </si>
  <si>
    <t>sequencer</t>
  </si>
  <si>
    <t>_none_</t>
  </si>
  <si>
    <t>Make sure this works! (insType should be "sequencer")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</si>
</sst>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2"/>
      <color theme="1"/>
      <name val="Calibri"/>
      <family val="2"/>
    </font>
    <font>
      <sz val="12"/>
      <color rgb="FFFF0000"/>
      <name val="Aptos Narrow"/>
      <family val="2"/>
      <scheme val="minor"/>
    </font>
    <font>
      <b/>
      <sz val="14"/>
      <color theme="1"/>
      <name val="Aptos Narrow"/>
      <scheme val="minor"/>
    </font>
    <font>
      <sz val="10"/>
      <color theme="1"/>
      <name val="Arial"/>
      <family val="2"/>
    </font>
    <font>
      <sz val="10"/>
      <color rgb="FF000000"/>
      <name val="Aptos Narrow"/>
      <family val="2"/>
      <scheme val="minor"/>
    </font>
    <font>
      <b/>
      <sz val="14"/>
      <color rgb="FF000000"/>
      <name val="Aptos Narrow"/>
      <scheme val="minor"/>
    </font>
    <font>
      <sz val="14"/>
      <color theme="1"/>
      <name val="Aptos Narrow"/>
      <scheme val="minor"/>
    </font>
    <font>
      <sz val="12"/>
      <name val="Aptos Narrow"/>
      <family val="2"/>
      <scheme val="minor"/>
    </font>
    <font>
      <sz val="14"/>
      <color rgb="FF000000"/>
      <name val="Aptos Narrow"/>
      <scheme val="minor"/>
    </font>
    <font>
      <sz val="13"/>
      <color rgb="FF000000"/>
      <name val="Aptos Narrow"/>
      <scheme val="minor"/>
    </font>
    <font>
      <sz val="12"/>
      <color rgb="FF000000"/>
      <name val="Aptos Narrow"/>
      <family val="2"/>
      <scheme val="minor"/>
    </font>
    <font>
      <b/>
      <sz val="12"/>
      <color theme="1"/>
      <name val="Aptos Narrow"/>
      <scheme val="minor"/>
    </font>
    <font>
      <b/>
      <sz val="12"/>
      <color rgb="FF000000"/>
      <name val="Aptos Narrow"/>
      <scheme val="minor"/>
    </font>
    <font>
      <sz val="12"/>
      <color rgb="FF000000"/>
      <name val="Aptos Narrow"/>
      <scheme val="minor"/>
    </font>
    <font>
      <sz val="12"/>
      <color theme="1"/>
      <name val="Aptos Narrow"/>
      <scheme val="minor"/>
    </font>
    <font>
      <sz val="12"/>
      <name val="Aptos Narrow"/>
      <scheme val="minor"/>
    </font>
    <font>
      <sz val="10"/>
      <color rgb="FF000000"/>
      <name val="Arial"/>
      <family val="2"/>
    </font>
    <font>
      <sz val="12"/>
      <color rgb="FF000000"/>
      <name val="Calibri"/>
      <family val="2"/>
    </font>
    <font>
      <b/>
      <sz val="12"/>
      <color rgb="FF000000"/>
      <name val="Calibri"/>
      <family val="2"/>
    </font>
    <font>
      <b/>
      <sz val="14"/>
      <color rgb="FF000000"/>
      <name val="Calibri"/>
      <family val="2"/>
    </font>
    <font>
      <b/>
      <sz val="12"/>
      <color theme="1"/>
      <name val="Calibri"/>
      <family val="2"/>
    </font>
    <font>
      <sz val="12"/>
      <color rgb="FFFF0000"/>
      <name val="Calibri"/>
      <family val="2"/>
    </font>
    <font>
      <b/>
      <sz val="12"/>
      <color rgb="FFFF0000"/>
      <name val="Calibri"/>
      <family val="2"/>
    </font>
    <font>
      <b/>
      <sz val="10"/>
      <color rgb="FF000000"/>
      <name val="Calibri"/>
      <family val="2"/>
    </font>
    <font>
      <sz val="12"/>
      <name val="Calibri"/>
      <family val="2"/>
    </font>
    <font>
      <b/>
      <sz val="12"/>
      <name val="Calibri"/>
      <family val="2"/>
    </font>
  </fonts>
  <fills count="9">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DAF2D0"/>
        <bgColor rgb="FF000000"/>
      </patternFill>
    </fill>
    <fill>
      <patternFill patternType="solid">
        <fgColor rgb="FFFFFF00"/>
        <bgColor rgb="FF000000"/>
      </patternFill>
    </fill>
    <fill>
      <patternFill patternType="solid">
        <fgColor rgb="FFA6A6A6"/>
        <bgColor rgb="FF000000"/>
      </patternFill>
    </fill>
    <fill>
      <patternFill patternType="solid">
        <fgColor rgb="FFFBE2D5"/>
        <bgColor rgb="FF000000"/>
      </patternFill>
    </fill>
  </fills>
  <borders count="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theme="4" tint="0.39997558519241921"/>
      </top>
      <bottom style="thin">
        <color theme="4" tint="0.39997558519241921"/>
      </bottom>
      <diagonal/>
    </border>
  </borders>
  <cellStyleXfs count="1">
    <xf numFmtId="0" fontId="0" fillId="0" borderId="0"/>
  </cellStyleXfs>
  <cellXfs count="89">
    <xf numFmtId="0" fontId="0" fillId="0" borderId="0" xfId="0"/>
    <xf numFmtId="0" fontId="2" fillId="0" borderId="0" xfId="0" applyFont="1"/>
    <xf numFmtId="0" fontId="2" fillId="0" borderId="1" xfId="0" applyFont="1" applyBorder="1"/>
    <xf numFmtId="0" fontId="2" fillId="0" borderId="2" xfId="0" applyFont="1" applyBorder="1"/>
    <xf numFmtId="0" fontId="2" fillId="0" borderId="3" xfId="0" applyFont="1" applyBorder="1"/>
    <xf numFmtId="0" fontId="0" fillId="2" borderId="0" xfId="0" applyFill="1"/>
    <xf numFmtId="0" fontId="0" fillId="3" borderId="0" xfId="0" applyFill="1"/>
    <xf numFmtId="0" fontId="5" fillId="0" borderId="2" xfId="0" applyFont="1" applyBorder="1"/>
    <xf numFmtId="0" fontId="5" fillId="0" borderId="3" xfId="0" applyFont="1" applyBorder="1"/>
    <xf numFmtId="0" fontId="1" fillId="3" borderId="0" xfId="0" applyFont="1" applyFill="1"/>
    <xf numFmtId="0" fontId="7" fillId="3" borderId="0" xfId="0" applyFont="1" applyFill="1"/>
    <xf numFmtId="0" fontId="6" fillId="3" borderId="0" xfId="0" applyFont="1" applyFill="1"/>
    <xf numFmtId="0" fontId="2" fillId="3" borderId="0" xfId="0" applyFont="1" applyFill="1"/>
    <xf numFmtId="0" fontId="8" fillId="3" borderId="0" xfId="0" applyFont="1" applyFill="1"/>
    <xf numFmtId="0" fontId="5" fillId="3" borderId="0" xfId="0" applyFont="1" applyFill="1"/>
    <xf numFmtId="0" fontId="3" fillId="3" borderId="0" xfId="0" applyFont="1" applyFill="1" applyAlignment="1">
      <alignment vertical="top"/>
    </xf>
    <xf numFmtId="0" fontId="4" fillId="3" borderId="0" xfId="0" applyFont="1" applyFill="1"/>
    <xf numFmtId="0" fontId="0" fillId="4" borderId="0" xfId="0" applyFill="1"/>
    <xf numFmtId="0" fontId="3" fillId="4" borderId="0" xfId="0" applyFont="1" applyFill="1" applyAlignment="1">
      <alignment vertical="top"/>
    </xf>
    <xf numFmtId="0" fontId="9" fillId="3" borderId="0" xfId="0" applyFont="1" applyFill="1"/>
    <xf numFmtId="0" fontId="10" fillId="3" borderId="0" xfId="0" applyFont="1" applyFill="1"/>
    <xf numFmtId="49" fontId="0" fillId="3" borderId="0" xfId="0" applyNumberFormat="1" applyFill="1"/>
    <xf numFmtId="49" fontId="0" fillId="3" borderId="4" xfId="0" applyNumberFormat="1" applyFill="1" applyBorder="1"/>
    <xf numFmtId="0" fontId="10" fillId="5" borderId="0" xfId="0" applyFont="1" applyFill="1"/>
    <xf numFmtId="0" fontId="5" fillId="0" borderId="1" xfId="0" applyFont="1" applyBorder="1"/>
    <xf numFmtId="0" fontId="5" fillId="0" borderId="0" xfId="0" applyFont="1"/>
    <xf numFmtId="0" fontId="11" fillId="3" borderId="0" xfId="0" applyFont="1" applyFill="1"/>
    <xf numFmtId="49" fontId="11" fillId="3" borderId="0" xfId="0" applyNumberFormat="1" applyFont="1" applyFill="1"/>
    <xf numFmtId="49" fontId="11" fillId="3" borderId="4" xfId="0" applyNumberFormat="1" applyFont="1" applyFill="1" applyBorder="1"/>
    <xf numFmtId="0" fontId="11" fillId="2" borderId="0" xfId="0" applyFont="1" applyFill="1"/>
    <xf numFmtId="0" fontId="11" fillId="0" borderId="0" xfId="0" applyFont="1"/>
    <xf numFmtId="0" fontId="12" fillId="0" borderId="1" xfId="0" applyFont="1" applyBorder="1"/>
    <xf numFmtId="0" fontId="12" fillId="0" borderId="2" xfId="0" applyFont="1" applyBorder="1"/>
    <xf numFmtId="0" fontId="12" fillId="0" borderId="3" xfId="0" applyFont="1" applyBorder="1"/>
    <xf numFmtId="0" fontId="13" fillId="5" borderId="0" xfId="0" applyFont="1" applyFill="1"/>
    <xf numFmtId="0" fontId="2" fillId="0" borderId="0" xfId="0" applyFont="1" applyFill="1" applyBorder="1"/>
    <xf numFmtId="0" fontId="14" fillId="0" borderId="0" xfId="0" applyFont="1"/>
    <xf numFmtId="0" fontId="14" fillId="3" borderId="0" xfId="0" applyFont="1" applyFill="1"/>
    <xf numFmtId="0" fontId="14" fillId="2" borderId="0" xfId="0" applyFont="1" applyFill="1"/>
    <xf numFmtId="0" fontId="15" fillId="3" borderId="0" xfId="0" applyFont="1" applyFill="1"/>
    <xf numFmtId="0" fontId="5" fillId="0" borderId="0" xfId="0" applyFont="1" applyFill="1" applyBorder="1"/>
    <xf numFmtId="0" fontId="0" fillId="3" borderId="0" xfId="0" applyFont="1" applyFill="1"/>
    <xf numFmtId="0" fontId="10" fillId="0" borderId="0" xfId="0" applyFont="1"/>
    <xf numFmtId="0" fontId="12" fillId="0" borderId="0" xfId="0" applyFont="1"/>
    <xf numFmtId="0" fontId="13" fillId="0" borderId="0" xfId="0" applyFont="1"/>
    <xf numFmtId="0" fontId="10" fillId="6" borderId="0" xfId="0" applyFont="1" applyFill="1"/>
    <xf numFmtId="0" fontId="10" fillId="7" borderId="0" xfId="0" applyFont="1" applyFill="1"/>
    <xf numFmtId="0" fontId="16" fillId="7" borderId="0" xfId="0" applyFont="1" applyFill="1" applyAlignment="1">
      <alignment vertical="top"/>
    </xf>
    <xf numFmtId="0" fontId="4" fillId="7" borderId="0" xfId="0" applyFont="1" applyFill="1"/>
    <xf numFmtId="0" fontId="16" fillId="5" borderId="0" xfId="0" applyFont="1" applyFill="1" applyAlignment="1">
      <alignment vertical="top"/>
    </xf>
    <xf numFmtId="0" fontId="1" fillId="5" borderId="0" xfId="0" applyFont="1" applyFill="1"/>
    <xf numFmtId="0" fontId="13" fillId="7" borderId="0" xfId="0" applyFont="1" applyFill="1"/>
    <xf numFmtId="0" fontId="1" fillId="7" borderId="0" xfId="0" applyFont="1" applyFill="1"/>
    <xf numFmtId="0" fontId="13" fillId="6" borderId="0" xfId="0" applyFont="1" applyFill="1"/>
    <xf numFmtId="0" fontId="10" fillId="5" borderId="0" xfId="0" applyFont="1" applyFill="1" applyAlignment="1"/>
    <xf numFmtId="0" fontId="17" fillId="0" borderId="0" xfId="0" applyFont="1" applyFill="1"/>
    <xf numFmtId="0" fontId="18" fillId="0" borderId="0" xfId="0" applyFont="1" applyFill="1"/>
    <xf numFmtId="0" fontId="20" fillId="0" borderId="0" xfId="0" applyFont="1"/>
    <xf numFmtId="0" fontId="0" fillId="0" borderId="0" xfId="0" applyFont="1"/>
    <xf numFmtId="0" fontId="17" fillId="6" borderId="0" xfId="0" applyFont="1" applyFill="1"/>
    <xf numFmtId="0" fontId="17" fillId="0" borderId="0" xfId="0" applyFont="1" applyFill="1" applyAlignment="1"/>
    <xf numFmtId="0" fontId="0" fillId="0" borderId="0" xfId="0" applyFont="1" applyFill="1"/>
    <xf numFmtId="0" fontId="17" fillId="0" borderId="0" xfId="0" applyFont="1" applyFill="1" applyBorder="1"/>
    <xf numFmtId="0" fontId="17" fillId="0" borderId="0" xfId="0" applyFont="1" applyBorder="1"/>
    <xf numFmtId="0" fontId="18" fillId="0" borderId="0" xfId="0" applyFont="1" applyFill="1" applyBorder="1"/>
    <xf numFmtId="0" fontId="18" fillId="0" borderId="0" xfId="0" applyFont="1" applyBorder="1"/>
    <xf numFmtId="0" fontId="20" fillId="0" borderId="0" xfId="0" applyFont="1" applyBorder="1"/>
    <xf numFmtId="0" fontId="0" fillId="2" borderId="0" xfId="0" applyFont="1" applyFill="1"/>
    <xf numFmtId="0" fontId="20" fillId="0" borderId="0" xfId="0" applyFont="1" applyFill="1" applyBorder="1"/>
    <xf numFmtId="0" fontId="20" fillId="0" borderId="0" xfId="0" applyFont="1" applyFill="1"/>
    <xf numFmtId="0" fontId="19" fillId="0" borderId="0" xfId="0" applyFont="1" applyFill="1" applyBorder="1"/>
    <xf numFmtId="0" fontId="20" fillId="2" borderId="0" xfId="0" applyFont="1" applyFill="1"/>
    <xf numFmtId="49" fontId="0" fillId="0" borderId="0" xfId="0" applyNumberFormat="1" applyFont="1" applyFill="1"/>
    <xf numFmtId="0" fontId="17" fillId="0" borderId="0" xfId="0" applyFont="1"/>
    <xf numFmtId="0" fontId="18" fillId="0" borderId="0" xfId="0" applyFont="1"/>
    <xf numFmtId="0" fontId="18" fillId="5" borderId="0" xfId="0" applyFont="1" applyFill="1"/>
    <xf numFmtId="0" fontId="18" fillId="6" borderId="0" xfId="0" applyFont="1" applyFill="1"/>
    <xf numFmtId="0" fontId="17" fillId="5" borderId="0" xfId="0" applyFont="1" applyFill="1"/>
    <xf numFmtId="0" fontId="18" fillId="7" borderId="0" xfId="0" applyFont="1" applyFill="1"/>
    <xf numFmtId="0" fontId="17" fillId="7" borderId="0" xfId="0" applyFont="1" applyFill="1"/>
    <xf numFmtId="0" fontId="18" fillId="8" borderId="0" xfId="0" applyFont="1" applyFill="1"/>
    <xf numFmtId="0" fontId="21" fillId="0" borderId="0" xfId="0" applyFont="1" applyFill="1"/>
    <xf numFmtId="0" fontId="22" fillId="0" borderId="0" xfId="0" applyFont="1" applyFill="1"/>
    <xf numFmtId="0" fontId="23" fillId="0" borderId="0" xfId="0" applyFont="1" applyFill="1" applyAlignment="1">
      <alignment vertical="top"/>
    </xf>
    <xf numFmtId="0" fontId="24" fillId="0" borderId="0" xfId="0" applyFont="1" applyFill="1"/>
    <xf numFmtId="0" fontId="0" fillId="0" borderId="0" xfId="0" applyFont="1" applyAlignment="1">
      <alignment wrapText="1"/>
    </xf>
    <xf numFmtId="0" fontId="0" fillId="0" borderId="0" xfId="0" applyFont="1" applyFill="1" applyBorder="1"/>
    <xf numFmtId="0" fontId="17" fillId="2" borderId="0" xfId="0" applyFont="1" applyFill="1"/>
    <xf numFmtId="0" fontId="25" fillId="0" borderId="0" xfId="0" applyFont="1" applyFill="1" applyBorder="1"/>
  </cellXfs>
  <cellStyles count="1">
    <cellStyle name="Normal" xfId="0" builtinId="0" customBuiltin="1"/>
  </cellStyles>
  <dxfs count="83">
    <dxf>
      <fill>
        <patternFill>
          <bgColor theme="0" tint="-0.34998626667073579"/>
        </patternFill>
      </fill>
    </dxf>
    <dxf>
      <fill>
        <patternFill>
          <bgColor theme="0" tint="-0.34998626667073579"/>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mathewthomson/Desktop/v2%20ODM%20dictionary.xlsx" TargetMode="External"/><Relationship Id="rId1" Type="http://schemas.openxmlformats.org/officeDocument/2006/relationships/externalLinkPath" Target="/Users/mathewthomson/Desktop/v2%20ODM%20dictionar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ilesV2"/>
      <sheetName val="NWSS Mapping - Rough Work"/>
      <sheetName val="files"/>
      <sheetName val="parts"/>
      <sheetName val="sets"/>
      <sheetName val="wideNames"/>
      <sheetName val="wideName-Dropdowns"/>
      <sheetName val="languages"/>
      <sheetName val="translations"/>
      <sheetName val="countries"/>
      <sheetName val="zones"/>
      <sheetName val="airportLists"/>
      <sheetName val="airportTemplate"/>
      <sheetName val="hpaivLists"/>
      <sheetName val="hpaivH5N1Template"/>
      <sheetName val="lists"/>
      <sheetName val="Checks-rough work"/>
      <sheetName val="measures"/>
      <sheetName val="measureSets"/>
      <sheetName val="samples"/>
      <sheetName val="sampleRelationships"/>
      <sheetName val="qualityReports"/>
      <sheetName val="protocols"/>
      <sheetName val="protocolRelationships"/>
      <sheetName val="protocolSteps"/>
      <sheetName val="contacts"/>
      <sheetName val="sites"/>
      <sheetName val="addresses"/>
      <sheetName val="polygons"/>
      <sheetName val="datasets"/>
      <sheetName val="organizations"/>
      <sheetName val="instruments"/>
      <sheetName val="release-files"/>
      <sheetName val="PHA4GE-rough"/>
      <sheetName val="Sample template - Martin"/>
      <sheetName val="Site template - Martin"/>
      <sheetName val="Method template - Martin"/>
    </sheetNames>
    <sheetDataSet>
      <sheetData sheetId="0" refreshError="1"/>
      <sheetData sheetId="1" refreshError="1"/>
      <sheetData sheetId="2" refreshError="1"/>
      <sheetData sheetId="3" refreshError="1"/>
      <sheetData sheetId="4">
        <row r="1">
          <cell r="A1" t="str">
            <v>partID</v>
          </cell>
          <cell r="B1" t="str">
            <v>partLabel</v>
          </cell>
        </row>
        <row r="2">
          <cell r="A2" t="str">
            <v>a1306s</v>
          </cell>
          <cell r="B2" t="str">
            <v>a1306s delta-variant gene target</v>
          </cell>
        </row>
        <row r="3">
          <cell r="A3" t="str">
            <v>a1918v</v>
          </cell>
          <cell r="B3" t="str">
            <v>a1918v delta-variant gene target</v>
          </cell>
        </row>
        <row r="4">
          <cell r="A4" t="str">
            <v>a2710t</v>
          </cell>
          <cell r="B4" t="str">
            <v>a2710t omicron-variant gene target</v>
          </cell>
        </row>
        <row r="5">
          <cell r="A5" t="str">
            <v>a63t</v>
          </cell>
          <cell r="B5" t="str">
            <v>a63t omicron-variant gene target</v>
          </cell>
        </row>
        <row r="6">
          <cell r="A6" t="str">
            <v>a67v</v>
          </cell>
          <cell r="B6" t="str">
            <v>a67v omicron-variant gene target</v>
          </cell>
        </row>
        <row r="7">
          <cell r="A7" t="str">
            <v>a67vDel69Del70</v>
          </cell>
          <cell r="B7" t="str">
            <v>Omicron Variant a67v del69 and del70 mutations</v>
          </cell>
        </row>
        <row r="8">
          <cell r="A8" t="str">
            <v>aas</v>
          </cell>
          <cell r="B8" t="str">
            <v>Atline Analyzer</v>
          </cell>
        </row>
        <row r="9">
          <cell r="A9" t="str">
            <v>absHum</v>
          </cell>
          <cell r="B9" t="str">
            <v>Absolute humidity</v>
          </cell>
        </row>
        <row r="10">
          <cell r="A10" t="str">
            <v>absHumidUnitSet</v>
          </cell>
          <cell r="B10" t="str">
            <v>Absolute humidity unit set</v>
          </cell>
        </row>
        <row r="11">
          <cell r="A11" t="str">
            <v>academ</v>
          </cell>
          <cell r="B11" t="str">
            <v>Academic institution</v>
          </cell>
        </row>
        <row r="12">
          <cell r="A12" t="str">
            <v>acinetobacter</v>
          </cell>
          <cell r="B12" t="str">
            <v>Acinetobacter</v>
          </cell>
        </row>
        <row r="13">
          <cell r="A13" t="str">
            <v>acinetobacterGrp</v>
          </cell>
          <cell r="B13" t="str">
            <v>Acinetobacter Group</v>
          </cell>
        </row>
        <row r="14">
          <cell r="A14" t="str">
            <v>acti</v>
          </cell>
          <cell r="B14" t="str">
            <v>Number of active cases</v>
          </cell>
        </row>
        <row r="15">
          <cell r="A15" t="str">
            <v>actiEp</v>
          </cell>
          <cell r="B15" t="str">
            <v>Number of active cases by episode date</v>
          </cell>
        </row>
        <row r="16">
          <cell r="A16" t="str">
            <v>actiOn</v>
          </cell>
          <cell r="B16" t="str">
            <v>Number of active cases by Onset date</v>
          </cell>
        </row>
        <row r="17">
          <cell r="A17" t="str">
            <v>actiRep</v>
          </cell>
          <cell r="B17" t="str">
            <v>Number of active cases by Report date</v>
          </cell>
        </row>
        <row r="18">
          <cell r="A18" t="str">
            <v>actiTest</v>
          </cell>
          <cell r="B18" t="str">
            <v>Number of active cases by test date</v>
          </cell>
        </row>
        <row r="19">
          <cell r="A19" t="str">
            <v>active</v>
          </cell>
          <cell r="B19" t="str">
            <v>Active</v>
          </cell>
        </row>
        <row r="20">
          <cell r="A20" t="str">
            <v>ad</v>
          </cell>
          <cell r="B20" t="str">
            <v>Address table Shorthand</v>
          </cell>
        </row>
        <row r="21">
          <cell r="A21" t="str">
            <v>aDate</v>
          </cell>
          <cell r="B21" t="str">
            <v>Analysis date</v>
          </cell>
        </row>
        <row r="22">
          <cell r="A22" t="str">
            <v>aDateEnd</v>
          </cell>
          <cell r="B22" t="str">
            <v>Analysis date end</v>
          </cell>
        </row>
        <row r="23">
          <cell r="A23" t="str">
            <v>aDateStart</v>
          </cell>
          <cell r="B23" t="str">
            <v>Analysis date start</v>
          </cell>
        </row>
        <row r="24">
          <cell r="A24" t="str">
            <v>addL1</v>
          </cell>
          <cell r="B24" t="str">
            <v>Address Line 1</v>
          </cell>
        </row>
        <row r="25">
          <cell r="A25" t="str">
            <v>addL2</v>
          </cell>
          <cell r="B25" t="str">
            <v>Address Line 2</v>
          </cell>
        </row>
        <row r="26">
          <cell r="A26" t="str">
            <v>addresses</v>
          </cell>
          <cell r="B26" t="str">
            <v>Address table</v>
          </cell>
        </row>
        <row r="27">
          <cell r="A27" t="str">
            <v>addressesOrder</v>
          </cell>
          <cell r="B27" t="str">
            <v>Addresses table column order</v>
          </cell>
        </row>
        <row r="28">
          <cell r="A28" t="str">
            <v>addressesRequired</v>
          </cell>
          <cell r="B28" t="str">
            <v>Address table required headers</v>
          </cell>
        </row>
        <row r="29">
          <cell r="A29" t="str">
            <v>addressID</v>
          </cell>
          <cell r="B29" t="str">
            <v>Address ID</v>
          </cell>
        </row>
        <row r="30">
          <cell r="A30" t="str">
            <v>adenovirusF40</v>
          </cell>
          <cell r="B30" t="str">
            <v>Adenovirus (F40/41)</v>
          </cell>
        </row>
        <row r="31">
          <cell r="A31" t="str">
            <v>adenovirusGrp</v>
          </cell>
          <cell r="B31" t="str">
            <v>Adenovirus Group</v>
          </cell>
        </row>
        <row r="32">
          <cell r="A32" t="str">
            <v>admRegLevel</v>
          </cell>
          <cell r="B32" t="str">
            <v>Administrative regions</v>
          </cell>
        </row>
        <row r="33">
          <cell r="A33" t="str">
            <v>adv40</v>
          </cell>
          <cell r="B33" t="str">
            <v>Adenovirus 40</v>
          </cell>
        </row>
        <row r="34">
          <cell r="A34" t="str">
            <v>adv41</v>
          </cell>
          <cell r="B34" t="str">
            <v>Adenovirus 41</v>
          </cell>
        </row>
        <row r="35">
          <cell r="A35" t="str">
            <v>advF41Fibre</v>
          </cell>
          <cell r="B35" t="str">
            <v>Adenovirus F41 Fibre Gene Target</v>
          </cell>
        </row>
        <row r="36">
          <cell r="A36" t="str">
            <v>afl30</v>
          </cell>
          <cell r="B36" t="str">
            <v>Academic Free License v3.0</v>
          </cell>
        </row>
        <row r="37">
          <cell r="A37" t="str">
            <v>afu</v>
          </cell>
          <cell r="B37" t="str">
            <v>Air filter</v>
          </cell>
        </row>
        <row r="38">
          <cell r="A38" t="str">
            <v>aggragationScale</v>
          </cell>
          <cell r="B38" t="str">
            <v>Aggregation scale</v>
          </cell>
        </row>
        <row r="39">
          <cell r="A39" t="str">
            <v>aggregation</v>
          </cell>
          <cell r="B39" t="str">
            <v>Aggregation</v>
          </cell>
        </row>
        <row r="40">
          <cell r="A40" t="str">
            <v>aggregationInput</v>
          </cell>
          <cell r="B40" t="str">
            <v>Aggregation input (wide table)</v>
          </cell>
        </row>
        <row r="41">
          <cell r="A41" t="str">
            <v>aggregationName</v>
          </cell>
          <cell r="B41" t="str">
            <v>Aggregation name (wide table)</v>
          </cell>
        </row>
        <row r="42">
          <cell r="A42" t="str">
            <v>aggregations</v>
          </cell>
          <cell r="B42" t="str">
            <v>Aggregations</v>
          </cell>
        </row>
        <row r="43">
          <cell r="A43" t="str">
            <v>aggregationScales</v>
          </cell>
          <cell r="B43" t="str">
            <v>Aggregation scales</v>
          </cell>
        </row>
        <row r="44">
          <cell r="A44" t="str">
            <v>aggregationSet</v>
          </cell>
          <cell r="B44" t="str">
            <v>Aggregation set</v>
          </cell>
        </row>
        <row r="45">
          <cell r="A45" t="str">
            <v>aggregationSets</v>
          </cell>
          <cell r="B45" t="str">
            <v>Aggregation sets</v>
          </cell>
        </row>
        <row r="46">
          <cell r="A46" t="str">
            <v>agpl30</v>
          </cell>
          <cell r="B46" t="str">
            <v>GNU Affero General Public License v3.0</v>
          </cell>
        </row>
        <row r="47">
          <cell r="A47" t="str">
            <v>air</v>
          </cell>
          <cell r="B47" t="str">
            <v>Air compartment</v>
          </cell>
        </row>
        <row r="48">
          <cell r="A48" t="str">
            <v>airCompartmentSet</v>
          </cell>
          <cell r="B48" t="str">
            <v>Air compartment set</v>
          </cell>
        </row>
        <row r="49">
          <cell r="A49" t="str">
            <v>airpln</v>
          </cell>
          <cell r="B49" t="str">
            <v>Airplane</v>
          </cell>
        </row>
        <row r="50">
          <cell r="A50" t="str">
            <v>airport</v>
          </cell>
          <cell r="B50" t="str">
            <v>Airport</v>
          </cell>
        </row>
        <row r="51">
          <cell r="A51" t="str">
            <v>airportLists</v>
          </cell>
          <cell r="B51" t="str">
            <v>Airport lists worksheet</v>
          </cell>
        </row>
        <row r="52">
          <cell r="A52" t="str">
            <v>airportSheetSet</v>
          </cell>
          <cell r="B52" t="str">
            <v>Airport Sheets Set</v>
          </cell>
        </row>
        <row r="53">
          <cell r="A53" t="str">
            <v>airportTemplate</v>
          </cell>
          <cell r="B53" t="str">
            <v>Airport Surveillance Template</v>
          </cell>
        </row>
        <row r="54">
          <cell r="A54" t="str">
            <v>airSurfaceCompartmentSet</v>
          </cell>
          <cell r="B54" t="str">
            <v>Air and surface compartment set</v>
          </cell>
        </row>
        <row r="55">
          <cell r="A55" t="str">
            <v>airTemp</v>
          </cell>
          <cell r="B55" t="str">
            <v>Environmental temperature</v>
          </cell>
        </row>
        <row r="56">
          <cell r="A56" t="str">
            <v>airWaterCompartmentSet</v>
          </cell>
          <cell r="B56" t="str">
            <v>Air and water compartment set</v>
          </cell>
        </row>
        <row r="57">
          <cell r="A57" t="str">
            <v>aliasDep</v>
          </cell>
          <cell r="B57" t="str">
            <v>Alias depreciated</v>
          </cell>
        </row>
        <row r="58">
          <cell r="A58" t="str">
            <v>aliasIDDep</v>
          </cell>
          <cell r="B58" t="str">
            <v>Alias ID depreciated</v>
          </cell>
        </row>
        <row r="59">
          <cell r="A59" t="str">
            <v>alkaline</v>
          </cell>
          <cell r="B59" t="str">
            <v>Alkalinity</v>
          </cell>
        </row>
        <row r="60">
          <cell r="A60" t="str">
            <v>allDo</v>
          </cell>
          <cell r="B60" t="str">
            <v>All domains</v>
          </cell>
        </row>
        <row r="61">
          <cell r="A61" t="str">
            <v>allele</v>
          </cell>
          <cell r="B61" t="str">
            <v>Alleles class</v>
          </cell>
        </row>
        <row r="62">
          <cell r="A62" t="str">
            <v>alleleUnitSet</v>
          </cell>
          <cell r="B62" t="str">
            <v>Allele unit set</v>
          </cell>
        </row>
        <row r="63">
          <cell r="A63" t="str">
            <v>allOrgs</v>
          </cell>
          <cell r="B63" t="str">
            <v>Access to all org</v>
          </cell>
        </row>
        <row r="64">
          <cell r="A64" t="str">
            <v>alod</v>
          </cell>
          <cell r="B64" t="str">
            <v>Assay Limit of Detection (LOD)</v>
          </cell>
        </row>
        <row r="65">
          <cell r="A65" t="str">
            <v>aloh3</v>
          </cell>
          <cell r="B65" t="str">
            <v>Aloh3 precipitation</v>
          </cell>
        </row>
        <row r="66">
          <cell r="A66" t="str">
            <v>ambigNs</v>
          </cell>
          <cell r="B66" t="str">
            <v>The number of ambiguous bases (Ns) normalized</v>
          </cell>
        </row>
        <row r="67">
          <cell r="A67" t="str">
            <v>amDefDep</v>
          </cell>
          <cell r="B67" t="str">
            <v>Assay method id default depreciated</v>
          </cell>
        </row>
        <row r="68">
          <cell r="A68" t="str">
            <v>amiconUf</v>
          </cell>
          <cell r="B68" t="str">
            <v>Amicon ultrafiltration</v>
          </cell>
        </row>
        <row r="69">
          <cell r="A69" t="str">
            <v>amiMP96</v>
          </cell>
          <cell r="B69" t="str">
            <v>Amicon filter, extract with MP96</v>
          </cell>
        </row>
        <row r="70">
          <cell r="A70" t="str">
            <v>amp</v>
          </cell>
          <cell r="B70" t="str">
            <v>Amplicon sequencing</v>
          </cell>
        </row>
        <row r="71">
          <cell r="A71" t="str">
            <v>ampliArtifact</v>
          </cell>
          <cell r="B71" t="str">
            <v>Sequence Amplification Artifacts</v>
          </cell>
        </row>
        <row r="72">
          <cell r="A72" t="str">
            <v>amrGrp</v>
          </cell>
          <cell r="B72" t="str">
            <v>Anti-microbial resistance Group</v>
          </cell>
        </row>
        <row r="73">
          <cell r="A73" t="str">
            <v>anaplasmaGrp</v>
          </cell>
          <cell r="B73" t="str">
            <v>Anaplasma Group</v>
          </cell>
        </row>
        <row r="74">
          <cell r="A74" t="str">
            <v>andBoo</v>
          </cell>
          <cell r="B74" t="str">
            <v>AND Boolean aggregation</v>
          </cell>
        </row>
        <row r="75">
          <cell r="A75" t="str">
            <v>anneal</v>
          </cell>
          <cell r="B75" t="str">
            <v>annealing/extension</v>
          </cell>
        </row>
        <row r="76">
          <cell r="A76" t="str">
            <v>anyCompartmentSet</v>
          </cell>
          <cell r="B76" t="str">
            <v>Any compartment set</v>
          </cell>
        </row>
        <row r="77">
          <cell r="A77" t="str">
            <v>anySpecimenSet</v>
          </cell>
          <cell r="B77" t="str">
            <v>Any specimen set</v>
          </cell>
        </row>
        <row r="78">
          <cell r="A78" t="str">
            <v>apache20</v>
          </cell>
          <cell r="B78" t="str">
            <v>Apache license 2.0</v>
          </cell>
        </row>
        <row r="79">
          <cell r="A79" t="str">
            <v>aPhagocytophilum</v>
          </cell>
          <cell r="B79" t="str">
            <v>Anaplasma phagocytophilum</v>
          </cell>
        </row>
        <row r="80">
          <cell r="A80" t="str">
            <v>areaPr</v>
          </cell>
          <cell r="B80" t="str">
            <v>Area proportional sample</v>
          </cell>
        </row>
        <row r="81">
          <cell r="A81" t="str">
            <v>arTemp</v>
          </cell>
          <cell r="B81" t="str">
            <v>Arrival temperature</v>
          </cell>
        </row>
        <row r="82">
          <cell r="A82" t="str">
            <v>articV1</v>
          </cell>
          <cell r="B82" t="str">
            <v>Artic V1 Primer Set</v>
          </cell>
        </row>
        <row r="83">
          <cell r="A83" t="str">
            <v>articV2</v>
          </cell>
          <cell r="B83" t="str">
            <v>Artic V2 Primer Set</v>
          </cell>
        </row>
        <row r="84">
          <cell r="A84" t="str">
            <v>articV3</v>
          </cell>
          <cell r="B84" t="str">
            <v>Use of the articV3 primer</v>
          </cell>
        </row>
        <row r="85">
          <cell r="A85" t="str">
            <v>articV4</v>
          </cell>
          <cell r="B85" t="str">
            <v>Use of the articV4 primer</v>
          </cell>
        </row>
        <row r="86">
          <cell r="A86" t="str">
            <v>articV41</v>
          </cell>
          <cell r="B86" t="str">
            <v>Artic V4.1 Primer Set</v>
          </cell>
        </row>
        <row r="87">
          <cell r="A87" t="str">
            <v>articV500</v>
          </cell>
          <cell r="B87" t="str">
            <v>Artic V5 Primer Set</v>
          </cell>
        </row>
        <row r="88">
          <cell r="A88" t="str">
            <v>articV510</v>
          </cell>
          <cell r="B88" t="str">
            <v>Artic V5.1 Primer Set</v>
          </cell>
        </row>
        <row r="89">
          <cell r="A89" t="str">
            <v>articV520bp1200</v>
          </cell>
          <cell r="B89" t="str">
            <v>Artic V5.2 Primer Set, 1200bp</v>
          </cell>
        </row>
        <row r="90">
          <cell r="A90" t="str">
            <v>articV520bp400</v>
          </cell>
          <cell r="B90" t="str">
            <v>Artic V5.2 Primer Set, 400bp</v>
          </cell>
        </row>
        <row r="91">
          <cell r="A91" t="str">
            <v>articV532</v>
          </cell>
          <cell r="B91" t="str">
            <v>Artic V5.3.2 Primer Set</v>
          </cell>
        </row>
        <row r="92">
          <cell r="A92" t="str">
            <v>artistic20</v>
          </cell>
          <cell r="B92" t="str">
            <v>Artistic license 2.0</v>
          </cell>
        </row>
        <row r="93">
          <cell r="A93" t="str">
            <v>asID</v>
          </cell>
          <cell r="B93" t="str">
            <v>Assay ID</v>
          </cell>
        </row>
        <row r="94">
          <cell r="A94" t="str">
            <v>astrovirus</v>
          </cell>
          <cell r="B94" t="str">
            <v>Astrovirus</v>
          </cell>
        </row>
        <row r="95">
          <cell r="A95" t="str">
            <v>astrovirusGrp</v>
          </cell>
          <cell r="B95" t="str">
            <v>Astrovirus Group</v>
          </cell>
        </row>
        <row r="96">
          <cell r="A96" t="str">
            <v>attributeInput</v>
          </cell>
          <cell r="B96" t="str">
            <v>Attribute input (wide table)</v>
          </cell>
        </row>
        <row r="97">
          <cell r="A97" t="str">
            <v>attributeName</v>
          </cell>
          <cell r="B97" t="str">
            <v>Attribute name (wide table)</v>
          </cell>
        </row>
        <row r="98">
          <cell r="A98" t="str">
            <v>attributes</v>
          </cell>
          <cell r="B98" t="str">
            <v>Attributes</v>
          </cell>
        </row>
        <row r="99">
          <cell r="A99" t="str">
            <v>b6r</v>
          </cell>
          <cell r="B99" t="str">
            <v>Mpox B6R Gene Target</v>
          </cell>
        </row>
        <row r="100">
          <cell r="A100" t="str">
            <v>babesia</v>
          </cell>
          <cell r="B100" t="str">
            <v>Babesia</v>
          </cell>
        </row>
        <row r="101">
          <cell r="A101" t="str">
            <v>babesiaGrp</v>
          </cell>
          <cell r="B101" t="str">
            <v>Babesia or Nuttallia Group</v>
          </cell>
        </row>
        <row r="102">
          <cell r="A102" t="str">
            <v>bact16sABIFor</v>
          </cell>
          <cell r="B102" t="str">
            <v>Bacteroides 16S forward primer (HF183) (ABI)</v>
          </cell>
        </row>
        <row r="103">
          <cell r="A103" t="str">
            <v>bact16sABIProbe</v>
          </cell>
          <cell r="B103" t="str">
            <v>Bacteroides 16S probe (BacP234) (ABI)</v>
          </cell>
        </row>
        <row r="104">
          <cell r="A104" t="str">
            <v>bact16sABIRev</v>
          </cell>
          <cell r="B104" t="str">
            <v>Bacteroides 16S reverse primer (BacR287) (ABI)</v>
          </cell>
        </row>
        <row r="105">
          <cell r="A105" t="str">
            <v>bacteria</v>
          </cell>
          <cell r="B105" t="str">
            <v>Bacteria Class</v>
          </cell>
        </row>
        <row r="106">
          <cell r="A106" t="str">
            <v>bacteriaUnitSet</v>
          </cell>
          <cell r="B106" t="str">
            <v>Bacteria unit set</v>
          </cell>
        </row>
        <row r="107">
          <cell r="A107" t="str">
            <v>bacteroidesGrp</v>
          </cell>
          <cell r="B107" t="str">
            <v>Bacteroides Group</v>
          </cell>
        </row>
        <row r="108">
          <cell r="A108" t="str">
            <v>bactMisc</v>
          </cell>
          <cell r="B108" t="str">
            <v>Miscellaneous bacteria group</v>
          </cell>
        </row>
        <row r="109">
          <cell r="A109" t="str">
            <v>bbMP96</v>
          </cell>
          <cell r="B109" t="str">
            <v>Bead beating, extract with MP96</v>
          </cell>
        </row>
        <row r="110">
          <cell r="A110" t="str">
            <v>bBurgdorferi</v>
          </cell>
          <cell r="B110" t="str">
            <v>Borrelia burgdorferi</v>
          </cell>
        </row>
        <row r="111">
          <cell r="A111" t="str">
            <v>bcov</v>
          </cell>
          <cell r="B111" t="str">
            <v>bcov</v>
          </cell>
        </row>
        <row r="112">
          <cell r="A112" t="str">
            <v>bcovCul</v>
          </cell>
          <cell r="B112" t="str">
            <v>bcov culture spike target</v>
          </cell>
        </row>
        <row r="113">
          <cell r="A113" t="str">
            <v>bcovGen</v>
          </cell>
          <cell r="B113" t="str">
            <v>bcov spike target (unspecified)</v>
          </cell>
        </row>
        <row r="114">
          <cell r="A114" t="str">
            <v>bcovVac</v>
          </cell>
          <cell r="B114" t="str">
            <v>bcov vaccine spike target</v>
          </cell>
        </row>
        <row r="115">
          <cell r="A115" t="str">
            <v>beeExtractFloc</v>
          </cell>
          <cell r="B115" t="str">
            <v>Beef extract flocculation</v>
          </cell>
        </row>
        <row r="116">
          <cell r="A116" t="str">
            <v>before</v>
          </cell>
          <cell r="B116" t="str">
            <v xml:space="preserve">Is Before </v>
          </cell>
        </row>
        <row r="117">
          <cell r="A117" t="str">
            <v>beLOD</v>
          </cell>
          <cell r="B117" t="str">
            <v>Below LOD</v>
          </cell>
        </row>
        <row r="118">
          <cell r="A118" t="str">
            <v>beta</v>
          </cell>
          <cell r="B118" t="str">
            <v>Beta</v>
          </cell>
        </row>
        <row r="119">
          <cell r="A119" t="str">
            <v>betaCoronaGrp</v>
          </cell>
          <cell r="B119" t="str">
            <v>Beta Coronavirus Group</v>
          </cell>
        </row>
        <row r="120">
          <cell r="A120" t="str">
            <v>bio</v>
          </cell>
          <cell r="B120" t="str">
            <v>Biologic</v>
          </cell>
        </row>
        <row r="121">
          <cell r="A121" t="str">
            <v>bioRadDdpcr</v>
          </cell>
          <cell r="B121" t="str">
            <v>Digital droplet emulsification PCR</v>
          </cell>
        </row>
        <row r="122">
          <cell r="A122" t="str">
            <v>bLacAMRGrp</v>
          </cell>
          <cell r="B122" t="str">
            <v>Beta-Lactamase Anti-microbial resistance Group</v>
          </cell>
        </row>
        <row r="123">
          <cell r="A123" t="str">
            <v>blaCMY</v>
          </cell>
          <cell r="B123" t="str">
            <v>Cephamycin Beta-Lactamase-Resistance gene target</v>
          </cell>
        </row>
        <row r="124">
          <cell r="A124" t="str">
            <v>blaCTXM1</v>
          </cell>
          <cell r="B124" t="str">
            <v>CTX-M Beta-Lactamase-Resistance gene target</v>
          </cell>
        </row>
        <row r="125">
          <cell r="A125" t="str">
            <v>blaIMP</v>
          </cell>
          <cell r="B125" t="str">
            <v>Impenemase (IMP) Beta-Lactamase-Resistance gene target</v>
          </cell>
        </row>
        <row r="126">
          <cell r="A126" t="str">
            <v>blaKPC</v>
          </cell>
          <cell r="B126" t="str">
            <v>Klebsiella pneumoniae Carbapenam (KPC) Beta-Lactamase-Resistance gene target</v>
          </cell>
        </row>
        <row r="127">
          <cell r="A127" t="str">
            <v>blaNDM</v>
          </cell>
          <cell r="B127" t="str">
            <v>New-Delhi Metallo- (NDM) Beta-Lactamase-Resistance gene target</v>
          </cell>
        </row>
        <row r="128">
          <cell r="A128" t="str">
            <v>blaOXA48</v>
          </cell>
          <cell r="B128" t="str">
            <v>OXA-type Beta-Lactamase-Resistance gene target</v>
          </cell>
        </row>
        <row r="129">
          <cell r="A129" t="str">
            <v>blaSHV</v>
          </cell>
          <cell r="B129" t="str">
            <v>SHV Beta-Lactamase-Resistance gene target</v>
          </cell>
        </row>
        <row r="130">
          <cell r="A130" t="str">
            <v>blaTEM</v>
          </cell>
          <cell r="B130" t="str">
            <v>TEM Beta-Lactamase-Resistance gene target</v>
          </cell>
        </row>
        <row r="131">
          <cell r="A131" t="str">
            <v>blaVIM</v>
          </cell>
          <cell r="B131" t="str">
            <v>Verone Integron-Encoded Metallo- (VIM) Beta-Lactamase-Resistance-resistance gene target</v>
          </cell>
        </row>
        <row r="132">
          <cell r="A132" t="str">
            <v>blob</v>
          </cell>
          <cell r="B132" t="str">
            <v>Binary Large Object (BLOB) data type</v>
          </cell>
        </row>
        <row r="133">
          <cell r="A133" t="str">
            <v>boc</v>
          </cell>
          <cell r="B133" t="str">
            <v>Breadth of coverage (&gt;=5x depth)</v>
          </cell>
        </row>
        <row r="134">
          <cell r="A134" t="str">
            <v>bod5c</v>
          </cell>
          <cell r="B134" t="str">
            <v>5-Day carbonaceous biochemical oxygen demand</v>
          </cell>
        </row>
        <row r="135">
          <cell r="A135" t="str">
            <v>bod5t</v>
          </cell>
          <cell r="B135" t="str">
            <v>5-day total biochemical oxygen demand</v>
          </cell>
        </row>
        <row r="136">
          <cell r="A136" t="str">
            <v>boolean</v>
          </cell>
          <cell r="B136" t="str">
            <v>Boolean data type</v>
          </cell>
        </row>
        <row r="137">
          <cell r="A137" t="str">
            <v>booleanAggrSet</v>
          </cell>
          <cell r="B137" t="str">
            <v>Boolean aggregation set</v>
          </cell>
        </row>
        <row r="138">
          <cell r="A138" t="str">
            <v>booleanSet</v>
          </cell>
          <cell r="B138" t="str">
            <v>Boolean value set</v>
          </cell>
        </row>
        <row r="139">
          <cell r="A139" t="str">
            <v>borreliaGrp</v>
          </cell>
          <cell r="B139" t="str">
            <v>Borrelia burgdorferi or Lyme Disease Group</v>
          </cell>
        </row>
        <row r="140">
          <cell r="A140" t="str">
            <v>bps</v>
          </cell>
          <cell r="B140" t="str">
            <v>Base-pairs</v>
          </cell>
        </row>
        <row r="141">
          <cell r="A141" t="str">
            <v>brsv</v>
          </cell>
          <cell r="B141" t="str">
            <v>Bovine respiratory syncytial virus group</v>
          </cell>
        </row>
        <row r="142">
          <cell r="A142" t="str">
            <v>brsvCul</v>
          </cell>
          <cell r="B142" t="str">
            <v>brsv culture spike target</v>
          </cell>
        </row>
        <row r="143">
          <cell r="A143" t="str">
            <v>brsvN</v>
          </cell>
          <cell r="B143" t="str">
            <v>BRSV-N</v>
          </cell>
        </row>
        <row r="144">
          <cell r="A144" t="str">
            <v>brsvVac</v>
          </cell>
          <cell r="B144" t="str">
            <v>brsv vaccine spike target</v>
          </cell>
        </row>
        <row r="145">
          <cell r="A145" t="str">
            <v>brucella</v>
          </cell>
          <cell r="B145" t="str">
            <v>Brucella</v>
          </cell>
        </row>
        <row r="146">
          <cell r="A146" t="str">
            <v>brucellaGrp</v>
          </cell>
          <cell r="B146" t="str">
            <v>Brucella Group</v>
          </cell>
        </row>
        <row r="147">
          <cell r="A147" t="str">
            <v>bsd0</v>
          </cell>
          <cell r="B147" t="str">
            <v>BSD Zero-Clause license</v>
          </cell>
        </row>
        <row r="148">
          <cell r="A148" t="str">
            <v>bsd2Clause</v>
          </cell>
          <cell r="B148" t="str">
            <v>BSD 2-clause "Simplified" license</v>
          </cell>
        </row>
        <row r="149">
          <cell r="A149" t="str">
            <v>bsd3Clause</v>
          </cell>
          <cell r="B149" t="str">
            <v>BSD 3-clause "New" or "Revised" license</v>
          </cell>
        </row>
        <row r="150">
          <cell r="A150" t="str">
            <v>bsd3ClauseClear</v>
          </cell>
          <cell r="B150" t="str">
            <v>BSD 3-clause Clear license</v>
          </cell>
        </row>
        <row r="151">
          <cell r="A151" t="str">
            <v>bsd4Clause</v>
          </cell>
          <cell r="B151" t="str">
            <v>BSD 4-clause "Original" or "Old" license</v>
          </cell>
        </row>
        <row r="152">
          <cell r="A152" t="str">
            <v>bsl10</v>
          </cell>
          <cell r="B152" t="str">
            <v>Boost Software License 1.0</v>
          </cell>
        </row>
        <row r="153">
          <cell r="A153" t="str">
            <v>bSwrPpl</v>
          </cell>
          <cell r="B153" t="str">
            <v>Branch sewer pipleline</v>
          </cell>
        </row>
        <row r="154">
          <cell r="A154" t="str">
            <v>buildCO</v>
          </cell>
          <cell r="B154" t="str">
            <v>Building cleanout</v>
          </cell>
        </row>
        <row r="155">
          <cell r="A155" t="str">
            <v>c3l</v>
          </cell>
          <cell r="B155" t="str">
            <v>Clade I Mpox C3L Gene Target</v>
          </cell>
        </row>
        <row r="156">
          <cell r="A156" t="str">
            <v>caff</v>
          </cell>
          <cell r="B156" t="str">
            <v>Caffeine</v>
          </cell>
        </row>
        <row r="157">
          <cell r="A157" t="str">
            <v xml:space="preserve">Calprotectin </v>
          </cell>
          <cell r="B157" t="str">
            <v xml:space="preserve">Calprotectin </v>
          </cell>
        </row>
        <row r="158">
          <cell r="A158" t="str">
            <v>camp</v>
          </cell>
          <cell r="B158" t="str">
            <v>Campylobacter</v>
          </cell>
        </row>
        <row r="159">
          <cell r="A159" t="str">
            <v>campGrp</v>
          </cell>
          <cell r="B159" t="str">
            <v>Campylobacter Group</v>
          </cell>
        </row>
        <row r="160">
          <cell r="A160" t="str">
            <v>capacity</v>
          </cell>
          <cell r="B160" t="str">
            <v>Capacity class</v>
          </cell>
        </row>
        <row r="161">
          <cell r="A161" t="str">
            <v>capacityUnitSet</v>
          </cell>
          <cell r="B161" t="str">
            <v>Capacity unit set</v>
          </cell>
        </row>
        <row r="162">
          <cell r="A162" t="str">
            <v>capitalEndonym</v>
          </cell>
          <cell r="B162" t="str">
            <v>Capital city endonym</v>
          </cell>
        </row>
        <row r="163">
          <cell r="A163" t="str">
            <v>capitalExonym</v>
          </cell>
          <cell r="B163" t="str">
            <v>Capital city exonym</v>
          </cell>
        </row>
        <row r="164">
          <cell r="A164" t="str">
            <v>caRepDate</v>
          </cell>
          <cell r="B164" t="str">
            <v>Case report date</v>
          </cell>
        </row>
        <row r="165">
          <cell r="A165" t="str">
            <v>caseEpDate</v>
          </cell>
          <cell r="B165" t="str">
            <v xml:space="preserve">Episode date of confirmed cases </v>
          </cell>
        </row>
        <row r="166">
          <cell r="A166" t="str">
            <v>caseOnDate</v>
          </cell>
          <cell r="B166" t="str">
            <v xml:space="preserve">Onset date of confirmed cases </v>
          </cell>
        </row>
        <row r="167">
          <cell r="A167" t="str">
            <v>caseRepDate</v>
          </cell>
          <cell r="B167" t="str">
            <v xml:space="preserve">Report date of confirmed cases </v>
          </cell>
        </row>
        <row r="168">
          <cell r="A168" t="str">
            <v>caseTestDate</v>
          </cell>
          <cell r="B168" t="str">
            <v xml:space="preserve">Test date of confirmed cases </v>
          </cell>
        </row>
        <row r="169">
          <cell r="A169" t="str">
            <v>categorical</v>
          </cell>
          <cell r="B169" t="str">
            <v>Categorical data type</v>
          </cell>
        </row>
        <row r="170">
          <cell r="A170" t="str">
            <v>categories</v>
          </cell>
          <cell r="B170" t="str">
            <v>Categories</v>
          </cell>
        </row>
        <row r="171">
          <cell r="A171" t="str">
            <v>cAuris</v>
          </cell>
          <cell r="B171" t="str">
            <v>Candida auris</v>
          </cell>
        </row>
        <row r="172">
          <cell r="A172" t="str">
            <v>cAurisGrp</v>
          </cell>
          <cell r="B172" t="str">
            <v>Candida auris Group</v>
          </cell>
        </row>
        <row r="173">
          <cell r="A173" t="str">
            <v>cbod</v>
          </cell>
          <cell r="B173" t="str">
            <v>Carbonaceous Biochemical Oxygen Demand</v>
          </cell>
        </row>
        <row r="174">
          <cell r="A174" t="str">
            <v>cbp</v>
          </cell>
          <cell r="B174" t="str">
            <v>Carbapenemase-encoding genes</v>
          </cell>
        </row>
        <row r="175">
          <cell r="A175" t="str">
            <v>cc010</v>
          </cell>
          <cell r="B175" t="str">
            <v>Creative Commons Zero v1.0 Universal</v>
          </cell>
        </row>
        <row r="176">
          <cell r="A176" t="str">
            <v>ccby40</v>
          </cell>
          <cell r="B176" t="str">
            <v>Creative Commons Attribution 4.0</v>
          </cell>
        </row>
        <row r="177">
          <cell r="A177" t="str">
            <v>ccbysa40</v>
          </cell>
          <cell r="B177" t="str">
            <v>Creative Commons Attribution ShareAlike 4.0</v>
          </cell>
        </row>
        <row r="178">
          <cell r="A178" t="str">
            <v>ccc</v>
          </cell>
          <cell r="B178" t="str">
            <v>Long-term acute care hospital</v>
          </cell>
        </row>
        <row r="179">
          <cell r="A179" t="str">
            <v>cdc</v>
          </cell>
          <cell r="B179" t="str">
            <v>Child day care</v>
          </cell>
        </row>
        <row r="180">
          <cell r="A180" t="str">
            <v>cdcCovEIDTFor</v>
          </cell>
          <cell r="B180" t="str">
            <v>Sarbeco_E forward primer (IDT)</v>
          </cell>
        </row>
        <row r="181">
          <cell r="A181" t="str">
            <v>cdcCovEIDTProbe</v>
          </cell>
          <cell r="B181" t="str">
            <v>Sarbeco_E probe (IDT)</v>
          </cell>
        </row>
        <row r="182">
          <cell r="A182" t="str">
            <v>cdcCovEIDTRev</v>
          </cell>
          <cell r="B182" t="str">
            <v>Sarbeco_E reverse primer (IDT)</v>
          </cell>
        </row>
        <row r="183">
          <cell r="A183" t="str">
            <v>cdcCovN1IDTFor</v>
          </cell>
          <cell r="B183" t="str">
            <v>2019-nCoV_N1 forward primer (IDT)</v>
          </cell>
        </row>
        <row r="184">
          <cell r="A184" t="str">
            <v>cdcCovN1IDTProbe</v>
          </cell>
          <cell r="B184" t="str">
            <v>2019-nCoV_N1 probe (IDT)</v>
          </cell>
        </row>
        <row r="185">
          <cell r="A185" t="str">
            <v>cdcCovN1IDTRev</v>
          </cell>
          <cell r="B185" t="str">
            <v>2019-nCoV_N1 reverse primer (IDT)</v>
          </cell>
        </row>
        <row r="186">
          <cell r="A186" t="str">
            <v>cdcCovN2IDTFor</v>
          </cell>
          <cell r="B186" t="str">
            <v>2019-nCoV_N2 forward primer (IDT)</v>
          </cell>
        </row>
        <row r="187">
          <cell r="A187" t="str">
            <v>cdcCovN2IDTProbe</v>
          </cell>
          <cell r="B187" t="str">
            <v>2019-nCoV_N2 probe (IDT)</v>
          </cell>
        </row>
        <row r="188">
          <cell r="A188" t="str">
            <v>cdcCovN2IDTRev</v>
          </cell>
          <cell r="B188" t="str">
            <v>2019-nCoV_N2 reverse primer (IDT)</v>
          </cell>
        </row>
        <row r="189">
          <cell r="A189" t="str">
            <v>cdcCovN3IDTFor</v>
          </cell>
          <cell r="B189" t="str">
            <v>2019-nCoV_N3 forward primer (IDT)</v>
          </cell>
        </row>
        <row r="190">
          <cell r="A190" t="str">
            <v>cdcCovN3IDTProbe</v>
          </cell>
          <cell r="B190" t="str">
            <v>2019-nCoV_N3 probe (IDT)</v>
          </cell>
        </row>
        <row r="191">
          <cell r="A191" t="str">
            <v>cdcCovN3IDTRev</v>
          </cell>
          <cell r="B191" t="str">
            <v>2019-nCoV_N3 reverse primer (IDT)</v>
          </cell>
        </row>
        <row r="192">
          <cell r="A192" t="str">
            <v>cDiff</v>
          </cell>
          <cell r="B192" t="str">
            <v>Clostridium difficile</v>
          </cell>
        </row>
        <row r="193">
          <cell r="A193" t="str">
            <v>cDip</v>
          </cell>
          <cell r="B193" t="str">
            <v>Corynebacterium diphtheriae</v>
          </cell>
        </row>
        <row r="194">
          <cell r="A194" t="str">
            <v>cecill21</v>
          </cell>
          <cell r="B194" t="str">
            <v>CeCILL Free Software License Agreement v2.1</v>
          </cell>
        </row>
        <row r="195">
          <cell r="A195" t="str">
            <v>cel</v>
          </cell>
          <cell r="B195" t="str">
            <v>Degrees Celcius</v>
          </cell>
        </row>
        <row r="196">
          <cell r="A196" t="str">
            <v>cent</v>
          </cell>
          <cell r="B196" t="str">
            <v>Centrifugation</v>
          </cell>
        </row>
        <row r="197">
          <cell r="A197" t="str">
            <v>centriconUf</v>
          </cell>
          <cell r="B197" t="str">
            <v>Centricon ultrafiltration</v>
          </cell>
        </row>
        <row r="198">
          <cell r="A198" t="str">
            <v>centSpeed</v>
          </cell>
          <cell r="B198" t="str">
            <v>Centrifugation speed</v>
          </cell>
        </row>
        <row r="199">
          <cell r="A199" t="str">
            <v>ceres</v>
          </cell>
          <cell r="B199" t="str">
            <v>Ceres nanotrap</v>
          </cell>
        </row>
        <row r="200">
          <cell r="A200" t="str">
            <v>cfu</v>
          </cell>
          <cell r="B200" t="str">
            <v>Colony Forming Units</v>
          </cell>
        </row>
        <row r="201">
          <cell r="A201" t="str">
            <v>cfu100</v>
          </cell>
          <cell r="B201" t="str">
            <v>CFU per 100 ml</v>
          </cell>
        </row>
        <row r="202">
          <cell r="A202" t="str">
            <v>cfugTS</v>
          </cell>
          <cell r="B202" t="str">
            <v>Colony forming units per grams total solids</v>
          </cell>
        </row>
        <row r="203">
          <cell r="A203" t="str">
            <v>cfumL</v>
          </cell>
          <cell r="B203" t="str">
            <v>Colony forming units per milliliter</v>
          </cell>
        </row>
        <row r="204">
          <cell r="A204" t="str">
            <v>chalydiaGrp</v>
          </cell>
          <cell r="B204" t="str">
            <v>Chlamydia Group</v>
          </cell>
        </row>
        <row r="205">
          <cell r="A205" t="str">
            <v>changes</v>
          </cell>
          <cell r="B205" t="str">
            <v>Changes column</v>
          </cell>
        </row>
        <row r="206">
          <cell r="A206" t="str">
            <v>charLength</v>
          </cell>
          <cell r="B206" t="str">
            <v>character length</v>
          </cell>
        </row>
        <row r="207">
          <cell r="A207" t="str">
            <v>che</v>
          </cell>
          <cell r="B207" t="str">
            <v>Chemical</v>
          </cell>
        </row>
        <row r="208">
          <cell r="A208" t="str">
            <v>chemSurv</v>
          </cell>
          <cell r="B208" t="str">
            <v>Chemical contaminant surveillance</v>
          </cell>
        </row>
        <row r="209">
          <cell r="A209" t="str">
            <v>chemVir</v>
          </cell>
          <cell r="B209" t="str">
            <v>Chemagic viral dna/rna 300 kit</v>
          </cell>
        </row>
        <row r="210">
          <cell r="A210" t="str">
            <v>chikungunyaGrp</v>
          </cell>
          <cell r="B210" t="str">
            <v>Chikungunya Group</v>
          </cell>
        </row>
        <row r="211">
          <cell r="A211" t="str">
            <v>chikv</v>
          </cell>
          <cell r="B211" t="str">
            <v>Chikungunya virus (CHIKV)</v>
          </cell>
        </row>
        <row r="212">
          <cell r="A212" t="str">
            <v>child</v>
          </cell>
          <cell r="B212" t="str">
            <v>Child relationship</v>
          </cell>
        </row>
        <row r="213">
          <cell r="A213" t="str">
            <v>chlamydia</v>
          </cell>
          <cell r="B213" t="str">
            <v>Chlamydia</v>
          </cell>
        </row>
        <row r="214">
          <cell r="A214" t="str">
            <v>city</v>
          </cell>
          <cell r="B214" t="str">
            <v>City</v>
          </cell>
        </row>
        <row r="215">
          <cell r="A215" t="str">
            <v>cJejuni</v>
          </cell>
          <cell r="B215" t="str">
            <v>Campylobacter jejuni bacteria</v>
          </cell>
        </row>
        <row r="216">
          <cell r="A216" t="str">
            <v>cK</v>
          </cell>
          <cell r="B216" t="str">
            <v>Composite Key</v>
          </cell>
        </row>
        <row r="217">
          <cell r="A217" t="str">
            <v>clari</v>
          </cell>
          <cell r="B217" t="str">
            <v>Clarified sample</v>
          </cell>
        </row>
        <row r="218">
          <cell r="A218" t="str">
            <v>class</v>
          </cell>
          <cell r="B218" t="str">
            <v>Class</v>
          </cell>
        </row>
        <row r="219">
          <cell r="A219" t="str">
            <v>classes</v>
          </cell>
          <cell r="B219" t="str">
            <v>Classes</v>
          </cell>
        </row>
        <row r="220">
          <cell r="A220" t="str">
            <v>clostridiumGrp</v>
          </cell>
          <cell r="B220" t="str">
            <v>Clostridium Group</v>
          </cell>
        </row>
        <row r="221">
          <cell r="A221" t="str">
            <v>cloudy</v>
          </cell>
          <cell r="B221" t="str">
            <v>Cloudy</v>
          </cell>
        </row>
        <row r="222">
          <cell r="A222" t="str">
            <v>cm</v>
          </cell>
          <cell r="B222" t="str">
            <v>Centimetres</v>
          </cell>
        </row>
        <row r="223">
          <cell r="A223" t="str">
            <v>co</v>
          </cell>
          <cell r="B223" t="str">
            <v>Contact table Shorthand</v>
          </cell>
        </row>
        <row r="224">
          <cell r="A224" t="str">
            <v>co2</v>
          </cell>
          <cell r="B224" t="str">
            <v xml:space="preserve">Carbon Dioxide </v>
          </cell>
        </row>
        <row r="225">
          <cell r="A225" t="str">
            <v>cod</v>
          </cell>
          <cell r="B225" t="str">
            <v>Chemical Oxygen Demand</v>
          </cell>
        </row>
        <row r="226">
          <cell r="A226" t="str">
            <v>col2Frdg</v>
          </cell>
          <cell r="B226" t="str">
            <v>Time from collection to storage</v>
          </cell>
        </row>
        <row r="227">
          <cell r="A227" t="str">
            <v>colAMRGrp</v>
          </cell>
          <cell r="B227" t="str">
            <v>Colistin Anti-microbial resistance group</v>
          </cell>
        </row>
        <row r="228">
          <cell r="A228" t="str">
            <v>colGrp</v>
          </cell>
          <cell r="B228" t="str">
            <v>Collection group</v>
          </cell>
        </row>
        <row r="229">
          <cell r="A229" t="str">
            <v>colis</v>
          </cell>
          <cell r="B229" t="str">
            <v>Colistin resistance</v>
          </cell>
        </row>
        <row r="230">
          <cell r="A230" t="str">
            <v>collDT</v>
          </cell>
          <cell r="B230" t="str">
            <v>Collection date time</v>
          </cell>
        </row>
        <row r="231">
          <cell r="A231" t="str">
            <v>collDTEnd</v>
          </cell>
          <cell r="B231" t="str">
            <v>Collection date time end</v>
          </cell>
        </row>
        <row r="232">
          <cell r="A232" t="str">
            <v>collDTStart</v>
          </cell>
          <cell r="B232" t="str">
            <v>Collection date time start</v>
          </cell>
        </row>
        <row r="233">
          <cell r="A233" t="str">
            <v>collectSet</v>
          </cell>
          <cell r="B233" t="str">
            <v>Sample collection set</v>
          </cell>
        </row>
        <row r="234">
          <cell r="A234" t="str">
            <v>collNum</v>
          </cell>
          <cell r="B234" t="str">
            <v>Collection number</v>
          </cell>
        </row>
        <row r="235">
          <cell r="A235" t="str">
            <v>collNumPer</v>
          </cell>
          <cell r="B235" t="str">
            <v xml:space="preserve">Collection period and number </v>
          </cell>
        </row>
        <row r="236">
          <cell r="A236" t="str">
            <v>collPer</v>
          </cell>
          <cell r="B236" t="str">
            <v>Collection period</v>
          </cell>
        </row>
        <row r="237">
          <cell r="A237" t="str">
            <v>collType</v>
          </cell>
          <cell r="B237" t="str">
            <v>Sample collection type</v>
          </cell>
        </row>
        <row r="238">
          <cell r="A238" t="str">
            <v>colocated</v>
          </cell>
          <cell r="B238" t="str">
            <v>Co-located sample</v>
          </cell>
        </row>
        <row r="239">
          <cell r="A239" t="str">
            <v>columnNameDep</v>
          </cell>
          <cell r="B239" t="str">
            <v>Column name depreciiated</v>
          </cell>
        </row>
        <row r="240">
          <cell r="A240" t="str">
            <v>commFacOth</v>
          </cell>
          <cell r="B240" t="str">
            <v>Commercial facility - not specified</v>
          </cell>
        </row>
        <row r="241">
          <cell r="A241" t="str">
            <v>comp</v>
          </cell>
          <cell r="B241" t="str">
            <v>Composite sample - archival</v>
          </cell>
        </row>
        <row r="242">
          <cell r="A242" t="str">
            <v>comp3</v>
          </cell>
          <cell r="B242" t="str">
            <v>Composite grab sample of 3</v>
          </cell>
        </row>
        <row r="243">
          <cell r="A243" t="str">
            <v>comp3dep</v>
          </cell>
          <cell r="B243" t="str">
            <v>Composite grab sample of 3 depreciate</v>
          </cell>
        </row>
        <row r="244">
          <cell r="A244" t="str">
            <v>comp3h</v>
          </cell>
          <cell r="B244" t="str">
            <v>Composite 3hr grab sample</v>
          </cell>
        </row>
        <row r="245">
          <cell r="A245" t="str">
            <v>comp3hdep</v>
          </cell>
          <cell r="B245" t="str">
            <v>Composite 3hr grab sample depreciate</v>
          </cell>
        </row>
        <row r="246">
          <cell r="A246" t="str">
            <v>comp8h</v>
          </cell>
          <cell r="B246" t="str">
            <v>Composite 8hr grab sample depreciated</v>
          </cell>
        </row>
        <row r="247">
          <cell r="A247" t="str">
            <v>comp8hDep</v>
          </cell>
          <cell r="B247" t="str">
            <v>Composite 8hr grab sample deprecated</v>
          </cell>
        </row>
        <row r="248">
          <cell r="A248" t="str">
            <v>compartment</v>
          </cell>
          <cell r="B248" t="str">
            <v>Compartment</v>
          </cell>
        </row>
        <row r="249">
          <cell r="A249" t="str">
            <v>compartmentInput</v>
          </cell>
          <cell r="B249" t="str">
            <v>Compartment input (wide table)</v>
          </cell>
        </row>
        <row r="250">
          <cell r="A250" t="str">
            <v>compartmentName</v>
          </cell>
          <cell r="B250" t="str">
            <v>Compartment name (wide table)</v>
          </cell>
        </row>
        <row r="251">
          <cell r="A251" t="str">
            <v>compartments</v>
          </cell>
          <cell r="B251" t="str">
            <v>Compartments</v>
          </cell>
        </row>
        <row r="252">
          <cell r="A252" t="str">
            <v>compartmentSet</v>
          </cell>
          <cell r="B252" t="str">
            <v>Compartment Set Header</v>
          </cell>
        </row>
        <row r="253">
          <cell r="A253" t="str">
            <v>compartmentSets</v>
          </cell>
          <cell r="B253" t="str">
            <v>Compartment sets</v>
          </cell>
        </row>
        <row r="254">
          <cell r="A254" t="str">
            <v>conc</v>
          </cell>
          <cell r="B254" t="str">
            <v>Concentration measure</v>
          </cell>
        </row>
        <row r="255">
          <cell r="A255" t="str">
            <v>concurrent</v>
          </cell>
          <cell r="B255" t="str">
            <v>Is concurrent to</v>
          </cell>
        </row>
        <row r="256">
          <cell r="A256" t="str">
            <v>concVol</v>
          </cell>
          <cell r="B256" t="str">
            <v>Sample volume after concentration</v>
          </cell>
        </row>
        <row r="257">
          <cell r="A257" t="str">
            <v>cond</v>
          </cell>
          <cell r="B257" t="str">
            <v>Water conductivity</v>
          </cell>
        </row>
        <row r="258">
          <cell r="A258" t="str">
            <v>conductivity</v>
          </cell>
          <cell r="B258" t="str">
            <v>Conductivity class</v>
          </cell>
        </row>
        <row r="259">
          <cell r="A259" t="str">
            <v>conductivityUnitSet</v>
          </cell>
          <cell r="B259" t="str">
            <v>Conductivity unit set</v>
          </cell>
        </row>
        <row r="260">
          <cell r="A260" t="str">
            <v>conf</v>
          </cell>
          <cell r="B260" t="str">
            <v>Number of confirmed cases</v>
          </cell>
        </row>
        <row r="261">
          <cell r="A261" t="str">
            <v>confEp</v>
          </cell>
          <cell r="B261" t="str">
            <v>Number of confirmed cases by episode date</v>
          </cell>
        </row>
        <row r="262">
          <cell r="A262" t="str">
            <v>confOn</v>
          </cell>
          <cell r="B262" t="str">
            <v>Number of confirmed Cases Onset date</v>
          </cell>
        </row>
        <row r="263">
          <cell r="A263" t="str">
            <v>confRep</v>
          </cell>
          <cell r="B263" t="str">
            <v>Number of confirmed cases by report date</v>
          </cell>
        </row>
        <row r="264">
          <cell r="A264" t="str">
            <v>confTest</v>
          </cell>
          <cell r="B264" t="str">
            <v>Number of confirmed cases test date</v>
          </cell>
        </row>
        <row r="265">
          <cell r="A265" t="str">
            <v>conGenLen</v>
          </cell>
          <cell r="B265" t="str">
            <v>consensus genome length</v>
          </cell>
        </row>
        <row r="266">
          <cell r="A266" t="str">
            <v>contactID</v>
          </cell>
          <cell r="B266" t="str">
            <v>Contact ID</v>
          </cell>
        </row>
        <row r="267">
          <cell r="A267" t="str">
            <v>contactName</v>
          </cell>
          <cell r="B267" t="str">
            <v>Contact name</v>
          </cell>
        </row>
        <row r="268">
          <cell r="A268" t="str">
            <v>contacts</v>
          </cell>
          <cell r="B268" t="str">
            <v>Contact table</v>
          </cell>
        </row>
        <row r="269">
          <cell r="A269" t="str">
            <v>contactsOrder</v>
          </cell>
          <cell r="B269" t="str">
            <v>Contacts table column order</v>
          </cell>
        </row>
        <row r="270">
          <cell r="A270" t="str">
            <v>contactsRequired</v>
          </cell>
          <cell r="B270" t="str">
            <v>Contact table required headers</v>
          </cell>
        </row>
        <row r="271">
          <cell r="A271" t="str">
            <v>contactTableSet</v>
          </cell>
          <cell r="B271" t="str">
            <v>Contact table set</v>
          </cell>
        </row>
        <row r="272">
          <cell r="A272" t="str">
            <v>coPhone</v>
          </cell>
          <cell r="B272" t="str">
            <v>Contact phone</v>
          </cell>
        </row>
        <row r="273">
          <cell r="A273" t="str">
            <v>corFcil</v>
          </cell>
          <cell r="B273" t="str">
            <v>Correctional facility</v>
          </cell>
        </row>
        <row r="274">
          <cell r="A274" t="str">
            <v>cosca</v>
          </cell>
          <cell r="B274" t="str">
            <v>COSCa ball</v>
          </cell>
        </row>
        <row r="275">
          <cell r="A275" t="str">
            <v>countries</v>
          </cell>
          <cell r="B275" t="str">
            <v>Countries look-up tables</v>
          </cell>
        </row>
        <row r="276">
          <cell r="A276" t="str">
            <v>countriesOrder</v>
          </cell>
          <cell r="B276" t="str">
            <v>Countries table column order</v>
          </cell>
        </row>
        <row r="277">
          <cell r="A277" t="str">
            <v>countriesRequired</v>
          </cell>
          <cell r="B277" t="str">
            <v>Counries table required headers</v>
          </cell>
        </row>
        <row r="278">
          <cell r="A278" t="str">
            <v>country</v>
          </cell>
          <cell r="B278" t="str">
            <v>Country</v>
          </cell>
        </row>
        <row r="279">
          <cell r="A279" t="str">
            <v>countryEndonym</v>
          </cell>
          <cell r="B279" t="str">
            <v>Country endonym</v>
          </cell>
        </row>
        <row r="280">
          <cell r="A280" t="str">
            <v>countryExonym</v>
          </cell>
          <cell r="B280" t="str">
            <v>Country exonym</v>
          </cell>
        </row>
        <row r="281">
          <cell r="A281" t="str">
            <v>countryLevel</v>
          </cell>
          <cell r="B281" t="str">
            <v>Countries or sovereign states</v>
          </cell>
        </row>
        <row r="282">
          <cell r="A282" t="str">
            <v>countyLevel</v>
          </cell>
          <cell r="B282" t="str">
            <v>Districts, counties, regions</v>
          </cell>
        </row>
        <row r="283">
          <cell r="A283" t="str">
            <v>cov</v>
          </cell>
          <cell r="B283" t="str">
            <v>Covid-19</v>
          </cell>
        </row>
        <row r="284">
          <cell r="A284" t="str">
            <v>cov2Me</v>
          </cell>
          <cell r="B284" t="str">
            <v>SARS-CoV-2 measure</v>
          </cell>
        </row>
        <row r="285">
          <cell r="A285" t="str">
            <v>covB117</v>
          </cell>
          <cell r="B285" t="str">
            <v>SARS-CoV-2-B.1.1.7</v>
          </cell>
        </row>
        <row r="286">
          <cell r="A286" t="str">
            <v>covB135</v>
          </cell>
          <cell r="B286" t="str">
            <v>SARS-CoV-2-B.1.351</v>
          </cell>
        </row>
        <row r="287">
          <cell r="A287" t="str">
            <v>covE</v>
          </cell>
          <cell r="B287" t="str">
            <v>SARS-CoV-2-E</v>
          </cell>
        </row>
        <row r="288">
          <cell r="A288" t="str">
            <v>covN1</v>
          </cell>
          <cell r="B288" t="str">
            <v>SARS-CoV-2-N1</v>
          </cell>
        </row>
        <row r="289">
          <cell r="A289" t="str">
            <v>covN2</v>
          </cell>
          <cell r="B289" t="str">
            <v>SARS-CoV-2-N2</v>
          </cell>
        </row>
        <row r="290">
          <cell r="A290" t="str">
            <v>covN200</v>
          </cell>
          <cell r="B290" t="str">
            <v>SARS-CoV-2-N200</v>
          </cell>
        </row>
        <row r="291">
          <cell r="A291" t="str">
            <v>covN3</v>
          </cell>
          <cell r="B291" t="str">
            <v>SARS-CoV-2-N3</v>
          </cell>
        </row>
        <row r="292">
          <cell r="A292" t="str">
            <v>covP1</v>
          </cell>
          <cell r="B292" t="str">
            <v>SARS-CoV-2-P.1</v>
          </cell>
        </row>
        <row r="293">
          <cell r="A293" t="str">
            <v>covRdrp</v>
          </cell>
          <cell r="B293" t="str">
            <v>SARS-CoV-2-RdRp</v>
          </cell>
        </row>
        <row r="294">
          <cell r="A294" t="str">
            <v>cPerfrigens</v>
          </cell>
          <cell r="B294" t="str">
            <v>Clostridium perfringens</v>
          </cell>
        </row>
        <row r="295">
          <cell r="A295" t="str">
            <v>cphDate</v>
          </cell>
          <cell r="B295" t="str">
            <v>Covid-19 population measurement date</v>
          </cell>
        </row>
        <row r="296">
          <cell r="A296" t="str">
            <v>cphid</v>
          </cell>
          <cell r="B296" t="str">
            <v>Cphd ID</v>
          </cell>
        </row>
        <row r="297">
          <cell r="A297" t="str">
            <v>cra</v>
          </cell>
          <cell r="B297" t="str">
            <v>crAssphage-N</v>
          </cell>
        </row>
        <row r="298">
          <cell r="A298" t="str">
            <v>crea</v>
          </cell>
          <cell r="B298" t="str">
            <v>Creatinine</v>
          </cell>
        </row>
        <row r="299">
          <cell r="A299" t="str">
            <v>crosswalkTableSet</v>
          </cell>
          <cell r="B299" t="str">
            <v>Crosswalk table set</v>
          </cell>
        </row>
        <row r="300">
          <cell r="A300" t="str">
            <v>cryptosporidium</v>
          </cell>
          <cell r="B300" t="str">
            <v>Cryptosporidium</v>
          </cell>
        </row>
        <row r="301">
          <cell r="A301" t="str">
            <v>cryptosporidiumGrp</v>
          </cell>
          <cell r="B301" t="str">
            <v>Cryptosporidium Group</v>
          </cell>
        </row>
        <row r="302">
          <cell r="A302" t="str">
            <v>ct</v>
          </cell>
          <cell r="B302" t="str">
            <v>Cycle threshold or quantification cycle (Ct or Cq)</v>
          </cell>
        </row>
        <row r="303">
          <cell r="A303" t="str">
            <v>ctcq</v>
          </cell>
          <cell r="B303" t="str">
            <v>Cycle threshold per quantification cycle</v>
          </cell>
        </row>
        <row r="304">
          <cell r="A304" t="str">
            <v>cu</v>
          </cell>
          <cell r="B304" t="str">
            <v>Countries look-up tables Shorthand</v>
          </cell>
        </row>
        <row r="305">
          <cell r="A305" t="str">
            <v>cuCo</v>
          </cell>
          <cell r="B305" t="str">
            <v>Cumulative count</v>
          </cell>
        </row>
        <row r="306">
          <cell r="A306" t="str">
            <v>custodyCont</v>
          </cell>
          <cell r="B306" t="str">
            <v>Custody Contact ID</v>
          </cell>
        </row>
        <row r="307">
          <cell r="A307" t="str">
            <v>custodyID</v>
          </cell>
          <cell r="B307" t="str">
            <v>Data custodian ID</v>
          </cell>
        </row>
        <row r="308">
          <cell r="A308" t="str">
            <v>cVDPV2</v>
          </cell>
          <cell r="B308" t="str">
            <v>Circulating vaccine-derived poliovirus type 2</v>
          </cell>
        </row>
        <row r="309">
          <cell r="A309" t="str">
            <v>cyNum</v>
          </cell>
          <cell r="B309" t="str">
            <v>Number of cycles</v>
          </cell>
        </row>
        <row r="310">
          <cell r="A310" t="str">
            <v>d339h</v>
          </cell>
          <cell r="B310" t="str">
            <v>D339H Mutation</v>
          </cell>
        </row>
        <row r="311">
          <cell r="A311" t="str">
            <v>d377y</v>
          </cell>
          <cell r="B311" t="str">
            <v>d377y delta-variant gene target</v>
          </cell>
        </row>
        <row r="312">
          <cell r="A312" t="str">
            <v>d3g</v>
          </cell>
          <cell r="B312" t="str">
            <v>d3g omicron-variant gene target</v>
          </cell>
        </row>
        <row r="313">
          <cell r="A313" t="str">
            <v>d63g</v>
          </cell>
          <cell r="B313" t="str">
            <v>d63g delta-variant gene target</v>
          </cell>
        </row>
        <row r="314">
          <cell r="A314" t="str">
            <v>d796y</v>
          </cell>
          <cell r="B314" t="str">
            <v>d796y omicron-variant gene target</v>
          </cell>
        </row>
        <row r="315">
          <cell r="A315" t="str">
            <v>d950n</v>
          </cell>
          <cell r="B315" t="str">
            <v>d950n delta-variant gene target</v>
          </cell>
        </row>
        <row r="316">
          <cell r="A316" t="str">
            <v>daiCo</v>
          </cell>
          <cell r="B316" t="str">
            <v>Daily count</v>
          </cell>
        </row>
        <row r="317">
          <cell r="A317" t="str">
            <v>dataColl</v>
          </cell>
          <cell r="B317" t="str">
            <v>Data collection sector or organization</v>
          </cell>
        </row>
        <row r="318">
          <cell r="A318" t="str">
            <v>dataRepo</v>
          </cell>
          <cell r="B318" t="str">
            <v>Data Repository or bank</v>
          </cell>
        </row>
        <row r="319">
          <cell r="A319" t="str">
            <v>dataRepoSet</v>
          </cell>
          <cell r="B319" t="str">
            <v>Data Repository Set</v>
          </cell>
        </row>
        <row r="320">
          <cell r="A320" t="str">
            <v>datasetDate</v>
          </cell>
          <cell r="B320" t="str">
            <v>Dataset creation date</v>
          </cell>
        </row>
        <row r="321">
          <cell r="A321" t="str">
            <v>datasetID</v>
          </cell>
          <cell r="B321" t="str">
            <v>Dataset ID</v>
          </cell>
        </row>
        <row r="322">
          <cell r="A322" t="str">
            <v>datasets</v>
          </cell>
          <cell r="B322" t="str">
            <v>Dataset table</v>
          </cell>
        </row>
        <row r="323">
          <cell r="A323" t="str">
            <v>datasetsOrder</v>
          </cell>
          <cell r="B323" t="str">
            <v>Datasets table column order</v>
          </cell>
        </row>
        <row r="324">
          <cell r="A324" t="str">
            <v>datasetsRequired</v>
          </cell>
          <cell r="B324" t="str">
            <v>Dataset table required headers</v>
          </cell>
        </row>
        <row r="325">
          <cell r="A325" t="str">
            <v>dataTypes</v>
          </cell>
          <cell r="B325" t="str">
            <v>Data types</v>
          </cell>
        </row>
        <row r="326">
          <cell r="A326" t="str">
            <v>date</v>
          </cell>
          <cell r="B326" t="str">
            <v>Date</v>
          </cell>
        </row>
        <row r="327">
          <cell r="A327" t="str">
            <v>datetime</v>
          </cell>
          <cell r="B327" t="str">
            <v>Datetime data type</v>
          </cell>
        </row>
        <row r="328">
          <cell r="A328" t="str">
            <v>days</v>
          </cell>
          <cell r="B328" t="str">
            <v>Days</v>
          </cell>
        </row>
        <row r="329">
          <cell r="A329" t="str">
            <v>ddbj</v>
          </cell>
          <cell r="B329" t="str">
            <v xml:space="preserve">DNA Data Bank of Japan (DDBJ) </v>
          </cell>
        </row>
        <row r="330">
          <cell r="A330" t="str">
            <v>ddcovE</v>
          </cell>
          <cell r="B330" t="str">
            <v>ddcov_e sars-cov-2 gene target</v>
          </cell>
        </row>
        <row r="331">
          <cell r="A331" t="str">
            <v>ddcovN</v>
          </cell>
          <cell r="B331" t="str">
            <v>ddcov_n sars-cov-2 gene target</v>
          </cell>
        </row>
        <row r="332">
          <cell r="A332" t="str">
            <v>ddpcr</v>
          </cell>
          <cell r="B332" t="str">
            <v>Digital Droplet PCR (ddPCR)</v>
          </cell>
        </row>
        <row r="333">
          <cell r="A333" t="str">
            <v>death</v>
          </cell>
          <cell r="B333" t="str">
            <v>Deaths</v>
          </cell>
        </row>
        <row r="334">
          <cell r="A334" t="str">
            <v>del142144</v>
          </cell>
          <cell r="B334" t="str">
            <v>Omicron Variant 142-144 Deletion</v>
          </cell>
        </row>
        <row r="335">
          <cell r="A335" t="str">
            <v>del143</v>
          </cell>
          <cell r="B335" t="str">
            <v>del143/145 </v>
          </cell>
        </row>
        <row r="336">
          <cell r="A336" t="str">
            <v>del156157</v>
          </cell>
          <cell r="B336" t="str">
            <v>Delta Variant 156-157 Deletion</v>
          </cell>
        </row>
        <row r="337">
          <cell r="A337" t="str">
            <v>del157</v>
          </cell>
          <cell r="B337" t="str">
            <v>del 157/158</v>
          </cell>
        </row>
        <row r="338">
          <cell r="A338" t="str">
            <v>del2084</v>
          </cell>
          <cell r="B338" t="str">
            <v>del2084/2084 </v>
          </cell>
        </row>
        <row r="339">
          <cell r="A339" t="str">
            <v>del212</v>
          </cell>
          <cell r="B339" t="str">
            <v>del212/212 </v>
          </cell>
        </row>
        <row r="340">
          <cell r="A340" t="str">
            <v>del3133</v>
          </cell>
          <cell r="B340" t="str">
            <v>Omicron Variant 142-14431-33 Deletion</v>
          </cell>
        </row>
        <row r="341">
          <cell r="A341" t="str">
            <v>del3674</v>
          </cell>
          <cell r="B341" t="str">
            <v>del3674/3676 </v>
          </cell>
        </row>
        <row r="342">
          <cell r="A342" t="str">
            <v>del6970</v>
          </cell>
          <cell r="B342" t="str">
            <v>del69/70</v>
          </cell>
        </row>
        <row r="343">
          <cell r="A343" t="str">
            <v>delta</v>
          </cell>
          <cell r="B343" t="str">
            <v>Delta</v>
          </cell>
        </row>
        <row r="344">
          <cell r="A344" t="str">
            <v>deltaGrp</v>
          </cell>
          <cell r="B344" t="str">
            <v>SARS-CoV-2 Delta Variant Group</v>
          </cell>
        </row>
        <row r="345">
          <cell r="A345" t="str">
            <v>denat</v>
          </cell>
          <cell r="B345" t="str">
            <v>denaturation</v>
          </cell>
        </row>
        <row r="346">
          <cell r="A346" t="str">
            <v>dengue</v>
          </cell>
          <cell r="B346" t="str">
            <v>Dengue</v>
          </cell>
        </row>
        <row r="347">
          <cell r="A347" t="str">
            <v>depCovThresh</v>
          </cell>
          <cell r="B347" t="str">
            <v>depth of coverage threshold</v>
          </cell>
        </row>
        <row r="348">
          <cell r="A348" t="str">
            <v>depreciated</v>
          </cell>
          <cell r="B348" t="str">
            <v>Depreciated</v>
          </cell>
        </row>
        <row r="349">
          <cell r="A349" t="str">
            <v>derived</v>
          </cell>
          <cell r="B349" t="str">
            <v>Derived sample</v>
          </cell>
        </row>
        <row r="350">
          <cell r="A350" t="str">
            <v>descr</v>
          </cell>
          <cell r="B350" t="str">
            <v>Description</v>
          </cell>
        </row>
        <row r="351">
          <cell r="A351" t="str">
            <v>descrChange</v>
          </cell>
          <cell r="B351" t="str">
            <v>Description of change</v>
          </cell>
        </row>
        <row r="352">
          <cell r="A352" t="str">
            <v>desk</v>
          </cell>
          <cell r="B352" t="str">
            <v>Desk or counter</v>
          </cell>
        </row>
        <row r="353">
          <cell r="A353" t="str">
            <v>deso</v>
          </cell>
          <cell r="B353" t="str">
            <v>Dewatered solids</v>
          </cell>
        </row>
        <row r="354">
          <cell r="A354" t="str">
            <v>det</v>
          </cell>
          <cell r="B354" t="str">
            <v>Detected</v>
          </cell>
        </row>
        <row r="355">
          <cell r="A355" t="str">
            <v>detailsDep</v>
          </cell>
          <cell r="B355" t="str">
            <v>Access to details deprecated</v>
          </cell>
        </row>
        <row r="356">
          <cell r="A356" t="str">
            <v>development</v>
          </cell>
          <cell r="B356" t="str">
            <v>Development</v>
          </cell>
        </row>
        <row r="357">
          <cell r="A357" t="str">
            <v>dictionaryRefTableSet</v>
          </cell>
          <cell r="B357" t="str">
            <v>Dictionary reference table set</v>
          </cell>
        </row>
        <row r="358">
          <cell r="A358" t="str">
            <v>dictionarySupport</v>
          </cell>
          <cell r="B358" t="str">
            <v>Additional dictionary sheets</v>
          </cell>
        </row>
        <row r="359">
          <cell r="A359" t="str">
            <v>dictSets</v>
          </cell>
          <cell r="B359" t="str">
            <v>Dictionary set type</v>
          </cell>
        </row>
        <row r="360">
          <cell r="A360" t="str">
            <v>dilFact</v>
          </cell>
          <cell r="B360" t="str">
            <v>Dilution factor</v>
          </cell>
        </row>
        <row r="361">
          <cell r="A361" t="str">
            <v>dillute</v>
          </cell>
          <cell r="B361" t="str">
            <v>Point dillutions</v>
          </cell>
        </row>
        <row r="362">
          <cell r="A362" t="str">
            <v>dilution</v>
          </cell>
          <cell r="B362" t="str">
            <v>Dilution Class</v>
          </cell>
        </row>
        <row r="363">
          <cell r="A363" t="str">
            <v>diptheriaGrp</v>
          </cell>
          <cell r="B363" t="str">
            <v>Diphtheria Group</v>
          </cell>
        </row>
        <row r="364">
          <cell r="A364" t="str">
            <v>disease</v>
          </cell>
          <cell r="B364" t="str">
            <v>Diseases (human) class</v>
          </cell>
        </row>
        <row r="365">
          <cell r="A365" t="str">
            <v>dissGasUnitSet</v>
          </cell>
          <cell r="B365" t="str">
            <v>Dissolved gas concentration unit set</v>
          </cell>
        </row>
        <row r="366">
          <cell r="A366" t="str">
            <v>dissOxy</v>
          </cell>
          <cell r="B366" t="str">
            <v>Dissolved oxygen</v>
          </cell>
        </row>
        <row r="367">
          <cell r="A367" t="str">
            <v>dna</v>
          </cell>
          <cell r="B367" t="str">
            <v>DNA Template</v>
          </cell>
        </row>
        <row r="368">
          <cell r="A368" t="str">
            <v>doc</v>
          </cell>
          <cell r="B368" t="str">
            <v>Depth of coverage</v>
          </cell>
        </row>
        <row r="369">
          <cell r="A369" t="str">
            <v>domain</v>
          </cell>
          <cell r="B369" t="str">
            <v>Domain</v>
          </cell>
        </row>
        <row r="370">
          <cell r="A370" t="str">
            <v>domains</v>
          </cell>
          <cell r="B370" t="str">
            <v>Domains</v>
          </cell>
        </row>
        <row r="371">
          <cell r="A371" t="str">
            <v>domSurv</v>
          </cell>
          <cell r="B371" t="str">
            <v>Domestic travel hub surveillance</v>
          </cell>
        </row>
        <row r="372">
          <cell r="A372" t="str">
            <v>dorm</v>
          </cell>
          <cell r="B372" t="str">
            <v>Higher education domitory or residential building</v>
          </cell>
        </row>
        <row r="373">
          <cell r="A373" t="str">
            <v>dpcr</v>
          </cell>
          <cell r="B373" t="str">
            <v>Digital PCR (dPCR)</v>
          </cell>
        </row>
        <row r="374">
          <cell r="A374" t="str">
            <v>dra</v>
          </cell>
          <cell r="B374" t="str">
            <v>DDBJ sequence Read Archive (DRA)</v>
          </cell>
        </row>
        <row r="375">
          <cell r="A375" t="str">
            <v>drugSurv</v>
          </cell>
          <cell r="B375" t="str">
            <v>Drug surveillance</v>
          </cell>
        </row>
        <row r="376">
          <cell r="A376" t="str">
            <v>ds</v>
          </cell>
          <cell r="B376" t="str">
            <v>Dataset table Shorthand</v>
          </cell>
        </row>
        <row r="377">
          <cell r="A377" t="str">
            <v>duration</v>
          </cell>
          <cell r="B377" t="str">
            <v>Duration time of a method</v>
          </cell>
        </row>
        <row r="378">
          <cell r="A378" t="str">
            <v>e156g</v>
          </cell>
          <cell r="B378" t="str">
            <v>e156g delta-variant gene target</v>
          </cell>
        </row>
        <row r="379">
          <cell r="A379" t="str">
            <v>e484a</v>
          </cell>
          <cell r="B379" t="str">
            <v>e484a omicron-variant gene target</v>
          </cell>
        </row>
        <row r="380">
          <cell r="A380" t="str">
            <v>e9lNVAR</v>
          </cell>
          <cell r="B380" t="str">
            <v>Mpox &amp; Orthopox E9L-NVAR Gene Target</v>
          </cell>
        </row>
        <row r="381">
          <cell r="A381" t="str">
            <v>e9lOPX3</v>
          </cell>
          <cell r="B381" t="str">
            <v>Mpox &amp; Orthopox E9L-OPX3 Gene Target</v>
          </cell>
        </row>
        <row r="382">
          <cell r="A382" t="str">
            <v>eaec</v>
          </cell>
          <cell r="B382" t="str">
            <v>Enteroaggregative Escherichia coli (EAEC)</v>
          </cell>
        </row>
        <row r="383">
          <cell r="A383" t="str">
            <v>ebv</v>
          </cell>
          <cell r="B383" t="str">
            <v>Epstein–Barr virus (EBV)</v>
          </cell>
        </row>
        <row r="384">
          <cell r="A384" t="str">
            <v>ecl20</v>
          </cell>
          <cell r="B384" t="str">
            <v>Educational Community License v2.0</v>
          </cell>
        </row>
        <row r="385">
          <cell r="A385" t="str">
            <v>ecoli</v>
          </cell>
          <cell r="B385" t="str">
            <v>Escherichia coli</v>
          </cell>
        </row>
        <row r="386">
          <cell r="A386" t="str">
            <v>ecoliGrp</v>
          </cell>
          <cell r="B386" t="str">
            <v>Escherichia coli group</v>
          </cell>
        </row>
        <row r="387">
          <cell r="A387" t="str">
            <v>edenV1</v>
          </cell>
          <cell r="B387" t="str">
            <v>Eden V1 Primer Set</v>
          </cell>
        </row>
        <row r="388">
          <cell r="A388" t="str">
            <v>education</v>
          </cell>
          <cell r="B388" t="str">
            <v>Education</v>
          </cell>
        </row>
        <row r="389">
          <cell r="A389" t="str">
            <v>efficient</v>
          </cell>
          <cell r="B389" t="str">
            <v>Efficiency</v>
          </cell>
        </row>
        <row r="390">
          <cell r="A390" t="str">
            <v>ehec</v>
          </cell>
          <cell r="B390" t="str">
            <v>Enterohemorrhagic Escherichia coli (EHEC)</v>
          </cell>
        </row>
        <row r="391">
          <cell r="A391" t="str">
            <v>eiec</v>
          </cell>
          <cell r="B391" t="str">
            <v>Enteroinvasive Escherichia coli (EIEC)</v>
          </cell>
        </row>
        <row r="392">
          <cell r="A392" t="str">
            <v>eluate</v>
          </cell>
          <cell r="B392" t="str">
            <v>Eluate/Resuspended filter material retained</v>
          </cell>
        </row>
        <row r="393">
          <cell r="A393" t="str">
            <v>elutionBuff</v>
          </cell>
          <cell r="B393" t="str">
            <v>Elution buffer</v>
          </cell>
        </row>
        <row r="394">
          <cell r="A394" t="str">
            <v>email</v>
          </cell>
          <cell r="B394" t="str">
            <v>Contact email</v>
          </cell>
        </row>
        <row r="395">
          <cell r="A395" t="str">
            <v>emergSurv</v>
          </cell>
          <cell r="B395" t="str">
            <v>Emergency targetted surveillance program</v>
          </cell>
        </row>
        <row r="396">
          <cell r="A396" t="str">
            <v>ena</v>
          </cell>
          <cell r="B396" t="str">
            <v>European Nucleotide Archive (ENA)</v>
          </cell>
        </row>
        <row r="397">
          <cell r="A397" t="str">
            <v>enaMap</v>
          </cell>
          <cell r="B397" t="str">
            <v>European Nucleotide Association Mapping Column</v>
          </cell>
        </row>
        <row r="398">
          <cell r="A398" t="str">
            <v>enaNotes</v>
          </cell>
          <cell r="B398" t="str">
            <v>European Nucleotide Association (ENA) - notes</v>
          </cell>
        </row>
        <row r="399">
          <cell r="A399" t="str">
            <v>enterobase</v>
          </cell>
          <cell r="B399" t="str">
            <v>Enterobase archives</v>
          </cell>
        </row>
        <row r="400">
          <cell r="A400" t="str">
            <v>enterovirus</v>
          </cell>
          <cell r="B400" t="str">
            <v>Enterovirus</v>
          </cell>
        </row>
        <row r="401">
          <cell r="A401" t="str">
            <v>enterovirusGrp</v>
          </cell>
          <cell r="B401" t="str">
            <v>Enterovirus Group</v>
          </cell>
        </row>
        <row r="402">
          <cell r="A402" t="str">
            <v>enumeration</v>
          </cell>
          <cell r="B402" t="str">
            <v>Enumeration for set values</v>
          </cell>
        </row>
        <row r="403">
          <cell r="A403" t="str">
            <v>envRnF</v>
          </cell>
          <cell r="B403" t="str">
            <v>Rainfall</v>
          </cell>
        </row>
        <row r="404">
          <cell r="A404" t="str">
            <v>envSnwD</v>
          </cell>
          <cell r="B404" t="str">
            <v>Ground snow depth</v>
          </cell>
        </row>
        <row r="405">
          <cell r="A405" t="str">
            <v>envSnwF</v>
          </cell>
          <cell r="B405" t="str">
            <v>Snowfall</v>
          </cell>
        </row>
        <row r="406">
          <cell r="A406" t="str">
            <v>epec</v>
          </cell>
          <cell r="B406" t="str">
            <v>Enteropathogenic Escherichia coli (EPEC)</v>
          </cell>
        </row>
        <row r="407">
          <cell r="A407" t="str">
            <v>epiDate</v>
          </cell>
          <cell r="B407" t="str">
            <v>Episode date</v>
          </cell>
        </row>
        <row r="408">
          <cell r="A408" t="str">
            <v>epl10</v>
          </cell>
          <cell r="B408" t="str">
            <v>Eclipse Public License 1.0</v>
          </cell>
        </row>
        <row r="409">
          <cell r="A409" t="str">
            <v>epl20</v>
          </cell>
          <cell r="B409" t="str">
            <v>Eclipse Public License 2.0</v>
          </cell>
        </row>
        <row r="410">
          <cell r="A410" t="str">
            <v>erdTableSet</v>
          </cell>
          <cell r="B410" t="str">
            <v>ERD table set</v>
          </cell>
        </row>
        <row r="411">
          <cell r="A411" t="str">
            <v>eSarbec</v>
          </cell>
          <cell r="B411" t="str">
            <v>Sarbecovirus-specific E sars-cov-2 gene target</v>
          </cell>
        </row>
        <row r="412">
          <cell r="A412" t="str">
            <v>esbl</v>
          </cell>
          <cell r="B412" t="str">
            <v>ESBL-encoding genes</v>
          </cell>
        </row>
        <row r="413">
          <cell r="A413" t="str">
            <v>esp</v>
          </cell>
          <cell r="B413" t="str">
            <v>exclusions based sample preparation (ESP)</v>
          </cell>
        </row>
        <row r="414">
          <cell r="A414" t="str">
            <v>estFreqReads</v>
          </cell>
          <cell r="B414" t="str">
            <v>Estimated frequency of reads</v>
          </cell>
        </row>
        <row r="415">
          <cell r="A415" t="str">
            <v>estuary</v>
          </cell>
          <cell r="B415" t="str">
            <v>Estuary, natural water body</v>
          </cell>
        </row>
        <row r="416">
          <cell r="A416" t="str">
            <v>etec</v>
          </cell>
          <cell r="B416" t="str">
            <v>Enterotoxigenic Escherichia coli (ETEC)</v>
          </cell>
        </row>
        <row r="417">
          <cell r="A417" t="str">
            <v>eupl11</v>
          </cell>
          <cell r="B417" t="str">
            <v>European Union Public License 1.1</v>
          </cell>
        </row>
        <row r="418">
          <cell r="A418" t="str">
            <v>eupl12</v>
          </cell>
          <cell r="B418" t="str">
            <v>European Union Public License 1.2</v>
          </cell>
        </row>
        <row r="419">
          <cell r="A419" t="str">
            <v>exceptions</v>
          </cell>
          <cell r="B419" t="str">
            <v>Exception Part Type</v>
          </cell>
        </row>
        <row r="420">
          <cell r="A420" t="str">
            <v>expec</v>
          </cell>
          <cell r="B420" t="str">
            <v>Extraintestinal pathogenic Escherichia coli (ExPEC)</v>
          </cell>
        </row>
        <row r="421">
          <cell r="A421" t="str">
            <v>expFail</v>
          </cell>
          <cell r="B421" t="str">
            <v>Experiment Failed</v>
          </cell>
        </row>
        <row r="422">
          <cell r="A422" t="str">
            <v>extBlank</v>
          </cell>
          <cell r="B422" t="str">
            <v>Extraction Blank - Control</v>
          </cell>
        </row>
        <row r="423">
          <cell r="A423" t="str">
            <v>extract4s</v>
          </cell>
          <cell r="B423" t="str">
            <v>4s method</v>
          </cell>
        </row>
        <row r="424">
          <cell r="A424" t="str">
            <v>extraction</v>
          </cell>
          <cell r="B424" t="str">
            <v>Nucleic acid extraction method</v>
          </cell>
        </row>
        <row r="425">
          <cell r="A425" t="str">
            <v>extractSet</v>
          </cell>
          <cell r="B425" t="str">
            <v>Nucleic Acid Extraction set</v>
          </cell>
        </row>
        <row r="426">
          <cell r="A426" t="str">
            <v>exvol</v>
          </cell>
          <cell r="B426" t="str">
            <v>Extraction volume of sample</v>
          </cell>
        </row>
        <row r="427">
          <cell r="A427" t="str">
            <v>f456l</v>
          </cell>
          <cell r="B427" t="str">
            <v>F456L Mutation</v>
          </cell>
        </row>
        <row r="428">
          <cell r="A428" t="str">
            <v>faeces</v>
          </cell>
          <cell r="B428" t="str">
            <v>Fecal matter</v>
          </cell>
        </row>
        <row r="429">
          <cell r="A429" t="str">
            <v>fah</v>
          </cell>
          <cell r="B429" t="str">
            <v>Degree Fahrenheit</v>
          </cell>
        </row>
        <row r="430">
          <cell r="A430" t="str">
            <v>fColiphage</v>
          </cell>
          <cell r="B430" t="str">
            <v>Male-specific (F+) coliphage - general</v>
          </cell>
        </row>
        <row r="431">
          <cell r="A431" t="str">
            <v>fDNA</v>
          </cell>
          <cell r="B431" t="str">
            <v>F+ DNA coliphage</v>
          </cell>
        </row>
        <row r="432">
          <cell r="A432" t="str">
            <v>fecalCol</v>
          </cell>
          <cell r="B432" t="str">
            <v>Fecal coliform count</v>
          </cell>
        </row>
        <row r="433">
          <cell r="A433" t="str">
            <v>field</v>
          </cell>
          <cell r="B433" t="str">
            <v>Field sample</v>
          </cell>
        </row>
        <row r="434">
          <cell r="A434" t="str">
            <v>fieldReplicate</v>
          </cell>
          <cell r="B434" t="str">
            <v>Field sample replicate</v>
          </cell>
        </row>
        <row r="435">
          <cell r="A435" t="str">
            <v>fileLocation</v>
          </cell>
          <cell r="B435" t="str">
            <v>File location of polygon</v>
          </cell>
        </row>
        <row r="436">
          <cell r="A436" t="str">
            <v>filt</v>
          </cell>
          <cell r="B436" t="str">
            <v>Filtration</v>
          </cell>
        </row>
        <row r="437">
          <cell r="A437" t="str">
            <v>fiNa</v>
          </cell>
          <cell r="B437" t="str">
            <v>First Nation</v>
          </cell>
        </row>
        <row r="438">
          <cell r="A438" t="str">
            <v>finVol</v>
          </cell>
          <cell r="B438" t="str">
            <v>Final volume</v>
          </cell>
        </row>
        <row r="439">
          <cell r="A439" t="str">
            <v>firstName</v>
          </cell>
          <cell r="B439" t="str">
            <v>First name of contact</v>
          </cell>
        </row>
        <row r="440">
          <cell r="A440" t="str">
            <v>firstReleased</v>
          </cell>
          <cell r="B440" t="str">
            <v>First released version</v>
          </cell>
        </row>
        <row r="441">
          <cell r="A441" t="str">
            <v>fK</v>
          </cell>
          <cell r="B441" t="str">
            <v>Foreign key</v>
          </cell>
        </row>
        <row r="442">
          <cell r="A442" t="str">
            <v>flagAI</v>
          </cell>
          <cell r="B442" t="str">
            <v>AI - Inhibition present but addressed</v>
          </cell>
        </row>
        <row r="443">
          <cell r="A443" t="str">
            <v>flagB</v>
          </cell>
          <cell r="B443" t="str">
            <v>B - Trace levels of contamination</v>
          </cell>
        </row>
        <row r="444">
          <cell r="A444" t="str">
            <v>flagFI</v>
          </cell>
          <cell r="B444" t="str">
            <v>FI - Inhibition present and unaddressed</v>
          </cell>
        </row>
        <row r="445">
          <cell r="A445" t="str">
            <v>flagJ</v>
          </cell>
          <cell r="B445" t="str">
            <v>J - Weak signal extrapolation</v>
          </cell>
        </row>
        <row r="446">
          <cell r="A446" t="str">
            <v>flagND</v>
          </cell>
          <cell r="B446" t="str">
            <v>ND - Non-detect</v>
          </cell>
        </row>
        <row r="447">
          <cell r="A447" t="str">
            <v>flagUJ</v>
          </cell>
          <cell r="B447" t="str">
            <v>UJ - Trace signal extrapolation</v>
          </cell>
        </row>
        <row r="448">
          <cell r="A448" t="str">
            <v>flagUQ</v>
          </cell>
          <cell r="B448" t="str">
            <v>UQ - Unquantifiable</v>
          </cell>
        </row>
        <row r="449">
          <cell r="A449" t="str">
            <v>flavivirusGrp</v>
          </cell>
          <cell r="B449" t="str">
            <v>Flavivirus (West Nile, Dengue, Zika) Group</v>
          </cell>
        </row>
        <row r="450">
          <cell r="A450" t="str">
            <v>flirtSLipGrp</v>
          </cell>
          <cell r="B450" t="str">
            <v>FLiRT/SLip Variant Group</v>
          </cell>
        </row>
        <row r="451">
          <cell r="A451" t="str">
            <v>flirtV</v>
          </cell>
          <cell r="B451" t="str">
            <v>FLiRT Variants</v>
          </cell>
        </row>
        <row r="452">
          <cell r="A452" t="str">
            <v>float</v>
          </cell>
          <cell r="B452" t="str">
            <v>Float data type</v>
          </cell>
        </row>
        <row r="453">
          <cell r="A453" t="str">
            <v>floMean</v>
          </cell>
          <cell r="B453" t="str">
            <v>Flow-normalized mean</v>
          </cell>
        </row>
        <row r="454">
          <cell r="A454" t="str">
            <v>floor</v>
          </cell>
          <cell r="B454" t="str">
            <v>Floor</v>
          </cell>
        </row>
        <row r="455">
          <cell r="A455" t="str">
            <v>floRate</v>
          </cell>
          <cell r="B455" t="str">
            <v>Flow rate</v>
          </cell>
        </row>
        <row r="456">
          <cell r="A456" t="str">
            <v>flow</v>
          </cell>
          <cell r="B456" t="str">
            <v>Flow class</v>
          </cell>
        </row>
        <row r="457">
          <cell r="A457" t="str">
            <v>flow24hDep</v>
          </cell>
          <cell r="B457" t="str">
            <v>Flow proportional 24hr sample depreciated</v>
          </cell>
        </row>
        <row r="458">
          <cell r="A458" t="str">
            <v>flowPr</v>
          </cell>
          <cell r="B458" t="str">
            <v>Flow proportional sample</v>
          </cell>
        </row>
        <row r="459">
          <cell r="A459" t="str">
            <v>flowUnitSet</v>
          </cell>
          <cell r="B459" t="str">
            <v>Volume flow rate unit set</v>
          </cell>
        </row>
        <row r="460">
          <cell r="A460" t="str">
            <v>flowVol</v>
          </cell>
          <cell r="B460" t="str">
            <v>Flow volume</v>
          </cell>
        </row>
        <row r="461">
          <cell r="A461" t="str">
            <v>flu</v>
          </cell>
          <cell r="B461" t="str">
            <v>Influenza virus measure</v>
          </cell>
        </row>
        <row r="462">
          <cell r="A462" t="str">
            <v>fluA</v>
          </cell>
          <cell r="B462" t="str">
            <v>Influenza A virus</v>
          </cell>
        </row>
        <row r="463">
          <cell r="A463" t="str">
            <v>fluA1</v>
          </cell>
          <cell r="B463" t="str">
            <v>Influenza virus A1</v>
          </cell>
        </row>
        <row r="464">
          <cell r="A464" t="str">
            <v>fluA1A2c</v>
          </cell>
          <cell r="B464" t="str">
            <v>Influenza virus A1 and A2 combined</v>
          </cell>
        </row>
        <row r="465">
          <cell r="A465" t="str">
            <v>fluA2</v>
          </cell>
          <cell r="B465" t="str">
            <v>influenza virus A2</v>
          </cell>
        </row>
        <row r="466">
          <cell r="A466" t="str">
            <v>fluAGrp</v>
          </cell>
          <cell r="B466" t="str">
            <v>Influenza A Virus Group</v>
          </cell>
        </row>
        <row r="467">
          <cell r="A467" t="str">
            <v>fluB</v>
          </cell>
          <cell r="B467" t="str">
            <v>Influenza virus B</v>
          </cell>
        </row>
        <row r="468">
          <cell r="A468" t="str">
            <v>fluBGrp</v>
          </cell>
          <cell r="B468" t="str">
            <v>Influenza B Virus Group</v>
          </cell>
        </row>
        <row r="469">
          <cell r="A469" t="str">
            <v>fluiDpcr</v>
          </cell>
          <cell r="B469" t="str">
            <v>Fluidigm digital PCR</v>
          </cell>
        </row>
        <row r="470">
          <cell r="A470" t="str">
            <v>fnu</v>
          </cell>
          <cell r="B470" t="str">
            <v>Formazin nephelometric unit</v>
          </cell>
        </row>
        <row r="471">
          <cell r="A471" t="str">
            <v>foggy</v>
          </cell>
          <cell r="B471" t="str">
            <v>Foggy</v>
          </cell>
        </row>
        <row r="472">
          <cell r="A472" t="str">
            <v>foot</v>
          </cell>
          <cell r="B472" t="str">
            <v>Feet</v>
          </cell>
        </row>
        <row r="473">
          <cell r="A473" t="str">
            <v>fraction</v>
          </cell>
          <cell r="B473" t="str">
            <v>Fraction analyzed</v>
          </cell>
        </row>
        <row r="474">
          <cell r="A474" t="str">
            <v>fractionInput</v>
          </cell>
          <cell r="B474" t="str">
            <v>Fraction input (wide table)</v>
          </cell>
        </row>
        <row r="475">
          <cell r="A475" t="str">
            <v>fractionName</v>
          </cell>
          <cell r="B475" t="str">
            <v>Fraction name (wide table)</v>
          </cell>
        </row>
        <row r="476">
          <cell r="A476" t="str">
            <v>fractionSet</v>
          </cell>
          <cell r="B476" t="str">
            <v>Sample fraction set</v>
          </cell>
        </row>
        <row r="477">
          <cell r="A477" t="str">
            <v>freyja</v>
          </cell>
          <cell r="B477" t="str">
            <v>Freyja Script</v>
          </cell>
        </row>
        <row r="478">
          <cell r="A478" t="str">
            <v>fRNABact</v>
          </cell>
          <cell r="B478" t="str">
            <v>F-Specific RNA bacteriophages</v>
          </cell>
        </row>
        <row r="479">
          <cell r="A479" t="str">
            <v>fRNAColi</v>
          </cell>
          <cell r="B479" t="str">
            <v>F+ RNA coliphage</v>
          </cell>
        </row>
        <row r="480">
          <cell r="A480" t="str">
            <v>frnaG2</v>
          </cell>
          <cell r="B480" t="str">
            <v>F-Specific RNA bacteriophages, G2</v>
          </cell>
        </row>
        <row r="481">
          <cell r="A481" t="str">
            <v>frozen</v>
          </cell>
          <cell r="B481" t="str">
            <v>Sample frozen</v>
          </cell>
        </row>
        <row r="482">
          <cell r="A482" t="str">
            <v>fst</v>
          </cell>
          <cell r="B482" t="str">
            <v>Field sample temperature</v>
          </cell>
        </row>
        <row r="483">
          <cell r="A483" t="str">
            <v>fTularensis</v>
          </cell>
          <cell r="B483" t="str">
            <v>Francisella tularensis</v>
          </cell>
        </row>
        <row r="484">
          <cell r="A484" t="str">
            <v>fullDictionarySheetSet</v>
          </cell>
          <cell r="B484" t="str">
            <v>Full dictionary sheets set</v>
          </cell>
        </row>
        <row r="485">
          <cell r="A485" t="str">
            <v>funderCont</v>
          </cell>
          <cell r="B485" t="str">
            <v>Funder contact ID</v>
          </cell>
        </row>
        <row r="486">
          <cell r="A486" t="str">
            <v>funderID</v>
          </cell>
          <cell r="B486" t="str">
            <v>Funding agency ID</v>
          </cell>
        </row>
        <row r="487">
          <cell r="A487" t="str">
            <v>g215c</v>
          </cell>
          <cell r="B487" t="str">
            <v>g215c delta-variant gene target</v>
          </cell>
        </row>
        <row r="488">
          <cell r="A488" t="str">
            <v>g2rG</v>
          </cell>
          <cell r="B488" t="str">
            <v>Mpox G2R-G Gene Target</v>
          </cell>
        </row>
        <row r="489">
          <cell r="A489" t="str">
            <v>g2rWA</v>
          </cell>
          <cell r="B489" t="str">
            <v>Clade II Mpox G2R-WA Gene Target</v>
          </cell>
        </row>
        <row r="490">
          <cell r="A490" t="str">
            <v>g339d</v>
          </cell>
          <cell r="B490" t="str">
            <v>g339d omicron-variant gene target</v>
          </cell>
        </row>
        <row r="491">
          <cell r="A491" t="str">
            <v>g496s</v>
          </cell>
          <cell r="B491" t="str">
            <v>g496s omicron-variant gene target</v>
          </cell>
        </row>
        <row r="492">
          <cell r="A492" t="str">
            <v>g662s</v>
          </cell>
          <cell r="B492" t="str">
            <v>g662s delta-variant gene target</v>
          </cell>
        </row>
        <row r="493">
          <cell r="A493" t="str">
            <v>gam</v>
          </cell>
          <cell r="B493" t="str">
            <v>Gamma</v>
          </cell>
        </row>
        <row r="494">
          <cell r="A494" t="str">
            <v>gas</v>
          </cell>
          <cell r="B494" t="str">
            <v>Gas class</v>
          </cell>
        </row>
        <row r="495">
          <cell r="A495" t="str">
            <v>gc</v>
          </cell>
          <cell r="B495" t="str">
            <v>Gene copies</v>
          </cell>
        </row>
        <row r="496">
          <cell r="A496" t="str">
            <v>gcCrA</v>
          </cell>
          <cell r="B496" t="str">
            <v>Gene copies per copy of crAssphage</v>
          </cell>
        </row>
        <row r="497">
          <cell r="A497" t="str">
            <v>gcD100</v>
          </cell>
          <cell r="B497" t="str">
            <v>gene copies per day per 100,000</v>
          </cell>
        </row>
        <row r="498">
          <cell r="A498" t="str">
            <v>gCGS</v>
          </cell>
          <cell r="B498" t="str">
            <v>Gene copies per gram solids</v>
          </cell>
        </row>
        <row r="499">
          <cell r="A499" t="str">
            <v>gcL</v>
          </cell>
          <cell r="B499" t="str">
            <v>Gene copies per L</v>
          </cell>
        </row>
        <row r="500">
          <cell r="A500" t="str">
            <v>gcMl</v>
          </cell>
          <cell r="B500" t="str">
            <v>Gene copies per mL</v>
          </cell>
        </row>
        <row r="501">
          <cell r="A501" t="str">
            <v>gcPpmov</v>
          </cell>
          <cell r="B501" t="str">
            <v>Gene copies per PMMoV copy</v>
          </cell>
        </row>
        <row r="502">
          <cell r="A502" t="str">
            <v>genBank</v>
          </cell>
          <cell r="B502" t="str">
            <v>GenBank Archives</v>
          </cell>
        </row>
        <row r="503">
          <cell r="A503" t="str">
            <v>genComplete</v>
          </cell>
          <cell r="B503" t="str">
            <v>genome completeness</v>
          </cell>
        </row>
        <row r="504">
          <cell r="A504" t="str">
            <v>geneticUnitSet</v>
          </cell>
          <cell r="B504" t="str">
            <v>Genetics unit set</v>
          </cell>
        </row>
        <row r="505">
          <cell r="A505" t="str">
            <v>genMissingnessSet</v>
          </cell>
          <cell r="B505" t="str">
            <v>General missingness set</v>
          </cell>
        </row>
        <row r="506">
          <cell r="A506" t="str">
            <v>genQualitySet</v>
          </cell>
          <cell r="B506" t="str">
            <v>Generic quality flag set</v>
          </cell>
        </row>
        <row r="507">
          <cell r="A507" t="str">
            <v>geoEPSG</v>
          </cell>
          <cell r="B507" t="str">
            <v>European Petroleum Survey Group Coordinates</v>
          </cell>
        </row>
        <row r="508">
          <cell r="A508" t="str">
            <v>geoLat</v>
          </cell>
          <cell r="B508" t="str">
            <v>Latitude</v>
          </cell>
        </row>
        <row r="509">
          <cell r="A509" t="str">
            <v>geoLong</v>
          </cell>
          <cell r="B509" t="str">
            <v>Longitude</v>
          </cell>
        </row>
        <row r="510">
          <cell r="A510" t="str">
            <v>geoType</v>
          </cell>
          <cell r="B510" t="str">
            <v>Type of geography</v>
          </cell>
        </row>
        <row r="511">
          <cell r="A511" t="str">
            <v>geoTypeSet</v>
          </cell>
          <cell r="B511" t="str">
            <v>Geographic set</v>
          </cell>
        </row>
        <row r="512">
          <cell r="A512" t="str">
            <v>geoWKT</v>
          </cell>
          <cell r="B512" t="str">
            <v>Well-known text</v>
          </cell>
        </row>
        <row r="513">
          <cell r="A513" t="str">
            <v>gfdl13</v>
          </cell>
          <cell r="B513" t="str">
            <v>GNU Free Documentation License v1.3</v>
          </cell>
        </row>
        <row r="514">
          <cell r="A514" t="str">
            <v>gisaid</v>
          </cell>
          <cell r="B514" t="str">
            <v>Global Initiative on Sharing All Influenza Data (GISAID) archives</v>
          </cell>
        </row>
        <row r="515">
          <cell r="A515" t="str">
            <v>github</v>
          </cell>
          <cell r="B515" t="str">
            <v>GitHub</v>
          </cell>
        </row>
        <row r="516">
          <cell r="A516" t="str">
            <v>gkg</v>
          </cell>
          <cell r="B516" t="str">
            <v>Gram per kilogram</v>
          </cell>
        </row>
        <row r="517">
          <cell r="A517" t="str">
            <v>gL</v>
          </cell>
          <cell r="B517" t="str">
            <v>Gram per liter</v>
          </cell>
        </row>
        <row r="518">
          <cell r="A518" t="str">
            <v>gm3</v>
          </cell>
          <cell r="B518" t="str">
            <v>Gram per cubic metre</v>
          </cell>
        </row>
        <row r="519">
          <cell r="A519" t="str">
            <v>gmn</v>
          </cell>
          <cell r="B519" t="str">
            <v>Geometric mean</v>
          </cell>
        </row>
        <row r="520">
          <cell r="A520" t="str">
            <v>gNgTS</v>
          </cell>
          <cell r="B520" t="str">
            <v>Nitrogen per total solids</v>
          </cell>
        </row>
        <row r="521">
          <cell r="A521" t="str">
            <v>gonococcusGrp</v>
          </cell>
          <cell r="B521" t="str">
            <v>Gonococcus Group</v>
          </cell>
        </row>
        <row r="522">
          <cell r="A522" t="str">
            <v>govt</v>
          </cell>
          <cell r="B522" t="str">
            <v>Government agency</v>
          </cell>
        </row>
        <row r="523">
          <cell r="A523" t="str">
            <v>gPergTS</v>
          </cell>
          <cell r="B523" t="str">
            <v>Grams per total solids</v>
          </cell>
        </row>
        <row r="524">
          <cell r="A524" t="str">
            <v>gpl20</v>
          </cell>
          <cell r="B524" t="str">
            <v>GNU General Public License v2.0</v>
          </cell>
        </row>
        <row r="525">
          <cell r="A525" t="str">
            <v>gpl30</v>
          </cell>
          <cell r="B525" t="str">
            <v>GNU General Public License v3.0</v>
          </cell>
        </row>
        <row r="526">
          <cell r="A526" t="str">
            <v>gPO43gTS</v>
          </cell>
          <cell r="B526" t="str">
            <v>Orthophosphate per total solids</v>
          </cell>
        </row>
        <row r="527">
          <cell r="A527" t="str">
            <v>gPO4PgTS</v>
          </cell>
          <cell r="B527" t="str">
            <v>Orthophosphate as phosphorus per total solids</v>
          </cell>
        </row>
        <row r="528">
          <cell r="A528" t="str">
            <v>grams</v>
          </cell>
          <cell r="B528" t="str">
            <v>Grams</v>
          </cell>
        </row>
        <row r="529">
          <cell r="A529" t="str">
            <v>graSet</v>
          </cell>
          <cell r="B529" t="str">
            <v>Gravity settling</v>
          </cell>
        </row>
        <row r="530">
          <cell r="A530" t="str">
            <v>grb</v>
          </cell>
          <cell r="B530" t="str">
            <v>Grab sample</v>
          </cell>
        </row>
        <row r="531">
          <cell r="A531" t="str">
            <v>gromstole</v>
          </cell>
          <cell r="B531" t="str">
            <v>Gromstole 1.0 Script</v>
          </cell>
        </row>
        <row r="532">
          <cell r="A532" t="str">
            <v>group</v>
          </cell>
          <cell r="B532" t="str">
            <v>Group</v>
          </cell>
        </row>
        <row r="533">
          <cell r="A533" t="str">
            <v>groups</v>
          </cell>
          <cell r="B533" t="str">
            <v>Groups</v>
          </cell>
        </row>
        <row r="534">
          <cell r="A534" t="str">
            <v>gsa</v>
          </cell>
          <cell r="B534" t="str">
            <v>Genome Sequence Archive (GSA)</v>
          </cell>
        </row>
        <row r="535">
          <cell r="A535" t="str">
            <v>gtmolMPox</v>
          </cell>
          <cell r="B535" t="str">
            <v>Mpox GT Molecular Gene Target</v>
          </cell>
        </row>
        <row r="536">
          <cell r="A536" t="str">
            <v>h5hema</v>
          </cell>
          <cell r="B536" t="str">
            <v xml:space="preserve">Influenza A H5 hemagglutinin gene </v>
          </cell>
        </row>
        <row r="537">
          <cell r="A537" t="str">
            <v>h5n1</v>
          </cell>
          <cell r="B537" t="str">
            <v xml:space="preserve">H5N1 avian influenza A virus (IAV) </v>
          </cell>
        </row>
        <row r="538">
          <cell r="A538" t="str">
            <v>haemophilusGrp</v>
          </cell>
          <cell r="B538" t="str">
            <v>Haemophilus Group</v>
          </cell>
        </row>
        <row r="539">
          <cell r="A539" t="str">
            <v>hAg</v>
          </cell>
          <cell r="B539" t="str">
            <v>See Header for Aggregation</v>
          </cell>
        </row>
        <row r="540">
          <cell r="A540" t="str">
            <v>hCo</v>
          </cell>
          <cell r="B540" t="str">
            <v xml:space="preserve">See Header for Compartment </v>
          </cell>
        </row>
        <row r="541">
          <cell r="A541" t="str">
            <v>hDucreyi</v>
          </cell>
          <cell r="B541" t="str">
            <v>Haemophilus ducreyi</v>
          </cell>
        </row>
        <row r="542">
          <cell r="A542" t="str">
            <v>header</v>
          </cell>
          <cell r="B542" t="str">
            <v>Header</v>
          </cell>
        </row>
        <row r="543">
          <cell r="A543" t="str">
            <v>healthAdm</v>
          </cell>
          <cell r="B543" t="str">
            <v>Health administration or planning agency</v>
          </cell>
        </row>
        <row r="544">
          <cell r="A544" t="str">
            <v>healthRegion</v>
          </cell>
          <cell r="B544" t="str">
            <v>Health Region for a Site</v>
          </cell>
        </row>
        <row r="545">
          <cell r="A545" t="str">
            <v>heatInacSARS</v>
          </cell>
          <cell r="B545" t="str">
            <v>Heat inactivated sars-cov-2 virus spike target</v>
          </cell>
        </row>
        <row r="546">
          <cell r="A546" t="str">
            <v>hepA</v>
          </cell>
          <cell r="B546" t="str">
            <v>Hepatitis A</v>
          </cell>
        </row>
        <row r="547">
          <cell r="A547" t="str">
            <v>hepB</v>
          </cell>
          <cell r="B547" t="str">
            <v>Hepatitis B</v>
          </cell>
        </row>
        <row r="548">
          <cell r="A548" t="str">
            <v>hepC</v>
          </cell>
          <cell r="B548" t="str">
            <v>Hepatitis C</v>
          </cell>
        </row>
        <row r="549">
          <cell r="A549" t="str">
            <v>hepE</v>
          </cell>
          <cell r="B549" t="str">
            <v>Hepatitis E</v>
          </cell>
        </row>
        <row r="550">
          <cell r="A550" t="str">
            <v>hepGRna</v>
          </cell>
          <cell r="B550" t="str">
            <v>hep g armored rna</v>
          </cell>
        </row>
        <row r="551">
          <cell r="A551" t="str">
            <v>hepGRnaMat</v>
          </cell>
          <cell r="B551" t="str">
            <v>hep g armored rna spike target</v>
          </cell>
        </row>
        <row r="552">
          <cell r="A552" t="str">
            <v>hepGrp</v>
          </cell>
          <cell r="B552" t="str">
            <v>Hepatitis Group</v>
          </cell>
        </row>
        <row r="553">
          <cell r="A553" t="str">
            <v>herpesGrp</v>
          </cell>
          <cell r="B553" t="str">
            <v>Herpes Virus Group</v>
          </cell>
        </row>
        <row r="554">
          <cell r="A554" t="str">
            <v>hf183</v>
          </cell>
          <cell r="B554" t="str">
            <v>HF183 Bacteriodes 16S</v>
          </cell>
        </row>
        <row r="555">
          <cell r="A555" t="str">
            <v>hFr</v>
          </cell>
          <cell r="B555" t="str">
            <v>See Header for Fraction Analyzed</v>
          </cell>
        </row>
        <row r="556">
          <cell r="A556" t="str">
            <v>hiaa5</v>
          </cell>
          <cell r="B556" t="str">
            <v xml:space="preserve"> 5-hydroxyindoleacetic acid (5-HIAA)</v>
          </cell>
        </row>
        <row r="557">
          <cell r="A557" t="str">
            <v>high</v>
          </cell>
          <cell r="B557" t="str">
            <v>High severity</v>
          </cell>
        </row>
        <row r="558">
          <cell r="A558" t="str">
            <v>hInfluenzae</v>
          </cell>
          <cell r="B558" t="str">
            <v>Haemophilus influenzae</v>
          </cell>
        </row>
        <row r="559">
          <cell r="A559" t="str">
            <v>hiv</v>
          </cell>
          <cell r="B559" t="str">
            <v>Human Immunodeficiency Virus (HIV)</v>
          </cell>
        </row>
        <row r="560">
          <cell r="A560" t="str">
            <v>hivGrp</v>
          </cell>
          <cell r="B560" t="str">
            <v>HIV Group</v>
          </cell>
        </row>
        <row r="561">
          <cell r="A561" t="str">
            <v>hlthReg</v>
          </cell>
          <cell r="B561" t="str">
            <v>Sewer Network Health Region</v>
          </cell>
        </row>
        <row r="562">
          <cell r="A562" t="str">
            <v>hma</v>
          </cell>
          <cell r="B562" t="str">
            <v>Hand Measurement</v>
          </cell>
        </row>
        <row r="563">
          <cell r="A563" t="str">
            <v>hMe</v>
          </cell>
          <cell r="B563" t="str">
            <v>See Header for Measure</v>
          </cell>
        </row>
        <row r="564">
          <cell r="A564" t="str">
            <v>hmpv</v>
          </cell>
          <cell r="B564" t="str">
            <v xml:space="preserve">Human Metapneumovirus (HMPV) </v>
          </cell>
        </row>
        <row r="565">
          <cell r="A565" t="str">
            <v>hollowFiberUF</v>
          </cell>
          <cell r="B565" t="str">
            <v>Hollow fiber dead end ultrafiltration</v>
          </cell>
        </row>
        <row r="566">
          <cell r="A566" t="str">
            <v>hosa</v>
          </cell>
          <cell r="B566" t="str">
            <v>General Hospital Admissions</v>
          </cell>
        </row>
        <row r="567">
          <cell r="A567" t="str">
            <v>hosc</v>
          </cell>
          <cell r="B567" t="str">
            <v>Hospital Census</v>
          </cell>
        </row>
        <row r="568">
          <cell r="A568" t="str">
            <v>hosptl</v>
          </cell>
          <cell r="B568" t="str">
            <v>Hospital</v>
          </cell>
        </row>
        <row r="569">
          <cell r="A569" t="str">
            <v>hoTaWa</v>
          </cell>
          <cell r="B569" t="str">
            <v>Holding tank wastewater depreciated</v>
          </cell>
        </row>
        <row r="570">
          <cell r="A570" t="str">
            <v>hours</v>
          </cell>
          <cell r="B570" t="str">
            <v>Hours</v>
          </cell>
        </row>
        <row r="571">
          <cell r="A571" t="str">
            <v>hpiv</v>
          </cell>
          <cell r="B571" t="str">
            <v>Human Parainfluenza Virus (HPIV)</v>
          </cell>
        </row>
        <row r="572">
          <cell r="A572" t="str">
            <v>hpv</v>
          </cell>
          <cell r="B572" t="str">
            <v>Human Papiloma Virus (HPV)</v>
          </cell>
        </row>
        <row r="573">
          <cell r="A573" t="str">
            <v>hrv</v>
          </cell>
          <cell r="B573" t="str">
            <v>Human Rhinovirus (HRV)</v>
          </cell>
        </row>
        <row r="574">
          <cell r="A574" t="str">
            <v>hrvA</v>
          </cell>
          <cell r="B574" t="str">
            <v>Human Rhinovirus (HRV) A</v>
          </cell>
        </row>
        <row r="575">
          <cell r="A575" t="str">
            <v>hrvB</v>
          </cell>
          <cell r="B575" t="str">
            <v>Human Rhinovirus (HRV) B</v>
          </cell>
        </row>
        <row r="576">
          <cell r="A576" t="str">
            <v>hrvC</v>
          </cell>
          <cell r="B576" t="str">
            <v>Human Rhinovirus (HRV) C</v>
          </cell>
        </row>
        <row r="577">
          <cell r="A577" t="str">
            <v>hrvGrp</v>
          </cell>
          <cell r="B577" t="str">
            <v>Rhinovirus Group</v>
          </cell>
        </row>
        <row r="578">
          <cell r="A578" t="str">
            <v>hSp</v>
          </cell>
          <cell r="B578" t="str">
            <v>See Header for Specimen</v>
          </cell>
        </row>
        <row r="579">
          <cell r="A579" t="str">
            <v>hsv</v>
          </cell>
          <cell r="B579" t="str">
            <v>Herpes Simplex Virus</v>
          </cell>
        </row>
        <row r="580">
          <cell r="A580" t="str">
            <v>htSam</v>
          </cell>
          <cell r="B580" t="str">
            <v>Holding tank wastewater</v>
          </cell>
        </row>
        <row r="581">
          <cell r="A581" t="str">
            <v>htSite</v>
          </cell>
          <cell r="B581" t="str">
            <v>Holding tank</v>
          </cell>
        </row>
        <row r="582">
          <cell r="A582" t="str">
            <v>hum</v>
          </cell>
          <cell r="B582" t="str">
            <v>Human compartment</v>
          </cell>
        </row>
        <row r="583">
          <cell r="A583" t="str">
            <v>humanCompartmentSet</v>
          </cell>
          <cell r="B583" t="str">
            <v>Human compartment set</v>
          </cell>
        </row>
        <row r="584">
          <cell r="A584" t="str">
            <v>humid</v>
          </cell>
          <cell r="B584" t="str">
            <v>Humidity class</v>
          </cell>
        </row>
        <row r="585">
          <cell r="A585" t="str">
            <v>hUn</v>
          </cell>
          <cell r="B585" t="str">
            <v>See Header for Unit</v>
          </cell>
        </row>
        <row r="586">
          <cell r="A586" t="str">
            <v>i1566v</v>
          </cell>
          <cell r="B586" t="str">
            <v>i1566v omicron-variant gene target</v>
          </cell>
        </row>
        <row r="587">
          <cell r="A587" t="str">
            <v>i3758v</v>
          </cell>
          <cell r="B587" t="str">
            <v>i3758v omicron-variant gene target</v>
          </cell>
        </row>
        <row r="588">
          <cell r="A588" t="str">
            <v>i82t</v>
          </cell>
          <cell r="B588" t="str">
            <v>i82t delta-variant gene target</v>
          </cell>
        </row>
        <row r="589">
          <cell r="A589" t="str">
            <v>iavM</v>
          </cell>
          <cell r="B589" t="str">
            <v>Influenza A M gene</v>
          </cell>
        </row>
        <row r="590">
          <cell r="A590" t="str">
            <v>ibu</v>
          </cell>
          <cell r="B590" t="str">
            <v>Ibuprofen</v>
          </cell>
        </row>
        <row r="591">
          <cell r="A591" t="str">
            <v>icd</v>
          </cell>
          <cell r="B591" t="str">
            <v>International Classification of Diseases</v>
          </cell>
        </row>
        <row r="592">
          <cell r="A592" t="str">
            <v>icu</v>
          </cell>
          <cell r="B592" t="str">
            <v>Intensive care unit patients</v>
          </cell>
        </row>
        <row r="593">
          <cell r="A593" t="str">
            <v>in</v>
          </cell>
          <cell r="B593" t="str">
            <v>Instrument table Shorthand</v>
          </cell>
        </row>
        <row r="594">
          <cell r="A594" t="str">
            <v>inch</v>
          </cell>
          <cell r="B594" t="str">
            <v>Inch</v>
          </cell>
        </row>
        <row r="595">
          <cell r="A595" t="str">
            <v>index</v>
          </cell>
          <cell r="B595" t="str">
            <v>Index</v>
          </cell>
        </row>
        <row r="596">
          <cell r="A596" t="str">
            <v>indusIn</v>
          </cell>
          <cell r="B596" t="str">
            <v>Industrial input</v>
          </cell>
        </row>
        <row r="597">
          <cell r="A597" t="str">
            <v>influEqui</v>
          </cell>
          <cell r="B597" t="str">
            <v>Influent equilibration</v>
          </cell>
        </row>
        <row r="598">
          <cell r="A598" t="str">
            <v>inhibitionSet</v>
          </cell>
          <cell r="B598" t="str">
            <v>Inhibition set</v>
          </cell>
        </row>
        <row r="599">
          <cell r="A599" t="str">
            <v>inhibMe</v>
          </cell>
          <cell r="B599" t="str">
            <v>Inhibition measure</v>
          </cell>
        </row>
        <row r="600">
          <cell r="A600" t="str">
            <v>inhibMeth</v>
          </cell>
          <cell r="B600" t="str">
            <v>Inhibition method</v>
          </cell>
        </row>
        <row r="601">
          <cell r="A601" t="str">
            <v>innovaprepUF</v>
          </cell>
          <cell r="B601" t="str">
            <v>Innovaprep ultrafiltration</v>
          </cell>
        </row>
        <row r="602">
          <cell r="A602" t="str">
            <v>input</v>
          </cell>
          <cell r="B602" t="str">
            <v>Input</v>
          </cell>
        </row>
        <row r="603">
          <cell r="A603" t="str">
            <v>ins214epe</v>
          </cell>
          <cell r="B603" t="str">
            <v>Omicron Variant ins214epe Insertion</v>
          </cell>
        </row>
        <row r="604">
          <cell r="A604" t="str">
            <v>insdc</v>
          </cell>
          <cell r="B604" t="str">
            <v>International Nucleotide Sequence Database Collaboration (INSDC) Archives</v>
          </cell>
        </row>
        <row r="605">
          <cell r="A605" t="str">
            <v>instrumentID</v>
          </cell>
          <cell r="B605" t="str">
            <v>Instrument ID</v>
          </cell>
        </row>
        <row r="606">
          <cell r="A606" t="str">
            <v>instruments</v>
          </cell>
          <cell r="B606" t="str">
            <v>Instrument table</v>
          </cell>
        </row>
        <row r="607">
          <cell r="A607" t="str">
            <v>instrumentsOrder</v>
          </cell>
          <cell r="B607" t="str">
            <v>Instruments table column order</v>
          </cell>
        </row>
        <row r="608">
          <cell r="A608" t="str">
            <v>instrumentsRequired</v>
          </cell>
          <cell r="B608" t="str">
            <v>Instrutment table required headers</v>
          </cell>
        </row>
        <row r="609">
          <cell r="A609" t="str">
            <v>instrumentTypeOther</v>
          </cell>
          <cell r="B609" t="str">
            <v>Other instrument</v>
          </cell>
        </row>
        <row r="610">
          <cell r="A610" t="str">
            <v>insType</v>
          </cell>
          <cell r="B610" t="str">
            <v>Instrument Type</v>
          </cell>
        </row>
        <row r="611">
          <cell r="A611" t="str">
            <v>insTypeOth</v>
          </cell>
          <cell r="B611" t="str">
            <v>Describe other instrument type, if applicable</v>
          </cell>
        </row>
        <row r="612">
          <cell r="A612" t="str">
            <v>insTypeSet</v>
          </cell>
          <cell r="B612" t="str">
            <v>Instrument set</v>
          </cell>
        </row>
        <row r="613">
          <cell r="A613" t="str">
            <v>intAMRGrp</v>
          </cell>
          <cell r="B613" t="str">
            <v>Integrase Anti-microbial resistance Group</v>
          </cell>
        </row>
        <row r="614">
          <cell r="A614" t="str">
            <v>integer</v>
          </cell>
          <cell r="B614" t="str">
            <v>Integer data type</v>
          </cell>
        </row>
        <row r="615">
          <cell r="A615" t="str">
            <v>integraseCl1</v>
          </cell>
          <cell r="B615" t="str">
            <v>Integrase Class I gene target</v>
          </cell>
        </row>
        <row r="616">
          <cell r="A616" t="str">
            <v>inter</v>
          </cell>
          <cell r="B616" t="str">
            <v>Intercept</v>
          </cell>
        </row>
        <row r="617">
          <cell r="A617" t="str">
            <v>internalRef</v>
          </cell>
          <cell r="B617" t="str">
            <v>Internal reference</v>
          </cell>
        </row>
        <row r="618">
          <cell r="A618" t="str">
            <v>internatSurv</v>
          </cell>
          <cell r="B618" t="str">
            <v>International travel hub surveillance</v>
          </cell>
        </row>
        <row r="619">
          <cell r="A619" t="str">
            <v>ip2ip4</v>
          </cell>
          <cell r="B619" t="str">
            <v>Combined ip2 and ip4 sars-cov-2 gene target</v>
          </cell>
        </row>
        <row r="620">
          <cell r="A620" t="str">
            <v>isc</v>
          </cell>
          <cell r="B620" t="str">
            <v>ISC</v>
          </cell>
        </row>
        <row r="621">
          <cell r="A621" t="str">
            <v>iso6391</v>
          </cell>
          <cell r="B621" t="str">
            <v>ISO639-1</v>
          </cell>
        </row>
        <row r="622">
          <cell r="A622" t="str">
            <v>iso6392B</v>
          </cell>
          <cell r="B622" t="str">
            <v>ISO639-2B</v>
          </cell>
        </row>
        <row r="623">
          <cell r="A623" t="str">
            <v>iso6392T</v>
          </cell>
          <cell r="B623" t="str">
            <v>ISO639-2T</v>
          </cell>
        </row>
        <row r="624">
          <cell r="A624" t="str">
            <v>iso6393</v>
          </cell>
          <cell r="B624" t="str">
            <v>ISO639-3</v>
          </cell>
        </row>
        <row r="625">
          <cell r="A625" t="str">
            <v>iso6396</v>
          </cell>
          <cell r="B625" t="str">
            <v>ISO639-6</v>
          </cell>
        </row>
        <row r="626">
          <cell r="A626" t="str">
            <v>isoCode</v>
          </cell>
          <cell r="B626" t="str">
            <v>ISO 3166-1 alpha-2 country code</v>
          </cell>
        </row>
        <row r="627">
          <cell r="A627" t="str">
            <v>isoCodeX</v>
          </cell>
          <cell r="B627" t="str">
            <v>ISO 3166-1 alpha-3 country code</v>
          </cell>
        </row>
        <row r="628">
          <cell r="A628" t="str">
            <v>isoZone</v>
          </cell>
          <cell r="B628" t="str">
            <v>ISO 3166-2 code for country sub-domain</v>
          </cell>
        </row>
        <row r="629">
          <cell r="A629" t="str">
            <v>jn17V</v>
          </cell>
          <cell r="B629" t="str">
            <v>JN.1.7 Variant</v>
          </cell>
        </row>
        <row r="630">
          <cell r="A630" t="str">
            <v>jn1V</v>
          </cell>
          <cell r="B630" t="str">
            <v>JN.1 Variant</v>
          </cell>
        </row>
        <row r="631">
          <cell r="A631" t="str">
            <v>k856r</v>
          </cell>
          <cell r="B631" t="str">
            <v>k856r omicron-variant gene target</v>
          </cell>
        </row>
        <row r="632">
          <cell r="A632" t="str">
            <v>kgm3</v>
          </cell>
          <cell r="B632" t="str">
            <v>Kilogram per cubic meter</v>
          </cell>
        </row>
        <row r="633">
          <cell r="A633" t="str">
            <v>kgS</v>
          </cell>
          <cell r="B633" t="str">
            <v>Kilogram per second</v>
          </cell>
        </row>
        <row r="634">
          <cell r="A634" t="str">
            <v>kl</v>
          </cell>
          <cell r="B634" t="str">
            <v>Kilolitres</v>
          </cell>
        </row>
        <row r="635">
          <cell r="A635" t="str">
            <v>klebsiellaGrp</v>
          </cell>
          <cell r="B635" t="str">
            <v>Klebsiella Group</v>
          </cell>
        </row>
        <row r="636">
          <cell r="A636" t="str">
            <v>klebsiellaPneu</v>
          </cell>
          <cell r="B636" t="str">
            <v>Klebsiella pneumoniae</v>
          </cell>
        </row>
        <row r="637">
          <cell r="A637" t="str">
            <v>kp11V</v>
          </cell>
          <cell r="B637" t="str">
            <v>KP.1.1 Variant</v>
          </cell>
        </row>
        <row r="638">
          <cell r="A638" t="str">
            <v>kp1V</v>
          </cell>
          <cell r="B638" t="str">
            <v>KP.1 Variant</v>
          </cell>
        </row>
        <row r="639">
          <cell r="A639" t="str">
            <v>kp2V</v>
          </cell>
          <cell r="B639" t="str">
            <v>KP.2 Variant</v>
          </cell>
        </row>
        <row r="640">
          <cell r="A640" t="str">
            <v>l</v>
          </cell>
          <cell r="B640" t="str">
            <v>Litres</v>
          </cell>
        </row>
        <row r="641">
          <cell r="A641" t="str">
            <v>l24s</v>
          </cell>
          <cell r="B641" t="str">
            <v>Omicron Variant l24s mutation</v>
          </cell>
        </row>
        <row r="642">
          <cell r="A642" t="str">
            <v>l452r</v>
          </cell>
          <cell r="B642" t="str">
            <v>l452r delta-variant gene target</v>
          </cell>
        </row>
        <row r="643">
          <cell r="A643" t="str">
            <v>l455s</v>
          </cell>
          <cell r="B643" t="str">
            <v>L455S Mutation</v>
          </cell>
        </row>
        <row r="644">
          <cell r="A644" t="str">
            <v>l981f</v>
          </cell>
          <cell r="B644" t="str">
            <v>l981f omicron-variant gene target</v>
          </cell>
        </row>
        <row r="645">
          <cell r="A645" t="str">
            <v>la</v>
          </cell>
          <cell r="B645" t="str">
            <v>Language Look-up table Shorthand</v>
          </cell>
        </row>
        <row r="646">
          <cell r="A646" t="str">
            <v>lab</v>
          </cell>
          <cell r="B646" t="str">
            <v>Laboratory</v>
          </cell>
        </row>
        <row r="647">
          <cell r="A647" t="str">
            <v>labDefDep</v>
          </cell>
          <cell r="B647" t="str">
            <v>Lab ID default depricated</v>
          </cell>
        </row>
        <row r="648">
          <cell r="A648" t="str">
            <v>labDuplicate</v>
          </cell>
          <cell r="B648" t="str">
            <v xml:space="preserve">Laboratory duplicate </v>
          </cell>
        </row>
        <row r="649">
          <cell r="A649" t="str">
            <v>label</v>
          </cell>
          <cell r="B649" t="str">
            <v>Label</v>
          </cell>
        </row>
        <row r="650">
          <cell r="A650" t="str">
            <v>labID</v>
          </cell>
          <cell r="B650" t="str">
            <v>Lab ID</v>
          </cell>
        </row>
        <row r="651">
          <cell r="A651" t="str">
            <v>lachno3</v>
          </cell>
          <cell r="B651" t="str">
            <v>Lachnospiraceae (Lachno3)</v>
          </cell>
        </row>
        <row r="652">
          <cell r="A652" t="str">
            <v>lAGC</v>
          </cell>
          <cell r="B652" t="str">
            <v>Low Average Genome Coverage</v>
          </cell>
        </row>
        <row r="653">
          <cell r="A653" t="str">
            <v>lagoon</v>
          </cell>
          <cell r="B653" t="str">
            <v>Lagoon system</v>
          </cell>
        </row>
        <row r="654">
          <cell r="A654" t="str">
            <v>lake</v>
          </cell>
          <cell r="B654" t="str">
            <v>Lake,  natural water body</v>
          </cell>
        </row>
        <row r="655">
          <cell r="A655" t="str">
            <v>lamba</v>
          </cell>
          <cell r="B655" t="str">
            <v>Lambda</v>
          </cell>
        </row>
        <row r="656">
          <cell r="A656" t="str">
            <v>lang</v>
          </cell>
          <cell r="B656" t="str">
            <v>Language ID</v>
          </cell>
        </row>
        <row r="657">
          <cell r="A657" t="str">
            <v>langFam</v>
          </cell>
          <cell r="B657" t="str">
            <v>Language family</v>
          </cell>
        </row>
        <row r="658">
          <cell r="A658" t="str">
            <v>langName</v>
          </cell>
          <cell r="B658" t="str">
            <v>Language name</v>
          </cell>
        </row>
        <row r="659">
          <cell r="A659" t="str">
            <v>langScript</v>
          </cell>
          <cell r="B659" t="str">
            <v>National language script</v>
          </cell>
        </row>
        <row r="660">
          <cell r="A660" t="str">
            <v>languages</v>
          </cell>
          <cell r="B660" t="str">
            <v>Language Look-up table</v>
          </cell>
        </row>
        <row r="661">
          <cell r="A661" t="str">
            <v>languagesOrder</v>
          </cell>
          <cell r="B661" t="str">
            <v>Language table column order</v>
          </cell>
        </row>
        <row r="662">
          <cell r="A662" t="str">
            <v>languagesRequired</v>
          </cell>
          <cell r="B662" t="str">
            <v>Language table required headers</v>
          </cell>
        </row>
        <row r="663">
          <cell r="A663" t="str">
            <v>lastEdited</v>
          </cell>
          <cell r="B663" t="str">
            <v>Last edited</v>
          </cell>
        </row>
        <row r="664">
          <cell r="A664" t="str">
            <v>lastName</v>
          </cell>
          <cell r="B664" t="str">
            <v>Last name of contact</v>
          </cell>
        </row>
        <row r="665">
          <cell r="A665" t="str">
            <v>lastUpdated</v>
          </cell>
          <cell r="B665" t="str">
            <v>Last updated version</v>
          </cell>
        </row>
        <row r="666">
          <cell r="A666" t="str">
            <v>latExp</v>
          </cell>
          <cell r="B666" t="str">
            <v>LaTeX expression</v>
          </cell>
        </row>
        <row r="667">
          <cell r="A667" t="str">
            <v>lBC</v>
          </cell>
          <cell r="B667" t="str">
            <v>Low breadth of coverage</v>
          </cell>
        </row>
        <row r="668">
          <cell r="A668" t="str">
            <v>lcsd</v>
          </cell>
          <cell r="B668" t="str">
            <v>Laboratory control sample duplicate</v>
          </cell>
        </row>
        <row r="669">
          <cell r="A669" t="str">
            <v>lday</v>
          </cell>
          <cell r="B669" t="str">
            <v>Litres per day</v>
          </cell>
        </row>
        <row r="670">
          <cell r="A670" t="str">
            <v>lDC</v>
          </cell>
          <cell r="B670" t="str">
            <v>Low depth of coverage</v>
          </cell>
        </row>
        <row r="671">
          <cell r="A671" t="str">
            <v>leaked</v>
          </cell>
          <cell r="B671" t="str">
            <v>Leaked sample</v>
          </cell>
        </row>
        <row r="672">
          <cell r="A672" t="str">
            <v>legionella</v>
          </cell>
          <cell r="B672" t="str">
            <v>Legionella</v>
          </cell>
        </row>
        <row r="673">
          <cell r="A673" t="str">
            <v>legionellaGrp</v>
          </cell>
          <cell r="B673" t="str">
            <v>Legionella Group</v>
          </cell>
        </row>
        <row r="674">
          <cell r="A674" t="str">
            <v>lentiGrp</v>
          </cell>
          <cell r="B674" t="str">
            <v>Lentivirus Group</v>
          </cell>
        </row>
        <row r="675">
          <cell r="A675" t="str">
            <v>less10</v>
          </cell>
          <cell r="B675" t="str">
            <v>&lt;10 people</v>
          </cell>
        </row>
        <row r="676">
          <cell r="A676" t="str">
            <v>less100</v>
          </cell>
          <cell r="B676" t="str">
            <v>10 - 100 people</v>
          </cell>
        </row>
        <row r="677">
          <cell r="A677" t="str">
            <v>less100k</v>
          </cell>
          <cell r="B677" t="str">
            <v>10,000 - 100,000 people</v>
          </cell>
        </row>
        <row r="678">
          <cell r="A678" t="str">
            <v>less10k</v>
          </cell>
          <cell r="B678" t="str">
            <v>1,000 - 10,000 people</v>
          </cell>
        </row>
        <row r="679">
          <cell r="A679" t="str">
            <v>less1k</v>
          </cell>
          <cell r="B679" t="str">
            <v>100 - 1,000 people</v>
          </cell>
        </row>
        <row r="680">
          <cell r="A680" t="str">
            <v>less1mil</v>
          </cell>
          <cell r="B680" t="str">
            <v>100,000 -  1,000,000 people</v>
          </cell>
        </row>
        <row r="681">
          <cell r="A681" t="str">
            <v>lgpl21</v>
          </cell>
          <cell r="B681" t="str">
            <v>GNU Lesser General Public License v2.1</v>
          </cell>
        </row>
        <row r="682">
          <cell r="A682" t="str">
            <v>lgpl30</v>
          </cell>
          <cell r="B682" t="str">
            <v>GNU Lesser General Public License v3.0</v>
          </cell>
        </row>
        <row r="683">
          <cell r="A683" t="str">
            <v>lhour</v>
          </cell>
          <cell r="B683" t="str">
            <v>Liter per hour</v>
          </cell>
        </row>
        <row r="684">
          <cell r="A684" t="str">
            <v>li</v>
          </cell>
          <cell r="B684" t="str">
            <v>Link</v>
          </cell>
        </row>
        <row r="685">
          <cell r="A685" t="str">
            <v>license</v>
          </cell>
          <cell r="B685" t="str">
            <v>License</v>
          </cell>
        </row>
        <row r="686">
          <cell r="A686" t="str">
            <v>licSet</v>
          </cell>
          <cell r="B686" t="str">
            <v>Data license set</v>
          </cell>
        </row>
        <row r="687">
          <cell r="A687" t="str">
            <v>linearAggrSet</v>
          </cell>
          <cell r="B687" t="str">
            <v>Linear scale aggregation set</v>
          </cell>
        </row>
        <row r="688">
          <cell r="A688" t="str">
            <v>liq</v>
          </cell>
          <cell r="B688" t="str">
            <v>Liquid fraction</v>
          </cell>
        </row>
        <row r="689">
          <cell r="A689" t="str">
            <v>liquid</v>
          </cell>
          <cell r="B689" t="str">
            <v>Liquid/Supernatant retained</v>
          </cell>
        </row>
        <row r="690">
          <cell r="A690" t="str">
            <v>listeria</v>
          </cell>
          <cell r="B690" t="str">
            <v>Listeria</v>
          </cell>
        </row>
        <row r="691">
          <cell r="A691" t="str">
            <v>listeriaGrp</v>
          </cell>
          <cell r="B691" t="str">
            <v>Listeria Group</v>
          </cell>
        </row>
        <row r="692">
          <cell r="A692" t="str">
            <v>lists</v>
          </cell>
          <cell r="B692" t="str">
            <v>List worksheet</v>
          </cell>
        </row>
        <row r="693">
          <cell r="A693" t="str">
            <v>listSet</v>
          </cell>
          <cell r="B693" t="str">
            <v>List set</v>
          </cell>
        </row>
        <row r="694">
          <cell r="A694" t="str">
            <v>lmin</v>
          </cell>
          <cell r="B694" t="str">
            <v>Liter per minute</v>
          </cell>
        </row>
        <row r="695">
          <cell r="A695" t="str">
            <v>localHA</v>
          </cell>
          <cell r="B695" t="str">
            <v>Access to local ha</v>
          </cell>
        </row>
        <row r="696">
          <cell r="A696" t="str">
            <v>lod</v>
          </cell>
          <cell r="B696" t="str">
            <v>Limit of detection (LOD)</v>
          </cell>
        </row>
        <row r="697">
          <cell r="A697" t="str">
            <v>lodSewa</v>
          </cell>
          <cell r="B697" t="str">
            <v>Limit of detection (LOD) - sewage</v>
          </cell>
        </row>
        <row r="698">
          <cell r="A698" t="str">
            <v>log10cpG</v>
          </cell>
          <cell r="B698" t="str">
            <v>log10 gene copies per g</v>
          </cell>
        </row>
        <row r="699">
          <cell r="A699" t="str">
            <v>log10cpL</v>
          </cell>
          <cell r="B699" t="str">
            <v>log10 gene copies per L</v>
          </cell>
        </row>
        <row r="700">
          <cell r="A700" t="str">
            <v>log10cpml</v>
          </cell>
          <cell r="B700" t="str">
            <v>log10 gene copies per mL</v>
          </cell>
        </row>
        <row r="701">
          <cell r="A701" t="str">
            <v>log10gc100mL</v>
          </cell>
          <cell r="B701" t="str">
            <v>Log10 gene copies per 100 milliliter</v>
          </cell>
        </row>
        <row r="702">
          <cell r="A702" t="str">
            <v>log10gcngDNA</v>
          </cell>
          <cell r="B702" t="str">
            <v>Log10 gene copies per nanogram total DNA</v>
          </cell>
        </row>
        <row r="703">
          <cell r="A703" t="str">
            <v>log10ugG</v>
          </cell>
          <cell r="B703" t="str">
            <v>log10 micrograms per g</v>
          </cell>
        </row>
        <row r="704">
          <cell r="A704" t="str">
            <v>log10ugL</v>
          </cell>
          <cell r="B704" t="str">
            <v>log10 micrograms per L</v>
          </cell>
        </row>
        <row r="705">
          <cell r="A705" t="str">
            <v>logAggrSet</v>
          </cell>
          <cell r="B705" t="str">
            <v>Logarithmic scale aggregation set</v>
          </cell>
        </row>
        <row r="706">
          <cell r="A706" t="str">
            <v>longSurv</v>
          </cell>
          <cell r="B706" t="str">
            <v>Longitudinal, repeat sampling surveillance program</v>
          </cell>
        </row>
        <row r="707">
          <cell r="A707" t="str">
            <v>lookup</v>
          </cell>
          <cell r="B707" t="str">
            <v>Dictionary tables</v>
          </cell>
        </row>
        <row r="708">
          <cell r="A708" t="str">
            <v>loq</v>
          </cell>
          <cell r="B708" t="str">
            <v>Limit of quantification (LOQ)</v>
          </cell>
        </row>
        <row r="709">
          <cell r="A709" t="str">
            <v>low</v>
          </cell>
          <cell r="B709" t="str">
            <v>Low severity</v>
          </cell>
        </row>
        <row r="710">
          <cell r="A710" t="str">
            <v>lowCovMut</v>
          </cell>
          <cell r="B710" t="str">
            <v>Low Coverage of Characteristic Mutations</v>
          </cell>
        </row>
        <row r="711">
          <cell r="A711" t="str">
            <v>lowerCI95</v>
          </cell>
          <cell r="B711" t="str">
            <v>Lower limit of a 95% confidence interval</v>
          </cell>
        </row>
        <row r="712">
          <cell r="A712" t="str">
            <v>lowQualSeq</v>
          </cell>
          <cell r="B712" t="str">
            <v>Low-quality Sequence</v>
          </cell>
        </row>
        <row r="713">
          <cell r="A713" t="str">
            <v>lowSNRatio</v>
          </cell>
          <cell r="B713" t="str">
            <v>Low Signal-to-Noise Ratio</v>
          </cell>
        </row>
        <row r="714">
          <cell r="A714" t="str">
            <v>lowVol</v>
          </cell>
          <cell r="B714" t="str">
            <v>Low-volume sample</v>
          </cell>
        </row>
        <row r="715">
          <cell r="A715" t="str">
            <v>lPGC</v>
          </cell>
          <cell r="B715" t="str">
            <v>Low Percent of Genome Captured</v>
          </cell>
        </row>
        <row r="716">
          <cell r="A716" t="str">
            <v>lppa24s</v>
          </cell>
          <cell r="B716" t="str">
            <v>Omicron Variant LPPA24S mutation</v>
          </cell>
        </row>
        <row r="717">
          <cell r="A717" t="str">
            <v>lppl13c</v>
          </cell>
          <cell r="B717" t="str">
            <v>LaTeX Project Public License v1.3c</v>
          </cell>
        </row>
        <row r="718">
          <cell r="A718" t="str">
            <v>lsec</v>
          </cell>
          <cell r="B718" t="str">
            <v>Liter per second</v>
          </cell>
        </row>
        <row r="719">
          <cell r="A719" t="str">
            <v>ltcf</v>
          </cell>
          <cell r="B719" t="str">
            <v>Long-term care facility</v>
          </cell>
        </row>
        <row r="720">
          <cell r="A720" t="str">
            <v>ltcfAl</v>
          </cell>
          <cell r="B720" t="str">
            <v>Long-term care - assisted living or retirement home</v>
          </cell>
        </row>
        <row r="721">
          <cell r="A721" t="str">
            <v>ltcfO</v>
          </cell>
          <cell r="B721" t="str">
            <v>Other long-term care</v>
          </cell>
        </row>
        <row r="722">
          <cell r="A722" t="str">
            <v>ltDpcr</v>
          </cell>
          <cell r="B722" t="str">
            <v>Life technologies digital PCR</v>
          </cell>
        </row>
        <row r="723">
          <cell r="A723" t="str">
            <v>luminWWExtract</v>
          </cell>
          <cell r="B723" t="str">
            <v>luminultra wastewater extraction kit</v>
          </cell>
        </row>
        <row r="724">
          <cell r="A724" t="str">
            <v>lysi</v>
          </cell>
          <cell r="B724" t="str">
            <v>Lysis buffer</v>
          </cell>
        </row>
        <row r="725">
          <cell r="A725" t="str">
            <v>m3D</v>
          </cell>
          <cell r="B725" t="str">
            <v>Cubic metres per day</v>
          </cell>
        </row>
        <row r="726">
          <cell r="A726" t="str">
            <v>m3H</v>
          </cell>
          <cell r="B726" t="str">
            <v>Cubic metres per hour</v>
          </cell>
        </row>
        <row r="727">
          <cell r="A727" t="str">
            <v>m3min</v>
          </cell>
          <cell r="B727" t="str">
            <v>Cubic meter per minute</v>
          </cell>
        </row>
        <row r="728">
          <cell r="A728" t="str">
            <v>m3S</v>
          </cell>
          <cell r="B728" t="str">
            <v>Cubic metres per second</v>
          </cell>
        </row>
        <row r="729">
          <cell r="A729" t="str">
            <v>malariaGrp</v>
          </cell>
          <cell r="B729" t="str">
            <v>Plasmodium or Malaria Group</v>
          </cell>
        </row>
        <row r="730">
          <cell r="A730" t="str">
            <v>manComp</v>
          </cell>
          <cell r="B730" t="str">
            <v>Manual Composite Sample</v>
          </cell>
        </row>
        <row r="731">
          <cell r="A731" t="str">
            <v>manufacturer</v>
          </cell>
          <cell r="B731" t="str">
            <v>Manufacturer</v>
          </cell>
        </row>
        <row r="732">
          <cell r="A732" t="str">
            <v>mateLay</v>
          </cell>
          <cell r="B732" t="str">
            <v>Mate pair layout</v>
          </cell>
        </row>
        <row r="733">
          <cell r="A733" t="str">
            <v>maxLength</v>
          </cell>
          <cell r="B733" t="str">
            <v>Maximum length</v>
          </cell>
        </row>
        <row r="734">
          <cell r="A734" t="str">
            <v>maxVal</v>
          </cell>
          <cell r="B734" t="str">
            <v>Maximum value</v>
          </cell>
        </row>
        <row r="735">
          <cell r="A735" t="str">
            <v>maxValue</v>
          </cell>
          <cell r="B735" t="str">
            <v>Maximum value part support</v>
          </cell>
        </row>
        <row r="736">
          <cell r="A736" t="str">
            <v>ntcFlag</v>
          </cell>
          <cell r="B736" t="str">
            <v>Control-plate Flag - NTCs</v>
          </cell>
        </row>
        <row r="737">
          <cell r="A737" t="str">
            <v>mcr11</v>
          </cell>
          <cell r="B737" t="str">
            <v>MCR-1.1 Colistin-resistence gene target</v>
          </cell>
        </row>
        <row r="738">
          <cell r="A738" t="str">
            <v>me</v>
          </cell>
          <cell r="B738" t="str">
            <v>Arithmetic mean</v>
          </cell>
        </row>
        <row r="739">
          <cell r="A739" t="str">
            <v>measGrp</v>
          </cell>
          <cell r="B739" t="str">
            <v>Measurement group</v>
          </cell>
        </row>
        <row r="740">
          <cell r="A740" t="str">
            <v>measles</v>
          </cell>
          <cell r="B740" t="str">
            <v>Measles</v>
          </cell>
        </row>
        <row r="741">
          <cell r="A741" t="str">
            <v>measlesGrp</v>
          </cell>
          <cell r="B741" t="str">
            <v>Measles Group</v>
          </cell>
        </row>
        <row r="742">
          <cell r="A742" t="str">
            <v>measOth</v>
          </cell>
          <cell r="B742" t="str">
            <v>Other Measure</v>
          </cell>
        </row>
        <row r="743">
          <cell r="A743" t="str">
            <v>measQualitySet</v>
          </cell>
          <cell r="B743" t="str">
            <v>Measures quality set</v>
          </cell>
        </row>
        <row r="744">
          <cell r="A744" t="str">
            <v>measure</v>
          </cell>
          <cell r="B744" t="str">
            <v>Measure</v>
          </cell>
        </row>
        <row r="745">
          <cell r="A745" t="str">
            <v>measureInput</v>
          </cell>
          <cell r="B745" t="str">
            <v>Measure input (wide table)</v>
          </cell>
        </row>
        <row r="746">
          <cell r="A746" t="str">
            <v>measureLic</v>
          </cell>
          <cell r="B746" t="str">
            <v>Measure license</v>
          </cell>
        </row>
        <row r="747">
          <cell r="A747" t="str">
            <v>measurements</v>
          </cell>
          <cell r="B747" t="str">
            <v>Measures</v>
          </cell>
        </row>
        <row r="748">
          <cell r="A748" t="str">
            <v>measureName</v>
          </cell>
          <cell r="B748" t="str">
            <v>Measure name (wide table)</v>
          </cell>
        </row>
        <row r="749">
          <cell r="A749" t="str">
            <v>measureRepID</v>
          </cell>
          <cell r="B749" t="str">
            <v>Report ID</v>
          </cell>
        </row>
        <row r="750">
          <cell r="A750" t="str">
            <v>measures</v>
          </cell>
          <cell r="B750" t="str">
            <v>Measure report table</v>
          </cell>
        </row>
        <row r="751">
          <cell r="A751" t="str">
            <v>measureSetRepID</v>
          </cell>
          <cell r="B751" t="str">
            <v>Measure set report set ID</v>
          </cell>
        </row>
        <row r="752">
          <cell r="A752" t="str">
            <v>measureSets</v>
          </cell>
          <cell r="B752" t="str">
            <v>Measure set report table</v>
          </cell>
        </row>
        <row r="753">
          <cell r="A753" t="str">
            <v>measureSetsOrder</v>
          </cell>
          <cell r="B753" t="str">
            <v>Measure sets table column order</v>
          </cell>
        </row>
        <row r="754">
          <cell r="A754" t="str">
            <v>measureSetsRequired</v>
          </cell>
          <cell r="B754" t="str">
            <v>Measure Set table required headers</v>
          </cell>
        </row>
        <row r="755">
          <cell r="A755" t="str">
            <v>measuresOrder</v>
          </cell>
          <cell r="B755" t="str">
            <v>Measures table column order</v>
          </cell>
        </row>
        <row r="756">
          <cell r="A756" t="str">
            <v>measuresRequired</v>
          </cell>
          <cell r="B756" t="str">
            <v>Measures table required headers</v>
          </cell>
        </row>
        <row r="757">
          <cell r="A757" t="str">
            <v>med</v>
          </cell>
          <cell r="B757" t="str">
            <v>Median</v>
          </cell>
        </row>
        <row r="758">
          <cell r="A758" t="str">
            <v>megaB</v>
          </cell>
          <cell r="B758" t="str">
            <v>Mega-bases or Mega-base-pairs</v>
          </cell>
        </row>
        <row r="759">
          <cell r="A759" t="str">
            <v>memMgCl3</v>
          </cell>
          <cell r="B759" t="str">
            <v>membrane filtration with addition of mgcl3</v>
          </cell>
        </row>
        <row r="760">
          <cell r="A760" t="str">
            <v>menr</v>
          </cell>
          <cell r="B760" t="str">
            <v>Normalized arithmetic mean</v>
          </cell>
        </row>
        <row r="761">
          <cell r="A761" t="str">
            <v>meOthDe</v>
          </cell>
          <cell r="B761" t="str">
            <v>Other Measure Description</v>
          </cell>
        </row>
        <row r="762">
          <cell r="A762" t="str">
            <v>meqL</v>
          </cell>
          <cell r="B762" t="str">
            <v>Milliequivalent per liter</v>
          </cell>
        </row>
        <row r="763">
          <cell r="A763" t="str">
            <v>mes</v>
          </cell>
          <cell r="B763" t="str">
            <v>Measures Part-type Shorthand</v>
          </cell>
        </row>
        <row r="764">
          <cell r="A764" t="str">
            <v>met</v>
          </cell>
          <cell r="B764" t="str">
            <v>Methods part-type Shorthand</v>
          </cell>
        </row>
        <row r="765">
          <cell r="A765" t="str">
            <v>metaboliteGrp</v>
          </cell>
          <cell r="B765" t="str">
            <v>Metabolite Group</v>
          </cell>
        </row>
        <row r="766">
          <cell r="A766" t="str">
            <v>meter</v>
          </cell>
          <cell r="B766" t="str">
            <v>Meter</v>
          </cell>
        </row>
        <row r="767">
          <cell r="A767" t="str">
            <v>method</v>
          </cell>
          <cell r="B767" t="str">
            <v>Method</v>
          </cell>
        </row>
        <row r="768">
          <cell r="A768" t="str">
            <v>methodConc</v>
          </cell>
          <cell r="B768" t="str">
            <v>Concentration method</v>
          </cell>
        </row>
        <row r="769">
          <cell r="A769" t="str">
            <v>methodConcSet</v>
          </cell>
          <cell r="B769" t="str">
            <v>Concentration method set</v>
          </cell>
        </row>
        <row r="770">
          <cell r="A770" t="str">
            <v>methodInput</v>
          </cell>
          <cell r="B770" t="str">
            <v>Method input (wide table)</v>
          </cell>
        </row>
        <row r="771">
          <cell r="A771" t="str">
            <v>methodName</v>
          </cell>
          <cell r="B771" t="str">
            <v>Method name (wide table)</v>
          </cell>
        </row>
        <row r="772">
          <cell r="A772" t="str">
            <v>methods</v>
          </cell>
          <cell r="B772" t="str">
            <v>Methods</v>
          </cell>
        </row>
        <row r="773">
          <cell r="A773" t="str">
            <v>mfAcidmgcl2</v>
          </cell>
          <cell r="B773" t="str">
            <v>Membrane filtration with acidification and mgcl2</v>
          </cell>
        </row>
        <row r="774">
          <cell r="A774" t="str">
            <v>mfAcidmgcl2SS</v>
          </cell>
          <cell r="B774" t="str">
            <v>Membrane filtration with acidification and mgcl2, membrane recombined with separated solids</v>
          </cell>
        </row>
        <row r="775">
          <cell r="A775" t="str">
            <v>mfMgcl2</v>
          </cell>
          <cell r="B775" t="str">
            <v>Membrane filtration with addition of mgcl2</v>
          </cell>
        </row>
        <row r="776">
          <cell r="A776" t="str">
            <v>mfMgcl2SS</v>
          </cell>
          <cell r="B776" t="str">
            <v>Membrane filtration with  mgcl2 and separated solids</v>
          </cell>
        </row>
        <row r="777">
          <cell r="A777" t="str">
            <v>mfNoAmend</v>
          </cell>
          <cell r="B777" t="str">
            <v>Membrane filtration with no amendment</v>
          </cell>
        </row>
        <row r="778">
          <cell r="A778" t="str">
            <v>mfNoAmendSS</v>
          </cell>
          <cell r="B778" t="str">
            <v>Membrane filtration with no amendment, membrane recombined with separated solids</v>
          </cell>
        </row>
        <row r="779">
          <cell r="A779" t="str">
            <v>mfSampleAcid</v>
          </cell>
          <cell r="B779" t="str">
            <v>Membrane filtration with sample acidification</v>
          </cell>
        </row>
        <row r="780">
          <cell r="A780" t="str">
            <v>mfSampleAcidSS</v>
          </cell>
          <cell r="B780" t="str">
            <v>Membrane filtration with sample acidification, membrane recombined with separated solids</v>
          </cell>
        </row>
        <row r="781">
          <cell r="A781" t="str">
            <v>mgd</v>
          </cell>
          <cell r="B781" t="str">
            <v>Millions of gallons per day (MG/D)</v>
          </cell>
        </row>
        <row r="782">
          <cell r="A782" t="str">
            <v>mGenitalus</v>
          </cell>
          <cell r="B782" t="str">
            <v>Mycoplasma genitalus</v>
          </cell>
        </row>
        <row r="783">
          <cell r="A783" t="str">
            <v>mgL</v>
          </cell>
          <cell r="B783" t="str">
            <v>Milligrams per litre</v>
          </cell>
        </row>
        <row r="784">
          <cell r="A784" t="str">
            <v>mgLCaCO3</v>
          </cell>
          <cell r="B784" t="str">
            <v>Milligram per liter of calcium carbonate</v>
          </cell>
        </row>
        <row r="785">
          <cell r="A785" t="str">
            <v>mgPO43L</v>
          </cell>
          <cell r="B785" t="str">
            <v>Milligrams orthophosphate per liter</v>
          </cell>
        </row>
        <row r="786">
          <cell r="A786" t="str">
            <v>mgPO4PL</v>
          </cell>
          <cell r="B786" t="str">
            <v>Milligrams orthophosphate as phosphorus per liter</v>
          </cell>
        </row>
        <row r="787">
          <cell r="A787" t="str">
            <v>mhv</v>
          </cell>
          <cell r="B787" t="str">
            <v>Murine Hepatitis Virus</v>
          </cell>
        </row>
        <row r="788">
          <cell r="A788" t="str">
            <v>mhvSpike</v>
          </cell>
          <cell r="B788" t="str">
            <v>murine hepatitis virus (MHV) spike target</v>
          </cell>
        </row>
        <row r="789">
          <cell r="A789" t="str">
            <v>mI</v>
          </cell>
          <cell r="B789" t="str">
            <v>Multiple issues</v>
          </cell>
        </row>
        <row r="790">
          <cell r="A790" t="str">
            <v>mid</v>
          </cell>
          <cell r="B790" t="str">
            <v>Mid-level severity</v>
          </cell>
        </row>
        <row r="791">
          <cell r="A791" t="str">
            <v>midnightBCCDCv1</v>
          </cell>
          <cell r="B791" t="str">
            <v>Midnight and BC-CDC V1 Primer Set</v>
          </cell>
        </row>
        <row r="792">
          <cell r="A792" t="str">
            <v>midnightBCCDCv2</v>
          </cell>
          <cell r="B792" t="str">
            <v>Midnight and BC-CDC V2 Primer Set</v>
          </cell>
        </row>
        <row r="793">
          <cell r="A793" t="str">
            <v>midnightBCCDCv3</v>
          </cell>
          <cell r="B793" t="str">
            <v>Midnight and BC-CDC V3 Primer Set</v>
          </cell>
        </row>
        <row r="794">
          <cell r="A794" t="str">
            <v>midnightBCCDCv4</v>
          </cell>
          <cell r="B794" t="str">
            <v>Midnight and BC-CDC V4 Primer Set</v>
          </cell>
        </row>
        <row r="795">
          <cell r="A795" t="str">
            <v>midnightV1</v>
          </cell>
          <cell r="B795" t="str">
            <v>Midnight scheme V1 Primer Set</v>
          </cell>
        </row>
        <row r="796">
          <cell r="A796" t="str">
            <v>midnightV2</v>
          </cell>
          <cell r="B796" t="str">
            <v>Midnight scheme V2 Primer Set</v>
          </cell>
        </row>
        <row r="797">
          <cell r="A797" t="str">
            <v>midnightV3</v>
          </cell>
          <cell r="B797" t="str">
            <v>Midnight scheme V3 Primer Set</v>
          </cell>
        </row>
        <row r="798">
          <cell r="A798" t="str">
            <v>minLength</v>
          </cell>
          <cell r="B798" t="str">
            <v>Minimum length</v>
          </cell>
        </row>
        <row r="799">
          <cell r="A799" t="str">
            <v>minPTLength</v>
          </cell>
          <cell r="B799" t="str">
            <v>minimum post-trimming read length</v>
          </cell>
        </row>
        <row r="800">
          <cell r="A800" t="str">
            <v>minutes</v>
          </cell>
          <cell r="B800" t="str">
            <v>Minutes</v>
          </cell>
        </row>
        <row r="801">
          <cell r="A801" t="str">
            <v>minVal</v>
          </cell>
          <cell r="B801" t="str">
            <v>Minimum value</v>
          </cell>
        </row>
        <row r="802">
          <cell r="A802" t="str">
            <v>minValue</v>
          </cell>
          <cell r="B802" t="str">
            <v>Minimum value part support</v>
          </cell>
        </row>
        <row r="803">
          <cell r="A803" t="str">
            <v>miscAttr</v>
          </cell>
          <cell r="B803" t="str">
            <v>Miscellaneous attribute group</v>
          </cell>
        </row>
        <row r="804">
          <cell r="A804" t="str">
            <v>miscMeas</v>
          </cell>
          <cell r="B804" t="str">
            <v>Miscellaneous measure group</v>
          </cell>
        </row>
        <row r="805">
          <cell r="A805" t="str">
            <v>missingness</v>
          </cell>
          <cell r="B805" t="str">
            <v>Missingness</v>
          </cell>
        </row>
        <row r="806">
          <cell r="A806" t="str">
            <v>missingnessSet</v>
          </cell>
          <cell r="B806" t="str">
            <v>Missingness Set</v>
          </cell>
        </row>
        <row r="807">
          <cell r="A807" t="str">
            <v>missingnessSets</v>
          </cell>
          <cell r="B807" t="str">
            <v>Missingness sets</v>
          </cell>
        </row>
        <row r="808">
          <cell r="A808" t="str">
            <v>mit</v>
          </cell>
          <cell r="B808" t="str">
            <v>MIT</v>
          </cell>
        </row>
        <row r="809">
          <cell r="A809" t="str">
            <v>mit0</v>
          </cell>
          <cell r="B809" t="str">
            <v>MIT No Attribution</v>
          </cell>
        </row>
        <row r="810">
          <cell r="A810" t="str">
            <v>mix</v>
          </cell>
          <cell r="B810" t="str">
            <v>Mixed/homogenized sample</v>
          </cell>
        </row>
        <row r="811">
          <cell r="A811" t="str">
            <v>ml</v>
          </cell>
          <cell r="B811" t="str">
            <v>Millilitres</v>
          </cell>
        </row>
        <row r="812">
          <cell r="A812" t="str">
            <v>mld</v>
          </cell>
          <cell r="B812" t="str">
            <v>Megalitres per day (ML/d)</v>
          </cell>
        </row>
        <row r="813">
          <cell r="A813" t="str">
            <v>mlod</v>
          </cell>
          <cell r="B813" t="str">
            <v>Method Limit of Detection (LOD)</v>
          </cell>
        </row>
        <row r="814">
          <cell r="A814" t="str">
            <v>mm</v>
          </cell>
          <cell r="B814" t="str">
            <v>Millimetres</v>
          </cell>
        </row>
        <row r="815">
          <cell r="A815" t="str">
            <v>mmaSet</v>
          </cell>
          <cell r="B815" t="str">
            <v>Measure, Method, or Attribute Set Header</v>
          </cell>
        </row>
        <row r="816">
          <cell r="A816" t="str">
            <v>mmaSets</v>
          </cell>
          <cell r="B816" t="str">
            <v>Measure, method, or attribute sets</v>
          </cell>
        </row>
        <row r="817">
          <cell r="A817" t="str">
            <v>mmhocm</v>
          </cell>
          <cell r="B817" t="str">
            <v>Millimho per centimeter</v>
          </cell>
        </row>
        <row r="818">
          <cell r="A818" t="str">
            <v>model</v>
          </cell>
          <cell r="B818" t="str">
            <v>Model</v>
          </cell>
        </row>
        <row r="819">
          <cell r="A819" t="str">
            <v>monarchRNA</v>
          </cell>
          <cell r="B819" t="str">
            <v>monarch total RNA miniprep kit (new england biolabs) + onestep PCR inhibitor removal kit (zymo)</v>
          </cell>
        </row>
        <row r="820">
          <cell r="A820" t="str">
            <v>months</v>
          </cell>
          <cell r="B820" t="str">
            <v>Months</v>
          </cell>
        </row>
        <row r="821">
          <cell r="A821" t="str">
            <v>moorSw</v>
          </cell>
          <cell r="B821" t="str">
            <v>Moore swab passive sample</v>
          </cell>
        </row>
        <row r="822">
          <cell r="A822" t="str">
            <v>more1mil</v>
          </cell>
          <cell r="B822" t="str">
            <v>1,000,000+ people</v>
          </cell>
        </row>
        <row r="823">
          <cell r="A823" t="str">
            <v>mpl20</v>
          </cell>
          <cell r="B823" t="str">
            <v>Mozilla Public License 2.0</v>
          </cell>
        </row>
        <row r="824">
          <cell r="A824" t="str">
            <v>mpn100mL</v>
          </cell>
          <cell r="B824" t="str">
            <v>Most probable number per 100 milliliters</v>
          </cell>
        </row>
        <row r="825">
          <cell r="A825" t="str">
            <v>mpnmL</v>
          </cell>
          <cell r="B825" t="str">
            <v>Most probable number per milliliter</v>
          </cell>
        </row>
        <row r="826">
          <cell r="A826" t="str">
            <v>mpox</v>
          </cell>
          <cell r="B826" t="str">
            <v>Mpox</v>
          </cell>
        </row>
        <row r="827">
          <cell r="A827" t="str">
            <v>mpoxGrp</v>
          </cell>
          <cell r="B827" t="str">
            <v>MPox Group</v>
          </cell>
        </row>
        <row r="828">
          <cell r="A828" t="str">
            <v>mps</v>
          </cell>
          <cell r="B828" t="str">
            <v>Metres per second</v>
          </cell>
        </row>
        <row r="829">
          <cell r="A829" t="str">
            <v>mpvGrp</v>
          </cell>
          <cell r="B829" t="str">
            <v>Metapneumovirus Group</v>
          </cell>
        </row>
        <row r="830">
          <cell r="A830" t="str">
            <v>mpxCldIGrp</v>
          </cell>
          <cell r="B830" t="str">
            <v>MPox Clade I Group</v>
          </cell>
        </row>
        <row r="831">
          <cell r="A831" t="str">
            <v>mpxCldIIGrp</v>
          </cell>
          <cell r="B831" t="str">
            <v>MPox Clade II Group</v>
          </cell>
        </row>
        <row r="832">
          <cell r="A832" t="str">
            <v>mr</v>
          </cell>
          <cell r="B832" t="str">
            <v>Measure report table Shorthand</v>
          </cell>
        </row>
        <row r="833">
          <cell r="A833" t="str">
            <v>mrsa</v>
          </cell>
          <cell r="B833" t="str">
            <v>Methicillin-resistant Staphylococcus aureus (MRSA)</v>
          </cell>
        </row>
        <row r="834">
          <cell r="A834" t="str">
            <v>ms</v>
          </cell>
          <cell r="B834" t="str">
            <v>Measure set report table Shorthand</v>
          </cell>
        </row>
        <row r="835">
          <cell r="A835" t="str">
            <v>ms2Col</v>
          </cell>
          <cell r="B835" t="str">
            <v>ms2 coliphage</v>
          </cell>
        </row>
        <row r="836">
          <cell r="A836" t="str">
            <v>ms2ColMat</v>
          </cell>
          <cell r="B836" t="str">
            <v>ms2 coliphage spike target</v>
          </cell>
        </row>
        <row r="837">
          <cell r="A837" t="str">
            <v>mScm</v>
          </cell>
          <cell r="B837" t="str">
            <v>MilliSiemen per centimeter</v>
          </cell>
        </row>
        <row r="838">
          <cell r="A838" t="str">
            <v>msd</v>
          </cell>
          <cell r="B838" t="str">
            <v>Matrix spike duplicate</v>
          </cell>
        </row>
        <row r="839">
          <cell r="A839" t="str">
            <v>mspl</v>
          </cell>
          <cell r="B839" t="str">
            <v>Microsoft Public License</v>
          </cell>
        </row>
        <row r="840">
          <cell r="A840" t="str">
            <v>mspsDep</v>
          </cell>
          <cell r="B840" t="str">
            <v>Moore swab passive sample depreciated</v>
          </cell>
        </row>
        <row r="841">
          <cell r="A841" t="str">
            <v>mSwrPpl</v>
          </cell>
          <cell r="B841" t="str">
            <v>Major sewer pipeline</v>
          </cell>
        </row>
        <row r="842">
          <cell r="A842" t="str">
            <v>mTuberculosis</v>
          </cell>
          <cell r="B842" t="str">
            <v>Mycobacterium tuberculosis</v>
          </cell>
        </row>
        <row r="843">
          <cell r="A843" t="str">
            <v>mu</v>
          </cell>
          <cell r="B843" t="str">
            <v>Mu</v>
          </cell>
        </row>
        <row r="844">
          <cell r="A844" t="str">
            <v>muCo</v>
          </cell>
          <cell r="B844" t="str">
            <v>murine coronavirus</v>
          </cell>
        </row>
        <row r="845">
          <cell r="A845" t="str">
            <v>muCoMat</v>
          </cell>
          <cell r="B845" t="str">
            <v>murine coronavirus spike target</v>
          </cell>
        </row>
        <row r="846">
          <cell r="A846" t="str">
            <v>mul</v>
          </cell>
          <cell r="B846" t="str">
            <v>Multiple fraction</v>
          </cell>
        </row>
        <row r="847">
          <cell r="A847" t="str">
            <v>mulanPSL20</v>
          </cell>
          <cell r="B847" t="str">
            <v>Mulan Permissive Software License, Version 2</v>
          </cell>
        </row>
        <row r="848">
          <cell r="A848" t="str">
            <v>multiple</v>
          </cell>
          <cell r="B848" t="str">
            <v>Multiple Purpose</v>
          </cell>
        </row>
        <row r="849">
          <cell r="A849" t="str">
            <v>mumps</v>
          </cell>
          <cell r="B849" t="str">
            <v>Mumps</v>
          </cell>
        </row>
        <row r="850">
          <cell r="A850" t="str">
            <v>mumpsGrp</v>
          </cell>
          <cell r="B850" t="str">
            <v>Mumps Group</v>
          </cell>
        </row>
        <row r="851">
          <cell r="A851" t="str">
            <v>municipalLevel</v>
          </cell>
          <cell r="B851" t="str">
            <v>Municipalities or communes</v>
          </cell>
        </row>
        <row r="852">
          <cell r="A852" t="str">
            <v>municp</v>
          </cell>
          <cell r="B852" t="str">
            <v>Municipality</v>
          </cell>
        </row>
        <row r="853">
          <cell r="A853" t="str">
            <v>mutation</v>
          </cell>
          <cell r="B853" t="str">
            <v>Mutations class</v>
          </cell>
        </row>
        <row r="854">
          <cell r="A854" t="str">
            <v>mutationPanel</v>
          </cell>
          <cell r="B854" t="str">
            <v>Mutation panels class</v>
          </cell>
        </row>
        <row r="855">
          <cell r="A855" t="str">
            <v>mvolt</v>
          </cell>
          <cell r="B855" t="str">
            <v>MilliVolt</v>
          </cell>
        </row>
        <row r="856">
          <cell r="A856" t="str">
            <v>mycoplasmaGrp</v>
          </cell>
          <cell r="B856" t="str">
            <v>Mycoplasma Group</v>
          </cell>
        </row>
        <row r="857">
          <cell r="A857" t="str">
            <v>n</v>
          </cell>
          <cell r="B857" t="str">
            <v>N sars-cov-2 gene target</v>
          </cell>
        </row>
        <row r="858">
          <cell r="A858" t="str">
            <v>n1n2</v>
          </cell>
          <cell r="B858" t="str">
            <v>Combined N1 and N2 sars-cov-2 gene target</v>
          </cell>
        </row>
        <row r="859">
          <cell r="A859" t="str">
            <v>n1neur</v>
          </cell>
          <cell r="B859" t="str">
            <v>Influenza A N1 neuraminidase gene</v>
          </cell>
        </row>
        <row r="860">
          <cell r="A860" t="str">
            <v>n211i</v>
          </cell>
          <cell r="B860" t="str">
            <v>Omicron Variant n211i mutation</v>
          </cell>
        </row>
        <row r="861">
          <cell r="A861" t="str">
            <v>n50</v>
          </cell>
          <cell r="B861" t="str">
            <v>N50</v>
          </cell>
        </row>
        <row r="862">
          <cell r="A862" t="str">
            <v>n679k</v>
          </cell>
          <cell r="B862" t="str">
            <v>Omicron Variant n679k mutation</v>
          </cell>
        </row>
        <row r="863">
          <cell r="A863" t="str">
            <v>n856k</v>
          </cell>
          <cell r="B863" t="str">
            <v>Omicron Variant n856k mutation</v>
          </cell>
        </row>
        <row r="864">
          <cell r="A864" t="str">
            <v>n969k</v>
          </cell>
          <cell r="B864" t="str">
            <v>Omicron Variant n969k mutation</v>
          </cell>
        </row>
        <row r="865">
          <cell r="A865" t="str">
            <v>NA</v>
          </cell>
          <cell r="B865" t="str">
            <v>Not applicable</v>
          </cell>
        </row>
        <row r="866">
          <cell r="A866" t="str">
            <v>naAggr</v>
          </cell>
          <cell r="B866" t="str">
            <v>Aggregation not applicable</v>
          </cell>
        </row>
        <row r="867">
          <cell r="A867" t="str">
            <v>naAggrScale</v>
          </cell>
          <cell r="B867" t="str">
            <v>Aggregation scale not applicable</v>
          </cell>
        </row>
        <row r="868">
          <cell r="A868" t="str">
            <v>naAggrSet</v>
          </cell>
          <cell r="B868" t="str">
            <v>Aggregation set not applicable</v>
          </cell>
        </row>
        <row r="869">
          <cell r="A869" t="str">
            <v>naClass</v>
          </cell>
          <cell r="B869" t="str">
            <v>Class not applicable</v>
          </cell>
        </row>
        <row r="870">
          <cell r="A870" t="str">
            <v>naCompartment</v>
          </cell>
          <cell r="B870" t="str">
            <v>Compartment not applicable</v>
          </cell>
        </row>
        <row r="871">
          <cell r="A871" t="str">
            <v>naCompartmentSet</v>
          </cell>
          <cell r="B871" t="str">
            <v>Compartment set not applicable</v>
          </cell>
        </row>
        <row r="872">
          <cell r="A872" t="str">
            <v>naDomain</v>
          </cell>
          <cell r="B872" t="str">
            <v>Domain not applicable</v>
          </cell>
        </row>
        <row r="873">
          <cell r="A873" t="str">
            <v>naGroup</v>
          </cell>
          <cell r="B873" t="str">
            <v>Group not applicable</v>
          </cell>
        </row>
        <row r="874">
          <cell r="A874" t="str">
            <v>name</v>
          </cell>
          <cell r="B874" t="str">
            <v>Name</v>
          </cell>
        </row>
        <row r="875">
          <cell r="A875" t="str">
            <v>nameEngl</v>
          </cell>
          <cell r="B875" t="str">
            <v>English name for countries</v>
          </cell>
        </row>
        <row r="876">
          <cell r="A876" t="str">
            <v>nameOfficial</v>
          </cell>
          <cell r="B876" t="str">
            <v>Official state name</v>
          </cell>
        </row>
        <row r="877">
          <cell r="A877" t="str">
            <v>nan</v>
          </cell>
          <cell r="B877" t="str">
            <v>Not a number</v>
          </cell>
        </row>
        <row r="878">
          <cell r="A878" t="str">
            <v>naNomenclature</v>
          </cell>
          <cell r="B878" t="str">
            <v>Nomenclature not applicable</v>
          </cell>
        </row>
        <row r="879">
          <cell r="A879" t="str">
            <v>naSpecimen</v>
          </cell>
          <cell r="B879" t="str">
            <v>Specimen not applicable</v>
          </cell>
        </row>
        <row r="880">
          <cell r="A880" t="str">
            <v>naSpecimenSet</v>
          </cell>
          <cell r="B880" t="str">
            <v>Specimen set not applicable</v>
          </cell>
        </row>
        <row r="881">
          <cell r="A881" t="str">
            <v>natName</v>
          </cell>
          <cell r="B881" t="str">
            <v>Native Name</v>
          </cell>
        </row>
        <row r="882">
          <cell r="A882" t="str">
            <v>naUnit</v>
          </cell>
          <cell r="B882" t="str">
            <v>Unit not applicable</v>
          </cell>
        </row>
        <row r="883">
          <cell r="A883" t="str">
            <v>naUnitSet</v>
          </cell>
          <cell r="B883" t="str">
            <v>Unit set not applicable</v>
          </cell>
        </row>
        <row r="884">
          <cell r="A884" t="str">
            <v>nBPSeq</v>
          </cell>
          <cell r="B884" t="str">
            <v>number of base pairs sequenced</v>
          </cell>
        </row>
        <row r="885">
          <cell r="A885" t="str">
            <v>ncbi</v>
          </cell>
          <cell r="B885" t="str">
            <v>National Center for Biotechnology Information</v>
          </cell>
        </row>
        <row r="886">
          <cell r="A886" t="str">
            <v>ncbiNotes</v>
          </cell>
          <cell r="B886" t="str">
            <v>NCBI - notes</v>
          </cell>
        </row>
        <row r="887">
          <cell r="A887" t="str">
            <v>nContig</v>
          </cell>
          <cell r="B887" t="str">
            <v>number of contigs</v>
          </cell>
        </row>
        <row r="888">
          <cell r="A888" t="str">
            <v>ncsa</v>
          </cell>
          <cell r="B888" t="str">
            <v>University of Illinois/NCSA Open Source License</v>
          </cell>
        </row>
        <row r="889">
          <cell r="A889" t="str">
            <v>nebVarSkipV1aLong</v>
          </cell>
          <cell r="B889" t="str">
            <v>New England Biolabs VarSKip V1a Long Primer Set</v>
          </cell>
        </row>
        <row r="890">
          <cell r="A890" t="str">
            <v>nebVarSkipV1aShort</v>
          </cell>
          <cell r="B890" t="str">
            <v>New England Biolabs VarSKip V1a short Primer Set</v>
          </cell>
        </row>
        <row r="891">
          <cell r="A891" t="str">
            <v>nebVarSkipV2a</v>
          </cell>
          <cell r="B891" t="str">
            <v>New England Biolabs VarSKip V2a Primer Set</v>
          </cell>
        </row>
        <row r="892">
          <cell r="A892" t="str">
            <v>nebVarSkipV2b</v>
          </cell>
          <cell r="B892" t="str">
            <v>New England Biolabs VarSKip V2b Primer Set</v>
          </cell>
        </row>
        <row r="893">
          <cell r="A893" t="str">
            <v>neigh</v>
          </cell>
          <cell r="B893" t="str">
            <v>Neighbourhood</v>
          </cell>
        </row>
        <row r="894">
          <cell r="A894" t="str">
            <v>neighborLevel</v>
          </cell>
          <cell r="B894" t="str">
            <v>Local administrative units or neighborhoods</v>
          </cell>
        </row>
        <row r="895">
          <cell r="A895" t="str">
            <v>newVax</v>
          </cell>
          <cell r="B895" t="str">
            <v>Population of newly vaccinated persons</v>
          </cell>
        </row>
        <row r="896">
          <cell r="A896" t="str">
            <v>nextclade</v>
          </cell>
          <cell r="B896" t="str">
            <v>NextClade nomenclature</v>
          </cell>
        </row>
        <row r="897">
          <cell r="A897" t="str">
            <v>ngL</v>
          </cell>
          <cell r="B897" t="str">
            <v>Nanograms per liter</v>
          </cell>
        </row>
        <row r="898">
          <cell r="A898" t="str">
            <v>ngmn</v>
          </cell>
          <cell r="B898" t="str">
            <v>Normalized geometric mean</v>
          </cell>
        </row>
        <row r="899">
          <cell r="A899" t="str">
            <v>nGonorrhoeae</v>
          </cell>
          <cell r="B899" t="str">
            <v>Neisseria gonorrhoeae</v>
          </cell>
        </row>
        <row r="900">
          <cell r="A900" t="str">
            <v>nH4N</v>
          </cell>
          <cell r="B900" t="str">
            <v>Ammonium Nitrogen</v>
          </cell>
        </row>
        <row r="901">
          <cell r="A901" t="str">
            <v>niid19</v>
          </cell>
          <cell r="B901" t="str">
            <v>niid_2019-ncov_n sars-cov-2 gene target</v>
          </cell>
        </row>
        <row r="902">
          <cell r="A902" t="str">
            <v>nM</v>
          </cell>
          <cell r="B902" t="str">
            <v>Nano-molar</v>
          </cell>
        </row>
        <row r="903">
          <cell r="A903" t="str">
            <v>noConcern</v>
          </cell>
          <cell r="B903" t="str">
            <v>No quality concerns</v>
          </cell>
        </row>
        <row r="904">
          <cell r="A904" t="str">
            <v>noLabel</v>
          </cell>
          <cell r="B904" t="str">
            <v>Sample not labelled</v>
          </cell>
        </row>
        <row r="905">
          <cell r="A905" t="str">
            <v>noliquid</v>
          </cell>
          <cell r="B905" t="str">
            <v>No liquid concentration, liquid recombined with separated solids</v>
          </cell>
        </row>
        <row r="906">
          <cell r="A906" t="str">
            <v>nomenclature</v>
          </cell>
          <cell r="B906" t="str">
            <v>Nomenclature</v>
          </cell>
        </row>
        <row r="907">
          <cell r="A907" t="str">
            <v>nomenclatures</v>
          </cell>
          <cell r="B907" t="str">
            <v>Nomenclatures</v>
          </cell>
        </row>
        <row r="908">
          <cell r="A908" t="str">
            <v>noRain</v>
          </cell>
          <cell r="B908" t="str">
            <v>No rain</v>
          </cell>
        </row>
        <row r="909">
          <cell r="A909" t="str">
            <v>norm</v>
          </cell>
          <cell r="B909" t="str">
            <v>Purpose is normalization</v>
          </cell>
        </row>
        <row r="910">
          <cell r="A910" t="str">
            <v>norman</v>
          </cell>
          <cell r="B910" t="str">
            <v>NORMAN</v>
          </cell>
        </row>
        <row r="911">
          <cell r="A911" t="str">
            <v>normanNotes</v>
          </cell>
          <cell r="B911" t="str">
            <v>NORMAN - notes</v>
          </cell>
        </row>
        <row r="912">
          <cell r="A912" t="str">
            <v>noro</v>
          </cell>
          <cell r="B912" t="str">
            <v>Norovirus</v>
          </cell>
        </row>
        <row r="913">
          <cell r="A913" t="str">
            <v>noroG1</v>
          </cell>
          <cell r="B913" t="str">
            <v>Norovirus G1</v>
          </cell>
        </row>
        <row r="914">
          <cell r="A914" t="str">
            <v>noroG2</v>
          </cell>
          <cell r="B914" t="str">
            <v>Norovirus G2</v>
          </cell>
        </row>
        <row r="915">
          <cell r="A915" t="str">
            <v>noroGIGrp</v>
          </cell>
          <cell r="B915" t="str">
            <v>Norovirus GI Group</v>
          </cell>
        </row>
        <row r="916">
          <cell r="A916" t="str">
            <v>noroGIIGrp</v>
          </cell>
          <cell r="B916" t="str">
            <v>Norovirus GII Group</v>
          </cell>
        </row>
        <row r="917">
          <cell r="A917" t="str">
            <v>noroGrp</v>
          </cell>
          <cell r="B917" t="str">
            <v>Norovirus Group</v>
          </cell>
        </row>
        <row r="918">
          <cell r="A918" t="str">
            <v>noSep</v>
          </cell>
          <cell r="B918" t="str">
            <v>No Seperation or Concentration</v>
          </cell>
        </row>
        <row r="919">
          <cell r="A919" t="str">
            <v>notes</v>
          </cell>
          <cell r="B919" t="str">
            <v>Notes</v>
          </cell>
        </row>
        <row r="920">
          <cell r="A920" t="str">
            <v>noTime</v>
          </cell>
          <cell r="B920" t="str">
            <v>Sample missing time stamp</v>
          </cell>
        </row>
        <row r="921">
          <cell r="A921" t="str">
            <v>nPerKbp</v>
          </cell>
          <cell r="B921" t="str">
            <v>Number per 100 kilo-base-pairs</v>
          </cell>
        </row>
        <row r="922">
          <cell r="A922" t="str">
            <v>nr</v>
          </cell>
          <cell r="B922" t="str">
            <v>Not reported</v>
          </cell>
        </row>
        <row r="923">
          <cell r="A923" t="str">
            <v>nrNAMissingnessSet</v>
          </cell>
          <cell r="B923" t="str">
            <v>Not reported, Not applicable missing set</v>
          </cell>
        </row>
        <row r="924">
          <cell r="A924" t="str">
            <v>nSarbec</v>
          </cell>
          <cell r="B924" t="str">
            <v>Sarbecovirus-specific N sars-cov-2 gene target</v>
          </cell>
        </row>
        <row r="925">
          <cell r="A925" t="str">
            <v>ntcAmp</v>
          </cell>
          <cell r="B925" t="str">
            <v>NTC Amplification Detected</v>
          </cell>
        </row>
        <row r="926">
          <cell r="A926" t="str">
            <v>nTotRead</v>
          </cell>
          <cell r="B926" t="str">
            <v>number of total reads</v>
          </cell>
        </row>
        <row r="927">
          <cell r="A927" t="str">
            <v>ntu</v>
          </cell>
          <cell r="B927" t="str">
            <v>Nephelometric turbidity unit</v>
          </cell>
        </row>
        <row r="928">
          <cell r="A928" t="str">
            <v>nucAuto</v>
          </cell>
          <cell r="B928" t="str">
            <v>Nuclisens automated magnetic bead extraction kit</v>
          </cell>
        </row>
        <row r="929">
          <cell r="A929" t="str">
            <v>nucKingfish</v>
          </cell>
          <cell r="B929" t="str">
            <v>nucleomag (ref. 744220.4) using kingfisher automated instrument</v>
          </cell>
        </row>
        <row r="930">
          <cell r="A930" t="str">
            <v>nucManu</v>
          </cell>
          <cell r="B930" t="str">
            <v>Nuclisens manual magnetic bead extraction kit</v>
          </cell>
        </row>
        <row r="931">
          <cell r="A931" t="str">
            <v>null</v>
          </cell>
          <cell r="B931" t="str">
            <v>Null</v>
          </cell>
        </row>
        <row r="932">
          <cell r="A932" t="str">
            <v>numCode</v>
          </cell>
          <cell r="B932" t="str">
            <v>ISO 3166-1 numeric country code</v>
          </cell>
        </row>
        <row r="933">
          <cell r="A933" t="str">
            <v>numNTC</v>
          </cell>
          <cell r="B933" t="str">
            <v>Number of NTCs per Run</v>
          </cell>
        </row>
        <row r="934">
          <cell r="A934" t="str">
            <v>nUniRead</v>
          </cell>
          <cell r="B934" t="str">
            <v>number of unique reads</v>
          </cell>
        </row>
        <row r="935">
          <cell r="A935" t="str">
            <v>nwss</v>
          </cell>
          <cell r="B935" t="str">
            <v>National Wastewater Surveillance System</v>
          </cell>
        </row>
        <row r="936">
          <cell r="A936" t="str">
            <v>nwssNotes</v>
          </cell>
          <cell r="B936" t="str">
            <v>NWSS - notes</v>
          </cell>
        </row>
        <row r="937">
          <cell r="A937" t="str">
            <v>nwssProcess</v>
          </cell>
          <cell r="B937" t="str">
            <v>NWSS - process</v>
          </cell>
        </row>
        <row r="938">
          <cell r="A938" t="str">
            <v>nww</v>
          </cell>
          <cell r="B938" t="str">
            <v>Water</v>
          </cell>
        </row>
        <row r="939">
          <cell r="A939" t="str">
            <v>oc43</v>
          </cell>
          <cell r="B939" t="str">
            <v>coronavirus OC43</v>
          </cell>
        </row>
        <row r="940">
          <cell r="A940" t="str">
            <v>oc43Mat</v>
          </cell>
          <cell r="B940" t="str">
            <v>oc43 spike target</v>
          </cell>
        </row>
        <row r="941">
          <cell r="A941" t="str">
            <v>ocean</v>
          </cell>
          <cell r="B941" t="str">
            <v>Ocean, natural water body</v>
          </cell>
        </row>
        <row r="942">
          <cell r="A942" t="str">
            <v>oColDep</v>
          </cell>
          <cell r="B942" t="str">
            <v>Other Collection depreciated</v>
          </cell>
        </row>
        <row r="943">
          <cell r="A943" t="str">
            <v>ofl11</v>
          </cell>
          <cell r="B943" t="str">
            <v>SIL Open Font License 1.1</v>
          </cell>
        </row>
        <row r="944">
          <cell r="A944" t="str">
            <v>ola</v>
          </cell>
          <cell r="B944" t="str">
            <v>Lab Analysis</v>
          </cell>
        </row>
        <row r="945">
          <cell r="A945" t="str">
            <v>omicr1</v>
          </cell>
          <cell r="B945" t="str">
            <v>Omicron BA.1</v>
          </cell>
        </row>
        <row r="946">
          <cell r="A946" t="str">
            <v>omicr2</v>
          </cell>
          <cell r="B946" t="str">
            <v>Omicron BA.2</v>
          </cell>
        </row>
        <row r="947">
          <cell r="A947" t="str">
            <v>omicr275</v>
          </cell>
          <cell r="B947" t="str">
            <v>Omicron BA.2.75</v>
          </cell>
        </row>
        <row r="948">
          <cell r="A948" t="str">
            <v>omicr4</v>
          </cell>
          <cell r="B948" t="str">
            <v>Omicron BA.4</v>
          </cell>
        </row>
        <row r="949">
          <cell r="A949" t="str">
            <v>omicr5</v>
          </cell>
          <cell r="B949" t="str">
            <v>Omicron BA.5</v>
          </cell>
        </row>
        <row r="950">
          <cell r="A950" t="str">
            <v>omicronGrp</v>
          </cell>
          <cell r="B950" t="str">
            <v>SARS-CoV-2 Omicron Variant Group</v>
          </cell>
        </row>
        <row r="951">
          <cell r="A951" t="str">
            <v>onsDate</v>
          </cell>
          <cell r="B951" t="str">
            <v>Onset date</v>
          </cell>
        </row>
        <row r="952">
          <cell r="A952" t="str">
            <v>onse</v>
          </cell>
          <cell r="B952" t="str">
            <v>Online Sensor</v>
          </cell>
        </row>
        <row r="953">
          <cell r="A953" t="str">
            <v>ontologyRef</v>
          </cell>
          <cell r="B953" t="str">
            <v>Ontology reference</v>
          </cell>
        </row>
        <row r="954">
          <cell r="A954" t="str">
            <v>oor</v>
          </cell>
          <cell r="B954" t="str">
            <v>Value out of range</v>
          </cell>
        </row>
        <row r="955">
          <cell r="A955" t="str">
            <v>open</v>
          </cell>
          <cell r="B955" t="str">
            <v>Open license not otherwise described</v>
          </cell>
        </row>
        <row r="956">
          <cell r="A956" t="str">
            <v>ophos</v>
          </cell>
          <cell r="B956" t="str">
            <v>Orthophosphates</v>
          </cell>
        </row>
        <row r="957">
          <cell r="A957" t="str">
            <v>or</v>
          </cell>
          <cell r="B957" t="str">
            <v>Organization table Shorthand</v>
          </cell>
        </row>
        <row r="958">
          <cell r="A958" t="str">
            <v>orb</v>
          </cell>
          <cell r="B958" t="str">
            <v>Other residential building</v>
          </cell>
        </row>
        <row r="959">
          <cell r="A959" t="str">
            <v>orBoo</v>
          </cell>
          <cell r="B959" t="str">
            <v>OR Boolean aggregation</v>
          </cell>
        </row>
        <row r="960">
          <cell r="A960" t="str">
            <v>orf1a</v>
          </cell>
          <cell r="B960" t="str">
            <v>ORF1a sars-cov-2 gene target</v>
          </cell>
        </row>
        <row r="961">
          <cell r="A961" t="str">
            <v>orf1ab</v>
          </cell>
          <cell r="B961" t="str">
            <v>ORF1ab sars-cov-2 gene target</v>
          </cell>
        </row>
        <row r="962">
          <cell r="A962" t="str">
            <v>orf1b</v>
          </cell>
          <cell r="B962" t="str">
            <v>ORF1b sars-cov-2 gene target</v>
          </cell>
        </row>
        <row r="963">
          <cell r="A963" t="str">
            <v>organism</v>
          </cell>
          <cell r="B963" t="str">
            <v>Organism</v>
          </cell>
        </row>
        <row r="964">
          <cell r="A964" t="str">
            <v>organizationID</v>
          </cell>
          <cell r="B964" t="str">
            <v>Organization ID</v>
          </cell>
        </row>
        <row r="965">
          <cell r="A965" t="str">
            <v>organizations</v>
          </cell>
          <cell r="B965" t="str">
            <v>Organization table</v>
          </cell>
        </row>
        <row r="966">
          <cell r="A966" t="str">
            <v>organizationsOrder</v>
          </cell>
          <cell r="B966" t="str">
            <v>Organizations table column order</v>
          </cell>
        </row>
        <row r="967">
          <cell r="A967" t="str">
            <v>organizationsRequired</v>
          </cell>
          <cell r="B967" t="str">
            <v>Organziation table required headers</v>
          </cell>
        </row>
        <row r="968">
          <cell r="A968" t="str">
            <v>orgLevel</v>
          </cell>
          <cell r="B968" t="str">
            <v>Organization level</v>
          </cell>
        </row>
        <row r="969">
          <cell r="A969" t="str">
            <v>orgLevelSet</v>
          </cell>
          <cell r="B969" t="str">
            <v>Organization level set</v>
          </cell>
        </row>
        <row r="970">
          <cell r="A970" t="str">
            <v>orgSector</v>
          </cell>
          <cell r="B970" t="str">
            <v>Organization sector</v>
          </cell>
        </row>
        <row r="971">
          <cell r="A971" t="str">
            <v>orgSectorSet</v>
          </cell>
          <cell r="B971" t="str">
            <v>Organization sector set</v>
          </cell>
        </row>
        <row r="972">
          <cell r="A972" t="str">
            <v>orgType</v>
          </cell>
          <cell r="B972" t="str">
            <v>Organization Type</v>
          </cell>
        </row>
        <row r="973">
          <cell r="A973" t="str">
            <v>orgTypeSet</v>
          </cell>
          <cell r="B973" t="str">
            <v>Organization type set</v>
          </cell>
        </row>
        <row r="974">
          <cell r="A974" t="str">
            <v>origin</v>
          </cell>
          <cell r="B974" t="str">
            <v>Sample origin</v>
          </cell>
        </row>
        <row r="975">
          <cell r="A975" t="str">
            <v>originSet</v>
          </cell>
          <cell r="B975" t="str">
            <v>Sample Origin set</v>
          </cell>
        </row>
        <row r="976">
          <cell r="A976" t="str">
            <v>orp</v>
          </cell>
          <cell r="B976" t="str">
            <v>Oxidation reduction potential (ORP)</v>
          </cell>
        </row>
        <row r="977">
          <cell r="A977" t="str">
            <v>orthoGrp</v>
          </cell>
          <cell r="B977" t="str">
            <v>Orthopox Virus Group</v>
          </cell>
        </row>
        <row r="978">
          <cell r="A978" t="str">
            <v>osf</v>
          </cell>
          <cell r="B978" t="str">
            <v>Open Science Foundation (OSF)</v>
          </cell>
        </row>
        <row r="979">
          <cell r="A979" t="str">
            <v>osl30</v>
          </cell>
          <cell r="B979" t="str">
            <v>Open Software License 3.0</v>
          </cell>
        </row>
        <row r="980">
          <cell r="A980" t="str">
            <v>otco</v>
          </cell>
          <cell r="B980" t="str">
            <v>Other Collection depreciated</v>
          </cell>
        </row>
        <row r="981">
          <cell r="A981" t="str">
            <v>othAgg</v>
          </cell>
          <cell r="B981" t="str">
            <v>Other aggregation scale</v>
          </cell>
        </row>
        <row r="982">
          <cell r="A982" t="str">
            <v>other</v>
          </cell>
          <cell r="B982" t="str">
            <v>Other</v>
          </cell>
        </row>
        <row r="983">
          <cell r="A983" t="str">
            <v>otherAggrSet</v>
          </cell>
          <cell r="B983" t="str">
            <v>Other aggregation set</v>
          </cell>
        </row>
        <row r="984">
          <cell r="A984" t="str">
            <v>otherDep</v>
          </cell>
          <cell r="B984" t="str">
            <v>Other aggregation depricated</v>
          </cell>
        </row>
        <row r="985">
          <cell r="A985" t="str">
            <v>otherProvDep</v>
          </cell>
          <cell r="B985" t="str">
            <v>Access to other prov depricated</v>
          </cell>
        </row>
        <row r="986">
          <cell r="A986" t="str">
            <v>otherReportTableSet</v>
          </cell>
          <cell r="B986" t="str">
            <v>Other report table set</v>
          </cell>
        </row>
        <row r="987">
          <cell r="A987" t="str">
            <v>otherV</v>
          </cell>
          <cell r="B987" t="str">
            <v>Variants Other</v>
          </cell>
        </row>
        <row r="988">
          <cell r="A988" t="str">
            <v>otsisaDep</v>
          </cell>
          <cell r="B988" t="str">
            <v xml:space="preserve">Other Site - sample depreciated </v>
          </cell>
        </row>
        <row r="989">
          <cell r="A989" t="str">
            <v>otsisiDep</v>
          </cell>
          <cell r="B989" t="str">
            <v>Other Site - Site depreciated</v>
          </cell>
        </row>
        <row r="990">
          <cell r="A990" t="str">
            <v>otunDep</v>
          </cell>
          <cell r="B990" t="str">
            <v>Other Unit depricated</v>
          </cell>
        </row>
        <row r="991">
          <cell r="A991" t="str">
            <v>out</v>
          </cell>
          <cell r="B991" t="str">
            <v>Value is an outlier</v>
          </cell>
        </row>
        <row r="992">
          <cell r="A992" t="str">
            <v>outb</v>
          </cell>
          <cell r="B992" t="str">
            <v>Outbreak</v>
          </cell>
        </row>
        <row r="993">
          <cell r="A993" t="str">
            <v>outbEnd</v>
          </cell>
          <cell r="B993" t="str">
            <v>Outbreak End</v>
          </cell>
        </row>
        <row r="994">
          <cell r="A994" t="str">
            <v>outbOngoing</v>
          </cell>
          <cell r="B994" t="str">
            <v>Outbreak - on-going</v>
          </cell>
        </row>
        <row r="995">
          <cell r="A995" t="str">
            <v>outbreak</v>
          </cell>
          <cell r="B995" t="str">
            <v>Outbreak class</v>
          </cell>
        </row>
        <row r="996">
          <cell r="A996" t="str">
            <v>outbreakSet</v>
          </cell>
          <cell r="B996" t="str">
            <v>Outbreak set</v>
          </cell>
        </row>
        <row r="997">
          <cell r="A997" t="str">
            <v>outbStart</v>
          </cell>
          <cell r="B997" t="str">
            <v>Outbreak start</v>
          </cell>
        </row>
        <row r="998">
          <cell r="A998" t="str">
            <v>p100l</v>
          </cell>
          <cell r="B998" t="str">
            <v>Delta Variant p100l mutation</v>
          </cell>
        </row>
        <row r="999">
          <cell r="A999" t="str">
            <v>p13L</v>
          </cell>
          <cell r="B999" t="str">
            <v>Omicron Variant p13l mutation</v>
          </cell>
        </row>
        <row r="1000">
          <cell r="A1000" t="str">
            <v>p2046l</v>
          </cell>
          <cell r="B1000" t="str">
            <v>Delta Variant p2046l mutation</v>
          </cell>
        </row>
        <row r="1001">
          <cell r="A1001" t="str">
            <v>p2287s</v>
          </cell>
          <cell r="B1001" t="str">
            <v>Delta Variant  p2287s mutation</v>
          </cell>
        </row>
        <row r="1002">
          <cell r="A1002" t="str">
            <v>p3395h</v>
          </cell>
          <cell r="B1002" t="str">
            <v>Omicron Variant p3395h mutation</v>
          </cell>
        </row>
        <row r="1003">
          <cell r="A1003" t="str">
            <v>p681r</v>
          </cell>
          <cell r="B1003" t="str">
            <v>Delta Variant p681r</v>
          </cell>
        </row>
        <row r="1004">
          <cell r="A1004" t="str">
            <v>pa</v>
          </cell>
          <cell r="B1004" t="str">
            <v>Parts Look-up table Shorthand</v>
          </cell>
        </row>
        <row r="1005">
          <cell r="A1005" t="str">
            <v>pAct</v>
          </cell>
          <cell r="B1005" t="str">
            <v>polymerase activation</v>
          </cell>
        </row>
        <row r="1006">
          <cell r="A1006" t="str">
            <v>pairLay</v>
          </cell>
          <cell r="B1006" t="str">
            <v>Paired Layout</v>
          </cell>
        </row>
        <row r="1007">
          <cell r="A1007" t="str">
            <v>pangolin</v>
          </cell>
          <cell r="B1007" t="str">
            <v>Pangolin nomenclature</v>
          </cell>
        </row>
        <row r="1008">
          <cell r="A1008" t="str">
            <v>papilomavirusGrp</v>
          </cell>
          <cell r="B1008" t="str">
            <v>Papilomavirus Group</v>
          </cell>
        </row>
        <row r="1009">
          <cell r="A1009" t="str">
            <v>para</v>
          </cell>
          <cell r="B1009" t="str">
            <v>Paraxanthine (PARA)</v>
          </cell>
        </row>
        <row r="1010">
          <cell r="A1010" t="str">
            <v>parafluGrp</v>
          </cell>
          <cell r="B1010" t="str">
            <v>Parainfluenza Group</v>
          </cell>
        </row>
        <row r="1011">
          <cell r="A1011" t="str">
            <v>parapoxSpike</v>
          </cell>
          <cell r="B1011" t="str">
            <v>Parapoxvirus Orf Virus Spike Target</v>
          </cell>
        </row>
        <row r="1012">
          <cell r="A1012" t="str">
            <v>parDatasetID</v>
          </cell>
          <cell r="B1012" t="str">
            <v>Parent dataset ID</v>
          </cell>
        </row>
        <row r="1013">
          <cell r="A1013" t="str">
            <v>parent</v>
          </cell>
          <cell r="B1013" t="str">
            <v>Parent sample ID</v>
          </cell>
        </row>
        <row r="1014">
          <cell r="A1014" t="str">
            <v>parSiteID</v>
          </cell>
          <cell r="B1014" t="str">
            <v>Parent Site ID</v>
          </cell>
        </row>
        <row r="1015">
          <cell r="A1015" t="str">
            <v>partDesc</v>
          </cell>
          <cell r="B1015" t="str">
            <v>Part description</v>
          </cell>
        </row>
        <row r="1016">
          <cell r="A1016" t="str">
            <v>partID</v>
          </cell>
          <cell r="B1016" t="str">
            <v>Part identifier</v>
          </cell>
        </row>
        <row r="1017">
          <cell r="A1017" t="str">
            <v>partInstr</v>
          </cell>
          <cell r="B1017" t="str">
            <v>Part instruction</v>
          </cell>
        </row>
        <row r="1018">
          <cell r="A1018" t="str">
            <v>parts</v>
          </cell>
          <cell r="B1018" t="str">
            <v>Parts Look-up table</v>
          </cell>
        </row>
        <row r="1019">
          <cell r="A1019" t="str">
            <v>partsOrder</v>
          </cell>
          <cell r="B1019" t="str">
            <v>Parts table column order</v>
          </cell>
        </row>
        <row r="1020">
          <cell r="A1020" t="str">
            <v>partsRequired</v>
          </cell>
          <cell r="B1020" t="str">
            <v>Parts table required headers</v>
          </cell>
        </row>
        <row r="1021">
          <cell r="A1021" t="str">
            <v>partType</v>
          </cell>
          <cell r="B1021" t="str">
            <v>Part types</v>
          </cell>
        </row>
        <row r="1022">
          <cell r="A1022" t="str">
            <v>partTypeInput</v>
          </cell>
          <cell r="B1022" t="str">
            <v>Part type input (wide table)</v>
          </cell>
        </row>
        <row r="1023">
          <cell r="A1023" t="str">
            <v>partTypeName</v>
          </cell>
          <cell r="B1023" t="str">
            <v>Part type name (wide table)</v>
          </cell>
        </row>
        <row r="1024">
          <cell r="A1024" t="str">
            <v>passiveGen</v>
          </cell>
          <cell r="B1024" t="str">
            <v>Passive Sample - General</v>
          </cell>
        </row>
        <row r="1025">
          <cell r="A1025" t="str">
            <v>pasteur</v>
          </cell>
          <cell r="B1025" t="str">
            <v>Pasteurized sample</v>
          </cell>
        </row>
        <row r="1026">
          <cell r="A1026" t="str">
            <v>pceDep</v>
          </cell>
          <cell r="B1026" t="str">
            <v>Primary Clarifier Effluent depreciated</v>
          </cell>
        </row>
        <row r="1027">
          <cell r="A1027" t="str">
            <v>pCode</v>
          </cell>
          <cell r="B1027" t="str">
            <v>Postal or Zip Code</v>
          </cell>
        </row>
        <row r="1028">
          <cell r="A1028" t="str">
            <v>pcr</v>
          </cell>
          <cell r="B1028" t="str">
            <v>qPCR Class</v>
          </cell>
        </row>
        <row r="1029">
          <cell r="A1029" t="str">
            <v>pcrAct</v>
          </cell>
          <cell r="B1029" t="str">
            <v>PCR Action/Activity</v>
          </cell>
        </row>
        <row r="1030">
          <cell r="A1030" t="str">
            <v>pcrActSet</v>
          </cell>
          <cell r="B1030" t="str">
            <v>PCR action/activity set</v>
          </cell>
        </row>
        <row r="1031">
          <cell r="A1031" t="str">
            <v>pcrCycles</v>
          </cell>
          <cell r="B1031" t="str">
            <v>PCR Quanitification Cycles</v>
          </cell>
        </row>
        <row r="1032">
          <cell r="A1032" t="str">
            <v>pcrmeth</v>
          </cell>
          <cell r="B1032" t="str">
            <v>PCR method</v>
          </cell>
        </row>
        <row r="1033">
          <cell r="A1033" t="str">
            <v>pcrQualitySet</v>
          </cell>
          <cell r="B1033" t="str">
            <v>PCR quality set</v>
          </cell>
        </row>
        <row r="1034">
          <cell r="A1034" t="str">
            <v>pcrSeq</v>
          </cell>
          <cell r="B1034" t="str">
            <v>PCR sequencingsSelection method</v>
          </cell>
        </row>
        <row r="1035">
          <cell r="A1035" t="str">
            <v>pcrSet</v>
          </cell>
          <cell r="B1035" t="str">
            <v>PCR Method set</v>
          </cell>
        </row>
        <row r="1036">
          <cell r="A1036" t="str">
            <v>pcs</v>
          </cell>
          <cell r="B1036" t="str">
            <v>Primary Clarifier Sludge depreciated</v>
          </cell>
        </row>
        <row r="1037">
          <cell r="A1037" t="str">
            <v>peeps</v>
          </cell>
          <cell r="B1037" t="str">
            <v>Number of people</v>
          </cell>
        </row>
        <row r="1038">
          <cell r="A1038" t="str">
            <v>pEfflu</v>
          </cell>
          <cell r="B1038" t="str">
            <v>Primary clarifier effluent</v>
          </cell>
        </row>
        <row r="1039">
          <cell r="A1039" t="str">
            <v>peg</v>
          </cell>
          <cell r="B1039" t="str">
            <v>Polyethyleneglycol (PEG) precipitation</v>
          </cell>
        </row>
        <row r="1040">
          <cell r="A1040" t="str">
            <v>perc</v>
          </cell>
          <cell r="B1040" t="str">
            <v>Percent</v>
          </cell>
        </row>
        <row r="1041">
          <cell r="A1041" t="str">
            <v>percContam</v>
          </cell>
          <cell r="B1041" t="str">
            <v xml:space="preserve">percent read contamination </v>
          </cell>
        </row>
        <row r="1042">
          <cell r="A1042" t="str">
            <v>percNLength</v>
          </cell>
          <cell r="B1042" t="str">
            <v>percent Ns across total genome length</v>
          </cell>
        </row>
        <row r="1043">
          <cell r="A1043" t="str">
            <v>percRec</v>
          </cell>
          <cell r="B1043" t="str">
            <v>Percent recovery</v>
          </cell>
        </row>
        <row r="1044">
          <cell r="A1044" t="str">
            <v>personPerKm</v>
          </cell>
          <cell r="B1044" t="str">
            <v>Persons for square kilometre</v>
          </cell>
        </row>
        <row r="1045">
          <cell r="A1045" t="str">
            <v>personPerMile</v>
          </cell>
          <cell r="B1045" t="str">
            <v>Persons per square mile</v>
          </cell>
        </row>
        <row r="1046">
          <cell r="A1046" t="str">
            <v>ph</v>
          </cell>
          <cell r="B1046" t="str">
            <v>pH</v>
          </cell>
        </row>
        <row r="1047">
          <cell r="A1047" t="str">
            <v>phac</v>
          </cell>
          <cell r="B1047" t="str">
            <v>Access to phac</v>
          </cell>
        </row>
        <row r="1048">
          <cell r="A1048" t="str">
            <v>phage</v>
          </cell>
          <cell r="B1048" t="str">
            <v>PHAGE</v>
          </cell>
        </row>
        <row r="1049">
          <cell r="A1049" t="str">
            <v>phageGrp</v>
          </cell>
          <cell r="B1049" t="str">
            <v>Bacteriophage Group</v>
          </cell>
        </row>
        <row r="1050">
          <cell r="A1050" t="str">
            <v>phageNotes</v>
          </cell>
          <cell r="B1050" t="str">
            <v>PHAGE - notes</v>
          </cell>
        </row>
        <row r="1051">
          <cell r="A1051" t="str">
            <v>pHClass</v>
          </cell>
          <cell r="B1051" t="str">
            <v>pH class</v>
          </cell>
        </row>
        <row r="1052">
          <cell r="A1052" t="str">
            <v>phenCl</v>
          </cell>
          <cell r="B1052" t="str">
            <v>Phenol chloroform</v>
          </cell>
        </row>
        <row r="1053">
          <cell r="A1053" t="str">
            <v>phi6</v>
          </cell>
          <cell r="B1053" t="str">
            <v>Pseudomonas virus phi6</v>
          </cell>
        </row>
        <row r="1054">
          <cell r="A1054" t="str">
            <v>phi6Mat</v>
          </cell>
          <cell r="B1054" t="str">
            <v>phi6 spike target</v>
          </cell>
        </row>
        <row r="1055">
          <cell r="A1055" t="str">
            <v>phone</v>
          </cell>
          <cell r="B1055" t="str">
            <v>Country national phone prefix</v>
          </cell>
        </row>
        <row r="1056">
          <cell r="A1056" t="str">
            <v>phos</v>
          </cell>
          <cell r="B1056" t="str">
            <v>Total phosphorous</v>
          </cell>
        </row>
        <row r="1057">
          <cell r="A1057" t="str">
            <v>phostot</v>
          </cell>
          <cell r="B1057" t="str">
            <v>Total Phosphates</v>
          </cell>
        </row>
        <row r="1058">
          <cell r="A1058" t="str">
            <v>phred</v>
          </cell>
          <cell r="B1058" t="str">
            <v>PHRED quality score</v>
          </cell>
        </row>
        <row r="1059">
          <cell r="A1059" t="str">
            <v>phy</v>
          </cell>
          <cell r="B1059" t="str">
            <v>Physical property</v>
          </cell>
        </row>
        <row r="1060">
          <cell r="A1060" t="str">
            <v>physical</v>
          </cell>
          <cell r="B1060" t="str">
            <v>Physical class</v>
          </cell>
        </row>
        <row r="1061">
          <cell r="A1061" t="str">
            <v>pK</v>
          </cell>
          <cell r="B1061" t="str">
            <v>Primary key</v>
          </cell>
        </row>
        <row r="1062">
          <cell r="A1062" t="str">
            <v>plasmodium</v>
          </cell>
          <cell r="B1062" t="str">
            <v>Plasmodium</v>
          </cell>
        </row>
        <row r="1063">
          <cell r="A1063" t="str">
            <v>pmFloMean</v>
          </cell>
          <cell r="B1063" t="str">
            <v>PMMoV- and flow-normalized mean</v>
          </cell>
        </row>
        <row r="1064">
          <cell r="A1064" t="str">
            <v>pmmovGrp</v>
          </cell>
          <cell r="B1064" t="str">
            <v>PMMoV Group</v>
          </cell>
        </row>
        <row r="1065">
          <cell r="A1065" t="str">
            <v>pmmovNorm</v>
          </cell>
          <cell r="B1065" t="str">
            <v>PMMoV-normalized mean</v>
          </cell>
        </row>
        <row r="1066">
          <cell r="A1066" t="str">
            <v>pmmvABIFor</v>
          </cell>
          <cell r="B1066" t="str">
            <v>PMMV forward primer (ABI)</v>
          </cell>
        </row>
        <row r="1067">
          <cell r="A1067" t="str">
            <v>pmmvABIProbe</v>
          </cell>
          <cell r="B1067" t="str">
            <v>PMMV probe (ABI)</v>
          </cell>
        </row>
        <row r="1068">
          <cell r="A1068" t="str">
            <v>pmmvABIRev</v>
          </cell>
          <cell r="B1068" t="str">
            <v>PMMV reverse primer (ABI)</v>
          </cell>
        </row>
        <row r="1069">
          <cell r="A1069" t="str">
            <v>po</v>
          </cell>
          <cell r="B1069" t="str">
            <v>Polygon table Shorthand</v>
          </cell>
        </row>
        <row r="1070">
          <cell r="A1070" t="str">
            <v>pogr</v>
          </cell>
          <cell r="B1070" t="str">
            <v>Post-Grit depreciated</v>
          </cell>
        </row>
        <row r="1071">
          <cell r="A1071" t="str">
            <v>policy</v>
          </cell>
          <cell r="B1071" t="str">
            <v>Policy and political sector or organization</v>
          </cell>
        </row>
        <row r="1072">
          <cell r="A1072" t="str">
            <v>polioGrp</v>
          </cell>
          <cell r="B1072" t="str">
            <v>Poliovirus Group</v>
          </cell>
        </row>
        <row r="1073">
          <cell r="A1073" t="str">
            <v>polygonID</v>
          </cell>
          <cell r="B1073" t="str">
            <v>Polygon ID</v>
          </cell>
        </row>
        <row r="1074">
          <cell r="A1074" t="str">
            <v>polygons</v>
          </cell>
          <cell r="B1074" t="str">
            <v>Polygon table</v>
          </cell>
        </row>
        <row r="1075">
          <cell r="A1075" t="str">
            <v>polygonsOrder</v>
          </cell>
          <cell r="B1075" t="str">
            <v>Polygons table column order</v>
          </cell>
        </row>
        <row r="1076">
          <cell r="A1076" t="str">
            <v>polygonsRequired</v>
          </cell>
          <cell r="B1076" t="str">
            <v>Polygon table required headers</v>
          </cell>
        </row>
        <row r="1077">
          <cell r="A1077" t="str">
            <v>polyPop</v>
          </cell>
          <cell r="B1077" t="str">
            <v>Polygon Population</v>
          </cell>
        </row>
        <row r="1078">
          <cell r="A1078" t="str">
            <v>pooled</v>
          </cell>
          <cell r="B1078" t="str">
            <v>Pooled</v>
          </cell>
        </row>
        <row r="1079">
          <cell r="A1079" t="str">
            <v>pop</v>
          </cell>
          <cell r="B1079" t="str">
            <v>Population</v>
          </cell>
        </row>
        <row r="1080">
          <cell r="A1080" t="str">
            <v>popAreaSet</v>
          </cell>
          <cell r="B1080" t="str">
            <v>Populated area type set</v>
          </cell>
        </row>
        <row r="1081">
          <cell r="A1081" t="str">
            <v>popAreaType</v>
          </cell>
          <cell r="B1081" t="str">
            <v>Populated area type</v>
          </cell>
        </row>
        <row r="1082">
          <cell r="A1082" t="str">
            <v>popDateTypeDep</v>
          </cell>
          <cell r="B1082" t="str">
            <v>Type of date for case reporting depreciated</v>
          </cell>
        </row>
        <row r="1083">
          <cell r="A1083" t="str">
            <v>popDensity</v>
          </cell>
          <cell r="B1083" t="str">
            <v>Population density</v>
          </cell>
        </row>
        <row r="1084">
          <cell r="A1084" t="str">
            <v>popDensUnitSet</v>
          </cell>
          <cell r="B1084" t="str">
            <v>Population density unit set</v>
          </cell>
        </row>
        <row r="1085">
          <cell r="A1085" t="str">
            <v>popEq</v>
          </cell>
          <cell r="B1085" t="str">
            <v>Population equivalents</v>
          </cell>
        </row>
        <row r="1086">
          <cell r="A1086" t="str">
            <v>popGrp</v>
          </cell>
          <cell r="B1086" t="str">
            <v>Population group</v>
          </cell>
        </row>
        <row r="1087">
          <cell r="A1087" t="str">
            <v>popServ</v>
          </cell>
          <cell r="B1087" t="str">
            <v>Population Served</v>
          </cell>
        </row>
        <row r="1088">
          <cell r="A1088" t="str">
            <v>popServRange</v>
          </cell>
          <cell r="B1088" t="str">
            <v>Population Served - Interval</v>
          </cell>
        </row>
        <row r="1089">
          <cell r="A1089" t="str">
            <v>populationUnitSet</v>
          </cell>
          <cell r="B1089" t="str">
            <v>Population unit set</v>
          </cell>
        </row>
        <row r="1090">
          <cell r="A1090" t="str">
            <v>poSaSpecimenSet</v>
          </cell>
          <cell r="B1090" t="str">
            <v>Population or sample set</v>
          </cell>
        </row>
        <row r="1091">
          <cell r="A1091" t="str">
            <v>poSiSpecimenSet</v>
          </cell>
          <cell r="B1091" t="str">
            <v>Population or site set</v>
          </cell>
        </row>
        <row r="1092">
          <cell r="A1092" t="str">
            <v>poSpecimenSet</v>
          </cell>
          <cell r="B1092" t="str">
            <v>Population specimen set</v>
          </cell>
        </row>
        <row r="1093">
          <cell r="A1093" t="str">
            <v>postgreSQL</v>
          </cell>
          <cell r="B1093" t="str">
            <v>PostgreSQL License</v>
          </cell>
        </row>
        <row r="1094">
          <cell r="A1094" t="str">
            <v>pp</v>
          </cell>
          <cell r="B1094" t="str">
            <v>Percent positive</v>
          </cell>
        </row>
        <row r="1095">
          <cell r="A1095" t="str">
            <v>ppm</v>
          </cell>
          <cell r="B1095" t="str">
            <v>parts per million</v>
          </cell>
        </row>
        <row r="1096">
          <cell r="A1096" t="str">
            <v>ppmv</v>
          </cell>
          <cell r="B1096" t="str">
            <v>PMMoV-CP</v>
          </cell>
        </row>
        <row r="1097">
          <cell r="A1097" t="str">
            <v>pprt</v>
          </cell>
          <cell r="B1097" t="str">
            <v>Percent positivity rate</v>
          </cell>
        </row>
        <row r="1098">
          <cell r="A1098" t="str">
            <v>pps</v>
          </cell>
          <cell r="B1098" t="str">
            <v>Percent primary sludge</v>
          </cell>
        </row>
        <row r="1099">
          <cell r="A1099" t="str">
            <v>ppt</v>
          </cell>
          <cell r="B1099" t="str">
            <v>parts per thousand</v>
          </cell>
        </row>
        <row r="1100">
          <cell r="A1100" t="str">
            <v>pr</v>
          </cell>
          <cell r="B1100" t="str">
            <v>Protocol relationships table Shorthand</v>
          </cell>
        </row>
        <row r="1101">
          <cell r="A1101" t="str">
            <v>precip</v>
          </cell>
          <cell r="B1101" t="str">
            <v>Precipitation - general</v>
          </cell>
        </row>
        <row r="1102">
          <cell r="A1102" t="str">
            <v>precipation</v>
          </cell>
          <cell r="B1102" t="str">
            <v>Precipitation class</v>
          </cell>
        </row>
        <row r="1103">
          <cell r="A1103" t="str">
            <v>precipitationUnitSet</v>
          </cell>
          <cell r="B1103" t="str">
            <v>Precipitation unit set</v>
          </cell>
        </row>
        <row r="1104">
          <cell r="A1104" t="str">
            <v>preConcTemp</v>
          </cell>
          <cell r="B1104" t="str">
            <v>Storage temperature prior to concentration</v>
          </cell>
        </row>
        <row r="1105">
          <cell r="A1105" t="str">
            <v>preConcTime</v>
          </cell>
          <cell r="B1105" t="str">
            <v>Storage time prior to concentration</v>
          </cell>
        </row>
        <row r="1106">
          <cell r="A1106" t="str">
            <v>preExtractTemp</v>
          </cell>
          <cell r="B1106" t="str">
            <v>Storage temperature prior to extraction</v>
          </cell>
        </row>
        <row r="1107">
          <cell r="A1107" t="str">
            <v>preExtractTime</v>
          </cell>
          <cell r="B1107" t="str">
            <v>Storage time prior to extraction</v>
          </cell>
        </row>
        <row r="1108">
          <cell r="A1108" t="str">
            <v>preSampWeath</v>
          </cell>
          <cell r="B1108" t="str">
            <v>Pre-sampling weather</v>
          </cell>
        </row>
        <row r="1109">
          <cell r="A1109" t="str">
            <v>pretreat</v>
          </cell>
          <cell r="B1109" t="str">
            <v>Pretreatment</v>
          </cell>
        </row>
        <row r="1110">
          <cell r="A1110" t="str">
            <v>primer</v>
          </cell>
          <cell r="B1110" t="str">
            <v>Genetic primer</v>
          </cell>
        </row>
        <row r="1111">
          <cell r="A1111" t="str">
            <v>primerSet</v>
          </cell>
          <cell r="B1111" t="str">
            <v>Genetic primer set</v>
          </cell>
        </row>
        <row r="1112">
          <cell r="A1112" t="str">
            <v>priv</v>
          </cell>
          <cell r="B1112" t="str">
            <v>Private sector</v>
          </cell>
        </row>
        <row r="1113">
          <cell r="A1113" t="str">
            <v>private</v>
          </cell>
          <cell r="B1113" t="str">
            <v>Private data - not for disemination</v>
          </cell>
        </row>
        <row r="1114">
          <cell r="A1114" t="str">
            <v>pro</v>
          </cell>
          <cell r="B1114" t="str">
            <v>Protocol relationships table Shorthand</v>
          </cell>
        </row>
        <row r="1115">
          <cell r="A1115" t="str">
            <v>procGrp</v>
          </cell>
          <cell r="B1115" t="str">
            <v>Processing group</v>
          </cell>
        </row>
        <row r="1116">
          <cell r="A1116" t="str">
            <v>profil</v>
          </cell>
          <cell r="B1116" t="str">
            <v>Environmental survey or profiling</v>
          </cell>
        </row>
        <row r="1117">
          <cell r="A1117" t="str">
            <v>programDescr</v>
          </cell>
          <cell r="B1117" t="str">
            <v>Program decription tables</v>
          </cell>
        </row>
        <row r="1118">
          <cell r="A1118" t="str">
            <v>promAuto</v>
          </cell>
          <cell r="B1118" t="str">
            <v>promega automated tna kit</v>
          </cell>
        </row>
        <row r="1119">
          <cell r="A1119" t="str">
            <v>promegaLVTNA</v>
          </cell>
          <cell r="B1119" t="str">
            <v>promega wastewater large volume tna capture kit</v>
          </cell>
        </row>
        <row r="1120">
          <cell r="A1120" t="str">
            <v>promHt</v>
          </cell>
          <cell r="B1120" t="str">
            <v>promega ht tna kit</v>
          </cell>
        </row>
        <row r="1121">
          <cell r="A1121" t="str">
            <v>promManu</v>
          </cell>
          <cell r="B1121" t="str">
            <v>promega manual tna kit</v>
          </cell>
        </row>
        <row r="1122">
          <cell r="A1122" t="str">
            <v>promWW</v>
          </cell>
          <cell r="B1122" t="str">
            <v>promega wastewater large volume tna capture kit</v>
          </cell>
        </row>
        <row r="1123">
          <cell r="A1123" t="str">
            <v>prop</v>
          </cell>
          <cell r="B1123" t="str">
            <v>Proportion of total</v>
          </cell>
        </row>
        <row r="1124">
          <cell r="A1124" t="str">
            <v>propV</v>
          </cell>
          <cell r="B1124" t="str">
            <v>Proportion of variant in sample</v>
          </cell>
        </row>
        <row r="1125">
          <cell r="A1125" t="str">
            <v>protein</v>
          </cell>
          <cell r="B1125" t="str">
            <v>Proteins class</v>
          </cell>
        </row>
        <row r="1126">
          <cell r="A1126" t="str">
            <v>protocolID</v>
          </cell>
          <cell r="B1126" t="str">
            <v>Protocol ID</v>
          </cell>
        </row>
        <row r="1127">
          <cell r="A1127" t="str">
            <v>protocolIDContainer</v>
          </cell>
          <cell r="B1127" t="str">
            <v>Protocol ID container</v>
          </cell>
        </row>
        <row r="1128">
          <cell r="A1128" t="str">
            <v>protocolIDObj</v>
          </cell>
          <cell r="B1128" t="str">
            <v>Protocol ID object</v>
          </cell>
        </row>
        <row r="1129">
          <cell r="A1129" t="str">
            <v>protocolIDSub</v>
          </cell>
          <cell r="B1129" t="str">
            <v>Protocol ID subject</v>
          </cell>
        </row>
        <row r="1130">
          <cell r="A1130" t="str">
            <v>protocolRelationships</v>
          </cell>
          <cell r="B1130" t="str">
            <v>Protocol relationships table</v>
          </cell>
        </row>
        <row r="1131">
          <cell r="A1131" t="str">
            <v>protocolRelationshipsID</v>
          </cell>
          <cell r="B1131" t="str">
            <v>Synthetic ID for the protocolRelationships table</v>
          </cell>
        </row>
        <row r="1132">
          <cell r="A1132" t="str">
            <v>protocolRelationshipsOrder</v>
          </cell>
          <cell r="B1132" t="str">
            <v>Protocol relationships table column order</v>
          </cell>
        </row>
        <row r="1133">
          <cell r="A1133" t="str">
            <v>protocolRelationshipsRequired</v>
          </cell>
          <cell r="B1133" t="str">
            <v>Protocol Relationship table required headers</v>
          </cell>
        </row>
        <row r="1134">
          <cell r="A1134" t="str">
            <v>protocolRelSet</v>
          </cell>
          <cell r="B1134" t="str">
            <v>Protocol Relationships set</v>
          </cell>
        </row>
        <row r="1135">
          <cell r="A1135" t="str">
            <v>protocols</v>
          </cell>
          <cell r="B1135" t="str">
            <v>Protocols table</v>
          </cell>
        </row>
        <row r="1136">
          <cell r="A1136" t="str">
            <v>protocolsOrder</v>
          </cell>
          <cell r="B1136" t="str">
            <v>Protocols table column order</v>
          </cell>
        </row>
        <row r="1137">
          <cell r="A1137" t="str">
            <v>protocolsRequired</v>
          </cell>
          <cell r="B1137" t="str">
            <v>Protocols table required headers</v>
          </cell>
        </row>
        <row r="1138">
          <cell r="A1138" t="str">
            <v>protocolSteps</v>
          </cell>
          <cell r="B1138" t="str">
            <v>Protocol steps table</v>
          </cell>
        </row>
        <row r="1139">
          <cell r="A1139" t="str">
            <v>protocolStepsOrder</v>
          </cell>
          <cell r="B1139" t="str">
            <v>Protocol steps table column order</v>
          </cell>
        </row>
        <row r="1140">
          <cell r="A1140" t="str">
            <v>protocolStepsRequired</v>
          </cell>
          <cell r="B1140" t="str">
            <v>Protocol steps table required headers</v>
          </cell>
        </row>
        <row r="1141">
          <cell r="A1141" t="str">
            <v>protocolTableSet</v>
          </cell>
          <cell r="B1141" t="str">
            <v>Protocol table set</v>
          </cell>
        </row>
        <row r="1142">
          <cell r="A1142" t="str">
            <v>protocolVersion</v>
          </cell>
          <cell r="B1142" t="str">
            <v>Protocol version</v>
          </cell>
        </row>
        <row r="1143">
          <cell r="A1143" t="str">
            <v>provHA</v>
          </cell>
          <cell r="B1143" t="str">
            <v>Access to prov ha</v>
          </cell>
        </row>
        <row r="1144">
          <cell r="A1144" t="str">
            <v>provisional</v>
          </cell>
          <cell r="B1144" t="str">
            <v>Provisional report</v>
          </cell>
        </row>
        <row r="1145">
          <cell r="A1145" t="str">
            <v>ps</v>
          </cell>
          <cell r="B1145" t="str">
            <v>Protocol steps table Shorthand</v>
          </cell>
        </row>
        <row r="1146">
          <cell r="A1146" t="str">
            <v>pseudomonas</v>
          </cell>
          <cell r="B1146" t="str">
            <v>Pseudomonas</v>
          </cell>
        </row>
        <row r="1147">
          <cell r="A1147" t="str">
            <v>pseudomonasGrp</v>
          </cell>
          <cell r="B1147" t="str">
            <v>Pseudomonas Group</v>
          </cell>
        </row>
        <row r="1148">
          <cell r="A1148" t="str">
            <v>pSludge</v>
          </cell>
          <cell r="B1148" t="str">
            <v>Primary clarifier sludge</v>
          </cell>
        </row>
        <row r="1149">
          <cell r="A1149" t="str">
            <v>pStat</v>
          </cell>
          <cell r="B1149" t="str">
            <v>Pumping station</v>
          </cell>
        </row>
        <row r="1150">
          <cell r="A1150" t="str">
            <v>pstGrit</v>
          </cell>
          <cell r="B1150" t="str">
            <v>Post-grit</v>
          </cell>
        </row>
        <row r="1151">
          <cell r="A1151" t="str">
            <v>psu</v>
          </cell>
          <cell r="B1151" t="str">
            <v>Practical salinity unit</v>
          </cell>
        </row>
        <row r="1152">
          <cell r="A1152" t="str">
            <v>ptDescDep</v>
          </cell>
          <cell r="B1152" t="str">
            <v>Pretreatment description -  depreciated</v>
          </cell>
        </row>
        <row r="1153">
          <cell r="A1153" t="str">
            <v>ptot</v>
          </cell>
          <cell r="B1153" t="str">
            <v>Number of positive tests</v>
          </cell>
        </row>
        <row r="1154">
          <cell r="A1154" t="str">
            <v>pubAdm</v>
          </cell>
          <cell r="B1154" t="str">
            <v>Public Administration</v>
          </cell>
        </row>
        <row r="1155">
          <cell r="A1155" t="str">
            <v>pubAuth</v>
          </cell>
          <cell r="B1155" t="str">
            <v>English name of country sub-domains</v>
          </cell>
        </row>
        <row r="1156">
          <cell r="A1156" t="str">
            <v>pubHealth</v>
          </cell>
          <cell r="B1156" t="str">
            <v>Public health agency</v>
          </cell>
        </row>
        <row r="1157">
          <cell r="A1157" t="str">
            <v>public</v>
          </cell>
          <cell r="B1157" t="str">
            <v>Access to public</v>
          </cell>
        </row>
        <row r="1158">
          <cell r="A1158" t="str">
            <v>puro</v>
          </cell>
          <cell r="B1158" t="str">
            <v>Puro virus</v>
          </cell>
        </row>
        <row r="1159">
          <cell r="A1159" t="str">
            <v>puroMat</v>
          </cell>
          <cell r="B1159" t="str">
            <v>Puro virus spike target</v>
          </cell>
        </row>
        <row r="1160">
          <cell r="A1160" t="str">
            <v>purpose</v>
          </cell>
          <cell r="B1160" t="str">
            <v>Purpose</v>
          </cell>
        </row>
        <row r="1161">
          <cell r="A1161" t="str">
            <v>purposeSet</v>
          </cell>
          <cell r="B1161" t="str">
            <v>Purpose set</v>
          </cell>
        </row>
        <row r="1162">
          <cell r="A1162" t="str">
            <v>pv2</v>
          </cell>
          <cell r="B1162" t="str">
            <v>Poliovirus type 2</v>
          </cell>
        </row>
        <row r="1163">
          <cell r="A1163" t="str">
            <v>q19e</v>
          </cell>
          <cell r="B1163" t="str">
            <v>q19e omicron-variant gene target</v>
          </cell>
        </row>
        <row r="1164">
          <cell r="A1164" t="str">
            <v>q493r</v>
          </cell>
          <cell r="B1164" t="str">
            <v>q493r omicron-variant gene target</v>
          </cell>
        </row>
        <row r="1165">
          <cell r="A1165" t="str">
            <v>q498r</v>
          </cell>
          <cell r="B1165" t="str">
            <v>q498r omicron-variant gene target</v>
          </cell>
        </row>
        <row r="1166">
          <cell r="A1166" t="str">
            <v>q954h</v>
          </cell>
          <cell r="B1166" t="str">
            <v>q954h omicron-variant gene target</v>
          </cell>
        </row>
        <row r="1167">
          <cell r="A1167" t="str">
            <v>qaqc</v>
          </cell>
          <cell r="B1167" t="str">
            <v>Quaility assurance method</v>
          </cell>
        </row>
        <row r="1168">
          <cell r="A1168" t="str">
            <v>qcMethod</v>
          </cell>
          <cell r="B1168" t="str">
            <v>Quality Control Method</v>
          </cell>
        </row>
        <row r="1169">
          <cell r="A1169" t="str">
            <v>qf1</v>
          </cell>
          <cell r="B1169" t="str">
            <v>Quality concerns</v>
          </cell>
        </row>
        <row r="1170">
          <cell r="A1170" t="str">
            <v>qgDNARNA</v>
          </cell>
          <cell r="B1170" t="str">
            <v>qiagen allprep dna/rna kit</v>
          </cell>
        </row>
        <row r="1171">
          <cell r="A1171" t="str">
            <v>qgDpcr</v>
          </cell>
          <cell r="B1171" t="str">
            <v>qiagen digital PCR</v>
          </cell>
        </row>
        <row r="1172">
          <cell r="A1172" t="str">
            <v>qgEz1</v>
          </cell>
          <cell r="B1172" t="str">
            <v>qiagen ez1 virus mini kit v2.0</v>
          </cell>
        </row>
        <row r="1173">
          <cell r="A1173" t="str">
            <v>qgPwrFecal</v>
          </cell>
          <cell r="B1173" t="str">
            <v>qiagen allprep powerfecal dna/rna kit</v>
          </cell>
        </row>
        <row r="1174">
          <cell r="A1174" t="str">
            <v>qgPwrViral</v>
          </cell>
          <cell r="B1174" t="str">
            <v>qiagen allprep powerviral dna/rna kit</v>
          </cell>
        </row>
        <row r="1175">
          <cell r="A1175" t="str">
            <v>qgPwrWtr</v>
          </cell>
          <cell r="B1175" t="str">
            <v>qiagen powerwater kit</v>
          </cell>
        </row>
        <row r="1176">
          <cell r="A1176" t="str">
            <v>qgQiAmp</v>
          </cell>
          <cell r="B1176" t="str">
            <v>qiagen qiaamp buffers with epoch columns</v>
          </cell>
        </row>
        <row r="1177">
          <cell r="A1177" t="str">
            <v>qgRneasy</v>
          </cell>
          <cell r="B1177" t="str">
            <v>qiagen rneasy kit</v>
          </cell>
        </row>
        <row r="1178">
          <cell r="A1178" t="str">
            <v>qgRneasyPwr</v>
          </cell>
          <cell r="B1178" t="str">
            <v>qiagen rneasy powermicrobiome kit</v>
          </cell>
        </row>
        <row r="1179">
          <cell r="A1179" t="str">
            <v>qiAllprep</v>
          </cell>
          <cell r="B1179" t="str">
            <v>qiagen allprep dna/rna kit</v>
          </cell>
        </row>
        <row r="1180">
          <cell r="A1180" t="str">
            <v>qiampDSP</v>
          </cell>
          <cell r="B1180" t="str">
            <v>qiagen qiaamp dsp viral rna mini kit</v>
          </cell>
        </row>
        <row r="1181">
          <cell r="A1181" t="str">
            <v>qpcr</v>
          </cell>
          <cell r="B1181" t="str">
            <v>Quantitative Real-Time PCR</v>
          </cell>
        </row>
        <row r="1182">
          <cell r="A1182" t="str">
            <v>qr</v>
          </cell>
          <cell r="B1182" t="str">
            <v>Quality reports table Shorthand</v>
          </cell>
        </row>
        <row r="1183">
          <cell r="A1183" t="str">
            <v>qualAggScale</v>
          </cell>
          <cell r="B1183" t="str">
            <v>Qualitative</v>
          </cell>
        </row>
        <row r="1184">
          <cell r="A1184" t="str">
            <v>qualityControl</v>
          </cell>
          <cell r="B1184" t="str">
            <v>Quality control</v>
          </cell>
        </row>
        <row r="1185">
          <cell r="A1185" t="str">
            <v>qualityFlag</v>
          </cell>
          <cell r="B1185" t="str">
            <v>Quality flag</v>
          </cell>
        </row>
        <row r="1186">
          <cell r="A1186" t="str">
            <v>qualityIndicators</v>
          </cell>
          <cell r="B1186" t="str">
            <v>Quality indicators</v>
          </cell>
        </row>
        <row r="1187">
          <cell r="A1187" t="str">
            <v>qualityIndSet</v>
          </cell>
          <cell r="B1187" t="str">
            <v>Quality Indicator Set Header</v>
          </cell>
        </row>
        <row r="1188">
          <cell r="A1188" t="str">
            <v>qualityIndSets</v>
          </cell>
          <cell r="B1188" t="str">
            <v>Quality indicator sets</v>
          </cell>
        </row>
        <row r="1189">
          <cell r="A1189" t="str">
            <v>qualityReportID</v>
          </cell>
          <cell r="B1189" t="str">
            <v>Quality report ID</v>
          </cell>
        </row>
        <row r="1190">
          <cell r="A1190" t="str">
            <v>qualityReports</v>
          </cell>
          <cell r="B1190" t="str">
            <v>Quality reports table</v>
          </cell>
        </row>
        <row r="1191">
          <cell r="A1191" t="str">
            <v>qualityReportsOrder</v>
          </cell>
          <cell r="B1191" t="str">
            <v>Quality rerpots table column order</v>
          </cell>
        </row>
        <row r="1192">
          <cell r="A1192" t="str">
            <v>qualityReportsRequired</v>
          </cell>
          <cell r="B1192" t="str">
            <v>Quality report table required headers</v>
          </cell>
        </row>
        <row r="1193">
          <cell r="A1193" t="str">
            <v>quantAggScale</v>
          </cell>
          <cell r="B1193" t="str">
            <v>Quantitative</v>
          </cell>
        </row>
        <row r="1194">
          <cell r="A1194" t="str">
            <v>r2</v>
          </cell>
          <cell r="B1194" t="str">
            <v>R squared</v>
          </cell>
        </row>
        <row r="1195">
          <cell r="A1195" t="str">
            <v>r203m</v>
          </cell>
          <cell r="B1195" t="str">
            <v>r203m delta-variant gene target</v>
          </cell>
        </row>
        <row r="1196">
          <cell r="A1196" t="str">
            <v>r346t</v>
          </cell>
          <cell r="B1196" t="str">
            <v>R346T Mutation</v>
          </cell>
        </row>
        <row r="1197">
          <cell r="A1197" t="str">
            <v>rainDpcr</v>
          </cell>
          <cell r="B1197" t="str">
            <v>Raindance digital PCR</v>
          </cell>
        </row>
        <row r="1198">
          <cell r="A1198" t="str">
            <v>rainy</v>
          </cell>
          <cell r="B1198" t="str">
            <v>Rainy</v>
          </cell>
        </row>
        <row r="1199">
          <cell r="A1199" t="str">
            <v>randomSurv</v>
          </cell>
          <cell r="B1199" t="str">
            <v>Random sampling surveillance program</v>
          </cell>
        </row>
        <row r="1200">
          <cell r="A1200" t="str">
            <v>ranSeq</v>
          </cell>
          <cell r="B1200" t="str">
            <v>Random sequencing selection method</v>
          </cell>
        </row>
        <row r="1201">
          <cell r="A1201" t="str">
            <v>ratio</v>
          </cell>
          <cell r="B1201" t="str">
            <v>Ratio</v>
          </cell>
        </row>
        <row r="1202">
          <cell r="A1202" t="str">
            <v>raws</v>
          </cell>
          <cell r="B1202" t="str">
            <v>Raw wastewater</v>
          </cell>
        </row>
        <row r="1203">
          <cell r="A1203" t="str">
            <v>rawWW</v>
          </cell>
          <cell r="B1203" t="str">
            <v>Raw sewage at site</v>
          </cell>
        </row>
        <row r="1204">
          <cell r="A1204" t="str">
            <v>rawWWdown</v>
          </cell>
          <cell r="B1204" t="str">
            <v>Raw sewage downstream from a site</v>
          </cell>
        </row>
        <row r="1205">
          <cell r="A1205" t="str">
            <v>rawWWup</v>
          </cell>
          <cell r="B1205" t="str">
            <v>Raw sewage upstream from a site</v>
          </cell>
        </row>
        <row r="1206">
          <cell r="A1206" t="str">
            <v>rdrpIP2</v>
          </cell>
          <cell r="B1206" t="str">
            <v>IP2 rdrp sars-cov-2 gene target</v>
          </cell>
        </row>
        <row r="1207">
          <cell r="A1207" t="str">
            <v>rdrpIP4</v>
          </cell>
          <cell r="B1207" t="str">
            <v>IP4 rdrp sars-cov-2 gene target</v>
          </cell>
        </row>
        <row r="1208">
          <cell r="A1208" t="str">
            <v>recDate</v>
          </cell>
          <cell r="B1208" t="str">
            <v>Date sample recieved</v>
          </cell>
        </row>
        <row r="1209">
          <cell r="A1209" t="str">
            <v>recov</v>
          </cell>
          <cell r="B1209" t="str">
            <v>Recovered patients</v>
          </cell>
        </row>
        <row r="1210">
          <cell r="A1210" t="str">
            <v>refLink</v>
          </cell>
          <cell r="B1210" t="str">
            <v>Reference link</v>
          </cell>
        </row>
        <row r="1211">
          <cell r="A1211" t="str">
            <v>regular</v>
          </cell>
          <cell r="B1211" t="str">
            <v>Regular Pathogen Surveillance</v>
          </cell>
        </row>
        <row r="1212">
          <cell r="A1212" t="str">
            <v>regularReportTableSet</v>
          </cell>
          <cell r="B1212" t="str">
            <v>Regular reports table set</v>
          </cell>
        </row>
        <row r="1213">
          <cell r="A1213" t="str">
            <v>relationshipID</v>
          </cell>
          <cell r="B1213" t="str">
            <v>Relationship between entities</v>
          </cell>
        </row>
        <row r="1214">
          <cell r="A1214" t="str">
            <v>relDateEnd</v>
          </cell>
          <cell r="B1214" t="str">
            <v>Measure relevance end date</v>
          </cell>
        </row>
        <row r="1215">
          <cell r="A1215" t="str">
            <v>relDateStart</v>
          </cell>
          <cell r="B1215" t="str">
            <v>Measure relevance start date</v>
          </cell>
        </row>
        <row r="1216">
          <cell r="A1216" t="str">
            <v>relHum</v>
          </cell>
          <cell r="B1216" t="str">
            <v>Relative humidity</v>
          </cell>
        </row>
        <row r="1217">
          <cell r="A1217" t="str">
            <v>relHumidUnitSet</v>
          </cell>
          <cell r="B1217" t="str">
            <v>Relative humidity unit set</v>
          </cell>
        </row>
        <row r="1218">
          <cell r="A1218" t="str">
            <v>repGrab</v>
          </cell>
          <cell r="B1218" t="str">
            <v>Representative grab sample</v>
          </cell>
        </row>
        <row r="1219">
          <cell r="A1219" t="str">
            <v>replicateSet</v>
          </cell>
          <cell r="B1219" t="str">
            <v>Replicate Type set</v>
          </cell>
        </row>
        <row r="1220">
          <cell r="A1220" t="str">
            <v>repNum</v>
          </cell>
          <cell r="B1220" t="str">
            <v>replicate number</v>
          </cell>
        </row>
        <row r="1221">
          <cell r="A1221" t="str">
            <v>repOrg1</v>
          </cell>
          <cell r="B1221" t="str">
            <v>Primary reporting authority ID</v>
          </cell>
        </row>
        <row r="1222">
          <cell r="A1222" t="str">
            <v>repOrg2</v>
          </cell>
          <cell r="B1222" t="str">
            <v>Secondary reporting authority ID</v>
          </cell>
        </row>
        <row r="1223">
          <cell r="A1223" t="str">
            <v>reportable</v>
          </cell>
          <cell r="B1223" t="str">
            <v>Reportable</v>
          </cell>
        </row>
        <row r="1224">
          <cell r="A1224" t="str">
            <v>reportDate</v>
          </cell>
          <cell r="B1224" t="str">
            <v>Report date</v>
          </cell>
        </row>
        <row r="1225">
          <cell r="A1225" t="str">
            <v>reporterIDDep</v>
          </cell>
          <cell r="B1225" t="str">
            <v>Reporter ID depreciated</v>
          </cell>
        </row>
        <row r="1226">
          <cell r="A1226" t="str">
            <v>reportersDep</v>
          </cell>
          <cell r="B1226" t="str">
            <v>Reporter table depreciated</v>
          </cell>
        </row>
        <row r="1227">
          <cell r="A1227" t="str">
            <v>reportTableInput</v>
          </cell>
          <cell r="B1227" t="str">
            <v>Report table input (wide table)</v>
          </cell>
        </row>
        <row r="1228">
          <cell r="A1228" t="str">
            <v>reportTableName</v>
          </cell>
          <cell r="B1228" t="str">
            <v>Report table name (wide table)</v>
          </cell>
        </row>
        <row r="1229">
          <cell r="A1229" t="str">
            <v>repositories</v>
          </cell>
          <cell r="B1229" t="str">
            <v>Repositories Table</v>
          </cell>
        </row>
        <row r="1230">
          <cell r="A1230" t="str">
            <v>repositoryID</v>
          </cell>
          <cell r="B1230" t="str">
            <v>External Repository ID</v>
          </cell>
        </row>
        <row r="1231">
          <cell r="A1231" t="str">
            <v>repType</v>
          </cell>
          <cell r="B1231" t="str">
            <v>Replicate Type</v>
          </cell>
        </row>
        <row r="1232">
          <cell r="A1232" t="str">
            <v>resCosca</v>
          </cell>
          <cell r="B1232" t="str">
            <v>Resuspend COSCa filter collection</v>
          </cell>
        </row>
        <row r="1233">
          <cell r="A1233" t="str">
            <v>research</v>
          </cell>
          <cell r="B1233" t="str">
            <v>Research sector or organization</v>
          </cell>
        </row>
        <row r="1234">
          <cell r="A1234" t="str">
            <v>researchPurp</v>
          </cell>
          <cell r="B1234" t="str">
            <v>Research purposes</v>
          </cell>
        </row>
        <row r="1235">
          <cell r="A1235" t="str">
            <v>resPerKm</v>
          </cell>
          <cell r="B1235" t="str">
            <v>Residents per square kilometre</v>
          </cell>
        </row>
        <row r="1236">
          <cell r="A1236" t="str">
            <v>resPerMile</v>
          </cell>
          <cell r="B1236" t="str">
            <v>Residents per square mile</v>
          </cell>
        </row>
        <row r="1237">
          <cell r="A1237" t="str">
            <v>restrict</v>
          </cell>
          <cell r="B1237" t="str">
            <v>Restricted data</v>
          </cell>
        </row>
        <row r="1238">
          <cell r="A1238" t="str">
            <v>results</v>
          </cell>
          <cell r="B1238" t="str">
            <v>Results tables</v>
          </cell>
        </row>
        <row r="1239">
          <cell r="A1239" t="str">
            <v>resuspension</v>
          </cell>
          <cell r="B1239" t="str">
            <v>Resuspension method</v>
          </cell>
        </row>
        <row r="1240">
          <cell r="A1240" t="str">
            <v>resusSet</v>
          </cell>
          <cell r="B1240" t="str">
            <v>Resuspension method set</v>
          </cell>
        </row>
        <row r="1241">
          <cell r="A1241" t="str">
            <v>retainedElement</v>
          </cell>
          <cell r="B1241" t="str">
            <v>Retained Element</v>
          </cell>
        </row>
        <row r="1242">
          <cell r="A1242" t="str">
            <v>retElSet</v>
          </cell>
          <cell r="B1242" t="str">
            <v>Retained Element Set</v>
          </cell>
        </row>
        <row r="1243">
          <cell r="A1243" t="str">
            <v>retPond</v>
          </cell>
          <cell r="B1243" t="str">
            <v>Retention pond</v>
          </cell>
        </row>
        <row r="1244">
          <cell r="A1244" t="str">
            <v>rickettsia</v>
          </cell>
          <cell r="B1244" t="str">
            <v>Rickettsia</v>
          </cell>
        </row>
        <row r="1245">
          <cell r="A1245" t="str">
            <v>rickettsiaGrp</v>
          </cell>
          <cell r="B1245" t="str">
            <v>Rickettsia Group</v>
          </cell>
        </row>
        <row r="1246">
          <cell r="A1246" t="str">
            <v>river</v>
          </cell>
          <cell r="B1246" t="str">
            <v>River, natural water body</v>
          </cell>
        </row>
        <row r="1247">
          <cell r="A1247" t="str">
            <v>rna</v>
          </cell>
          <cell r="B1247" t="str">
            <v>RNA Template</v>
          </cell>
        </row>
        <row r="1248">
          <cell r="A1248" t="str">
            <v>rnaseP</v>
          </cell>
          <cell r="B1248" t="str">
            <v>Ribonuclease P (RNase P)</v>
          </cell>
        </row>
        <row r="1249">
          <cell r="A1249" t="str">
            <v>role</v>
          </cell>
          <cell r="B1249" t="str">
            <v>Role of contact</v>
          </cell>
        </row>
        <row r="1250">
          <cell r="A1250" t="str">
            <v>rotavirus</v>
          </cell>
          <cell r="B1250" t="str">
            <v>Rotavirus</v>
          </cell>
        </row>
        <row r="1251">
          <cell r="A1251" t="str">
            <v>rotavirusGrp</v>
          </cell>
          <cell r="B1251" t="str">
            <v>Rotavirus Group</v>
          </cell>
        </row>
        <row r="1252">
          <cell r="A1252" t="str">
            <v>rP100</v>
          </cell>
          <cell r="B1252" t="str">
            <v>Rate per 100,000</v>
          </cell>
        </row>
        <row r="1253">
          <cell r="A1253" t="str">
            <v>rpm</v>
          </cell>
          <cell r="B1253" t="str">
            <v>Revolutions per minute (RPM)</v>
          </cell>
        </row>
        <row r="1254">
          <cell r="A1254" t="str">
            <v>rppw</v>
          </cell>
          <cell r="B1254" t="str">
            <v>Raw post-pasteurized wastewater</v>
          </cell>
        </row>
        <row r="1255">
          <cell r="A1255" t="str">
            <v>rsvAB</v>
          </cell>
          <cell r="B1255" t="str">
            <v>Respiratory syncytial virus A and B combined</v>
          </cell>
        </row>
        <row r="1256">
          <cell r="A1256" t="str">
            <v>rsvAMe</v>
          </cell>
          <cell r="B1256" t="str">
            <v>Respiratory syncytial virus A</v>
          </cell>
        </row>
        <row r="1257">
          <cell r="A1257" t="str">
            <v>rsvB</v>
          </cell>
          <cell r="B1257" t="str">
            <v>Respiratory syncytial virus B</v>
          </cell>
        </row>
        <row r="1258">
          <cell r="A1258" t="str">
            <v>rsvGrp</v>
          </cell>
          <cell r="B1258" t="str">
            <v>Respiratory syncytial virus (RSV) Group</v>
          </cell>
        </row>
        <row r="1259">
          <cell r="A1259" t="str">
            <v>rsvMe</v>
          </cell>
          <cell r="B1259" t="str">
            <v>Respiratory syncytial virus</v>
          </cell>
        </row>
        <row r="1260">
          <cell r="A1260" t="str">
            <v>rsvN</v>
          </cell>
          <cell r="B1260" t="str">
            <v>RSV N-gene</v>
          </cell>
        </row>
        <row r="1261">
          <cell r="A1261" t="str">
            <v>rt</v>
          </cell>
          <cell r="B1261" t="str">
            <v>reverse transcription</v>
          </cell>
        </row>
        <row r="1262">
          <cell r="A1262" t="str">
            <v>rubella</v>
          </cell>
          <cell r="B1262" t="str">
            <v>Rubella</v>
          </cell>
        </row>
        <row r="1263">
          <cell r="A1263" t="str">
            <v>rubellaGrp</v>
          </cell>
          <cell r="B1263" t="str">
            <v>Rubella Group</v>
          </cell>
        </row>
        <row r="1264">
          <cell r="A1264" t="str">
            <v>rural</v>
          </cell>
          <cell r="B1264" t="str">
            <v>Rural</v>
          </cell>
        </row>
        <row r="1265">
          <cell r="A1265" t="str">
            <v>s2083i</v>
          </cell>
          <cell r="B1265" t="str">
            <v>s2083i omicron-variant gene target</v>
          </cell>
        </row>
        <row r="1266">
          <cell r="A1266" t="str">
            <v>s371l</v>
          </cell>
          <cell r="B1266" t="str">
            <v>s371l omicron-variant gene target</v>
          </cell>
        </row>
        <row r="1267">
          <cell r="A1267" t="str">
            <v>s373p</v>
          </cell>
          <cell r="B1267" t="str">
            <v>s373p omicron-variant gene target</v>
          </cell>
        </row>
        <row r="1268">
          <cell r="A1268" t="str">
            <v>s375f</v>
          </cell>
          <cell r="B1268" t="str">
            <v>s375f omicron-variant gene target</v>
          </cell>
        </row>
        <row r="1269">
          <cell r="A1269" t="str">
            <v>s477n</v>
          </cell>
          <cell r="B1269" t="str">
            <v>s477n omicron-variant gene target</v>
          </cell>
        </row>
        <row r="1270">
          <cell r="A1270" t="str">
            <v>sa</v>
          </cell>
          <cell r="B1270" t="str">
            <v>Sample</v>
          </cell>
        </row>
        <row r="1271">
          <cell r="A1271" t="str">
            <v>salinity</v>
          </cell>
          <cell r="B1271" t="str">
            <v>Salinity</v>
          </cell>
        </row>
        <row r="1272">
          <cell r="A1272" t="str">
            <v>salmonella</v>
          </cell>
          <cell r="B1272" t="str">
            <v>Salmonella</v>
          </cell>
        </row>
        <row r="1273">
          <cell r="A1273" t="str">
            <v>salmonellaGrp</v>
          </cell>
          <cell r="B1273" t="str">
            <v>Salmonella Group</v>
          </cell>
        </row>
        <row r="1274">
          <cell r="A1274" t="str">
            <v>saMaterial</v>
          </cell>
          <cell r="B1274" t="str">
            <v>Sample material</v>
          </cell>
        </row>
        <row r="1275">
          <cell r="A1275" t="str">
            <v>samConc</v>
          </cell>
          <cell r="B1275" t="str">
            <v>Sample concentrate</v>
          </cell>
        </row>
        <row r="1276">
          <cell r="A1276" t="str">
            <v>sampleID</v>
          </cell>
          <cell r="B1276" t="str">
            <v>Sample ID</v>
          </cell>
        </row>
        <row r="1277">
          <cell r="A1277" t="str">
            <v>sampleIDObject</v>
          </cell>
          <cell r="B1277" t="str">
            <v>Sample ID object</v>
          </cell>
        </row>
        <row r="1278">
          <cell r="A1278" t="str">
            <v>sampleIDSubject</v>
          </cell>
          <cell r="B1278" t="str">
            <v>Sample ID subject</v>
          </cell>
        </row>
        <row r="1279">
          <cell r="A1279" t="str">
            <v>sampleMatSet</v>
          </cell>
          <cell r="B1279" t="str">
            <v>Sample material set</v>
          </cell>
        </row>
        <row r="1280">
          <cell r="A1280" t="str">
            <v>sampleQualitySet</v>
          </cell>
          <cell r="B1280" t="str">
            <v>Sample quality set</v>
          </cell>
        </row>
        <row r="1281">
          <cell r="A1281" t="str">
            <v>sampleRelationships</v>
          </cell>
          <cell r="B1281" t="str">
            <v>Sample relationships table</v>
          </cell>
        </row>
        <row r="1282">
          <cell r="A1282" t="str">
            <v>sampleRelationshipsID</v>
          </cell>
          <cell r="B1282" t="str">
            <v>Synthetic ID for the sampleRelationships table</v>
          </cell>
        </row>
        <row r="1283">
          <cell r="A1283" t="str">
            <v>sampleRelationshipsOrder</v>
          </cell>
          <cell r="B1283" t="str">
            <v>Sample relationships table column order</v>
          </cell>
        </row>
        <row r="1284">
          <cell r="A1284" t="str">
            <v>sampleRelationshipsRequired</v>
          </cell>
          <cell r="B1284" t="str">
            <v>Sample relationships table required headers</v>
          </cell>
        </row>
        <row r="1285">
          <cell r="A1285" t="str">
            <v>sampleRelSet</v>
          </cell>
          <cell r="B1285" t="str">
            <v>Sample relationships set</v>
          </cell>
        </row>
        <row r="1286">
          <cell r="A1286" t="str">
            <v>samples</v>
          </cell>
          <cell r="B1286" t="str">
            <v>Sample report table</v>
          </cell>
        </row>
        <row r="1287">
          <cell r="A1287" t="str">
            <v>sampleShed</v>
          </cell>
          <cell r="B1287" t="str">
            <v>Sample shed</v>
          </cell>
        </row>
        <row r="1288">
          <cell r="A1288" t="str">
            <v>samplesOrder</v>
          </cell>
          <cell r="B1288" t="str">
            <v>Samples table column order</v>
          </cell>
        </row>
        <row r="1289">
          <cell r="A1289" t="str">
            <v>samplesRequired</v>
          </cell>
          <cell r="B1289" t="str">
            <v>Sample table required headers</v>
          </cell>
        </row>
        <row r="1290">
          <cell r="A1290" t="str">
            <v>sampleTypeOther</v>
          </cell>
          <cell r="B1290" t="str">
            <v>Collection other depreciated</v>
          </cell>
        </row>
        <row r="1291">
          <cell r="A1291" t="str">
            <v>samVol</v>
          </cell>
          <cell r="B1291" t="str">
            <v>Sample volume</v>
          </cell>
        </row>
        <row r="1292">
          <cell r="A1292" t="str">
            <v>sapovirus</v>
          </cell>
          <cell r="B1292" t="str">
            <v>Sapovirus</v>
          </cell>
        </row>
        <row r="1293">
          <cell r="A1293" t="str">
            <v>sapovirusGrp</v>
          </cell>
          <cell r="B1293" t="str">
            <v>Sapovirus Group</v>
          </cell>
        </row>
        <row r="1294">
          <cell r="A1294" t="str">
            <v>sar</v>
          </cell>
          <cell r="B1294" t="str">
            <v>Sample relationships table Shorthand</v>
          </cell>
        </row>
        <row r="1295">
          <cell r="A1295" t="str">
            <v>sarsCov2</v>
          </cell>
          <cell r="B1295" t="str">
            <v>SARS-CoV-2</v>
          </cell>
        </row>
        <row r="1296">
          <cell r="A1296" t="str">
            <v>sas</v>
          </cell>
          <cell r="B1296" t="str">
            <v>Sample report table Shorthand</v>
          </cell>
        </row>
        <row r="1297">
          <cell r="A1297" t="str">
            <v>saSpecimenSet</v>
          </cell>
          <cell r="B1297" t="str">
            <v>Sample specimen set</v>
          </cell>
        </row>
        <row r="1298">
          <cell r="A1298" t="str">
            <v>sC</v>
          </cell>
          <cell r="B1298" t="str">
            <v>Sparse coverage</v>
          </cell>
        </row>
        <row r="1299">
          <cell r="A1299" t="str">
            <v>sce</v>
          </cell>
          <cell r="B1299" t="str">
            <v>Secondary clarifier effluent depreciated</v>
          </cell>
        </row>
        <row r="1300">
          <cell r="A1300" t="str">
            <v>scf</v>
          </cell>
          <cell r="B1300" t="str">
            <v>Standard curve frequency</v>
          </cell>
        </row>
        <row r="1301">
          <cell r="A1301" t="str">
            <v>school</v>
          </cell>
          <cell r="B1301" t="str">
            <v>School</v>
          </cell>
        </row>
        <row r="1302">
          <cell r="A1302" t="str">
            <v>sciencellRNA</v>
          </cell>
          <cell r="B1302" t="str">
            <v>sciencell viral rna isolation kit</v>
          </cell>
        </row>
        <row r="1303">
          <cell r="A1303" t="str">
            <v>scriptSet</v>
          </cell>
          <cell r="B1303" t="str">
            <v>Sequencing script version set</v>
          </cell>
        </row>
        <row r="1304">
          <cell r="A1304" t="str">
            <v>scriptVersion</v>
          </cell>
          <cell r="B1304" t="str">
            <v>Genetic sequencing script version</v>
          </cell>
        </row>
        <row r="1305">
          <cell r="A1305" t="str">
            <v>scsDep</v>
          </cell>
          <cell r="B1305" t="str">
            <v>Secondary clarifier sludge depreciated</v>
          </cell>
        </row>
        <row r="1306">
          <cell r="A1306" t="str">
            <v>sd</v>
          </cell>
          <cell r="B1306" t="str">
            <v>Standard deviation</v>
          </cell>
        </row>
        <row r="1307">
          <cell r="A1307" t="str">
            <v>sdn</v>
          </cell>
          <cell r="B1307" t="str">
            <v>Normalized standard deviation</v>
          </cell>
        </row>
        <row r="1308">
          <cell r="A1308" t="str">
            <v>se</v>
          </cell>
          <cell r="B1308" t="str">
            <v>Sets look-up table Shorthand</v>
          </cell>
        </row>
        <row r="1309">
          <cell r="A1309" t="str">
            <v>sea</v>
          </cell>
          <cell r="B1309" t="str">
            <v>Sea, natural water body</v>
          </cell>
        </row>
        <row r="1310">
          <cell r="A1310" t="str">
            <v>seconds</v>
          </cell>
          <cell r="B1310" t="str">
            <v>Seconds</v>
          </cell>
        </row>
        <row r="1311">
          <cell r="A1311" t="str">
            <v>seeUnitAggScale</v>
          </cell>
          <cell r="B1311" t="str">
            <v>See unit (aggregation scales)</v>
          </cell>
        </row>
        <row r="1312">
          <cell r="A1312" t="str">
            <v>seeUnitData</v>
          </cell>
          <cell r="B1312" t="str">
            <v>See unit (data type)</v>
          </cell>
        </row>
        <row r="1313">
          <cell r="A1313" t="str">
            <v>seeUnitVal</v>
          </cell>
          <cell r="B1313" t="str">
            <v>See unit (value)</v>
          </cell>
        </row>
        <row r="1314">
          <cell r="A1314" t="str">
            <v>sEfflu</v>
          </cell>
          <cell r="B1314" t="str">
            <v>Secondary clarifier effluent</v>
          </cell>
        </row>
        <row r="1315">
          <cell r="A1315" t="str">
            <v>self</v>
          </cell>
          <cell r="B1315" t="str">
            <v>Access to self</v>
          </cell>
        </row>
        <row r="1316">
          <cell r="A1316" t="str">
            <v>sentDate</v>
          </cell>
          <cell r="B1316" t="str">
            <v>Date sample was sent</v>
          </cell>
        </row>
        <row r="1317">
          <cell r="A1317" t="str">
            <v>septage</v>
          </cell>
          <cell r="B1317" t="str">
            <v>Septic tank wastewater</v>
          </cell>
        </row>
        <row r="1318">
          <cell r="A1318" t="str">
            <v>septTnk</v>
          </cell>
          <cell r="B1318" t="str">
            <v>Septic tank</v>
          </cell>
        </row>
        <row r="1319">
          <cell r="A1319" t="str">
            <v>seqAssLen</v>
          </cell>
          <cell r="B1319" t="str">
            <v>sequence assembly length</v>
          </cell>
        </row>
        <row r="1320">
          <cell r="A1320" t="str">
            <v>seqContam</v>
          </cell>
          <cell r="B1320" t="str">
            <v>Sequence Contaminated</v>
          </cell>
        </row>
        <row r="1321">
          <cell r="A1321" t="str">
            <v>seqLay</v>
          </cell>
          <cell r="B1321" t="str">
            <v>Sequencing Layout</v>
          </cell>
        </row>
        <row r="1322">
          <cell r="A1322" t="str">
            <v>seqLaySet</v>
          </cell>
          <cell r="B1322" t="str">
            <v>Sequencing Layout set</v>
          </cell>
        </row>
        <row r="1323">
          <cell r="A1323" t="str">
            <v>seqQualitySet</v>
          </cell>
          <cell r="B1323" t="str">
            <v>Sequencing quality set</v>
          </cell>
        </row>
        <row r="1324">
          <cell r="A1324" t="str">
            <v>seqSel</v>
          </cell>
          <cell r="B1324" t="str">
            <v>Sequencing selection method</v>
          </cell>
        </row>
        <row r="1325">
          <cell r="A1325" t="str">
            <v>seqSelSet</v>
          </cell>
          <cell r="B1325" t="str">
            <v>Sequencing selection method set</v>
          </cell>
        </row>
        <row r="1326">
          <cell r="A1326" t="str">
            <v>seqStrat</v>
          </cell>
          <cell r="B1326" t="str">
            <v>Sequencing Strategy</v>
          </cell>
        </row>
        <row r="1327">
          <cell r="A1327" t="str">
            <v>seqStratSet</v>
          </cell>
          <cell r="B1327" t="str">
            <v>Sequencing Strategy set</v>
          </cell>
        </row>
        <row r="1328">
          <cell r="A1328" t="str">
            <v>sequence</v>
          </cell>
          <cell r="B1328" t="str">
            <v>Genetic sequences class</v>
          </cell>
        </row>
        <row r="1329">
          <cell r="A1329" t="str">
            <v>serDil</v>
          </cell>
          <cell r="B1329" t="str">
            <v>serial dillution</v>
          </cell>
        </row>
        <row r="1330">
          <cell r="A1330" t="str">
            <v>serialDilution</v>
          </cell>
          <cell r="B1330" t="str">
            <v>Serial dilution</v>
          </cell>
        </row>
        <row r="1331">
          <cell r="A1331" t="str">
            <v>seseDep</v>
          </cell>
          <cell r="B1331" t="str">
            <v>Sewer Sediments Depreciated</v>
          </cell>
        </row>
        <row r="1332">
          <cell r="A1332" t="str">
            <v>setCompID</v>
          </cell>
          <cell r="B1332" t="str">
            <v>Composite Set ID</v>
          </cell>
        </row>
        <row r="1333">
          <cell r="A1333" t="str">
            <v>setID</v>
          </cell>
          <cell r="B1333" t="str">
            <v>Set ID</v>
          </cell>
        </row>
        <row r="1334">
          <cell r="A1334" t="str">
            <v>sets</v>
          </cell>
          <cell r="B1334" t="str">
            <v>Sets look-up table</v>
          </cell>
        </row>
        <row r="1335">
          <cell r="A1335" t="str">
            <v>setsOrder</v>
          </cell>
          <cell r="B1335" t="str">
            <v>Sets table column order</v>
          </cell>
        </row>
        <row r="1336">
          <cell r="A1336" t="str">
            <v>setsRequired</v>
          </cell>
          <cell r="B1336" t="str">
            <v>Sets table required headers</v>
          </cell>
        </row>
        <row r="1337">
          <cell r="A1337" t="str">
            <v>settsol</v>
          </cell>
          <cell r="B1337" t="str">
            <v>Settled solids</v>
          </cell>
        </row>
        <row r="1338">
          <cell r="A1338" t="str">
            <v>setType</v>
          </cell>
          <cell r="B1338" t="str">
            <v>Set type</v>
          </cell>
        </row>
        <row r="1339">
          <cell r="A1339" t="str">
            <v>severity</v>
          </cell>
          <cell r="B1339" t="str">
            <v>Severity indicator</v>
          </cell>
        </row>
        <row r="1340">
          <cell r="A1340" t="str">
            <v>sevSet</v>
          </cell>
          <cell r="B1340" t="str">
            <v>Severity set</v>
          </cell>
        </row>
        <row r="1341">
          <cell r="A1341" t="str">
            <v>sewEq</v>
          </cell>
          <cell r="B1341" t="str">
            <v>Sewage equivalent</v>
          </cell>
        </row>
        <row r="1342">
          <cell r="A1342" t="str">
            <v>sewerNetworkFileBLOB</v>
          </cell>
          <cell r="B1342" t="str">
            <v>Sewer network file link depreciated</v>
          </cell>
        </row>
        <row r="1343">
          <cell r="A1343" t="str">
            <v>sewTrTi</v>
          </cell>
          <cell r="B1343" t="str">
            <v>Sewage travel time</v>
          </cell>
        </row>
        <row r="1344">
          <cell r="A1344" t="str">
            <v>sGene</v>
          </cell>
          <cell r="B1344" t="str">
            <v>S sars-cov-2 gene target</v>
          </cell>
        </row>
        <row r="1345">
          <cell r="A1345" t="str">
            <v>shaker</v>
          </cell>
          <cell r="B1345" t="str">
            <v>Shaker aggitation speed</v>
          </cell>
        </row>
        <row r="1346">
          <cell r="A1346" t="str">
            <v>shedSet</v>
          </cell>
          <cell r="B1346" t="str">
            <v>Sampleshed set</v>
          </cell>
        </row>
        <row r="1347">
          <cell r="A1347" t="str">
            <v>shigella</v>
          </cell>
          <cell r="B1347" t="str">
            <v>Shigella</v>
          </cell>
        </row>
        <row r="1348">
          <cell r="A1348" t="str">
            <v>shigellaGroup</v>
          </cell>
          <cell r="B1348" t="str">
            <v>Shigella Group</v>
          </cell>
        </row>
        <row r="1349">
          <cell r="A1349" t="str">
            <v>ship</v>
          </cell>
          <cell r="B1349" t="str">
            <v>Ship</v>
          </cell>
        </row>
        <row r="1350">
          <cell r="A1350" t="str">
            <v>shipOnIce</v>
          </cell>
          <cell r="B1350" t="str">
            <v>Shipped on ice</v>
          </cell>
        </row>
        <row r="1351">
          <cell r="A1351" t="str">
            <v>shortName</v>
          </cell>
          <cell r="B1351" t="str">
            <v>Short names</v>
          </cell>
        </row>
        <row r="1352">
          <cell r="A1352" t="str">
            <v>shortRead</v>
          </cell>
          <cell r="B1352" t="str">
            <v>Read Lengths Shorter Than Expected</v>
          </cell>
        </row>
        <row r="1353">
          <cell r="A1353" t="str">
            <v>shrtNameSet</v>
          </cell>
          <cell r="B1353" t="str">
            <v>Short Name Set</v>
          </cell>
        </row>
        <row r="1354">
          <cell r="A1354" t="str">
            <v>si</v>
          </cell>
          <cell r="B1354" t="str">
            <v>Sites table Shorthand</v>
          </cell>
        </row>
        <row r="1355">
          <cell r="A1355" t="str">
            <v>sin</v>
          </cell>
          <cell r="B1355" t="str">
            <v>Single</v>
          </cell>
        </row>
        <row r="1356">
          <cell r="A1356" t="str">
            <v>sinLay</v>
          </cell>
          <cell r="B1356" t="str">
            <v>Single Layout</v>
          </cell>
        </row>
        <row r="1357">
          <cell r="A1357" t="str">
            <v>sinProbeOne</v>
          </cell>
          <cell r="B1357" t="str">
            <v>Singleplex, probe-based, one-step RT-qPCR</v>
          </cell>
        </row>
        <row r="1358">
          <cell r="A1358" t="str">
            <v>siSaSpecimenSet</v>
          </cell>
          <cell r="B1358" t="str">
            <v>Site or sample specimen set</v>
          </cell>
        </row>
        <row r="1359">
          <cell r="A1359" t="str">
            <v>siSpecimenSet</v>
          </cell>
          <cell r="B1359" t="str">
            <v>Site specimen set</v>
          </cell>
        </row>
        <row r="1360">
          <cell r="A1360" t="str">
            <v>sit</v>
          </cell>
          <cell r="B1360" t="str">
            <v>Site</v>
          </cell>
        </row>
        <row r="1361">
          <cell r="A1361" t="str">
            <v>siteDef</v>
          </cell>
          <cell r="B1361" t="str">
            <v>Site ID default</v>
          </cell>
        </row>
        <row r="1362">
          <cell r="A1362" t="str">
            <v>siteFeat</v>
          </cell>
          <cell r="B1362" t="str">
            <v>Site features group</v>
          </cell>
        </row>
        <row r="1364">
          <cell r="A1364" t="str">
            <v>siteID</v>
          </cell>
          <cell r="B1364" t="str">
            <v>Site ID</v>
          </cell>
        </row>
        <row r="1365">
          <cell r="A1365" t="str">
            <v>siteMeasureID</v>
          </cell>
          <cell r="B1365" t="str">
            <v>Site measure ID</v>
          </cell>
        </row>
        <row r="1366">
          <cell r="A1366" t="str">
            <v>sites</v>
          </cell>
          <cell r="B1366" t="str">
            <v>Sites table</v>
          </cell>
        </row>
        <row r="1367">
          <cell r="A1367" t="str">
            <v>sitesOrder</v>
          </cell>
          <cell r="B1367" t="str">
            <v>Sites table column order</v>
          </cell>
        </row>
        <row r="1368">
          <cell r="A1368" t="str">
            <v>sitesRequired</v>
          </cell>
          <cell r="B1368" t="str">
            <v>Sites table required headers</v>
          </cell>
        </row>
        <row r="1369">
          <cell r="A1369" t="str">
            <v>siteType</v>
          </cell>
          <cell r="B1369" t="str">
            <v>Site Type</v>
          </cell>
        </row>
        <row r="1370">
          <cell r="A1370" t="str">
            <v>siteTypeSet</v>
          </cell>
          <cell r="B1370" t="str">
            <v>Site set</v>
          </cell>
        </row>
        <row r="1371">
          <cell r="A1371" t="str">
            <v>skimMilkFloc</v>
          </cell>
          <cell r="B1371" t="str">
            <v>Skimmed milk flocculation</v>
          </cell>
        </row>
        <row r="1372">
          <cell r="A1372" t="str">
            <v>slod</v>
          </cell>
          <cell r="B1372" t="str">
            <v>Sample Limit of Detection (LOD)</v>
          </cell>
        </row>
        <row r="1373">
          <cell r="A1373" t="str">
            <v>slope</v>
          </cell>
          <cell r="B1373" t="str">
            <v>slope</v>
          </cell>
        </row>
        <row r="1374">
          <cell r="A1374" t="str">
            <v>sm</v>
          </cell>
          <cell r="B1374" t="str">
            <v>Siemens per meter</v>
          </cell>
        </row>
        <row r="1375">
          <cell r="A1375" t="str">
            <v>snfl</v>
          </cell>
          <cell r="B1375" t="str">
            <v>Sewer network file link depreciated 2</v>
          </cell>
        </row>
        <row r="1376">
          <cell r="A1376" t="str">
            <v>snowy</v>
          </cell>
          <cell r="B1376" t="str">
            <v>Snowy</v>
          </cell>
        </row>
        <row r="1377">
          <cell r="A1377" t="str">
            <v>sol</v>
          </cell>
          <cell r="B1377" t="str">
            <v>Solid fraction</v>
          </cell>
        </row>
        <row r="1378">
          <cell r="A1378" t="str">
            <v>solid</v>
          </cell>
          <cell r="B1378" t="str">
            <v>Solids/Pellet retained</v>
          </cell>
        </row>
        <row r="1379">
          <cell r="A1379" t="str">
            <v>solidSep</v>
          </cell>
          <cell r="B1379" t="str">
            <v>Solid seperation</v>
          </cell>
        </row>
        <row r="1380">
          <cell r="A1380" t="str">
            <v>solidSeparationSet</v>
          </cell>
          <cell r="B1380" t="str">
            <v>Solid separation set</v>
          </cell>
        </row>
        <row r="1381">
          <cell r="A1381" t="str">
            <v>source</v>
          </cell>
          <cell r="B1381" t="str">
            <v>Wide name source</v>
          </cell>
        </row>
        <row r="1382">
          <cell r="A1382" t="str">
            <v>sourceProtocol</v>
          </cell>
          <cell r="B1382" t="str">
            <v>Source Protocol ID</v>
          </cell>
        </row>
        <row r="1383">
          <cell r="A1383" t="str">
            <v>sourceStep</v>
          </cell>
          <cell r="B1383" t="str">
            <v>Protocol step source ID</v>
          </cell>
        </row>
        <row r="1384">
          <cell r="A1384" t="str">
            <v>sovereignty</v>
          </cell>
          <cell r="B1384" t="str">
            <v>Sovereign status of a country</v>
          </cell>
        </row>
        <row r="1385">
          <cell r="A1385" t="str">
            <v>specHum</v>
          </cell>
          <cell r="B1385" t="str">
            <v>Specific humidity</v>
          </cell>
        </row>
        <row r="1386">
          <cell r="A1386" t="str">
            <v>specHumidUnitSet</v>
          </cell>
          <cell r="B1386" t="str">
            <v>Specific humidity unit set</v>
          </cell>
        </row>
        <row r="1387">
          <cell r="A1387" t="str">
            <v>specifies</v>
          </cell>
          <cell r="B1387" t="str">
            <v>Specifies</v>
          </cell>
        </row>
        <row r="1388">
          <cell r="A1388" t="str">
            <v>specimen</v>
          </cell>
          <cell r="B1388" t="str">
            <v>Specimen</v>
          </cell>
        </row>
        <row r="1389">
          <cell r="A1389" t="str">
            <v>specimenInput</v>
          </cell>
          <cell r="B1389" t="str">
            <v>Specimen input (wide table)</v>
          </cell>
        </row>
        <row r="1390">
          <cell r="A1390" t="str">
            <v>specimenName</v>
          </cell>
          <cell r="B1390" t="str">
            <v>Specimen name (wide table)</v>
          </cell>
        </row>
        <row r="1391">
          <cell r="A1391" t="str">
            <v>specimens</v>
          </cell>
          <cell r="B1391" t="str">
            <v>Specimens</v>
          </cell>
        </row>
        <row r="1392">
          <cell r="A1392" t="str">
            <v>specimenSet</v>
          </cell>
          <cell r="B1392" t="str">
            <v>Specimen Set Header</v>
          </cell>
        </row>
        <row r="1393">
          <cell r="A1393" t="str">
            <v>specimenSets</v>
          </cell>
          <cell r="B1393" t="str">
            <v>Specimen sets</v>
          </cell>
        </row>
        <row r="1394">
          <cell r="A1394" t="str">
            <v>speed</v>
          </cell>
          <cell r="B1394" t="str">
            <v>Speed class</v>
          </cell>
        </row>
        <row r="1395">
          <cell r="A1395" t="str">
            <v>speedUnitSet</v>
          </cell>
          <cell r="B1395" t="str">
            <v>Speed Unit Set</v>
          </cell>
        </row>
        <row r="1396">
          <cell r="A1396" t="str">
            <v>spike</v>
          </cell>
          <cell r="B1396" t="str">
            <v>Spike matrix and recovery</v>
          </cell>
        </row>
        <row r="1397">
          <cell r="A1397" t="str">
            <v>spikeConc</v>
          </cell>
          <cell r="B1397" t="str">
            <v>Spike Concentration</v>
          </cell>
        </row>
        <row r="1398">
          <cell r="A1398" t="str">
            <v>spikeMat</v>
          </cell>
          <cell r="B1398" t="str">
            <v>Spike material</v>
          </cell>
        </row>
        <row r="1399">
          <cell r="A1399" t="str">
            <v>spikeMatSet</v>
          </cell>
          <cell r="B1399" t="str">
            <v>Spike material set</v>
          </cell>
        </row>
        <row r="1400">
          <cell r="A1400" t="str">
            <v>spikeTarget</v>
          </cell>
          <cell r="B1400" t="str">
            <v>Recovery efficiency spike target</v>
          </cell>
        </row>
        <row r="1401">
          <cell r="A1401" t="str">
            <v>spikeTargetSet</v>
          </cell>
          <cell r="B1401" t="str">
            <v>Recovery efficiency spike target set</v>
          </cell>
        </row>
        <row r="1402">
          <cell r="A1402" t="str">
            <v>spill</v>
          </cell>
          <cell r="B1402" t="str">
            <v>Sample spilled</v>
          </cell>
        </row>
        <row r="1403">
          <cell r="A1403" t="str">
            <v>sra</v>
          </cell>
          <cell r="B1403" t="str">
            <v>Sequence Read Archive (SRA)</v>
          </cell>
        </row>
        <row r="1404">
          <cell r="A1404" t="str">
            <v>sSludge</v>
          </cell>
          <cell r="B1404" t="str">
            <v>Secondary clarifier sludge</v>
          </cell>
        </row>
        <row r="1405">
          <cell r="A1405" t="str">
            <v>sss</v>
          </cell>
          <cell r="B1405" t="str">
            <v>Social services shelter</v>
          </cell>
        </row>
        <row r="1406">
          <cell r="A1406" t="str">
            <v>stabPnd</v>
          </cell>
          <cell r="B1406" t="str">
            <v>Stabilization pond</v>
          </cell>
        </row>
        <row r="1407">
          <cell r="A1407" t="str">
            <v>standardConc</v>
          </cell>
          <cell r="B1407" t="str">
            <v>Standard concentrations class</v>
          </cell>
        </row>
        <row r="1408">
          <cell r="A1408" t="str">
            <v>standardCurve</v>
          </cell>
          <cell r="B1408" t="str">
            <v>Standard curve class</v>
          </cell>
        </row>
        <row r="1409">
          <cell r="A1409" t="str">
            <v>staphGrp</v>
          </cell>
          <cell r="B1409" t="str">
            <v>Staphylococcus Group</v>
          </cell>
        </row>
        <row r="1410">
          <cell r="A1410" t="str">
            <v>stateProvLevel</v>
          </cell>
          <cell r="B1410" t="str">
            <v>Departments, states, or provinces</v>
          </cell>
        </row>
        <row r="1411">
          <cell r="A1411" t="str">
            <v>stateProvReg</v>
          </cell>
          <cell r="B1411" t="str">
            <v>State, Province, or Region</v>
          </cell>
        </row>
        <row r="1412">
          <cell r="A1412" t="str">
            <v>status</v>
          </cell>
          <cell r="B1412" t="str">
            <v>Status</v>
          </cell>
        </row>
        <row r="1413">
          <cell r="A1413" t="str">
            <v>statusSet</v>
          </cell>
          <cell r="B1413" t="str">
            <v>Status set</v>
          </cell>
        </row>
        <row r="1414">
          <cell r="A1414" t="str">
            <v>stdConcentrationUnitSet</v>
          </cell>
          <cell r="B1414" t="str">
            <v>Standard concentration unit set</v>
          </cell>
        </row>
        <row r="1415">
          <cell r="A1415" t="str">
            <v>stdCurveMet</v>
          </cell>
          <cell r="B1415" t="str">
            <v>Standard Curve Calculation Method</v>
          </cell>
        </row>
        <row r="1416">
          <cell r="A1416" t="str">
            <v>stdCurveSet</v>
          </cell>
          <cell r="B1416" t="str">
            <v>Standard Curve Calculation Set</v>
          </cell>
        </row>
        <row r="1417">
          <cell r="A1417" t="str">
            <v>stec</v>
          </cell>
          <cell r="B1417" t="str">
            <v>Shiga-toxin-producing Escheria coli (STEC)</v>
          </cell>
        </row>
        <row r="1418">
          <cell r="A1418" t="str">
            <v>sTemp</v>
          </cell>
          <cell r="B1418" t="str">
            <v>Storage temp</v>
          </cell>
        </row>
        <row r="1419">
          <cell r="A1419" t="str">
            <v>stepID</v>
          </cell>
          <cell r="B1419" t="str">
            <v>Protocol Step ID</v>
          </cell>
        </row>
        <row r="1420">
          <cell r="A1420" t="str">
            <v>stepIDObj</v>
          </cell>
          <cell r="B1420" t="str">
            <v>Step ID Object</v>
          </cell>
        </row>
        <row r="1421">
          <cell r="A1421" t="str">
            <v>stepIDSub</v>
          </cell>
          <cell r="B1421" t="str">
            <v>Step ID Subject</v>
          </cell>
        </row>
        <row r="1422">
          <cell r="A1422" t="str">
            <v>stepProvenanceID</v>
          </cell>
          <cell r="B1422" t="str">
            <v>Method step parent ID</v>
          </cell>
        </row>
        <row r="1423">
          <cell r="A1423" t="str">
            <v>stepVer</v>
          </cell>
          <cell r="B1423" t="str">
            <v>Protocol step version</v>
          </cell>
        </row>
        <row r="1424">
          <cell r="A1424" t="str">
            <v>stEr</v>
          </cell>
          <cell r="B1424" t="str">
            <v>Standard Error</v>
          </cell>
        </row>
        <row r="1425">
          <cell r="A1425" t="str">
            <v>stercobilin</v>
          </cell>
          <cell r="B1425" t="str">
            <v>Stercobilin</v>
          </cell>
        </row>
        <row r="1426">
          <cell r="A1426" t="str">
            <v>stormy</v>
          </cell>
          <cell r="B1426" t="str">
            <v>Stormy Weather</v>
          </cell>
        </row>
        <row r="1427">
          <cell r="A1427" t="str">
            <v>storTempDef</v>
          </cell>
          <cell r="B1427" t="str">
            <v>Sewer network file blob</v>
          </cell>
        </row>
        <row r="1428">
          <cell r="A1428" t="str">
            <v>stoTim</v>
          </cell>
          <cell r="B1428" t="str">
            <v>Storage time</v>
          </cell>
        </row>
        <row r="1429">
          <cell r="A1429" t="str">
            <v>strepGrp</v>
          </cell>
          <cell r="B1429" t="str">
            <v>Streptococcus Group</v>
          </cell>
        </row>
        <row r="1430">
          <cell r="A1430" t="str">
            <v>strepPneu</v>
          </cell>
          <cell r="B1430" t="str">
            <v>Streptococcus pneumoniae</v>
          </cell>
        </row>
        <row r="1431">
          <cell r="A1431" t="str">
            <v>su</v>
          </cell>
          <cell r="B1431" t="str">
            <v>Summary worksheet Shorthand</v>
          </cell>
        </row>
        <row r="1432">
          <cell r="A1432" t="str">
            <v>suburban</v>
          </cell>
          <cell r="B1432" t="str">
            <v>Suburban</v>
          </cell>
        </row>
        <row r="1433">
          <cell r="A1433" t="str">
            <v>subVar</v>
          </cell>
          <cell r="B1433" t="str">
            <v>Sub-variant or lineage</v>
          </cell>
        </row>
        <row r="1434">
          <cell r="A1434" t="str">
            <v>suc</v>
          </cell>
          <cell r="B1434" t="str">
            <v>Sucralose</v>
          </cell>
        </row>
        <row r="1435">
          <cell r="A1435" t="str">
            <v>sum14</v>
          </cell>
          <cell r="B1435" t="str">
            <v>Rolling sum of previous 14 days</v>
          </cell>
        </row>
        <row r="1436">
          <cell r="A1436" t="str">
            <v>summ</v>
          </cell>
          <cell r="B1436" t="str">
            <v>Summary</v>
          </cell>
        </row>
        <row r="1437">
          <cell r="A1437" t="str">
            <v>summary</v>
          </cell>
          <cell r="B1437" t="str">
            <v>Summary worksheet</v>
          </cell>
        </row>
        <row r="1438">
          <cell r="A1438" t="str">
            <v>sunny</v>
          </cell>
          <cell r="B1438" t="str">
            <v>Sunny</v>
          </cell>
        </row>
        <row r="1439">
          <cell r="A1439" t="str">
            <v>surf</v>
          </cell>
          <cell r="B1439" t="str">
            <v>Surface compartment</v>
          </cell>
        </row>
        <row r="1440">
          <cell r="A1440" t="str">
            <v>surface</v>
          </cell>
          <cell r="B1440" t="str">
            <v>Other surface</v>
          </cell>
        </row>
        <row r="1441">
          <cell r="A1441" t="str">
            <v>surfaceCompartmentSet</v>
          </cell>
          <cell r="B1441" t="str">
            <v>Surface compartment set</v>
          </cell>
        </row>
        <row r="1442">
          <cell r="A1442" t="str">
            <v>surfaceWaterCompartmentSet</v>
          </cell>
          <cell r="B1442" t="str">
            <v>Surface and water compartment set</v>
          </cell>
        </row>
        <row r="1443">
          <cell r="A1443" t="str">
            <v>surfSw</v>
          </cell>
          <cell r="B1443" t="str">
            <v>Surface swab</v>
          </cell>
        </row>
        <row r="1444">
          <cell r="A1444" t="str">
            <v>swgTrck</v>
          </cell>
          <cell r="B1444" t="str">
            <v>Sewage truck</v>
          </cell>
        </row>
        <row r="1445">
          <cell r="A1445" t="str">
            <v>swrSed</v>
          </cell>
          <cell r="B1445" t="str">
            <v>Sewer sediment</v>
          </cell>
        </row>
        <row r="1446">
          <cell r="A1446" t="str">
            <v>swrSet</v>
          </cell>
          <cell r="B1446" t="str">
            <v>Sewer catchment area</v>
          </cell>
        </row>
        <row r="1447">
          <cell r="A1447" t="str">
            <v>synthetic</v>
          </cell>
          <cell r="B1447" t="str">
            <v>Synthetic sample</v>
          </cell>
        </row>
        <row r="1448">
          <cell r="A1448" t="str">
            <v>t19r</v>
          </cell>
          <cell r="B1448" t="str">
            <v>t19r delta-variant gene target</v>
          </cell>
        </row>
        <row r="1449">
          <cell r="A1449" t="str">
            <v>t3646a</v>
          </cell>
          <cell r="B1449" t="str">
            <v>t3646a delta-variant gene target</v>
          </cell>
        </row>
        <row r="1450">
          <cell r="A1450" t="str">
            <v>t547k</v>
          </cell>
          <cell r="B1450" t="str">
            <v>t547k omicron-variant gene target</v>
          </cell>
        </row>
        <row r="1451">
          <cell r="A1451" t="str">
            <v>t9i</v>
          </cell>
          <cell r="B1451" t="str">
            <v>t9i omicron-variant gene target</v>
          </cell>
        </row>
        <row r="1452">
          <cell r="A1452" t="str">
            <v>tables</v>
          </cell>
          <cell r="B1452" t="str">
            <v>Tables</v>
          </cell>
        </row>
        <row r="1453">
          <cell r="A1453" t="str">
            <v>tableSet</v>
          </cell>
          <cell r="B1453" t="str">
            <v>Table column set</v>
          </cell>
        </row>
        <row r="1454">
          <cell r="A1454" t="str">
            <v>taqpatN</v>
          </cell>
          <cell r="B1454" t="str">
            <v>TaqPath N sars-cov-2 gene target</v>
          </cell>
        </row>
        <row r="1455">
          <cell r="A1455" t="str">
            <v>taqpatS</v>
          </cell>
          <cell r="B1455" t="str">
            <v>TaqPath S sars-cov-2 gene target</v>
          </cell>
        </row>
        <row r="1456">
          <cell r="A1456" t="str">
            <v>targetSurv</v>
          </cell>
          <cell r="B1456" t="str">
            <v>Targeted surveillance program</v>
          </cell>
        </row>
        <row r="1457">
          <cell r="A1457" t="str">
            <v>tds</v>
          </cell>
          <cell r="B1457" t="str">
            <v>Total Dissolved Solids (TDS)</v>
          </cell>
        </row>
        <row r="1458">
          <cell r="A1458" t="str">
            <v>temp</v>
          </cell>
          <cell r="B1458" t="str">
            <v>Sample temperature</v>
          </cell>
        </row>
        <row r="1459">
          <cell r="A1459" t="str">
            <v>temperature</v>
          </cell>
          <cell r="B1459" t="str">
            <v>Temperature class</v>
          </cell>
        </row>
        <row r="1460">
          <cell r="A1460" t="str">
            <v>temperatureUnitSet</v>
          </cell>
          <cell r="B1460" t="str">
            <v>Temperature unit set</v>
          </cell>
        </row>
        <row r="1461">
          <cell r="A1461" t="str">
            <v>templateSheetSet</v>
          </cell>
          <cell r="B1461" t="str">
            <v>Template Sheet Set</v>
          </cell>
        </row>
        <row r="1462">
          <cell r="A1462" t="str">
            <v>tempSet</v>
          </cell>
          <cell r="B1462" t="str">
            <v>Template Set</v>
          </cell>
        </row>
        <row r="1463">
          <cell r="A1463" t="str">
            <v>tempType</v>
          </cell>
          <cell r="B1463" t="str">
            <v>Nucelic Acid Template Type</v>
          </cell>
        </row>
        <row r="1464">
          <cell r="A1464" t="str">
            <v>tempVol</v>
          </cell>
          <cell r="B1464" t="str">
            <v>Nucleic acid template volume</v>
          </cell>
        </row>
        <row r="1465">
          <cell r="A1465" t="str">
            <v>terminal</v>
          </cell>
          <cell r="B1465" t="str">
            <v>Airport terminal</v>
          </cell>
        </row>
        <row r="1466">
          <cell r="A1466" t="str">
            <v>tesDate</v>
          </cell>
          <cell r="B1466" t="str">
            <v>Test date</v>
          </cell>
        </row>
        <row r="1467">
          <cell r="A1467" t="str">
            <v>test</v>
          </cell>
          <cell r="B1467" t="str">
            <v>Number of tests performed</v>
          </cell>
        </row>
        <row r="1468">
          <cell r="A1468" t="str">
            <v>testing</v>
          </cell>
          <cell r="B1468" t="str">
            <v>Protocol testing</v>
          </cell>
        </row>
        <row r="1469">
          <cell r="A1469" t="str">
            <v>tetAMRGrp</v>
          </cell>
          <cell r="B1469" t="str">
            <v>Tetracycline Anti-microbial resistance Group</v>
          </cell>
        </row>
        <row r="1470">
          <cell r="A1470" t="str">
            <v>tetW</v>
          </cell>
          <cell r="B1470" t="str">
            <v>TetW Tetracycline-resistance gene target</v>
          </cell>
        </row>
        <row r="1471">
          <cell r="A1471" t="str">
            <v>thermMag</v>
          </cell>
          <cell r="B1471" t="str">
            <v>thermo magmax microbiome ultra nucleic acid isolation kit</v>
          </cell>
        </row>
        <row r="1472">
          <cell r="A1472" t="str">
            <v>thermMagmax</v>
          </cell>
          <cell r="B1472" t="str">
            <v>thermo magmax viral/pathogen nucleic acid isolation kit</v>
          </cell>
        </row>
        <row r="1473">
          <cell r="A1473" t="str">
            <v>time</v>
          </cell>
          <cell r="B1473" t="str">
            <v>Time class</v>
          </cell>
        </row>
        <row r="1474">
          <cell r="A1474" t="str">
            <v>timePr</v>
          </cell>
          <cell r="B1474" t="str">
            <v>Time proportional sample</v>
          </cell>
        </row>
        <row r="1475">
          <cell r="A1475" t="str">
            <v>timeUnitSet</v>
          </cell>
          <cell r="B1475" t="str">
            <v>Time unit set</v>
          </cell>
        </row>
        <row r="1476">
          <cell r="A1476" t="str">
            <v>tkn</v>
          </cell>
          <cell r="B1476" t="str">
            <v>Total Kjeldahl Nitrogen</v>
          </cell>
        </row>
        <row r="1477">
          <cell r="A1477" t="str">
            <v>tld</v>
          </cell>
          <cell r="B1477" t="str">
            <v>Country code top-level domain</v>
          </cell>
        </row>
        <row r="1478">
          <cell r="A1478" t="str">
            <v>tn</v>
          </cell>
          <cell r="B1478" t="str">
            <v>Total Nitrogen</v>
          </cell>
        </row>
        <row r="1479">
          <cell r="A1479" t="str">
            <v>total</v>
          </cell>
          <cell r="B1479" t="str">
            <v>Total amount or count - the sum</v>
          </cell>
        </row>
        <row r="1480">
          <cell r="A1480" t="str">
            <v>tp24s</v>
          </cell>
          <cell r="B1480" t="str">
            <v>Time Proportional 24hr sample</v>
          </cell>
        </row>
        <row r="1481">
          <cell r="A1481" t="str">
            <v>tPallidum</v>
          </cell>
          <cell r="B1481" t="str">
            <v>Treponema pallidum</v>
          </cell>
        </row>
        <row r="1482">
          <cell r="A1482" t="str">
            <v>tr</v>
          </cell>
          <cell r="B1482" t="str">
            <v>Translation look-up table Shorthand</v>
          </cell>
        </row>
        <row r="1483">
          <cell r="A1483" t="str">
            <v>translationID</v>
          </cell>
          <cell r="B1483" t="str">
            <v>Synthetic ID for the translations table</v>
          </cell>
        </row>
        <row r="1484">
          <cell r="A1484" t="str">
            <v>translations</v>
          </cell>
          <cell r="B1484" t="str">
            <v>Translation look-up table</v>
          </cell>
        </row>
        <row r="1485">
          <cell r="A1485" t="str">
            <v>translationsOrder</v>
          </cell>
          <cell r="B1485" t="str">
            <v>Translation table column order</v>
          </cell>
        </row>
        <row r="1486">
          <cell r="A1486" t="str">
            <v>translationsRequired</v>
          </cell>
          <cell r="B1486" t="str">
            <v>Translation table required headers</v>
          </cell>
        </row>
        <row r="1487">
          <cell r="A1487" t="str">
            <v>travelSurv</v>
          </cell>
          <cell r="B1487" t="str">
            <v>Travel hub surveillance - general</v>
          </cell>
        </row>
        <row r="1488">
          <cell r="A1488" t="str">
            <v>treponemaGrp</v>
          </cell>
          <cell r="B1488" t="str">
            <v>Treponema Group</v>
          </cell>
        </row>
        <row r="1489">
          <cell r="A1489" t="str">
            <v>trichomonasGrp</v>
          </cell>
          <cell r="B1489" t="str">
            <v>Trichomonas Group</v>
          </cell>
        </row>
        <row r="1490">
          <cell r="A1490" t="str">
            <v>trizol</v>
          </cell>
          <cell r="B1490" t="str">
            <v>trizol, zymo mag beads w/ zymo clean and concentrator</v>
          </cell>
        </row>
        <row r="1491">
          <cell r="A1491" t="str">
            <v>trizolEtOH</v>
          </cell>
          <cell r="B1491" t="str">
            <v>trizol, garnet bead beating, alcohol precipitation</v>
          </cell>
        </row>
        <row r="1492">
          <cell r="A1492" t="str">
            <v>trizolRNA</v>
          </cell>
          <cell r="B1492" t="str">
            <v>trizol and RNA purification kit</v>
          </cell>
        </row>
        <row r="1493">
          <cell r="A1493" t="str">
            <v>ts</v>
          </cell>
          <cell r="B1493" t="str">
            <v>Total solids concentration</v>
          </cell>
        </row>
        <row r="1494">
          <cell r="A1494" t="str">
            <v>tss</v>
          </cell>
          <cell r="B1494" t="str">
            <v>Total suspended solids</v>
          </cell>
        </row>
        <row r="1495">
          <cell r="A1495" t="str">
            <v>tssConc</v>
          </cell>
          <cell r="B1495" t="str">
            <v>Concentration of total suspended solids</v>
          </cell>
        </row>
        <row r="1496">
          <cell r="A1496" t="str">
            <v>tuberculosisGrp</v>
          </cell>
          <cell r="B1496" t="str">
            <v>Tuberculosis Group</v>
          </cell>
        </row>
        <row r="1497">
          <cell r="A1497" t="str">
            <v>tularemiaGrp</v>
          </cell>
          <cell r="B1497" t="str">
            <v>Francisella tularensis (tularemia) Group</v>
          </cell>
        </row>
        <row r="1498">
          <cell r="A1498" t="str">
            <v>turb</v>
          </cell>
          <cell r="B1498" t="str">
            <v>Turbidity</v>
          </cell>
        </row>
        <row r="1499">
          <cell r="A1499" t="str">
            <v>turbidity</v>
          </cell>
          <cell r="B1499" t="str">
            <v>Turburdity class</v>
          </cell>
        </row>
        <row r="1500">
          <cell r="A1500" t="str">
            <v>turbidityUnitSet</v>
          </cell>
          <cell r="B1500" t="str">
            <v>Turbidity unit set</v>
          </cell>
        </row>
        <row r="1501">
          <cell r="A1501" t="str">
            <v>tVaginalis</v>
          </cell>
          <cell r="B1501" t="str">
            <v>Trichomonas vaginalis</v>
          </cell>
        </row>
        <row r="1502">
          <cell r="A1502" t="str">
            <v>tWeighE</v>
          </cell>
          <cell r="B1502" t="str">
            <v>Tube weight empty</v>
          </cell>
        </row>
        <row r="1503">
          <cell r="A1503" t="str">
            <v>tWeighF</v>
          </cell>
          <cell r="B1503" t="str">
            <v>Tube weight full</v>
          </cell>
        </row>
        <row r="1504">
          <cell r="A1504" t="str">
            <v>tyOtDep</v>
          </cell>
          <cell r="B1504" t="str">
            <v>Type other depreciate</v>
          </cell>
        </row>
        <row r="1505">
          <cell r="A1505" t="str">
            <v>tyOtDep2</v>
          </cell>
          <cell r="B1505" t="str">
            <v>Type other depreciate2</v>
          </cell>
        </row>
        <row r="1506">
          <cell r="A1506" t="str">
            <v>uCampus</v>
          </cell>
          <cell r="B1506" t="str">
            <v>University campus</v>
          </cell>
        </row>
        <row r="1507">
          <cell r="A1507" t="str">
            <v>ugG</v>
          </cell>
          <cell r="B1507" t="str">
            <v>Micrograms per gram</v>
          </cell>
        </row>
        <row r="1508">
          <cell r="A1508" t="str">
            <v>ugL</v>
          </cell>
          <cell r="B1508" t="str">
            <v>Micrograms per litre</v>
          </cell>
        </row>
        <row r="1509">
          <cell r="A1509" t="str">
            <v>ugmg</v>
          </cell>
          <cell r="B1509" t="str">
            <v>Micrograms per milligram</v>
          </cell>
        </row>
        <row r="1510">
          <cell r="A1510" t="str">
            <v>uL</v>
          </cell>
          <cell r="B1510" t="str">
            <v>Micro-litres</v>
          </cell>
        </row>
        <row r="1511">
          <cell r="A1511" t="str">
            <v>umhocm</v>
          </cell>
          <cell r="B1511" t="str">
            <v>Micromho per centimeter</v>
          </cell>
        </row>
        <row r="1512">
          <cell r="A1512" t="str">
            <v>undisc</v>
          </cell>
          <cell r="B1512" t="str">
            <v>Undisclosed</v>
          </cell>
        </row>
        <row r="1513">
          <cell r="A1513" t="str">
            <v>unique</v>
          </cell>
          <cell r="B1513" t="str">
            <v>Unique sample</v>
          </cell>
        </row>
        <row r="1514">
          <cell r="A1514" t="str">
            <v>unit</v>
          </cell>
          <cell r="B1514" t="str">
            <v>Unit</v>
          </cell>
        </row>
        <row r="1515">
          <cell r="A1515" t="str">
            <v>unitInput</v>
          </cell>
          <cell r="B1515" t="str">
            <v>Unit input (wide table)</v>
          </cell>
        </row>
        <row r="1516">
          <cell r="A1516" t="str">
            <v>unitless</v>
          </cell>
          <cell r="B1516" t="str">
            <v>Unitless measure</v>
          </cell>
        </row>
        <row r="1517">
          <cell r="A1517" t="str">
            <v>unitlessUnitSet</v>
          </cell>
          <cell r="B1517" t="str">
            <v>Unitless unit set</v>
          </cell>
        </row>
        <row r="1518">
          <cell r="A1518" t="str">
            <v>unitName</v>
          </cell>
          <cell r="B1518" t="str">
            <v>Unit name (wide table)</v>
          </cell>
        </row>
        <row r="1519">
          <cell r="A1519" t="str">
            <v>units</v>
          </cell>
          <cell r="B1519" t="str">
            <v>Units</v>
          </cell>
        </row>
        <row r="1520">
          <cell r="A1520" t="str">
            <v>unitSet</v>
          </cell>
          <cell r="B1520" t="str">
            <v>Unit set</v>
          </cell>
        </row>
        <row r="1521">
          <cell r="A1521" t="str">
            <v>unitSets</v>
          </cell>
          <cell r="B1521" t="str">
            <v>Unit sets</v>
          </cell>
        </row>
        <row r="1522">
          <cell r="A1522" t="str">
            <v>unlicense</v>
          </cell>
          <cell r="B1522" t="str">
            <v>The Unlicense</v>
          </cell>
        </row>
        <row r="1523">
          <cell r="A1523" t="str">
            <v>untracent</v>
          </cell>
          <cell r="B1523" t="str">
            <v>Ultracentrifugation</v>
          </cell>
        </row>
        <row r="1524">
          <cell r="A1524" t="str">
            <v>upperCI95</v>
          </cell>
          <cell r="B1524" t="str">
            <v>Upper limit of a 95% confidence interval</v>
          </cell>
        </row>
        <row r="1525">
          <cell r="A1525" t="str">
            <v>upstream</v>
          </cell>
          <cell r="B1525" t="str">
            <v>Upstream sites</v>
          </cell>
        </row>
        <row r="1526">
          <cell r="A1526" t="str">
            <v>urban</v>
          </cell>
          <cell r="B1526" t="str">
            <v>Urban</v>
          </cell>
        </row>
        <row r="1527">
          <cell r="A1527" t="str">
            <v>ureaplasma</v>
          </cell>
          <cell r="B1527" t="str">
            <v>Ureaplasma</v>
          </cell>
        </row>
        <row r="1528">
          <cell r="A1528" t="str">
            <v>ureaplasmaGrp</v>
          </cell>
          <cell r="B1528" t="str">
            <v>Ureaplasma Group</v>
          </cell>
        </row>
        <row r="1529">
          <cell r="A1529" t="str">
            <v>urobilin</v>
          </cell>
          <cell r="B1529" t="str">
            <v>Urobilin or urochrome</v>
          </cell>
        </row>
        <row r="1530">
          <cell r="A1530" t="str">
            <v>uSCm</v>
          </cell>
          <cell r="B1530" t="str">
            <v>Micro-Siemens per centimetre</v>
          </cell>
        </row>
        <row r="1531">
          <cell r="A1531" t="str">
            <v>uSiteMeasureID</v>
          </cell>
          <cell r="B1531" t="str">
            <v>U site measure ID</v>
          </cell>
        </row>
        <row r="1532">
          <cell r="A1532" t="str">
            <v>utc</v>
          </cell>
          <cell r="B1532" t="str">
            <v>Coordinated universal time (UTC) zone</v>
          </cell>
        </row>
        <row r="1533">
          <cell r="A1533" t="str">
            <v>utcDST</v>
          </cell>
          <cell r="B1533" t="str">
            <v>Coordinated universal time (UTC) zone in daylight savings</v>
          </cell>
        </row>
        <row r="1534">
          <cell r="A1534" t="str">
            <v>utilities</v>
          </cell>
          <cell r="B1534" t="str">
            <v>Utilities sector or organization</v>
          </cell>
        </row>
        <row r="1535">
          <cell r="A1535" t="str">
            <v>v1104l</v>
          </cell>
          <cell r="B1535" t="str">
            <v>V1104L Mutation</v>
          </cell>
        </row>
        <row r="1536">
          <cell r="A1536" t="str">
            <v>v2930l</v>
          </cell>
          <cell r="B1536" t="str">
            <v>v2930l delta-variant gene target</v>
          </cell>
        </row>
        <row r="1537">
          <cell r="A1537" t="str">
            <v>validationStudy</v>
          </cell>
          <cell r="B1537" t="str">
            <v>Validation study</v>
          </cell>
        </row>
        <row r="1538">
          <cell r="A1538" t="str">
            <v>value</v>
          </cell>
          <cell r="B1538" t="str">
            <v>Value</v>
          </cell>
        </row>
        <row r="1539">
          <cell r="A1539" t="str">
            <v>vanAA</v>
          </cell>
          <cell r="B1539" t="str">
            <v>VanA-A Vancomycin-resistance gene target</v>
          </cell>
        </row>
        <row r="1540">
          <cell r="A1540" t="str">
            <v>vanAMRGrp</v>
          </cell>
          <cell r="B1540" t="str">
            <v>Vancomycin Anti-microbial resistance Group</v>
          </cell>
        </row>
        <row r="1541">
          <cell r="A1541" t="str">
            <v>vanc</v>
          </cell>
          <cell r="B1541" t="str">
            <v>Vancomycin resistance</v>
          </cell>
        </row>
        <row r="1542">
          <cell r="A1542" t="str">
            <v>varchar</v>
          </cell>
          <cell r="B1542" t="str">
            <v>Variable character data type</v>
          </cell>
        </row>
        <row r="1543">
          <cell r="A1543" t="str">
            <v>varFreq</v>
          </cell>
          <cell r="B1543" t="str">
            <v>Frequency of variants detected</v>
          </cell>
        </row>
        <row r="1544">
          <cell r="A1544" t="str">
            <v>variant</v>
          </cell>
          <cell r="B1544" t="str">
            <v>Variants class</v>
          </cell>
        </row>
        <row r="1545">
          <cell r="A1545" t="str">
            <v>varicella</v>
          </cell>
          <cell r="B1545" t="str">
            <v>Varicella</v>
          </cell>
        </row>
        <row r="1546">
          <cell r="A1546" t="str">
            <v>varicellaGrp</v>
          </cell>
          <cell r="B1546" t="str">
            <v>Varicella Group</v>
          </cell>
        </row>
        <row r="1547">
          <cell r="A1547" t="str">
            <v>vax1</v>
          </cell>
          <cell r="B1547" t="str">
            <v>Population with 1 dose of vaccine</v>
          </cell>
        </row>
        <row r="1548">
          <cell r="A1548" t="str">
            <v>vax1p</v>
          </cell>
          <cell r="B1548" t="str">
            <v>Proportion of population with 1+ vaccine dose(s)</v>
          </cell>
        </row>
        <row r="1549">
          <cell r="A1549" t="str">
            <v>vax1plus</v>
          </cell>
          <cell r="B1549" t="str">
            <v>Population with 1+ dose(s) of vaccine</v>
          </cell>
        </row>
        <row r="1550">
          <cell r="A1550" t="str">
            <v>vax2</v>
          </cell>
          <cell r="B1550" t="str">
            <v>Population with 2 or more doses of vaccine</v>
          </cell>
        </row>
        <row r="1551">
          <cell r="A1551" t="str">
            <v>vax2p</v>
          </cell>
          <cell r="B1551" t="str">
            <v>Proportion of population with 2+ vaccine doses</v>
          </cell>
        </row>
        <row r="1552">
          <cell r="A1552" t="str">
            <v>vax2plus</v>
          </cell>
          <cell r="B1552" t="str">
            <v>Population with 2+ or more doses of vaccine</v>
          </cell>
        </row>
        <row r="1553">
          <cell r="A1553" t="str">
            <v>vax3</v>
          </cell>
          <cell r="B1553" t="str">
            <v>Population with 3 or more doses of vaccine</v>
          </cell>
        </row>
        <row r="1554">
          <cell r="A1554" t="str">
            <v>vax3p</v>
          </cell>
          <cell r="B1554" t="str">
            <v>Proportion of population with 3+ vaccine doses</v>
          </cell>
        </row>
        <row r="1555">
          <cell r="A1555" t="str">
            <v>vax3plus</v>
          </cell>
          <cell r="B1555" t="str">
            <v>Population with 3+ or more doses of vaccine</v>
          </cell>
        </row>
        <row r="1556">
          <cell r="A1556" t="str">
            <v>vax4</v>
          </cell>
          <cell r="B1556" t="str">
            <v>Population with 4 or more doses of vaccine</v>
          </cell>
        </row>
        <row r="1557">
          <cell r="A1557" t="str">
            <v>vax4p</v>
          </cell>
          <cell r="B1557" t="str">
            <v>Proportion of population with 4+ vaccine doses</v>
          </cell>
        </row>
        <row r="1558">
          <cell r="A1558" t="str">
            <v>vax4plus</v>
          </cell>
          <cell r="B1558" t="str">
            <v>Population with 4+ or more doses of vaccine</v>
          </cell>
        </row>
        <row r="1559">
          <cell r="A1559" t="str">
            <v>version1Category</v>
          </cell>
          <cell r="B1559" t="str">
            <v>ODM V1 category</v>
          </cell>
        </row>
        <row r="1560">
          <cell r="A1560" t="str">
            <v>version1Location</v>
          </cell>
          <cell r="B1560" t="str">
            <v>ODM V1 location</v>
          </cell>
        </row>
        <row r="1561">
          <cell r="A1561" t="str">
            <v>version1Table</v>
          </cell>
          <cell r="B1561" t="str">
            <v>ODM V1 table</v>
          </cell>
        </row>
        <row r="1562">
          <cell r="A1562" t="str">
            <v>version1to2Changes</v>
          </cell>
          <cell r="B1562" t="str">
            <v>ODM version 1 to 2 changes</v>
          </cell>
        </row>
        <row r="1563">
          <cell r="A1563" t="str">
            <v>version1Variable</v>
          </cell>
          <cell r="B1563" t="str">
            <v>ODM V1 variable</v>
          </cell>
        </row>
        <row r="1564">
          <cell r="A1564" t="str">
            <v>vibrio</v>
          </cell>
          <cell r="B1564" t="str">
            <v>Vibrio</v>
          </cell>
        </row>
        <row r="1565">
          <cell r="A1565" t="str">
            <v>vibrioGrp</v>
          </cell>
          <cell r="B1565" t="str">
            <v>Vibrio Group</v>
          </cell>
        </row>
        <row r="1566">
          <cell r="A1566" t="str">
            <v>viralPass</v>
          </cell>
          <cell r="B1566" t="str">
            <v>Viral passage experiment</v>
          </cell>
        </row>
        <row r="1567">
          <cell r="A1567" t="str">
            <v>virusMisc</v>
          </cell>
          <cell r="B1567" t="str">
            <v>Miscellaneous viruses group</v>
          </cell>
        </row>
        <row r="1568">
          <cell r="A1568" t="str">
            <v>vol</v>
          </cell>
          <cell r="B1568" t="str">
            <v>Size in volume</v>
          </cell>
        </row>
        <row r="1569">
          <cell r="A1569" t="str">
            <v>volPr</v>
          </cell>
          <cell r="B1569" t="str">
            <v>Volume proportional sample</v>
          </cell>
        </row>
        <row r="1570">
          <cell r="A1570" t="str">
            <v>volumeUnitSet</v>
          </cell>
          <cell r="B1570" t="str">
            <v>Volume unit set</v>
          </cell>
        </row>
        <row r="1571">
          <cell r="A1571" t="str">
            <v>vss</v>
          </cell>
          <cell r="B1571" t="str">
            <v>Volatile suspended solids</v>
          </cell>
        </row>
        <row r="1572">
          <cell r="A1572" t="str">
            <v>vssIg</v>
          </cell>
          <cell r="B1572" t="str">
            <v>Volatile suspended solids - ignition</v>
          </cell>
        </row>
        <row r="1573">
          <cell r="A1573" t="str">
            <v>vsv</v>
          </cell>
          <cell r="B1573" t="str">
            <v>Vesicular stomatitis virus (VSV) target</v>
          </cell>
        </row>
        <row r="1574">
          <cell r="A1574" t="str">
            <v>vsvABIFor</v>
          </cell>
          <cell r="B1574" t="str">
            <v>VSV forward primer (ABI)</v>
          </cell>
        </row>
        <row r="1575">
          <cell r="A1575" t="str">
            <v>vsvABIProbe</v>
          </cell>
          <cell r="B1575" t="str">
            <v>VSV probe (ABI)</v>
          </cell>
        </row>
        <row r="1576">
          <cell r="A1576" t="str">
            <v>vsvABIRev</v>
          </cell>
          <cell r="B1576" t="str">
            <v>VSV reverse primer (ABI)</v>
          </cell>
        </row>
        <row r="1577">
          <cell r="A1577" t="str">
            <v>vsvGrp</v>
          </cell>
          <cell r="B1577" t="str">
            <v>Vesicular Stomatitis Virus (VSV) Group</v>
          </cell>
        </row>
        <row r="1578">
          <cell r="A1578" t="str">
            <v>vtec</v>
          </cell>
          <cell r="B1578" t="str">
            <v>Verotoxin-producing Escherichia coli (VTEC)</v>
          </cell>
        </row>
        <row r="1579">
          <cell r="A1579" t="str">
            <v>wat</v>
          </cell>
          <cell r="B1579" t="str">
            <v>Water compartment</v>
          </cell>
        </row>
        <row r="1580">
          <cell r="A1580" t="str">
            <v>watConcBuff</v>
          </cell>
          <cell r="B1580" t="str">
            <v>water concentrating buffer (R2042-1)</v>
          </cell>
        </row>
        <row r="1581">
          <cell r="A1581" t="str">
            <v>water</v>
          </cell>
          <cell r="B1581" t="str">
            <v>Water depreciated</v>
          </cell>
        </row>
        <row r="1582">
          <cell r="A1582" t="str">
            <v>waterCompartmentSet</v>
          </cell>
          <cell r="B1582" t="str">
            <v>Water compartment set</v>
          </cell>
        </row>
        <row r="1583">
          <cell r="A1583" t="str">
            <v>waterQualityGrp</v>
          </cell>
          <cell r="B1583" t="str">
            <v>Water Quality Group</v>
          </cell>
        </row>
        <row r="1584">
          <cell r="A1584" t="str">
            <v>watTemp</v>
          </cell>
          <cell r="B1584" t="str">
            <v>Wastewater temperature</v>
          </cell>
        </row>
        <row r="1585">
          <cell r="A1585" t="str">
            <v>weath</v>
          </cell>
          <cell r="B1585" t="str">
            <v>Weather (time of sampling)</v>
          </cell>
        </row>
        <row r="1586">
          <cell r="A1586" t="str">
            <v>weather</v>
          </cell>
          <cell r="B1586" t="str">
            <v>Weather class</v>
          </cell>
        </row>
        <row r="1587">
          <cell r="A1587" t="str">
            <v>weathSet</v>
          </cell>
          <cell r="B1587" t="str">
            <v>Weather set</v>
          </cell>
        </row>
        <row r="1588">
          <cell r="A1588" t="str">
            <v>weeks</v>
          </cell>
          <cell r="B1588" t="str">
            <v>Weeks</v>
          </cell>
        </row>
        <row r="1589">
          <cell r="A1589" t="str">
            <v>westNile</v>
          </cell>
          <cell r="B1589" t="str">
            <v>West Nile</v>
          </cell>
        </row>
        <row r="1590">
          <cell r="A1590" t="str">
            <v>wgs</v>
          </cell>
          <cell r="B1590" t="str">
            <v>Whole genome sequencing</v>
          </cell>
        </row>
        <row r="1591">
          <cell r="A1591" t="str">
            <v>who</v>
          </cell>
          <cell r="B1591" t="str">
            <v>WHO nomenclature</v>
          </cell>
        </row>
        <row r="1592">
          <cell r="A1592" t="str">
            <v>wI</v>
          </cell>
          <cell r="B1592" t="str">
            <v>Wide 95% interval</v>
          </cell>
        </row>
        <row r="1593">
          <cell r="A1593" t="str">
            <v>wideAttribute</v>
          </cell>
          <cell r="B1593" t="str">
            <v>Specified attribute (wide table)</v>
          </cell>
        </row>
        <row r="1594">
          <cell r="A1594" t="str">
            <v>wideCompartmentSet</v>
          </cell>
          <cell r="B1594" t="str">
            <v>Compartment set for wide names</v>
          </cell>
        </row>
        <row r="1595">
          <cell r="A1595" t="str">
            <v>wideFractionSet</v>
          </cell>
          <cell r="B1595" t="str">
            <v>Fraction set for wide names</v>
          </cell>
        </row>
        <row r="1596">
          <cell r="A1596" t="str">
            <v>wideMeasure</v>
          </cell>
          <cell r="B1596" t="str">
            <v>Measure identification (wide table)</v>
          </cell>
        </row>
        <row r="1597">
          <cell r="A1597" t="str">
            <v>wideName</v>
          </cell>
          <cell r="B1597" t="str">
            <v>Wide Name</v>
          </cell>
        </row>
        <row r="1598">
          <cell r="A1598" t="str">
            <v>wideNames</v>
          </cell>
          <cell r="B1598" t="str">
            <v>Wide name table</v>
          </cell>
        </row>
        <row r="1599">
          <cell r="A1599" t="str">
            <v>wideNamesOrder</v>
          </cell>
          <cell r="B1599" t="str">
            <v>Wide name table order</v>
          </cell>
        </row>
        <row r="1600">
          <cell r="A1600" t="str">
            <v>wideNamesRequired</v>
          </cell>
          <cell r="B1600" t="str">
            <v>Wide name table required</v>
          </cell>
        </row>
        <row r="1601">
          <cell r="A1601" t="str">
            <v>wideNameType</v>
          </cell>
          <cell r="B1601" t="str">
            <v>Wide name type</v>
          </cell>
        </row>
        <row r="1602">
          <cell r="A1602" t="str">
            <v>wideProtocol</v>
          </cell>
          <cell r="B1602" t="str">
            <v>Specified protocol (wide table)</v>
          </cell>
        </row>
        <row r="1603">
          <cell r="A1603" t="str">
            <v>wideSpecimenSet</v>
          </cell>
          <cell r="B1603" t="str">
            <v>Speciment set for wide names</v>
          </cell>
        </row>
        <row r="1604">
          <cell r="A1604" t="str">
            <v>wind</v>
          </cell>
          <cell r="B1604" t="str">
            <v>Wind Speed</v>
          </cell>
        </row>
        <row r="1605">
          <cell r="A1605" t="str">
            <v>windSpeedUnitSet</v>
          </cell>
          <cell r="B1605" t="str">
            <v>Wind speed unit set</v>
          </cell>
        </row>
        <row r="1606">
          <cell r="A1606" t="str">
            <v>wn</v>
          </cell>
          <cell r="B1606" t="str">
            <v>Wide name table Shorthand</v>
          </cell>
        </row>
        <row r="1607">
          <cell r="A1607" t="str">
            <v>wrongStorage</v>
          </cell>
          <cell r="B1607" t="str">
            <v>Sample stored incorrectly</v>
          </cell>
        </row>
        <row r="1608">
          <cell r="A1608" t="str">
            <v>wrongTemp</v>
          </cell>
          <cell r="B1608" t="str">
            <v>Sample stored at wrong temperature</v>
          </cell>
        </row>
        <row r="1609">
          <cell r="A1609" t="str">
            <v>wSphere</v>
          </cell>
          <cell r="B1609" t="str">
            <v>World Sphere (W-SPHERE)</v>
          </cell>
        </row>
        <row r="1610">
          <cell r="A1610" t="str">
            <v>wSphereNotes</v>
          </cell>
          <cell r="B1610" t="str">
            <v>World Sphere (W-SPHERE) notes</v>
          </cell>
        </row>
        <row r="1611">
          <cell r="A1611" t="str">
            <v>wt214</v>
          </cell>
          <cell r="B1611" t="str">
            <v>Delta Variant wt214 gene target</v>
          </cell>
        </row>
        <row r="1612">
          <cell r="A1612" t="str">
            <v>wta</v>
          </cell>
          <cell r="B1612" t="str">
            <v>Wastewater Treatment Agency</v>
          </cell>
        </row>
        <row r="1613">
          <cell r="A1613" t="str">
            <v>wtfpl</v>
          </cell>
          <cell r="B1613" t="str">
            <v>Do What The F*ck You Want To Public License</v>
          </cell>
        </row>
        <row r="1614">
          <cell r="A1614" t="str">
            <v>wtpo</v>
          </cell>
          <cell r="B1614" t="str">
            <v>Wastewater Treatment Plant Operator</v>
          </cell>
        </row>
        <row r="1615">
          <cell r="A1615" t="str">
            <v>ww</v>
          </cell>
          <cell r="B1615" t="str">
            <v>Weight for weight</v>
          </cell>
        </row>
        <row r="1616">
          <cell r="A1616" t="str">
            <v>wwtp</v>
          </cell>
          <cell r="B1616" t="str">
            <v>Wastewater treatment plant</v>
          </cell>
        </row>
        <row r="1617">
          <cell r="A1617" t="str">
            <v>wwtpAssess</v>
          </cell>
          <cell r="B1617" t="str">
            <v>Wastewater treatment efficiency assessment</v>
          </cell>
        </row>
        <row r="1618">
          <cell r="A1618" t="str">
            <v>wwtpBack</v>
          </cell>
          <cell r="B1618" t="str">
            <v>Back-up wastewater treatment site</v>
          </cell>
        </row>
        <row r="1619">
          <cell r="A1619" t="str">
            <v>wwtpCap</v>
          </cell>
          <cell r="B1619" t="str">
            <v>Wastewater treatment plant designed capacity</v>
          </cell>
        </row>
        <row r="1620">
          <cell r="A1620" t="str">
            <v>wwtpInd</v>
          </cell>
          <cell r="B1620" t="str">
            <v>Industrial wastewater treatment plant</v>
          </cell>
        </row>
        <row r="1621">
          <cell r="A1621" t="str">
            <v>wwtpMuC</v>
          </cell>
          <cell r="B1621" t="str">
            <v>Municipal wastewater treatment plant for combined sewage</v>
          </cell>
        </row>
        <row r="1622">
          <cell r="A1622" t="str">
            <v>wwtpMuS</v>
          </cell>
          <cell r="B1622" t="str">
            <v>Municipal wastewater treatment plant for sanitary sewage only</v>
          </cell>
        </row>
        <row r="1623">
          <cell r="A1623" t="str">
            <v>xg</v>
          </cell>
          <cell r="B1623" t="str">
            <v>Relative Centrifugal Force (RCF) or x g units</v>
          </cell>
        </row>
        <row r="1624">
          <cell r="A1624" t="str">
            <v>y505h</v>
          </cell>
          <cell r="B1624" t="str">
            <v>y505h omicron-variant gene target</v>
          </cell>
        </row>
        <row r="1625">
          <cell r="A1625" t="str">
            <v>years</v>
          </cell>
          <cell r="B1625" t="str">
            <v>Years</v>
          </cell>
        </row>
        <row r="1626">
          <cell r="A1626" t="str">
            <v>yEnterocolitica</v>
          </cell>
          <cell r="B1626" t="str">
            <v>Yersinia enterocolitica</v>
          </cell>
        </row>
        <row r="1627">
          <cell r="A1627" t="str">
            <v>yersiniaGrp</v>
          </cell>
          <cell r="B1627" t="str">
            <v>Yersinia Group</v>
          </cell>
        </row>
        <row r="1628">
          <cell r="A1628" t="str">
            <v>zenodo</v>
          </cell>
          <cell r="B1628" t="str">
            <v>Zenodo</v>
          </cell>
        </row>
        <row r="1629">
          <cell r="A1629" t="str">
            <v>zika</v>
          </cell>
          <cell r="B1629" t="str">
            <v>Zika</v>
          </cell>
        </row>
        <row r="1630">
          <cell r="A1630" t="str">
            <v>zlib</v>
          </cell>
          <cell r="B1630" t="str">
            <v>zLib License</v>
          </cell>
        </row>
        <row r="1631">
          <cell r="A1631" t="str">
            <v>zo</v>
          </cell>
          <cell r="B1631" t="str">
            <v>Zones look-up table Shorthand</v>
          </cell>
        </row>
        <row r="1632">
          <cell r="A1632" t="str">
            <v>zoneName</v>
          </cell>
          <cell r="B1632" t="str">
            <v>English name of country sub-domains</v>
          </cell>
        </row>
        <row r="1633">
          <cell r="A1633" t="str">
            <v>zones</v>
          </cell>
          <cell r="B1633" t="str">
            <v>Zones look-up table</v>
          </cell>
        </row>
        <row r="1634">
          <cell r="A1634" t="str">
            <v>zonesOrder</v>
          </cell>
          <cell r="B1634" t="str">
            <v>Zones table column order</v>
          </cell>
        </row>
        <row r="1635">
          <cell r="A1635" t="str">
            <v>zonesRequired</v>
          </cell>
          <cell r="B1635" t="str">
            <v>Zones table required headers</v>
          </cell>
        </row>
        <row r="1636">
          <cell r="A1636" t="str">
            <v>zymo1035</v>
          </cell>
          <cell r="B1636" t="str">
            <v>zymo quick-rna viral kit #r1035</v>
          </cell>
        </row>
        <row r="1637">
          <cell r="A1637" t="str">
            <v>zymo1041</v>
          </cell>
          <cell r="B1637" t="str">
            <v>zymo quick-rna viral 96 kit #r1041</v>
          </cell>
        </row>
        <row r="1638">
          <cell r="A1638" t="str">
            <v>zymoEnv</v>
          </cell>
          <cell r="B1638" t="str">
            <v>zymo environ water rna kit/ zymo environ water rna kit (cat. r2042)</v>
          </cell>
        </row>
        <row r="1639">
          <cell r="A1639" t="str">
            <v>zymoQuick</v>
          </cell>
          <cell r="B1639" t="str">
            <v>zymo quick-rna fungal/bacterial miniprep #r2014</v>
          </cell>
        </row>
        <row r="1640">
          <cell r="A1640" t="str">
            <v>zymoWatRNA</v>
          </cell>
          <cell r="B1640" t="str">
            <v>zymo environ water rna kit/ zymo environ water rna kit (cat. r2042)</v>
          </cell>
        </row>
        <row r="1641">
          <cell r="A1641" t="b">
            <v>0</v>
          </cell>
          <cell r="B1641" t="b">
            <v>0</v>
          </cell>
        </row>
        <row r="1642">
          <cell r="A1642" t="b">
            <v>1</v>
          </cell>
          <cell r="B1642" t="b">
            <v>1</v>
          </cell>
        </row>
        <row r="1643">
          <cell r="A1643" t="str">
            <v>ac</v>
          </cell>
          <cell r="B1643" t="str">
            <v>Accessions report table Shorthand</v>
          </cell>
        </row>
        <row r="1644">
          <cell r="A1644" t="str">
            <v>popAs</v>
          </cell>
          <cell r="B1644" t="str">
            <v>Population assessment method</v>
          </cell>
        </row>
        <row r="1645">
          <cell r="A1645" t="str">
            <v>census</v>
          </cell>
          <cell r="B1645" t="str">
            <v>Population census</v>
          </cell>
        </row>
        <row r="1646">
          <cell r="A1646" t="str">
            <v>count</v>
          </cell>
          <cell r="B1646" t="str">
            <v>Population count</v>
          </cell>
        </row>
        <row r="1647">
          <cell r="A1647" t="str">
            <v>rev</v>
          </cell>
          <cell r="B1647" t="str">
            <v>Review of records</v>
          </cell>
        </row>
        <row r="1648">
          <cell r="A1648" t="str">
            <v>popMetSet</v>
          </cell>
          <cell r="B1648" t="str">
            <v>Population assessment method set</v>
          </cell>
        </row>
        <row r="1649">
          <cell r="A1649" t="str">
            <v>bactMeth</v>
          </cell>
          <cell r="B1649" t="str">
            <v>Bacterial testing method</v>
          </cell>
        </row>
        <row r="1650">
          <cell r="A1650" t="str">
            <v>bactMethSet</v>
          </cell>
          <cell r="B1650" t="str">
            <v>Bacterial testing method set</v>
          </cell>
        </row>
        <row r="1651">
          <cell r="A1651" t="str">
            <v>bacCul</v>
          </cell>
          <cell r="B1651" t="str">
            <v>Bacterial culture</v>
          </cell>
        </row>
        <row r="1652">
          <cell r="A1652" t="str">
            <v>agt</v>
          </cell>
          <cell r="B1652" t="str">
            <v>Antimicrobial gradient test</v>
          </cell>
        </row>
        <row r="1653">
          <cell r="A1653" t="str">
            <v>gramSt</v>
          </cell>
          <cell r="B1653" t="str">
            <v>Gram stain</v>
          </cell>
        </row>
        <row r="1654">
          <cell r="A1654" t="str">
            <v>sludgeNS</v>
          </cell>
          <cell r="B1654" t="str">
            <v>Wastewater Sludge - non-specified</v>
          </cell>
        </row>
        <row r="1655">
          <cell r="A1655" t="str">
            <v>effluNS</v>
          </cell>
          <cell r="B1655" t="str">
            <v>Wastewater Effluent - non-specified</v>
          </cell>
        </row>
        <row r="1656">
          <cell r="A1656" t="str">
            <v>poLic</v>
          </cell>
          <cell r="B1656" t="str">
            <v>Polygon License</v>
          </cell>
        </row>
        <row r="1657">
          <cell r="A1657" t="str">
            <v>gte</v>
          </cell>
          <cell r="B1657" t="str">
            <v>Genomic Target Enrichment</v>
          </cell>
        </row>
        <row r="1658">
          <cell r="A1658" t="str">
            <v>hySel</v>
          </cell>
          <cell r="B1658" t="str">
            <v>Hybrid Selection Method</v>
          </cell>
        </row>
        <row r="1659">
          <cell r="A1659" t="str">
            <v>rnaDepl</v>
          </cell>
          <cell r="B1659" t="str">
            <v>rRNA Depletion Method</v>
          </cell>
        </row>
        <row r="1660">
          <cell r="A1660" t="str">
            <v>gteSet</v>
          </cell>
          <cell r="B1660" t="str">
            <v>Genomic Target Enrichment Methods Set</v>
          </cell>
        </row>
        <row r="1661">
          <cell r="A1661" t="str">
            <v>core</v>
          </cell>
          <cell r="B1661" t="str">
            <v xml:space="preserve">Core sampling </v>
          </cell>
        </row>
        <row r="1662">
          <cell r="A1662" t="str">
            <v>vac</v>
          </cell>
          <cell r="B1662" t="str">
            <v>Vacuum sludge sampling</v>
          </cell>
        </row>
        <row r="1663">
          <cell r="A1663" t="str">
            <v>cone</v>
          </cell>
          <cell r="B1663" t="str">
            <v>Cone-shaped sampling</v>
          </cell>
        </row>
        <row r="1664">
          <cell r="A1664" t="str">
            <v>horGrb</v>
          </cell>
          <cell r="B1664" t="str">
            <v>Horizontal grab sampling</v>
          </cell>
        </row>
        <row r="1665">
          <cell r="A1665" t="str">
            <v>vertGrb</v>
          </cell>
          <cell r="B1665" t="str">
            <v>Vertical grab sampling</v>
          </cell>
        </row>
        <row r="1666">
          <cell r="A1666" t="str">
            <v>trap</v>
          </cell>
          <cell r="B1666" t="str">
            <v>Passive (trap) sampling</v>
          </cell>
        </row>
        <row r="1667">
          <cell r="A1667" t="str">
            <v>autoComp</v>
          </cell>
          <cell r="B1667" t="str">
            <v>Automatic composite sampling</v>
          </cell>
        </row>
        <row r="1668">
          <cell r="A1668" t="str">
            <v>autoSeq</v>
          </cell>
          <cell r="B1668" t="str">
            <v>Automatic sequential sampling</v>
          </cell>
        </row>
        <row r="1669">
          <cell r="A1669" t="str">
            <v>bow</v>
          </cell>
          <cell r="B1669" t="str">
            <v>Body of water</v>
          </cell>
        </row>
        <row r="1670">
          <cell r="A1670" t="str">
            <v>opWa</v>
          </cell>
          <cell r="B1670" t="str">
            <v>Surface water</v>
          </cell>
        </row>
        <row r="1671">
          <cell r="A1671" t="str">
            <v>str</v>
          </cell>
          <cell r="B1671" t="str">
            <v>Stream</v>
          </cell>
        </row>
        <row r="1672">
          <cell r="A1672" t="str">
            <v>canal</v>
          </cell>
          <cell r="B1672" t="str">
            <v>Canal</v>
          </cell>
        </row>
        <row r="1673">
          <cell r="A1673" t="str">
            <v>res</v>
          </cell>
          <cell r="B1673" t="str">
            <v>Reservoir</v>
          </cell>
        </row>
        <row r="1674">
          <cell r="A1674" t="str">
            <v>grWa</v>
          </cell>
          <cell r="B1674" t="str">
            <v>Ground water</v>
          </cell>
        </row>
        <row r="1675">
          <cell r="A1675" t="str">
            <v>well</v>
          </cell>
          <cell r="B1675" t="str">
            <v>Well</v>
          </cell>
        </row>
        <row r="1676">
          <cell r="A1676" t="str">
            <v>spr</v>
          </cell>
          <cell r="B1676" t="str">
            <v>Spring</v>
          </cell>
        </row>
        <row r="1677">
          <cell r="A1677" t="str">
            <v>pluDra</v>
          </cell>
          <cell r="B1677" t="str">
            <v>Plumbing drain</v>
          </cell>
        </row>
        <row r="1678">
          <cell r="A1678" t="str">
            <v>hcf</v>
          </cell>
          <cell r="B1678" t="str">
            <v>Healthcare facility</v>
          </cell>
        </row>
        <row r="1679">
          <cell r="A1679" t="str">
            <v>clinic</v>
          </cell>
          <cell r="B1679" t="str">
            <v>Clinic</v>
          </cell>
        </row>
        <row r="1680">
          <cell r="A1680" t="str">
            <v>edFac</v>
          </cell>
          <cell r="B1680" t="str">
            <v>Educational facility</v>
          </cell>
        </row>
        <row r="1681">
          <cell r="A1681" t="str">
            <v>tHub</v>
          </cell>
          <cell r="B1681" t="str">
            <v>Transport hub</v>
          </cell>
        </row>
        <row r="1682">
          <cell r="A1682" t="str">
            <v>farm</v>
          </cell>
          <cell r="B1682" t="str">
            <v>Farm</v>
          </cell>
        </row>
        <row r="1683">
          <cell r="A1683" t="str">
            <v>refCamp</v>
          </cell>
          <cell r="B1683" t="str">
            <v>Refugee camp</v>
          </cell>
        </row>
        <row r="1684">
          <cell r="A1684" t="str">
            <v>indPl</v>
          </cell>
          <cell r="B1684" t="str">
            <v>Industrial plant</v>
          </cell>
        </row>
        <row r="1685">
          <cell r="A1685" t="str">
            <v>meatPl</v>
          </cell>
          <cell r="B1685" t="str">
            <v>Meat processing plant</v>
          </cell>
        </row>
        <row r="1686">
          <cell r="A1686" t="str">
            <v>pharmPl</v>
          </cell>
          <cell r="B1686" t="str">
            <v>Pharmaceutical manufacturing plant</v>
          </cell>
        </row>
        <row r="1687">
          <cell r="A1687" t="str">
            <v>transp</v>
          </cell>
          <cell r="B1687" t="str">
            <v>Transportation vehicle</v>
          </cell>
        </row>
        <row r="1688">
          <cell r="A1688" t="str">
            <v>stag</v>
          </cell>
          <cell r="B1688" t="str">
            <v>Stagnant</v>
          </cell>
        </row>
        <row r="1689">
          <cell r="A1689" t="str">
            <v>slFlow</v>
          </cell>
          <cell r="B1689" t="str">
            <v>Slow-flowing</v>
          </cell>
        </row>
        <row r="1690">
          <cell r="A1690" t="str">
            <v>faFlow</v>
          </cell>
          <cell r="B1690" t="str">
            <v>Fast-flowing</v>
          </cell>
        </row>
        <row r="1691">
          <cell r="A1691" t="str">
            <v>liquidMat</v>
          </cell>
          <cell r="B1691" t="str">
            <v>Liquid</v>
          </cell>
        </row>
        <row r="1692">
          <cell r="A1692" t="str">
            <v>slur</v>
          </cell>
          <cell r="B1692" t="str">
            <v>Slurry</v>
          </cell>
        </row>
        <row r="1693">
          <cell r="A1693" t="str">
            <v>contam</v>
          </cell>
          <cell r="B1693" t="str">
            <v>Contamination</v>
          </cell>
        </row>
        <row r="1694">
          <cell r="A1694" t="str">
            <v>fecContam</v>
          </cell>
          <cell r="B1694" t="str">
            <v>Fecal-contamination</v>
          </cell>
        </row>
        <row r="1695">
          <cell r="A1695" t="str">
            <v>semSol</v>
          </cell>
          <cell r="B1695" t="str">
            <v>Semi-solid</v>
          </cell>
        </row>
        <row r="1696">
          <cell r="A1696" t="str">
            <v>solidMat</v>
          </cell>
          <cell r="B1696" t="str">
            <v>Solid</v>
          </cell>
        </row>
        <row r="1697">
          <cell r="A1697" t="str">
            <v>treat</v>
          </cell>
          <cell r="B1697" t="str">
            <v>Treated</v>
          </cell>
        </row>
        <row r="1698">
          <cell r="A1698" t="str">
            <v>untreat</v>
          </cell>
          <cell r="B1698" t="str">
            <v>Untreated</v>
          </cell>
        </row>
        <row r="1699">
          <cell r="A1699" t="str">
            <v>matCharSet</v>
          </cell>
          <cell r="B1699" t="str">
            <v>Sample Material Characteristics Set</v>
          </cell>
        </row>
        <row r="1700">
          <cell r="A1700" t="str">
            <v>matChar</v>
          </cell>
          <cell r="B1700" t="str">
            <v>Sample Material Characteristics</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F4B10-703F-FD48-B5E1-D185DE89A888}">
  <dimension ref="A1:AE853"/>
  <sheetViews>
    <sheetView workbookViewId="0">
      <pane ySplit="1" topLeftCell="A2" activePane="bottomLeft" state="frozen"/>
      <selection pane="bottomLeft" activeCell="F2" sqref="F2:O6"/>
    </sheetView>
  </sheetViews>
  <sheetFormatPr baseColWidth="10" defaultRowHeight="16" x14ac:dyDescent="0.2"/>
  <cols>
    <col min="1" max="2" width="9.83203125" customWidth="1"/>
    <col min="3" max="3" width="14.6640625" customWidth="1"/>
    <col min="4" max="4" width="39.6640625" customWidth="1"/>
    <col min="5" max="5" width="10.1640625" customWidth="1"/>
    <col min="6" max="6" width="60.33203125" customWidth="1"/>
    <col min="7" max="9" width="25.6640625" customWidth="1"/>
    <col min="10" max="10" width="23.33203125" customWidth="1"/>
    <col min="11" max="11" width="29.33203125" customWidth="1"/>
    <col min="12" max="12" width="14.6640625" customWidth="1"/>
    <col min="13" max="13" width="15" customWidth="1"/>
    <col min="14" max="14" width="13.5" customWidth="1"/>
  </cols>
  <sheetData>
    <row r="1" spans="1:15" ht="20" thickBot="1" x14ac:dyDescent="0.3">
      <c r="A1" t="s">
        <v>1549</v>
      </c>
      <c r="B1" s="30" t="s">
        <v>1925</v>
      </c>
      <c r="C1" s="1" t="s">
        <v>0</v>
      </c>
      <c r="D1" s="2" t="s">
        <v>10</v>
      </c>
      <c r="E1" s="3" t="s">
        <v>1</v>
      </c>
      <c r="F1" s="3" t="s">
        <v>2</v>
      </c>
      <c r="G1" s="3" t="s">
        <v>3</v>
      </c>
      <c r="H1" s="3" t="s">
        <v>4</v>
      </c>
      <c r="I1" s="3" t="s">
        <v>1974</v>
      </c>
      <c r="J1" s="3" t="s">
        <v>5</v>
      </c>
      <c r="K1" s="3" t="s">
        <v>6</v>
      </c>
      <c r="L1" s="3" t="s">
        <v>1936</v>
      </c>
      <c r="M1" s="3" t="s">
        <v>8</v>
      </c>
      <c r="N1" s="4" t="s">
        <v>9</v>
      </c>
      <c r="O1" s="35" t="s">
        <v>1921</v>
      </c>
    </row>
    <row r="2" spans="1:15" x14ac:dyDescent="0.2">
      <c r="A2">
        <v>1</v>
      </c>
      <c r="C2" s="6" t="b">
        <f>IF(AND(G2="NA",H2&lt;&gt;"wide_value"),TRUE,"")</f>
        <v>1</v>
      </c>
      <c r="D2" s="6" t="s">
        <v>1192</v>
      </c>
      <c r="E2" s="6" t="s">
        <v>192</v>
      </c>
      <c r="F2" s="6" t="s">
        <v>1197</v>
      </c>
      <c r="G2" s="6" t="s">
        <v>497</v>
      </c>
      <c r="H2" s="6" t="s">
        <v>1013</v>
      </c>
      <c r="I2" s="6"/>
      <c r="J2" s="6" t="s">
        <v>9</v>
      </c>
      <c r="K2" s="6" t="s">
        <v>1858</v>
      </c>
      <c r="L2" s="6"/>
      <c r="M2" s="6"/>
      <c r="N2" s="5" t="s">
        <v>1859</v>
      </c>
      <c r="O2" s="6" t="s">
        <v>1922</v>
      </c>
    </row>
    <row r="3" spans="1:15" x14ac:dyDescent="0.2">
      <c r="A3">
        <v>2</v>
      </c>
      <c r="C3" s="6" t="b">
        <f t="shared" ref="C3:C66" ca="1" si="0">IF(AND(G3="NA",H3&lt;&gt;"wide_value"),TRUE,"")</f>
        <v>1</v>
      </c>
      <c r="D3" s="6" t="s">
        <v>1192</v>
      </c>
      <c r="E3" s="6" t="s">
        <v>192</v>
      </c>
      <c r="F3" s="6" t="s">
        <v>1193</v>
      </c>
      <c r="G3" s="6" t="s">
        <v>497</v>
      </c>
      <c r="H3" s="9" t="str" cm="1">
        <f t="array" aca="1" ref="H3" ca="1">IF(COUNTIF(wide_measures!D:D,INDIRECT("maps!F$"&amp;ROW()))&gt;0,"measures",IF(COUNTIF(wide_protocolSteps!C:C,INDIRECT("maps!F$"&amp;ROW()))&gt;0,"protocolSteps",IF(COUNTIF(wide_repositories!C:C,INDIRECT("maps!F$"&amp;ROW()))&gt;0,"repositories",IF(COUNTIF(wide_protocols!C:C,INDIRECT("maps!F$"&amp;ROW()))&gt;0,"protocols",""))))</f>
        <v>protocolSteps</v>
      </c>
      <c r="I3" s="9" t="s">
        <v>1113</v>
      </c>
      <c r="J3" s="6"/>
      <c r="K3" s="6"/>
      <c r="L3" s="6"/>
      <c r="M3" s="6"/>
      <c r="N3" s="5" t="s">
        <v>1733</v>
      </c>
      <c r="O3" s="6" t="s">
        <v>1922</v>
      </c>
    </row>
    <row r="4" spans="1:15" x14ac:dyDescent="0.2">
      <c r="A4">
        <v>3</v>
      </c>
      <c r="B4" t="b">
        <v>1</v>
      </c>
      <c r="C4" s="6" t="b">
        <f t="shared" si="0"/>
        <v>1</v>
      </c>
      <c r="D4" s="6" t="s">
        <v>1192</v>
      </c>
      <c r="E4" s="6" t="s">
        <v>192</v>
      </c>
      <c r="F4" s="6" t="s">
        <v>1194</v>
      </c>
      <c r="G4" s="6" t="s">
        <v>497</v>
      </c>
      <c r="H4" s="6" t="s">
        <v>1331</v>
      </c>
      <c r="I4" s="6"/>
      <c r="J4" s="6" t="s">
        <v>1734</v>
      </c>
      <c r="K4" s="6" t="s">
        <v>1892</v>
      </c>
      <c r="L4" s="6"/>
      <c r="M4" s="6"/>
      <c r="N4" s="5" t="s">
        <v>1735</v>
      </c>
      <c r="O4" s="6" t="s">
        <v>1922</v>
      </c>
    </row>
    <row r="5" spans="1:15" x14ac:dyDescent="0.2">
      <c r="A5">
        <v>4</v>
      </c>
      <c r="C5" s="6" t="b">
        <f t="shared" si="0"/>
        <v>1</v>
      </c>
      <c r="D5" s="6" t="s">
        <v>1192</v>
      </c>
      <c r="E5" s="6" t="s">
        <v>192</v>
      </c>
      <c r="F5" s="6" t="s">
        <v>1195</v>
      </c>
      <c r="G5" s="6" t="s">
        <v>497</v>
      </c>
      <c r="H5" s="6" t="s">
        <v>1540</v>
      </c>
      <c r="I5" s="6"/>
      <c r="J5" s="6" t="s">
        <v>1544</v>
      </c>
      <c r="K5" s="6" t="s">
        <v>1893</v>
      </c>
      <c r="L5" s="6"/>
      <c r="M5" s="6"/>
      <c r="N5" s="5" t="s">
        <v>1733</v>
      </c>
      <c r="O5" s="6" t="s">
        <v>1923</v>
      </c>
    </row>
    <row r="6" spans="1:15" x14ac:dyDescent="0.2">
      <c r="A6">
        <v>5</v>
      </c>
      <c r="C6" s="6" t="b">
        <f t="shared" si="0"/>
        <v>1</v>
      </c>
      <c r="D6" s="6" t="s">
        <v>1192</v>
      </c>
      <c r="E6" s="6" t="s">
        <v>192</v>
      </c>
      <c r="F6" s="6" t="s">
        <v>1196</v>
      </c>
      <c r="G6" s="6" t="s">
        <v>497</v>
      </c>
      <c r="H6" s="6" t="s">
        <v>1540</v>
      </c>
      <c r="I6" s="6"/>
      <c r="J6" s="6" t="s">
        <v>1547</v>
      </c>
      <c r="K6" s="6" t="s">
        <v>1894</v>
      </c>
      <c r="L6" s="6"/>
      <c r="M6" s="6"/>
      <c r="N6" s="5" t="s">
        <v>1736</v>
      </c>
      <c r="O6" s="6" t="s">
        <v>1923</v>
      </c>
    </row>
    <row r="7" spans="1:15" x14ac:dyDescent="0.2">
      <c r="A7">
        <v>6</v>
      </c>
      <c r="C7" s="6" t="b">
        <f t="shared" si="0"/>
        <v>1</v>
      </c>
      <c r="D7" s="6" t="s">
        <v>11</v>
      </c>
      <c r="E7" s="6" t="s">
        <v>192</v>
      </c>
      <c r="F7" s="6" t="s">
        <v>105</v>
      </c>
      <c r="G7" s="6" t="s">
        <v>497</v>
      </c>
      <c r="H7" s="6" t="s">
        <v>1536</v>
      </c>
      <c r="I7" s="6"/>
      <c r="J7" s="6" t="s">
        <v>1739</v>
      </c>
      <c r="K7" s="6" t="s">
        <v>1895</v>
      </c>
      <c r="L7" s="6"/>
      <c r="M7" s="6"/>
      <c r="N7" s="5" t="s">
        <v>1740</v>
      </c>
      <c r="O7" s="6" t="s">
        <v>1924</v>
      </c>
    </row>
    <row r="8" spans="1:15" x14ac:dyDescent="0.2">
      <c r="A8">
        <v>7</v>
      </c>
      <c r="B8" t="b">
        <v>1</v>
      </c>
      <c r="C8" s="6" t="b">
        <f t="shared" ca="1" si="0"/>
        <v>1</v>
      </c>
      <c r="D8" s="6" t="s">
        <v>11</v>
      </c>
      <c r="E8" s="6" t="s">
        <v>192</v>
      </c>
      <c r="F8" s="6" t="s">
        <v>111</v>
      </c>
      <c r="G8" s="6" t="s">
        <v>497</v>
      </c>
      <c r="H8" s="9" t="str" cm="1">
        <f t="array" aca="1" ref="H8" ca="1">IF(COUNTIF(wide_measures!D:D,INDIRECT("maps!F$"&amp;ROW()))&gt;0,"measures",IF(COUNTIF(wide_protocolSteps!C:C,INDIRECT("maps!F$"&amp;ROW()))&gt;0,"protocolSteps",IF(COUNTIF(wide_repositories!C:C,INDIRECT("maps!F$"&amp;ROW()))&gt;0,"repositories",IF(COUNTIF(wide_protocols!C:C,INDIRECT("maps!F$"&amp;ROW()))&gt;0,"protocols",""))))</f>
        <v>measures</v>
      </c>
      <c r="I8" s="9" t="s">
        <v>1113</v>
      </c>
      <c r="J8" s="6"/>
      <c r="K8" s="6"/>
      <c r="L8" s="6"/>
      <c r="M8" s="6"/>
      <c r="N8" s="5" t="s">
        <v>1465</v>
      </c>
      <c r="O8" s="6" t="s">
        <v>1927</v>
      </c>
    </row>
    <row r="9" spans="1:15" x14ac:dyDescent="0.2">
      <c r="A9">
        <v>8</v>
      </c>
      <c r="B9" t="b">
        <v>1</v>
      </c>
      <c r="C9" s="6" t="b">
        <f t="shared" ca="1" si="0"/>
        <v>1</v>
      </c>
      <c r="D9" s="6" t="s">
        <v>11</v>
      </c>
      <c r="E9" s="6" t="s">
        <v>192</v>
      </c>
      <c r="F9" s="6" t="s">
        <v>12</v>
      </c>
      <c r="G9" s="6" t="s">
        <v>497</v>
      </c>
      <c r="H9" s="9" t="str" cm="1">
        <f t="array" aca="1" ref="H9" ca="1">IF(COUNTIF(wide_measures!D:D,INDIRECT("maps!F$"&amp;ROW()))&gt;0,"measures",IF(COUNTIF(wide_protocolSteps!C:C,INDIRECT("maps!F$"&amp;ROW()))&gt;0,"protocolSteps",IF(COUNTIF(wide_repositories!C:C,INDIRECT("maps!F$"&amp;ROW()))&gt;0,"repositories",IF(COUNTIF(wide_protocols!C:C,INDIRECT("maps!F$"&amp;ROW()))&gt;0,"protocols",""))))</f>
        <v>measures</v>
      </c>
      <c r="I9" s="9" t="s">
        <v>1113</v>
      </c>
      <c r="J9" s="6"/>
      <c r="K9" s="6"/>
      <c r="L9" s="6"/>
      <c r="M9" s="6"/>
      <c r="N9" s="6"/>
    </row>
    <row r="10" spans="1:15" x14ac:dyDescent="0.2">
      <c r="A10">
        <v>9</v>
      </c>
      <c r="B10" t="b">
        <v>1</v>
      </c>
      <c r="C10" s="6" t="b">
        <f t="shared" ca="1" si="0"/>
        <v>1</v>
      </c>
      <c r="D10" s="6" t="s">
        <v>11</v>
      </c>
      <c r="E10" s="6" t="s">
        <v>192</v>
      </c>
      <c r="F10" s="6" t="s">
        <v>13</v>
      </c>
      <c r="G10" s="6" t="s">
        <v>497</v>
      </c>
      <c r="H10" s="9" t="str" cm="1">
        <f t="array" aca="1" ref="H10" ca="1">IF(COUNTIF(wide_measures!D:D,INDIRECT("maps!F$"&amp;ROW()))&gt;0,"measures",IF(COUNTIF(wide_protocolSteps!C:C,INDIRECT("maps!F$"&amp;ROW()))&gt;0,"protocolSteps",IF(COUNTIF(wide_repositories!C:C,INDIRECT("maps!F$"&amp;ROW()))&gt;0,"repositories",IF(COUNTIF(wide_protocols!C:C,INDIRECT("maps!F$"&amp;ROW()))&gt;0,"protocols",""))))</f>
        <v>protocolSteps</v>
      </c>
      <c r="I10" s="9" t="s">
        <v>1113</v>
      </c>
      <c r="J10" s="6"/>
      <c r="K10" s="6"/>
      <c r="L10" s="6"/>
      <c r="M10" s="6"/>
      <c r="N10" s="5" t="s">
        <v>1741</v>
      </c>
      <c r="O10" s="6" t="s">
        <v>1927</v>
      </c>
    </row>
    <row r="11" spans="1:15" x14ac:dyDescent="0.2">
      <c r="A11">
        <v>10</v>
      </c>
      <c r="B11" t="b">
        <v>1</v>
      </c>
      <c r="C11" s="6" t="b">
        <f t="shared" si="0"/>
        <v>1</v>
      </c>
      <c r="D11" s="6" t="s">
        <v>11</v>
      </c>
      <c r="E11" s="6" t="s">
        <v>192</v>
      </c>
      <c r="F11" s="6" t="s">
        <v>14</v>
      </c>
      <c r="G11" s="6" t="s">
        <v>497</v>
      </c>
      <c r="H11" s="6" t="s">
        <v>1331</v>
      </c>
      <c r="I11" s="6"/>
      <c r="J11" s="6" t="s">
        <v>1734</v>
      </c>
      <c r="K11" s="6" t="s">
        <v>1896</v>
      </c>
      <c r="L11" s="6"/>
      <c r="M11" s="6"/>
      <c r="N11" s="5" t="s">
        <v>1744</v>
      </c>
    </row>
    <row r="12" spans="1:15" x14ac:dyDescent="0.2">
      <c r="A12">
        <v>11</v>
      </c>
      <c r="B12" t="b">
        <v>1</v>
      </c>
      <c r="C12" s="6" t="b">
        <f t="shared" ca="1" si="0"/>
        <v>1</v>
      </c>
      <c r="D12" s="6" t="s">
        <v>11</v>
      </c>
      <c r="E12" s="6" t="s">
        <v>192</v>
      </c>
      <c r="F12" s="6" t="s">
        <v>15</v>
      </c>
      <c r="G12" s="6" t="s">
        <v>497</v>
      </c>
      <c r="H12" s="9" t="str" cm="1">
        <f t="array" aca="1" ref="H12" ca="1">IF(COUNTIF(wide_measures!D:D,INDIRECT("maps!F$"&amp;ROW()))&gt;0,"measures",IF(COUNTIF(wide_protocolSteps!C:C,INDIRECT("maps!F$"&amp;ROW()))&gt;0,"protocolSteps",IF(COUNTIF(wide_repositories!C:C,INDIRECT("maps!F$"&amp;ROW()))&gt;0,"repositories",IF(COUNTIF(wide_protocols!C:C,INDIRECT("maps!F$"&amp;ROW()))&gt;0,"protocols",""))))</f>
        <v>protocolSteps</v>
      </c>
      <c r="I12" s="9" t="s">
        <v>1113</v>
      </c>
      <c r="J12" s="6"/>
      <c r="K12" s="6"/>
      <c r="L12" s="6"/>
      <c r="M12" s="6"/>
      <c r="N12" s="5" t="s">
        <v>1745</v>
      </c>
      <c r="O12" s="6" t="s">
        <v>1927</v>
      </c>
    </row>
    <row r="13" spans="1:15" x14ac:dyDescent="0.2">
      <c r="A13">
        <v>12</v>
      </c>
      <c r="B13" t="b">
        <v>1</v>
      </c>
      <c r="C13" s="6" t="b">
        <f t="shared" ca="1" si="0"/>
        <v>1</v>
      </c>
      <c r="D13" s="6" t="s">
        <v>11</v>
      </c>
      <c r="E13" s="6" t="s">
        <v>192</v>
      </c>
      <c r="F13" s="6" t="s">
        <v>18</v>
      </c>
      <c r="G13" s="6" t="s">
        <v>497</v>
      </c>
      <c r="H13" s="9" t="str" cm="1">
        <f t="array" aca="1" ref="H13" ca="1">IF(COUNTIF(wide_measures!D:D,INDIRECT("maps!F$"&amp;ROW()))&gt;0,"measures",IF(COUNTIF(wide_protocolSteps!C:C,INDIRECT("maps!F$"&amp;ROW()))&gt;0,"protocolSteps",IF(COUNTIF(wide_repositories!C:C,INDIRECT("maps!F$"&amp;ROW()))&gt;0,"repositories",IF(COUNTIF(wide_protocols!C:C,INDIRECT("maps!F$"&amp;ROW()))&gt;0,"protocols",""))))</f>
        <v>protocolSteps</v>
      </c>
      <c r="I13" s="9" t="s">
        <v>1113</v>
      </c>
      <c r="J13" s="6"/>
      <c r="K13" s="6"/>
      <c r="L13" s="6"/>
      <c r="M13" s="6"/>
      <c r="N13" s="5" t="s">
        <v>1745</v>
      </c>
      <c r="O13" s="6" t="s">
        <v>1927</v>
      </c>
    </row>
    <row r="14" spans="1:15" x14ac:dyDescent="0.2">
      <c r="A14">
        <v>13</v>
      </c>
      <c r="B14" t="b">
        <v>1</v>
      </c>
      <c r="C14" s="6" t="b">
        <f t="shared" ca="1" si="0"/>
        <v>1</v>
      </c>
      <c r="D14" s="6" t="s">
        <v>11</v>
      </c>
      <c r="E14" s="6" t="s">
        <v>192</v>
      </c>
      <c r="F14" s="6" t="s">
        <v>20</v>
      </c>
      <c r="G14" s="6" t="s">
        <v>497</v>
      </c>
      <c r="H14" s="9" t="str" cm="1">
        <f t="array" aca="1" ref="H14" ca="1">IF(COUNTIF(wide_measures!D:D,INDIRECT("maps!F$"&amp;ROW()))&gt;0,"measures",IF(COUNTIF(wide_protocolSteps!C:C,INDIRECT("maps!F$"&amp;ROW()))&gt;0,"protocolSteps",IF(COUNTIF(wide_repositories!C:C,INDIRECT("maps!F$"&amp;ROW()))&gt;0,"repositories",IF(COUNTIF(wide_protocols!C:C,INDIRECT("maps!F$"&amp;ROW()))&gt;0,"protocols",""))))</f>
        <v>measures</v>
      </c>
      <c r="I14" s="9" t="s">
        <v>1113</v>
      </c>
      <c r="J14" s="6"/>
      <c r="K14" s="6"/>
      <c r="L14" s="6"/>
      <c r="M14" s="6"/>
      <c r="N14" s="6"/>
    </row>
    <row r="15" spans="1:15" x14ac:dyDescent="0.2">
      <c r="A15">
        <v>14</v>
      </c>
      <c r="B15" t="b">
        <v>1</v>
      </c>
      <c r="C15" s="6" t="b">
        <f t="shared" ca="1" si="0"/>
        <v>1</v>
      </c>
      <c r="D15" s="6" t="s">
        <v>11</v>
      </c>
      <c r="E15" s="6" t="s">
        <v>192</v>
      </c>
      <c r="F15" s="6" t="s">
        <v>112</v>
      </c>
      <c r="G15" s="6" t="s">
        <v>497</v>
      </c>
      <c r="H15" s="9" t="str" cm="1">
        <f t="array" aca="1" ref="H15" ca="1">IF(COUNTIF(wide_measures!D:D,INDIRECT("maps!F$"&amp;ROW()))&gt;0,"measures",IF(COUNTIF(wide_protocolSteps!C:C,INDIRECT("maps!F$"&amp;ROW()))&gt;0,"protocolSteps",IF(COUNTIF(wide_repositories!C:C,INDIRECT("maps!F$"&amp;ROW()))&gt;0,"repositories",IF(COUNTIF(wide_protocols!C:C,INDIRECT("maps!F$"&amp;ROW()))&gt;0,"protocols",""))))</f>
        <v>measures</v>
      </c>
      <c r="I15" s="9" t="s">
        <v>1113</v>
      </c>
      <c r="J15" s="6"/>
      <c r="K15" s="6"/>
      <c r="L15" s="6"/>
      <c r="M15" s="6"/>
      <c r="N15" s="5" t="s">
        <v>1465</v>
      </c>
      <c r="O15" s="6" t="s">
        <v>1927</v>
      </c>
    </row>
    <row r="16" spans="1:15" x14ac:dyDescent="0.2">
      <c r="A16">
        <v>15</v>
      </c>
      <c r="B16" t="b">
        <v>1</v>
      </c>
      <c r="C16" s="6" t="b">
        <f t="shared" ca="1" si="0"/>
        <v>1</v>
      </c>
      <c r="D16" s="6" t="s">
        <v>11</v>
      </c>
      <c r="E16" s="6" t="s">
        <v>192</v>
      </c>
      <c r="F16" s="6" t="s">
        <v>22</v>
      </c>
      <c r="G16" s="6" t="s">
        <v>497</v>
      </c>
      <c r="H16" s="9" t="str" cm="1">
        <f t="array" aca="1" ref="H16" ca="1">IF(COUNTIF(wide_measures!D:D,INDIRECT("maps!F$"&amp;ROW()))&gt;0,"measures",IF(COUNTIF(wide_protocolSteps!C:C,INDIRECT("maps!F$"&amp;ROW()))&gt;0,"protocolSteps",IF(COUNTIF(wide_repositories!C:C,INDIRECT("maps!F$"&amp;ROW()))&gt;0,"repositories",IF(COUNTIF(wide_protocols!C:C,INDIRECT("maps!F$"&amp;ROW()))&gt;0,"protocols",""))))</f>
        <v>measures</v>
      </c>
      <c r="I16" s="9" t="s">
        <v>1113</v>
      </c>
      <c r="J16" s="6"/>
      <c r="K16" s="6"/>
      <c r="L16" s="6"/>
      <c r="M16" s="6"/>
      <c r="N16" s="6"/>
    </row>
    <row r="17" spans="1:15" x14ac:dyDescent="0.2">
      <c r="A17">
        <v>16</v>
      </c>
      <c r="B17" t="b">
        <v>1</v>
      </c>
      <c r="C17" s="6" t="b">
        <f t="shared" ca="1" si="0"/>
        <v>1</v>
      </c>
      <c r="D17" s="6" t="s">
        <v>11</v>
      </c>
      <c r="E17" s="6" t="s">
        <v>192</v>
      </c>
      <c r="F17" s="6" t="s">
        <v>23</v>
      </c>
      <c r="G17" s="6" t="s">
        <v>497</v>
      </c>
      <c r="H17" s="9" t="str" cm="1">
        <f t="array" aca="1" ref="H17" ca="1">IF(COUNTIF(wide_measures!D:D,INDIRECT("maps!F$"&amp;ROW()))&gt;0,"measures",IF(COUNTIF(wide_protocolSteps!C:C,INDIRECT("maps!F$"&amp;ROW()))&gt;0,"protocolSteps",IF(COUNTIF(wide_repositories!C:C,INDIRECT("maps!F$"&amp;ROW()))&gt;0,"repositories",IF(COUNTIF(wide_protocols!C:C,INDIRECT("maps!F$"&amp;ROW()))&gt;0,"protocols",""))))</f>
        <v>measures</v>
      </c>
      <c r="I17" s="9" t="s">
        <v>1113</v>
      </c>
      <c r="J17" s="6"/>
      <c r="K17" s="6"/>
      <c r="L17" s="6"/>
      <c r="M17" s="6"/>
      <c r="N17" s="6"/>
    </row>
    <row r="18" spans="1:15" x14ac:dyDescent="0.2">
      <c r="A18">
        <v>17</v>
      </c>
      <c r="B18" t="b">
        <v>1</v>
      </c>
      <c r="C18" s="6" t="b">
        <f t="shared" ca="1" si="0"/>
        <v>1</v>
      </c>
      <c r="D18" s="6" t="s">
        <v>11</v>
      </c>
      <c r="E18" s="6" t="s">
        <v>192</v>
      </c>
      <c r="F18" s="6" t="s">
        <v>55</v>
      </c>
      <c r="G18" s="6" t="s">
        <v>497</v>
      </c>
      <c r="H18" s="9" t="str" cm="1">
        <f t="array" aca="1" ref="H18" ca="1">IF(COUNTIF(wide_measures!D:D,INDIRECT("maps!F$"&amp;ROW()))&gt;0,"measures",IF(COUNTIF(wide_protocolSteps!C:C,INDIRECT("maps!F$"&amp;ROW()))&gt;0,"protocolSteps",IF(COUNTIF(wide_repositories!C:C,INDIRECT("maps!F$"&amp;ROW()))&gt;0,"repositories",IF(COUNTIF(wide_protocols!C:C,INDIRECT("maps!F$"&amp;ROW()))&gt;0,"protocols",""))))</f>
        <v>measures</v>
      </c>
      <c r="I18" s="9" t="s">
        <v>1113</v>
      </c>
      <c r="J18" s="6"/>
      <c r="K18" s="6"/>
      <c r="L18" s="6"/>
      <c r="M18" s="6"/>
      <c r="N18" s="6"/>
    </row>
    <row r="19" spans="1:15" x14ac:dyDescent="0.2">
      <c r="A19">
        <v>18</v>
      </c>
      <c r="B19" t="b">
        <v>1</v>
      </c>
      <c r="C19" s="6" t="b">
        <f t="shared" ca="1" si="0"/>
        <v>1</v>
      </c>
      <c r="D19" s="6" t="s">
        <v>11</v>
      </c>
      <c r="E19" s="6" t="s">
        <v>192</v>
      </c>
      <c r="F19" s="6" t="s">
        <v>58</v>
      </c>
      <c r="G19" s="6" t="s">
        <v>497</v>
      </c>
      <c r="H19" s="9" t="str" cm="1">
        <f t="array" aca="1" ref="H19" ca="1">IF(COUNTIF(wide_measures!D:D,INDIRECT("maps!F$"&amp;ROW()))&gt;0,"measures",IF(COUNTIF(wide_protocolSteps!C:C,INDIRECT("maps!F$"&amp;ROW()))&gt;0,"protocolSteps",IF(COUNTIF(wide_repositories!C:C,INDIRECT("maps!F$"&amp;ROW()))&gt;0,"repositories",IF(COUNTIF(wide_protocols!C:C,INDIRECT("maps!F$"&amp;ROW()))&gt;0,"protocols",""))))</f>
        <v>measures</v>
      </c>
      <c r="I19" s="9" t="s">
        <v>1113</v>
      </c>
      <c r="J19" s="6"/>
      <c r="K19" s="6"/>
      <c r="L19" s="6"/>
      <c r="M19" s="6"/>
      <c r="N19" s="6"/>
    </row>
    <row r="20" spans="1:15" x14ac:dyDescent="0.2">
      <c r="A20">
        <v>19</v>
      </c>
      <c r="B20" t="b">
        <v>1</v>
      </c>
      <c r="C20" s="6" t="b">
        <f t="shared" ca="1" si="0"/>
        <v>1</v>
      </c>
      <c r="D20" s="6" t="s">
        <v>11</v>
      </c>
      <c r="E20" s="6" t="s">
        <v>192</v>
      </c>
      <c r="F20" s="6" t="s">
        <v>71</v>
      </c>
      <c r="G20" s="6" t="s">
        <v>497</v>
      </c>
      <c r="H20" s="9" t="str" cm="1">
        <f t="array" aca="1" ref="H20" ca="1">IF(COUNTIF(wide_measures!D:D,INDIRECT("maps!F$"&amp;ROW()))&gt;0,"measures",IF(COUNTIF(wide_protocolSteps!C:C,INDIRECT("maps!F$"&amp;ROW()))&gt;0,"protocolSteps",IF(COUNTIF(wide_repositories!C:C,INDIRECT("maps!F$"&amp;ROW()))&gt;0,"repositories",IF(COUNTIF(wide_protocols!C:C,INDIRECT("maps!F$"&amp;ROW()))&gt;0,"protocols",""))))</f>
        <v>measures</v>
      </c>
      <c r="I20" s="9" t="s">
        <v>1113</v>
      </c>
      <c r="J20" s="6"/>
      <c r="K20" s="6"/>
      <c r="L20" s="6"/>
      <c r="M20" s="6"/>
      <c r="N20" s="6"/>
    </row>
    <row r="21" spans="1:15" x14ac:dyDescent="0.2">
      <c r="A21">
        <v>20</v>
      </c>
      <c r="B21" t="b">
        <v>1</v>
      </c>
      <c r="C21" s="6" t="b">
        <f t="shared" ca="1" si="0"/>
        <v>1</v>
      </c>
      <c r="D21" s="6" t="s">
        <v>11</v>
      </c>
      <c r="E21" s="6" t="s">
        <v>192</v>
      </c>
      <c r="F21" s="6" t="s">
        <v>72</v>
      </c>
      <c r="G21" s="6" t="s">
        <v>497</v>
      </c>
      <c r="H21" s="9" t="str" cm="1">
        <f t="array" aca="1" ref="H21" ca="1">IF(COUNTIF(wide_measures!D:D,INDIRECT("maps!F$"&amp;ROW()))&gt;0,"measures",IF(COUNTIF(wide_protocolSteps!C:C,INDIRECT("maps!F$"&amp;ROW()))&gt;0,"protocolSteps",IF(COUNTIF(wide_repositories!C:C,INDIRECT("maps!F$"&amp;ROW()))&gt;0,"repositories",IF(COUNTIF(wide_protocols!C:C,INDIRECT("maps!F$"&amp;ROW()))&gt;0,"protocols",""))))</f>
        <v>measures</v>
      </c>
      <c r="I21" s="9" t="s">
        <v>1113</v>
      </c>
      <c r="J21" s="6"/>
      <c r="K21" s="6"/>
      <c r="L21" s="6"/>
      <c r="M21" s="6"/>
      <c r="N21" s="6"/>
    </row>
    <row r="22" spans="1:15" x14ac:dyDescent="0.2">
      <c r="A22">
        <v>21</v>
      </c>
      <c r="B22" t="b">
        <v>1</v>
      </c>
      <c r="C22" s="6" t="b">
        <f t="shared" ca="1" si="0"/>
        <v>1</v>
      </c>
      <c r="D22" s="6" t="s">
        <v>11</v>
      </c>
      <c r="E22" s="6" t="s">
        <v>192</v>
      </c>
      <c r="F22" s="6" t="s">
        <v>73</v>
      </c>
      <c r="G22" s="6" t="s">
        <v>497</v>
      </c>
      <c r="H22" s="9" t="str" cm="1">
        <f t="array" aca="1" ref="H22" ca="1">IF(COUNTIF(wide_measures!D:D,INDIRECT("maps!F$"&amp;ROW()))&gt;0,"measures",IF(COUNTIF(wide_protocolSteps!C:C,INDIRECT("maps!F$"&amp;ROW()))&gt;0,"protocolSteps",IF(COUNTIF(wide_repositories!C:C,INDIRECT("maps!F$"&amp;ROW()))&gt;0,"repositories",IF(COUNTIF(wide_protocols!C:C,INDIRECT("maps!F$"&amp;ROW()))&gt;0,"protocols",""))))</f>
        <v>measures</v>
      </c>
      <c r="I22" s="9" t="s">
        <v>1113</v>
      </c>
      <c r="J22" s="6"/>
      <c r="K22" s="6"/>
      <c r="L22" s="6"/>
      <c r="M22" s="6"/>
      <c r="N22" s="6"/>
    </row>
    <row r="23" spans="1:15" x14ac:dyDescent="0.2">
      <c r="A23">
        <v>22</v>
      </c>
      <c r="B23" t="b">
        <v>1</v>
      </c>
      <c r="C23" s="6" t="b">
        <f t="shared" ca="1" si="0"/>
        <v>1</v>
      </c>
      <c r="D23" s="6" t="s">
        <v>11</v>
      </c>
      <c r="E23" s="6" t="s">
        <v>192</v>
      </c>
      <c r="F23" s="6" t="s">
        <v>74</v>
      </c>
      <c r="G23" s="6" t="s">
        <v>497</v>
      </c>
      <c r="H23" s="9" t="str" cm="1">
        <f t="array" aca="1" ref="H23" ca="1">IF(COUNTIF(wide_measures!D:D,INDIRECT("maps!F$"&amp;ROW()))&gt;0,"measures",IF(COUNTIF(wide_protocolSteps!C:C,INDIRECT("maps!F$"&amp;ROW()))&gt;0,"protocolSteps",IF(COUNTIF(wide_repositories!C:C,INDIRECT("maps!F$"&amp;ROW()))&gt;0,"repositories",IF(COUNTIF(wide_protocols!C:C,INDIRECT("maps!F$"&amp;ROW()))&gt;0,"protocols",""))))</f>
        <v>measures</v>
      </c>
      <c r="I23" s="9" t="s">
        <v>1113</v>
      </c>
      <c r="J23" s="6"/>
      <c r="K23" s="6"/>
      <c r="L23" s="6"/>
      <c r="M23" s="6"/>
      <c r="N23" s="6"/>
    </row>
    <row r="24" spans="1:15" x14ac:dyDescent="0.2">
      <c r="A24">
        <v>23</v>
      </c>
      <c r="B24" t="b">
        <v>1</v>
      </c>
      <c r="C24" s="6" t="b">
        <f t="shared" ca="1" si="0"/>
        <v>1</v>
      </c>
      <c r="D24" s="6" t="s">
        <v>11</v>
      </c>
      <c r="E24" s="6" t="s">
        <v>192</v>
      </c>
      <c r="F24" s="6" t="s">
        <v>76</v>
      </c>
      <c r="G24" s="6" t="s">
        <v>497</v>
      </c>
      <c r="H24" s="9" t="str" cm="1">
        <f t="array" aca="1" ref="H24" ca="1">IF(COUNTIF(wide_measures!D:D,INDIRECT("maps!F$"&amp;ROW()))&gt;0,"measures",IF(COUNTIF(wide_protocolSteps!C:C,INDIRECT("maps!F$"&amp;ROW()))&gt;0,"protocolSteps",IF(COUNTIF(wide_repositories!C:C,INDIRECT("maps!F$"&amp;ROW()))&gt;0,"repositories",IF(COUNTIF(wide_protocols!C:C,INDIRECT("maps!F$"&amp;ROW()))&gt;0,"protocols",""))))</f>
        <v>measures</v>
      </c>
      <c r="I24" s="9" t="s">
        <v>1113</v>
      </c>
      <c r="J24" s="6"/>
      <c r="K24" s="6"/>
      <c r="L24" s="6"/>
      <c r="M24" s="6"/>
      <c r="N24" s="6"/>
    </row>
    <row r="25" spans="1:15" x14ac:dyDescent="0.2">
      <c r="A25">
        <v>24</v>
      </c>
      <c r="B25" t="b">
        <v>1</v>
      </c>
      <c r="C25" s="6" t="b">
        <f t="shared" ca="1" si="0"/>
        <v>1</v>
      </c>
      <c r="D25" s="6" t="s">
        <v>11</v>
      </c>
      <c r="E25" s="6" t="s">
        <v>192</v>
      </c>
      <c r="F25" s="6" t="s">
        <v>77</v>
      </c>
      <c r="G25" s="6" t="s">
        <v>497</v>
      </c>
      <c r="H25" s="9" t="str" cm="1">
        <f t="array" aca="1" ref="H25" ca="1">IF(COUNTIF(wide_measures!D:D,INDIRECT("maps!F$"&amp;ROW()))&gt;0,"measures",IF(COUNTIF(wide_protocolSteps!C:C,INDIRECT("maps!F$"&amp;ROW()))&gt;0,"protocolSteps",IF(COUNTIF(wide_repositories!C:C,INDIRECT("maps!F$"&amp;ROW()))&gt;0,"repositories",IF(COUNTIF(wide_protocols!C:C,INDIRECT("maps!F$"&amp;ROW()))&gt;0,"protocols",""))))</f>
        <v>measures</v>
      </c>
      <c r="I25" s="9" t="s">
        <v>1113</v>
      </c>
      <c r="J25" s="6"/>
      <c r="K25" s="6"/>
      <c r="L25" s="6"/>
      <c r="M25" s="6"/>
      <c r="N25" s="6"/>
    </row>
    <row r="26" spans="1:15" x14ac:dyDescent="0.2">
      <c r="A26">
        <v>25</v>
      </c>
      <c r="C26" s="6" t="b">
        <f t="shared" si="0"/>
        <v>1</v>
      </c>
      <c r="D26" s="6" t="s">
        <v>11</v>
      </c>
      <c r="E26" s="6" t="s">
        <v>192</v>
      </c>
      <c r="F26" s="6" t="s">
        <v>107</v>
      </c>
      <c r="G26" s="6" t="s">
        <v>497</v>
      </c>
      <c r="H26" s="6" t="s">
        <v>1381</v>
      </c>
      <c r="I26" s="6"/>
      <c r="J26" s="6" t="s">
        <v>9</v>
      </c>
      <c r="K26" s="6" t="s">
        <v>1394</v>
      </c>
      <c r="L26" s="6"/>
      <c r="M26" s="6"/>
      <c r="N26" s="5" t="s">
        <v>1390</v>
      </c>
      <c r="O26" s="6" t="s">
        <v>1927</v>
      </c>
    </row>
    <row r="27" spans="1:15" x14ac:dyDescent="0.2">
      <c r="A27">
        <v>26</v>
      </c>
      <c r="C27" s="6" t="str">
        <f t="shared" si="0"/>
        <v/>
      </c>
      <c r="D27" s="6" t="s">
        <v>11</v>
      </c>
      <c r="E27" s="6" t="s">
        <v>192</v>
      </c>
      <c r="F27" s="6" t="s">
        <v>110</v>
      </c>
      <c r="G27" s="6" t="s">
        <v>477</v>
      </c>
      <c r="H27" s="6" t="s">
        <v>1381</v>
      </c>
      <c r="I27" s="6"/>
      <c r="J27" s="6" t="s">
        <v>1380</v>
      </c>
      <c r="K27" s="6" t="s">
        <v>1379</v>
      </c>
      <c r="L27" s="6"/>
      <c r="M27" s="6"/>
      <c r="N27" s="5" t="s">
        <v>1390</v>
      </c>
      <c r="O27" s="6" t="s">
        <v>1927</v>
      </c>
    </row>
    <row r="28" spans="1:15" x14ac:dyDescent="0.2">
      <c r="A28">
        <v>27</v>
      </c>
      <c r="C28" s="6" t="str">
        <f t="shared" si="0"/>
        <v/>
      </c>
      <c r="D28" s="6" t="s">
        <v>11</v>
      </c>
      <c r="E28" s="6" t="s">
        <v>192</v>
      </c>
      <c r="F28" s="6" t="s">
        <v>110</v>
      </c>
      <c r="G28" s="6" t="s">
        <v>478</v>
      </c>
      <c r="H28" s="6" t="s">
        <v>1013</v>
      </c>
      <c r="I28" s="6"/>
      <c r="J28" s="6" t="s">
        <v>1391</v>
      </c>
      <c r="K28" s="6" t="b">
        <v>1</v>
      </c>
      <c r="L28" s="6"/>
      <c r="M28" s="6"/>
      <c r="N28" s="5" t="s">
        <v>1392</v>
      </c>
      <c r="O28" t="s">
        <v>1927</v>
      </c>
    </row>
    <row r="29" spans="1:15" x14ac:dyDescent="0.2">
      <c r="A29">
        <v>28</v>
      </c>
      <c r="C29" s="6" t="str">
        <f t="shared" si="0"/>
        <v/>
      </c>
      <c r="D29" s="6" t="s">
        <v>11</v>
      </c>
      <c r="E29" s="6" t="s">
        <v>192</v>
      </c>
      <c r="F29" s="6" t="s">
        <v>110</v>
      </c>
      <c r="G29" s="6" t="s">
        <v>479</v>
      </c>
      <c r="H29" s="6" t="s">
        <v>1013</v>
      </c>
      <c r="I29" s="6"/>
      <c r="J29" s="6" t="s">
        <v>1391</v>
      </c>
      <c r="K29" s="6" t="b">
        <v>0</v>
      </c>
      <c r="L29" s="6"/>
      <c r="M29" s="6"/>
      <c r="N29" s="5" t="s">
        <v>1392</v>
      </c>
      <c r="O29" t="s">
        <v>1927</v>
      </c>
    </row>
    <row r="30" spans="1:15" x14ac:dyDescent="0.2">
      <c r="A30">
        <v>29</v>
      </c>
      <c r="C30" s="6" t="str">
        <f t="shared" si="0"/>
        <v/>
      </c>
      <c r="D30" s="6" t="s">
        <v>11</v>
      </c>
      <c r="E30" s="6" t="s">
        <v>192</v>
      </c>
      <c r="F30" s="6" t="s">
        <v>110</v>
      </c>
      <c r="G30" s="6" t="s">
        <v>480</v>
      </c>
      <c r="H30" s="6" t="s">
        <v>1013</v>
      </c>
      <c r="I30" s="6"/>
      <c r="J30" s="6" t="s">
        <v>1391</v>
      </c>
      <c r="K30" s="6" t="b">
        <v>1</v>
      </c>
      <c r="L30" s="6"/>
      <c r="M30" s="6"/>
      <c r="N30" s="5" t="s">
        <v>1393</v>
      </c>
      <c r="O30" t="s">
        <v>1927</v>
      </c>
    </row>
    <row r="31" spans="1:15" x14ac:dyDescent="0.2">
      <c r="A31">
        <v>30</v>
      </c>
      <c r="C31" s="6" t="str">
        <f t="shared" si="0"/>
        <v/>
      </c>
      <c r="D31" s="6" t="s">
        <v>11</v>
      </c>
      <c r="E31" s="6" t="s">
        <v>192</v>
      </c>
      <c r="F31" s="6" t="s">
        <v>110</v>
      </c>
      <c r="G31" s="6" t="s">
        <v>481</v>
      </c>
      <c r="H31" s="6" t="s">
        <v>1013</v>
      </c>
      <c r="I31" s="6"/>
      <c r="J31" s="6" t="s">
        <v>1391</v>
      </c>
      <c r="K31" s="6" t="b">
        <v>1</v>
      </c>
      <c r="L31" s="6"/>
      <c r="M31" s="6"/>
      <c r="N31" s="5" t="s">
        <v>1393</v>
      </c>
      <c r="O31" t="s">
        <v>1927</v>
      </c>
    </row>
    <row r="32" spans="1:15" x14ac:dyDescent="0.2">
      <c r="A32">
        <v>31</v>
      </c>
      <c r="C32" s="6" t="str">
        <f t="shared" si="0"/>
        <v/>
      </c>
      <c r="D32" s="6" t="s">
        <v>11</v>
      </c>
      <c r="E32" s="6" t="s">
        <v>192</v>
      </c>
      <c r="F32" s="6" t="s">
        <v>110</v>
      </c>
      <c r="G32" s="6" t="s">
        <v>482</v>
      </c>
      <c r="H32" s="6" t="s">
        <v>1013</v>
      </c>
      <c r="I32" s="6"/>
      <c r="J32" s="6" t="s">
        <v>1391</v>
      </c>
      <c r="K32" s="6" t="s">
        <v>1133</v>
      </c>
      <c r="L32" s="6"/>
      <c r="M32" s="6"/>
      <c r="N32" s="5" t="s">
        <v>1392</v>
      </c>
      <c r="O32" s="6" t="s">
        <v>1927</v>
      </c>
    </row>
    <row r="33" spans="1:15" x14ac:dyDescent="0.2">
      <c r="A33">
        <v>32</v>
      </c>
      <c r="C33" s="6" t="str">
        <f t="shared" si="0"/>
        <v/>
      </c>
      <c r="D33" s="6" t="s">
        <v>11</v>
      </c>
      <c r="E33" s="6" t="s">
        <v>192</v>
      </c>
      <c r="F33" s="6" t="s">
        <v>108</v>
      </c>
      <c r="G33" s="6" t="s">
        <v>483</v>
      </c>
      <c r="H33" s="6" t="s">
        <v>1381</v>
      </c>
      <c r="I33" s="6"/>
      <c r="J33" s="6" t="s">
        <v>1380</v>
      </c>
      <c r="K33" s="6" t="s">
        <v>1382</v>
      </c>
      <c r="L33" s="6"/>
      <c r="M33" s="6"/>
      <c r="N33" s="5" t="s">
        <v>1390</v>
      </c>
      <c r="O33" s="6" t="s">
        <v>1927</v>
      </c>
    </row>
    <row r="34" spans="1:15" x14ac:dyDescent="0.2">
      <c r="A34">
        <v>33</v>
      </c>
      <c r="C34" s="6" t="str">
        <f t="shared" si="0"/>
        <v/>
      </c>
      <c r="D34" s="6" t="s">
        <v>11</v>
      </c>
      <c r="E34" s="6" t="s">
        <v>192</v>
      </c>
      <c r="F34" s="6" t="s">
        <v>108</v>
      </c>
      <c r="G34" s="6" t="s">
        <v>484</v>
      </c>
      <c r="H34" s="6" t="s">
        <v>1381</v>
      </c>
      <c r="I34" s="6"/>
      <c r="J34" s="6" t="s">
        <v>1380</v>
      </c>
      <c r="K34" s="6" t="s">
        <v>1383</v>
      </c>
      <c r="L34" s="6"/>
      <c r="M34" s="6"/>
      <c r="N34" s="5" t="s">
        <v>1390</v>
      </c>
      <c r="O34" s="6" t="s">
        <v>1927</v>
      </c>
    </row>
    <row r="35" spans="1:15" x14ac:dyDescent="0.2">
      <c r="A35">
        <v>34</v>
      </c>
      <c r="C35" s="6" t="str">
        <f t="shared" si="0"/>
        <v/>
      </c>
      <c r="D35" s="6" t="s">
        <v>11</v>
      </c>
      <c r="E35" s="6" t="s">
        <v>192</v>
      </c>
      <c r="F35" s="6" t="s">
        <v>108</v>
      </c>
      <c r="G35" s="6" t="s">
        <v>485</v>
      </c>
      <c r="H35" s="6" t="s">
        <v>1381</v>
      </c>
      <c r="I35" s="6"/>
      <c r="J35" s="6" t="s">
        <v>1380</v>
      </c>
      <c r="K35" s="6" t="s">
        <v>1384</v>
      </c>
      <c r="L35" s="6"/>
      <c r="M35" s="6"/>
      <c r="N35" s="5" t="s">
        <v>1390</v>
      </c>
      <c r="O35" s="6" t="s">
        <v>1927</v>
      </c>
    </row>
    <row r="36" spans="1:15" x14ac:dyDescent="0.2">
      <c r="A36">
        <v>35</v>
      </c>
      <c r="C36" s="6" t="str">
        <f t="shared" si="0"/>
        <v/>
      </c>
      <c r="D36" s="6" t="s">
        <v>11</v>
      </c>
      <c r="E36" s="6" t="s">
        <v>192</v>
      </c>
      <c r="F36" s="6" t="s">
        <v>108</v>
      </c>
      <c r="G36" s="6" t="s">
        <v>486</v>
      </c>
      <c r="H36" s="6" t="s">
        <v>1381</v>
      </c>
      <c r="I36" s="6"/>
      <c r="J36" s="6" t="s">
        <v>1380</v>
      </c>
      <c r="K36" s="6" t="s">
        <v>1385</v>
      </c>
      <c r="L36" s="6"/>
      <c r="M36" s="6"/>
      <c r="N36" s="5" t="s">
        <v>1390</v>
      </c>
      <c r="O36" s="6" t="s">
        <v>1927</v>
      </c>
    </row>
    <row r="37" spans="1:15" x14ac:dyDescent="0.2">
      <c r="A37">
        <v>36</v>
      </c>
      <c r="C37" s="6" t="str">
        <f t="shared" si="0"/>
        <v/>
      </c>
      <c r="D37" s="6" t="s">
        <v>11</v>
      </c>
      <c r="E37" s="6" t="s">
        <v>192</v>
      </c>
      <c r="F37" s="6" t="s">
        <v>108</v>
      </c>
      <c r="G37" s="6" t="s">
        <v>487</v>
      </c>
      <c r="H37" s="6" t="s">
        <v>1381</v>
      </c>
      <c r="I37" s="6"/>
      <c r="J37" s="6" t="s">
        <v>1380</v>
      </c>
      <c r="K37" s="6" t="s">
        <v>1386</v>
      </c>
      <c r="L37" s="6"/>
      <c r="M37" s="6"/>
      <c r="N37" s="5" t="s">
        <v>1390</v>
      </c>
      <c r="O37" s="6" t="s">
        <v>1927</v>
      </c>
    </row>
    <row r="38" spans="1:15" x14ac:dyDescent="0.2">
      <c r="A38">
        <v>37</v>
      </c>
      <c r="C38" s="6" t="str">
        <f t="shared" si="0"/>
        <v/>
      </c>
      <c r="D38" s="6" t="s">
        <v>11</v>
      </c>
      <c r="E38" s="6" t="s">
        <v>192</v>
      </c>
      <c r="F38" s="6" t="s">
        <v>108</v>
      </c>
      <c r="G38" s="6" t="s">
        <v>488</v>
      </c>
      <c r="H38" s="6" t="s">
        <v>1381</v>
      </c>
      <c r="I38" s="6"/>
      <c r="J38" s="6" t="s">
        <v>1380</v>
      </c>
      <c r="K38" s="6" t="s">
        <v>1387</v>
      </c>
      <c r="L38" s="6"/>
      <c r="M38" s="6"/>
      <c r="N38" s="5" t="s">
        <v>1390</v>
      </c>
      <c r="O38" s="6" t="s">
        <v>1927</v>
      </c>
    </row>
    <row r="39" spans="1:15" x14ac:dyDescent="0.2">
      <c r="A39">
        <v>38</v>
      </c>
      <c r="C39" s="6" t="str">
        <f t="shared" si="0"/>
        <v/>
      </c>
      <c r="D39" s="6" t="s">
        <v>11</v>
      </c>
      <c r="E39" s="6" t="s">
        <v>192</v>
      </c>
      <c r="F39" s="6" t="s">
        <v>108</v>
      </c>
      <c r="G39" s="6" t="s">
        <v>489</v>
      </c>
      <c r="H39" s="6" t="s">
        <v>1381</v>
      </c>
      <c r="I39" s="6"/>
      <c r="J39" s="6" t="s">
        <v>1380</v>
      </c>
      <c r="K39" s="6" t="s">
        <v>1388</v>
      </c>
      <c r="L39" s="6"/>
      <c r="M39" s="6"/>
      <c r="N39" s="5" t="s">
        <v>1390</v>
      </c>
      <c r="O39" s="6" t="s">
        <v>1927</v>
      </c>
    </row>
    <row r="40" spans="1:15" x14ac:dyDescent="0.2">
      <c r="A40">
        <v>39</v>
      </c>
      <c r="C40" s="6" t="str">
        <f t="shared" si="0"/>
        <v/>
      </c>
      <c r="D40" s="6" t="s">
        <v>11</v>
      </c>
      <c r="E40" s="6" t="s">
        <v>192</v>
      </c>
      <c r="F40" s="6" t="s">
        <v>108</v>
      </c>
      <c r="G40" s="6" t="s">
        <v>490</v>
      </c>
      <c r="H40" s="6" t="s">
        <v>1381</v>
      </c>
      <c r="I40" s="6"/>
      <c r="J40" s="6" t="s">
        <v>1380</v>
      </c>
      <c r="K40" s="6" t="s">
        <v>1389</v>
      </c>
      <c r="L40" s="6"/>
      <c r="M40" s="6"/>
      <c r="N40" s="5" t="s">
        <v>1390</v>
      </c>
      <c r="O40" s="6" t="s">
        <v>1927</v>
      </c>
    </row>
    <row r="41" spans="1:15" x14ac:dyDescent="0.2">
      <c r="A41">
        <v>40</v>
      </c>
      <c r="C41" s="6" t="b">
        <f t="shared" ca="1" si="0"/>
        <v>1</v>
      </c>
      <c r="D41" s="6" t="s">
        <v>11</v>
      </c>
      <c r="E41" s="6" t="s">
        <v>192</v>
      </c>
      <c r="F41" s="6" t="s">
        <v>78</v>
      </c>
      <c r="G41" s="6" t="s">
        <v>497</v>
      </c>
      <c r="H41" s="9" t="str" cm="1">
        <f t="array" aca="1" ref="H41" ca="1">IF(COUNTIF(wide_measures!D:D,INDIRECT("maps!F$"&amp;ROW()))&gt;0,"measures",IF(COUNTIF(wide_protocolSteps!C:C,INDIRECT("maps!F$"&amp;ROW()))&gt;0,"protocolSteps",IF(COUNTIF(wide_repositories!C:C,INDIRECT("maps!F$"&amp;ROW()))&gt;0,"repositories",IF(COUNTIF(wide_protocols!C:C,INDIRECT("maps!F$"&amp;ROW()))&gt;0,"protocols",""))))</f>
        <v>protocols</v>
      </c>
      <c r="I41" s="9" t="s">
        <v>1113</v>
      </c>
      <c r="J41" s="6"/>
      <c r="K41" s="6"/>
      <c r="L41" s="6"/>
      <c r="M41" s="6"/>
      <c r="N41" s="5" t="s">
        <v>1757</v>
      </c>
      <c r="O41" s="6" t="s">
        <v>1931</v>
      </c>
    </row>
    <row r="42" spans="1:15" x14ac:dyDescent="0.2">
      <c r="A42">
        <v>41</v>
      </c>
      <c r="C42" s="6"/>
      <c r="D42" s="6" t="s">
        <v>11</v>
      </c>
      <c r="E42" s="6" t="s">
        <v>192</v>
      </c>
      <c r="F42" s="6" t="s">
        <v>84</v>
      </c>
      <c r="G42" s="6" t="s">
        <v>497</v>
      </c>
      <c r="H42" s="9" t="s">
        <v>1536</v>
      </c>
      <c r="I42" s="9"/>
      <c r="J42" s="6" t="s">
        <v>1537</v>
      </c>
      <c r="K42" s="6" t="s">
        <v>1538</v>
      </c>
      <c r="L42" s="6"/>
      <c r="M42" s="6"/>
      <c r="N42" s="5" t="s">
        <v>1539</v>
      </c>
      <c r="O42" s="6" t="s">
        <v>1931</v>
      </c>
    </row>
    <row r="43" spans="1:15" x14ac:dyDescent="0.2">
      <c r="A43">
        <v>42</v>
      </c>
      <c r="C43" s="6" t="b">
        <f t="shared" ca="1" si="0"/>
        <v>1</v>
      </c>
      <c r="D43" s="6" t="s">
        <v>11</v>
      </c>
      <c r="E43" s="6" t="s">
        <v>192</v>
      </c>
      <c r="F43" s="6" t="s">
        <v>87</v>
      </c>
      <c r="G43" s="6" t="s">
        <v>497</v>
      </c>
      <c r="H43" s="9" t="str" cm="1">
        <f t="array" aca="1" ref="H43" ca="1">IF(COUNTIF(wide_measures!D:D,INDIRECT("maps!F$"&amp;ROW()))&gt;0,"measures",IF(COUNTIF(wide_protocolSteps!C:C,INDIRECT("maps!F$"&amp;ROW()))&gt;0,"protocolSteps",IF(COUNTIF(wide_repositories!C:C,INDIRECT("maps!F$"&amp;ROW()))&gt;0,"repositories",IF(COUNTIF(wide_protocols!C:C,INDIRECT("maps!F$"&amp;ROW()))&gt;0,"protocols",""))))</f>
        <v>protocolSteps</v>
      </c>
      <c r="I43" s="9" t="s">
        <v>1113</v>
      </c>
      <c r="J43" s="6"/>
      <c r="K43" s="6"/>
      <c r="L43" s="6"/>
      <c r="M43" s="6"/>
      <c r="N43" s="5" t="s">
        <v>1753</v>
      </c>
      <c r="O43" s="6" t="s">
        <v>1927</v>
      </c>
    </row>
    <row r="44" spans="1:15" x14ac:dyDescent="0.2">
      <c r="A44">
        <v>43</v>
      </c>
      <c r="C44" s="6" t="b">
        <f t="shared" si="0"/>
        <v>1</v>
      </c>
      <c r="D44" s="6" t="s">
        <v>11</v>
      </c>
      <c r="E44" s="6" t="s">
        <v>192</v>
      </c>
      <c r="F44" s="6" t="s">
        <v>98</v>
      </c>
      <c r="G44" s="6" t="s">
        <v>497</v>
      </c>
      <c r="H44" s="6" t="s">
        <v>1540</v>
      </c>
      <c r="I44" s="6"/>
      <c r="J44" s="6" t="s">
        <v>1541</v>
      </c>
      <c r="K44" s="6" t="s">
        <v>1542</v>
      </c>
      <c r="L44" s="6"/>
      <c r="M44" s="6"/>
      <c r="N44" s="5" t="s">
        <v>1543</v>
      </c>
      <c r="O44" s="6" t="s">
        <v>1932</v>
      </c>
    </row>
    <row r="45" spans="1:15" x14ac:dyDescent="0.2">
      <c r="A45">
        <v>44</v>
      </c>
      <c r="B45" t="b">
        <v>1</v>
      </c>
      <c r="C45" s="6" t="b">
        <f t="shared" ca="1" si="0"/>
        <v>1</v>
      </c>
      <c r="D45" s="6" t="s">
        <v>11</v>
      </c>
      <c r="E45" s="6" t="s">
        <v>192</v>
      </c>
      <c r="F45" s="6" t="s">
        <v>99</v>
      </c>
      <c r="G45" s="6" t="s">
        <v>497</v>
      </c>
      <c r="H45" s="9" t="str" cm="1">
        <f t="array" aca="1" ref="H45" ca="1">IF(COUNTIF(wide_measures!D:D,INDIRECT("maps!F$"&amp;ROW()))&gt;0,"measures",IF(COUNTIF(wide_protocolSteps!C:C,INDIRECT("maps!F$"&amp;ROW()))&gt;0,"protocolSteps",IF(COUNTIF(wide_repositories!C:C,INDIRECT("maps!F$"&amp;ROW()))&gt;0,"repositories",IF(COUNTIF(wide_protocols!C:C,INDIRECT("maps!F$"&amp;ROW()))&gt;0,"protocols",""))))</f>
        <v>measures</v>
      </c>
      <c r="I45" s="9" t="s">
        <v>1113</v>
      </c>
      <c r="J45" s="6"/>
      <c r="K45" s="6"/>
      <c r="L45" s="6"/>
      <c r="M45" s="6"/>
      <c r="N45" s="6"/>
    </row>
    <row r="46" spans="1:15" x14ac:dyDescent="0.2">
      <c r="A46">
        <v>45</v>
      </c>
      <c r="B46" t="b">
        <v>1</v>
      </c>
      <c r="C46" s="6" t="b">
        <f t="shared" ca="1" si="0"/>
        <v>1</v>
      </c>
      <c r="D46" s="6" t="s">
        <v>11</v>
      </c>
      <c r="E46" s="6" t="s">
        <v>192</v>
      </c>
      <c r="F46" s="6" t="s">
        <v>100</v>
      </c>
      <c r="G46" s="6" t="s">
        <v>497</v>
      </c>
      <c r="H46" s="9" t="str" cm="1">
        <f t="array" aca="1" ref="H46" ca="1">IF(COUNTIF(wide_measures!D:D,INDIRECT("maps!F$"&amp;ROW()))&gt;0,"measures",IF(COUNTIF(wide_protocolSteps!C:C,INDIRECT("maps!F$"&amp;ROW()))&gt;0,"protocolSteps",IF(COUNTIF(wide_repositories!C:C,INDIRECT("maps!F$"&amp;ROW()))&gt;0,"repositories",IF(COUNTIF(wide_protocols!C:C,INDIRECT("maps!F$"&amp;ROW()))&gt;0,"protocols",""))))</f>
        <v>protocolSteps</v>
      </c>
      <c r="I46" s="9" t="s">
        <v>1113</v>
      </c>
      <c r="J46" s="6"/>
      <c r="K46" s="6"/>
      <c r="L46" s="6"/>
      <c r="M46" s="6"/>
      <c r="N46" s="5" t="s">
        <v>1755</v>
      </c>
    </row>
    <row r="47" spans="1:15" x14ac:dyDescent="0.2">
      <c r="A47">
        <v>46</v>
      </c>
      <c r="B47" t="b">
        <v>1</v>
      </c>
      <c r="C47" s="6" t="b">
        <f t="shared" si="0"/>
        <v>1</v>
      </c>
      <c r="D47" s="6" t="s">
        <v>11</v>
      </c>
      <c r="E47" s="6" t="s">
        <v>192</v>
      </c>
      <c r="F47" s="6" t="s">
        <v>101</v>
      </c>
      <c r="G47" s="6" t="s">
        <v>497</v>
      </c>
      <c r="H47" s="6" t="s">
        <v>1331</v>
      </c>
      <c r="I47" s="6"/>
      <c r="J47" s="6" t="s">
        <v>1734</v>
      </c>
      <c r="K47" s="6" t="s">
        <v>1877</v>
      </c>
      <c r="L47" s="6"/>
      <c r="M47" s="6"/>
      <c r="N47" s="5" t="s">
        <v>1754</v>
      </c>
    </row>
    <row r="48" spans="1:15" x14ac:dyDescent="0.2">
      <c r="A48">
        <v>47</v>
      </c>
      <c r="B48" t="b">
        <v>1</v>
      </c>
      <c r="C48" s="6" t="b">
        <f t="shared" si="0"/>
        <v>1</v>
      </c>
      <c r="D48" s="6" t="s">
        <v>145</v>
      </c>
      <c r="E48" s="6" t="s">
        <v>192</v>
      </c>
      <c r="F48" s="6" t="s">
        <v>146</v>
      </c>
      <c r="G48" s="6" t="s">
        <v>497</v>
      </c>
      <c r="H48" s="6" t="s">
        <v>1246</v>
      </c>
      <c r="I48" s="6"/>
      <c r="J48" s="6" t="s">
        <v>1247</v>
      </c>
      <c r="K48" s="6" t="s">
        <v>1248</v>
      </c>
      <c r="L48" s="6"/>
      <c r="M48" s="6"/>
      <c r="N48" s="5" t="s">
        <v>1249</v>
      </c>
      <c r="O48" s="6" t="s">
        <v>1927</v>
      </c>
    </row>
    <row r="49" spans="1:15" x14ac:dyDescent="0.2">
      <c r="A49">
        <v>48</v>
      </c>
      <c r="B49" t="b">
        <v>1</v>
      </c>
      <c r="C49" s="6" t="b">
        <f t="shared" ca="1" si="0"/>
        <v>1</v>
      </c>
      <c r="D49" s="6" t="s">
        <v>68</v>
      </c>
      <c r="E49" s="6" t="s">
        <v>192</v>
      </c>
      <c r="F49" s="6" t="s">
        <v>69</v>
      </c>
      <c r="G49" s="6" t="s">
        <v>497</v>
      </c>
      <c r="H49" s="9" t="str" cm="1">
        <f t="array" aca="1" ref="H49" ca="1">IF(COUNTIF(wide_measures!D:D,INDIRECT("maps!F$"&amp;ROW()))&gt;0,"measures",IF(COUNTIF(wide_protocolSteps!C:C,INDIRECT("maps!F$"&amp;ROW()))&gt;0,"protocolSteps",IF(COUNTIF(wide_repositories!C:C,INDIRECT("maps!F$"&amp;ROW()))&gt;0,"repositories",IF(COUNTIF(wide_protocols!C:C,INDIRECT("maps!F$"&amp;ROW()))&gt;0,"protocols",""))))</f>
        <v>repositories</v>
      </c>
      <c r="I49" s="9" t="s">
        <v>1113</v>
      </c>
      <c r="J49" s="6"/>
      <c r="K49" s="6"/>
      <c r="L49" s="6"/>
      <c r="M49" s="6"/>
      <c r="N49" s="6"/>
    </row>
    <row r="50" spans="1:15" x14ac:dyDescent="0.2">
      <c r="A50">
        <v>49</v>
      </c>
      <c r="B50" t="b">
        <v>1</v>
      </c>
      <c r="C50" s="6" t="b">
        <f t="shared" ca="1" si="0"/>
        <v>1</v>
      </c>
      <c r="D50" s="6" t="s">
        <v>68</v>
      </c>
      <c r="E50" s="6" t="s">
        <v>192</v>
      </c>
      <c r="F50" s="6" t="s">
        <v>70</v>
      </c>
      <c r="G50" s="6" t="s">
        <v>497</v>
      </c>
      <c r="H50" s="9" t="str" cm="1">
        <f t="array" aca="1" ref="H50" ca="1">IF(COUNTIF(wide_measures!D:D,INDIRECT("maps!F$"&amp;ROW()))&gt;0,"measures",IF(COUNTIF(wide_protocolSteps!C:C,INDIRECT("maps!F$"&amp;ROW()))&gt;0,"protocolSteps",IF(COUNTIF(wide_repositories!C:C,INDIRECT("maps!F$"&amp;ROW()))&gt;0,"repositories",IF(COUNTIF(wide_protocols!C:C,INDIRECT("maps!F$"&amp;ROW()))&gt;0,"protocols",""))))</f>
        <v>repositories</v>
      </c>
      <c r="I50" s="9" t="s">
        <v>1113</v>
      </c>
      <c r="J50" s="6"/>
      <c r="K50" s="6"/>
      <c r="L50" s="6"/>
      <c r="M50" s="6"/>
      <c r="N50" s="6"/>
    </row>
    <row r="51" spans="1:15" x14ac:dyDescent="0.2">
      <c r="A51">
        <v>50</v>
      </c>
      <c r="B51" t="b">
        <v>1</v>
      </c>
      <c r="C51" s="6" t="b">
        <f t="shared" ca="1" si="0"/>
        <v>1</v>
      </c>
      <c r="D51" s="6" t="s">
        <v>68</v>
      </c>
      <c r="E51" s="6" t="s">
        <v>192</v>
      </c>
      <c r="F51" s="6" t="s">
        <v>75</v>
      </c>
      <c r="G51" s="6" t="s">
        <v>497</v>
      </c>
      <c r="H51" s="9" t="str" cm="1">
        <f t="array" aca="1" ref="H51" ca="1">IF(COUNTIF(wide_measures!D:D,INDIRECT("maps!F$"&amp;ROW()))&gt;0,"measures",IF(COUNTIF(wide_protocolSteps!C:C,INDIRECT("maps!F$"&amp;ROW()))&gt;0,"protocolSteps",IF(COUNTIF(wide_repositories!C:C,INDIRECT("maps!F$"&amp;ROW()))&gt;0,"repositories",IF(COUNTIF(wide_protocols!C:C,INDIRECT("maps!F$"&amp;ROW()))&gt;0,"protocols",""))))</f>
        <v>repositories</v>
      </c>
      <c r="I51" s="9" t="s">
        <v>1113</v>
      </c>
      <c r="J51" s="6"/>
      <c r="K51" s="6"/>
      <c r="L51" s="6"/>
      <c r="M51" s="6"/>
      <c r="N51" s="6"/>
    </row>
    <row r="52" spans="1:15" x14ac:dyDescent="0.2">
      <c r="A52">
        <v>51</v>
      </c>
      <c r="B52" t="b">
        <v>1</v>
      </c>
      <c r="C52" s="6" t="b">
        <f t="shared" ca="1" si="0"/>
        <v>1</v>
      </c>
      <c r="D52" s="6" t="s">
        <v>68</v>
      </c>
      <c r="E52" s="6" t="s">
        <v>192</v>
      </c>
      <c r="F52" s="6" t="s">
        <v>81</v>
      </c>
      <c r="G52" s="6" t="s">
        <v>497</v>
      </c>
      <c r="H52" s="9" t="str" cm="1">
        <f t="array" aca="1" ref="H52" ca="1">IF(COUNTIF(wide_measures!D:D,INDIRECT("maps!F$"&amp;ROW()))&gt;0,"measures",IF(COUNTIF(wide_protocolSteps!C:C,INDIRECT("maps!F$"&amp;ROW()))&gt;0,"protocolSteps",IF(COUNTIF(wide_repositories!C:C,INDIRECT("maps!F$"&amp;ROW()))&gt;0,"repositories",IF(COUNTIF(wide_protocols!C:C,INDIRECT("maps!F$"&amp;ROW()))&gt;0,"protocols",""))))</f>
        <v>repositories</v>
      </c>
      <c r="I52" s="9" t="s">
        <v>1113</v>
      </c>
      <c r="J52" s="6"/>
      <c r="K52" s="6"/>
      <c r="L52" s="6"/>
      <c r="M52" s="6"/>
      <c r="N52" s="6"/>
    </row>
    <row r="53" spans="1:15" x14ac:dyDescent="0.2">
      <c r="A53">
        <v>52</v>
      </c>
      <c r="B53" t="b">
        <v>1</v>
      </c>
      <c r="C53" s="6" t="b">
        <f t="shared" ca="1" si="0"/>
        <v>1</v>
      </c>
      <c r="D53" s="6" t="s">
        <v>68</v>
      </c>
      <c r="E53" s="6" t="s">
        <v>192</v>
      </c>
      <c r="F53" s="6" t="s">
        <v>82</v>
      </c>
      <c r="G53" s="6" t="s">
        <v>497</v>
      </c>
      <c r="H53" s="9" t="str" cm="1">
        <f t="array" aca="1" ref="H53" ca="1">IF(COUNTIF(wide_measures!D:D,INDIRECT("maps!F$"&amp;ROW()))&gt;0,"measures",IF(COUNTIF(wide_protocolSteps!C:C,INDIRECT("maps!F$"&amp;ROW()))&gt;0,"protocolSteps",IF(COUNTIF(wide_repositories!C:C,INDIRECT("maps!F$"&amp;ROW()))&gt;0,"repositories",IF(COUNTIF(wide_protocols!C:C,INDIRECT("maps!F$"&amp;ROW()))&gt;0,"protocols",""))))</f>
        <v>repositories</v>
      </c>
      <c r="I53" s="9" t="s">
        <v>1113</v>
      </c>
      <c r="J53" s="6"/>
      <c r="K53" s="6"/>
      <c r="L53" s="6"/>
      <c r="M53" s="6"/>
      <c r="N53" s="6"/>
    </row>
    <row r="54" spans="1:15" x14ac:dyDescent="0.2">
      <c r="A54">
        <v>53</v>
      </c>
      <c r="B54" t="b">
        <v>1</v>
      </c>
      <c r="C54" s="6" t="b">
        <f t="shared" ca="1" si="0"/>
        <v>1</v>
      </c>
      <c r="D54" s="6" t="s">
        <v>68</v>
      </c>
      <c r="E54" s="6" t="s">
        <v>192</v>
      </c>
      <c r="F54" s="6" t="s">
        <v>83</v>
      </c>
      <c r="G54" s="6" t="s">
        <v>497</v>
      </c>
      <c r="H54" s="9" t="str" cm="1">
        <f t="array" aca="1" ref="H54" ca="1">IF(COUNTIF(wide_measures!D:D,INDIRECT("maps!F$"&amp;ROW()))&gt;0,"measures",IF(COUNTIF(wide_protocolSteps!C:C,INDIRECT("maps!F$"&amp;ROW()))&gt;0,"protocolSteps",IF(COUNTIF(wide_repositories!C:C,INDIRECT("maps!F$"&amp;ROW()))&gt;0,"repositories",IF(COUNTIF(wide_protocols!C:C,INDIRECT("maps!F$"&amp;ROW()))&gt;0,"protocols",""))))</f>
        <v>repositories</v>
      </c>
      <c r="I54" s="9" t="s">
        <v>1113</v>
      </c>
      <c r="J54" s="6"/>
      <c r="K54" s="6"/>
      <c r="L54" s="6"/>
      <c r="M54" s="6"/>
      <c r="N54" s="6"/>
    </row>
    <row r="55" spans="1:15" x14ac:dyDescent="0.2">
      <c r="A55">
        <v>54</v>
      </c>
      <c r="B55" t="b">
        <v>1</v>
      </c>
      <c r="C55" s="6" t="b">
        <f t="shared" ca="1" si="0"/>
        <v>1</v>
      </c>
      <c r="D55" s="6" t="s">
        <v>68</v>
      </c>
      <c r="E55" s="6" t="s">
        <v>192</v>
      </c>
      <c r="F55" s="6" t="s">
        <v>86</v>
      </c>
      <c r="G55" s="6" t="s">
        <v>497</v>
      </c>
      <c r="H55" s="9" t="str" cm="1">
        <f t="array" aca="1" ref="H55" ca="1">IF(COUNTIF(wide_measures!D:D,INDIRECT("maps!F$"&amp;ROW()))&gt;0,"measures",IF(COUNTIF(wide_protocolSteps!C:C,INDIRECT("maps!F$"&amp;ROW()))&gt;0,"protocolSteps",IF(COUNTIF(wide_repositories!C:C,INDIRECT("maps!F$"&amp;ROW()))&gt;0,"repositories",IF(COUNTIF(wide_protocols!C:C,INDIRECT("maps!F$"&amp;ROW()))&gt;0,"protocols",""))))</f>
        <v>repositories</v>
      </c>
      <c r="I55" s="9" t="s">
        <v>1113</v>
      </c>
      <c r="J55" s="6"/>
      <c r="K55" s="6"/>
      <c r="L55" s="6"/>
      <c r="M55" s="6"/>
      <c r="N55" s="6"/>
    </row>
    <row r="56" spans="1:15" x14ac:dyDescent="0.2">
      <c r="A56">
        <v>55</v>
      </c>
      <c r="B56" t="b">
        <v>1</v>
      </c>
      <c r="C56" s="6" t="b">
        <f t="shared" ca="1" si="0"/>
        <v>1</v>
      </c>
      <c r="D56" s="6" t="s">
        <v>68</v>
      </c>
      <c r="E56" s="6" t="s">
        <v>192</v>
      </c>
      <c r="F56" s="6" t="s">
        <v>90</v>
      </c>
      <c r="G56" s="6" t="s">
        <v>497</v>
      </c>
      <c r="H56" s="9" t="str" cm="1">
        <f t="array" aca="1" ref="H56" ca="1">IF(COUNTIF(wide_measures!D:D,INDIRECT("maps!F$"&amp;ROW()))&gt;0,"measures",IF(COUNTIF(wide_protocolSteps!C:C,INDIRECT("maps!F$"&amp;ROW()))&gt;0,"protocolSteps",IF(COUNTIF(wide_repositories!C:C,INDIRECT("maps!F$"&amp;ROW()))&gt;0,"repositories",IF(COUNTIF(wide_protocols!C:C,INDIRECT("maps!F$"&amp;ROW()))&gt;0,"protocols",""))))</f>
        <v>repositories</v>
      </c>
      <c r="I56" s="9" t="s">
        <v>1113</v>
      </c>
      <c r="J56" s="6"/>
      <c r="K56" s="6"/>
      <c r="L56" s="6"/>
      <c r="M56" s="6"/>
      <c r="N56" s="6"/>
    </row>
    <row r="57" spans="1:15" x14ac:dyDescent="0.2">
      <c r="A57">
        <v>56</v>
      </c>
      <c r="B57" t="b">
        <v>1</v>
      </c>
      <c r="C57" s="6" t="b">
        <f t="shared" si="0"/>
        <v>1</v>
      </c>
      <c r="D57" s="6" t="s">
        <v>68</v>
      </c>
      <c r="E57" s="6" t="s">
        <v>192</v>
      </c>
      <c r="F57" s="6" t="s">
        <v>91</v>
      </c>
      <c r="G57" s="6" t="s">
        <v>497</v>
      </c>
      <c r="H57" s="10" t="s">
        <v>1250</v>
      </c>
      <c r="I57" s="10"/>
      <c r="J57" s="6" t="s">
        <v>9</v>
      </c>
      <c r="K57" s="6" t="s">
        <v>1285</v>
      </c>
      <c r="L57" s="6"/>
      <c r="M57" s="6"/>
      <c r="N57" s="5" t="s">
        <v>1286</v>
      </c>
    </row>
    <row r="58" spans="1:15" x14ac:dyDescent="0.2">
      <c r="A58">
        <v>57</v>
      </c>
      <c r="B58" t="b">
        <v>1</v>
      </c>
      <c r="C58" s="6" t="b">
        <f t="shared" ca="1" si="0"/>
        <v>1</v>
      </c>
      <c r="D58" s="6" t="s">
        <v>68</v>
      </c>
      <c r="E58" s="6" t="s">
        <v>192</v>
      </c>
      <c r="F58" s="6" t="s">
        <v>92</v>
      </c>
      <c r="G58" s="6" t="s">
        <v>497</v>
      </c>
      <c r="H58" s="9" t="str" cm="1">
        <f t="array" aca="1" ref="H58" ca="1">IF(COUNTIF(wide_measures!D:D,INDIRECT("maps!F$"&amp;ROW()))&gt;0,"measures",IF(COUNTIF(wide_protocolSteps!C:C,INDIRECT("maps!F$"&amp;ROW()))&gt;0,"protocolSteps",IF(COUNTIF(wide_repositories!C:C,INDIRECT("maps!F$"&amp;ROW()))&gt;0,"repositories",IF(COUNTIF(wide_protocols!C:C,INDIRECT("maps!F$"&amp;ROW()))&gt;0,"protocols",""))))</f>
        <v>repositories</v>
      </c>
      <c r="I58" s="9" t="s">
        <v>1113</v>
      </c>
      <c r="J58" s="6"/>
      <c r="K58" s="6"/>
      <c r="L58" s="6"/>
      <c r="M58" s="6"/>
      <c r="N58" s="6"/>
    </row>
    <row r="59" spans="1:15" x14ac:dyDescent="0.2">
      <c r="A59">
        <v>58</v>
      </c>
      <c r="B59" t="b">
        <v>1</v>
      </c>
      <c r="C59" s="6" t="b">
        <f t="shared" ca="1" si="0"/>
        <v>1</v>
      </c>
      <c r="D59" s="6" t="s">
        <v>68</v>
      </c>
      <c r="E59" s="6" t="s">
        <v>192</v>
      </c>
      <c r="F59" s="6" t="s">
        <v>95</v>
      </c>
      <c r="G59" s="6" t="s">
        <v>497</v>
      </c>
      <c r="H59" s="9" t="str" cm="1">
        <f t="array" aca="1" ref="H59" ca="1">IF(COUNTIF(wide_measures!D:D,INDIRECT("maps!F$"&amp;ROW()))&gt;0,"measures",IF(COUNTIF(wide_protocolSteps!C:C,INDIRECT("maps!F$"&amp;ROW()))&gt;0,"protocolSteps",IF(COUNTIF(wide_repositories!C:C,INDIRECT("maps!F$"&amp;ROW()))&gt;0,"repositories",IF(COUNTIF(wide_protocols!C:C,INDIRECT("maps!F$"&amp;ROW()))&gt;0,"protocols",""))))</f>
        <v>repositories</v>
      </c>
      <c r="I59" s="9" t="s">
        <v>1113</v>
      </c>
      <c r="J59" s="6"/>
      <c r="K59" s="6"/>
      <c r="L59" s="6"/>
      <c r="M59" s="6"/>
      <c r="N59" s="6"/>
    </row>
    <row r="60" spans="1:15" s="36" customFormat="1" x14ac:dyDescent="0.2">
      <c r="A60" s="36">
        <v>59</v>
      </c>
      <c r="C60" s="37" t="b">
        <f t="shared" si="0"/>
        <v>1</v>
      </c>
      <c r="D60" s="37" t="s">
        <v>68</v>
      </c>
      <c r="E60" s="37" t="s">
        <v>192</v>
      </c>
      <c r="F60" s="37" t="s">
        <v>1154</v>
      </c>
      <c r="G60" s="37" t="s">
        <v>497</v>
      </c>
      <c r="H60" s="37" t="s">
        <v>1276</v>
      </c>
      <c r="I60" s="37"/>
      <c r="J60" s="37" t="s">
        <v>1277</v>
      </c>
      <c r="K60" s="37" t="s">
        <v>1865</v>
      </c>
      <c r="L60" s="37"/>
      <c r="M60" s="37"/>
      <c r="N60" s="38" t="s">
        <v>1869</v>
      </c>
      <c r="O60" s="37" t="s">
        <v>1933</v>
      </c>
    </row>
    <row r="61" spans="1:15" x14ac:dyDescent="0.2">
      <c r="A61">
        <v>60</v>
      </c>
      <c r="C61" s="6" t="b">
        <f t="shared" si="0"/>
        <v>1</v>
      </c>
      <c r="D61" s="6" t="s">
        <v>68</v>
      </c>
      <c r="E61" s="6" t="s">
        <v>192</v>
      </c>
      <c r="F61" s="6" t="s">
        <v>121</v>
      </c>
      <c r="G61" s="6" t="s">
        <v>497</v>
      </c>
      <c r="H61" s="6" t="s">
        <v>1276</v>
      </c>
      <c r="I61" s="6"/>
      <c r="J61" s="6" t="s">
        <v>1277</v>
      </c>
      <c r="K61" s="6" t="s">
        <v>1866</v>
      </c>
      <c r="L61" s="6"/>
      <c r="M61" s="6"/>
      <c r="N61" s="5" t="s">
        <v>1867</v>
      </c>
      <c r="O61" s="37" t="s">
        <v>1933</v>
      </c>
    </row>
    <row r="62" spans="1:15" s="36" customFormat="1" x14ac:dyDescent="0.2">
      <c r="A62" s="36">
        <v>61</v>
      </c>
      <c r="B62" s="36" t="b">
        <v>1</v>
      </c>
      <c r="C62" s="37" t="b">
        <f t="shared" si="0"/>
        <v>1</v>
      </c>
      <c r="D62" s="37" t="s">
        <v>68</v>
      </c>
      <c r="E62" s="37" t="s">
        <v>192</v>
      </c>
      <c r="F62" s="37" t="s">
        <v>166</v>
      </c>
      <c r="G62" s="37" t="s">
        <v>497</v>
      </c>
      <c r="H62" s="39" t="s">
        <v>1282</v>
      </c>
      <c r="I62" s="39"/>
      <c r="J62" s="37" t="s">
        <v>1283</v>
      </c>
      <c r="K62" s="37" t="s">
        <v>1284</v>
      </c>
      <c r="L62" s="37"/>
      <c r="M62" s="37"/>
      <c r="N62" s="37"/>
    </row>
    <row r="63" spans="1:15" x14ac:dyDescent="0.2">
      <c r="A63">
        <v>62</v>
      </c>
      <c r="C63" s="6" t="b">
        <f t="shared" si="0"/>
        <v>1</v>
      </c>
      <c r="D63" s="6" t="s">
        <v>68</v>
      </c>
      <c r="E63" s="6" t="s">
        <v>192</v>
      </c>
      <c r="F63" s="6" t="s">
        <v>1155</v>
      </c>
      <c r="G63" s="6" t="s">
        <v>497</v>
      </c>
      <c r="H63" s="6" t="s">
        <v>1246</v>
      </c>
      <c r="I63" s="6"/>
      <c r="J63" s="6" t="s">
        <v>1279</v>
      </c>
      <c r="K63" s="6" t="s">
        <v>1280</v>
      </c>
      <c r="L63" s="6"/>
      <c r="M63" s="6"/>
      <c r="N63" s="5" t="s">
        <v>1281</v>
      </c>
      <c r="O63" s="6" t="s">
        <v>1934</v>
      </c>
    </row>
    <row r="64" spans="1:15" x14ac:dyDescent="0.2">
      <c r="A64">
        <v>63</v>
      </c>
      <c r="C64" s="6" t="b">
        <f t="shared" si="0"/>
        <v>1</v>
      </c>
      <c r="D64" s="6" t="s">
        <v>68</v>
      </c>
      <c r="E64" s="6" t="s">
        <v>192</v>
      </c>
      <c r="F64" s="6" t="s">
        <v>175</v>
      </c>
      <c r="G64" s="6" t="s">
        <v>497</v>
      </c>
      <c r="H64" s="6" t="s">
        <v>1276</v>
      </c>
      <c r="I64" s="6"/>
      <c r="J64" s="6" t="s">
        <v>1277</v>
      </c>
      <c r="K64" s="6" t="s">
        <v>1278</v>
      </c>
      <c r="L64" s="6"/>
      <c r="M64" s="6"/>
      <c r="N64" s="6"/>
      <c r="O64" s="6" t="s">
        <v>1935</v>
      </c>
    </row>
    <row r="65" spans="1:31" x14ac:dyDescent="0.2">
      <c r="A65">
        <v>64</v>
      </c>
      <c r="C65" s="6" t="b">
        <f t="shared" si="0"/>
        <v>1</v>
      </c>
      <c r="D65" s="6" t="s">
        <v>68</v>
      </c>
      <c r="E65" s="6" t="s">
        <v>192</v>
      </c>
      <c r="F65" s="6" t="s">
        <v>158</v>
      </c>
      <c r="G65" s="6" t="s">
        <v>497</v>
      </c>
      <c r="H65" s="6" t="s">
        <v>1276</v>
      </c>
      <c r="I65" s="6"/>
      <c r="J65" s="6" t="s">
        <v>1277</v>
      </c>
      <c r="K65" s="6" t="s">
        <v>1864</v>
      </c>
      <c r="L65" s="6"/>
      <c r="M65" s="6"/>
      <c r="N65" s="5" t="s">
        <v>1868</v>
      </c>
      <c r="O65" s="6" t="s">
        <v>1933</v>
      </c>
    </row>
    <row r="66" spans="1:31" x14ac:dyDescent="0.2">
      <c r="A66">
        <v>65</v>
      </c>
      <c r="B66" t="b">
        <v>1</v>
      </c>
      <c r="C66" s="6" t="b">
        <f t="shared" ca="1" si="0"/>
        <v>1</v>
      </c>
      <c r="D66" s="6" t="s">
        <v>68</v>
      </c>
      <c r="E66" s="6" t="s">
        <v>192</v>
      </c>
      <c r="F66" s="6" t="s">
        <v>126</v>
      </c>
      <c r="G66" s="6" t="s">
        <v>497</v>
      </c>
      <c r="H66" s="9" t="str" cm="1">
        <f t="array" aca="1" ref="H66" ca="1">IF(COUNTIF(wide_measures!D:D,INDIRECT("maps!F$"&amp;ROW()))&gt;0,"measures",IF(COUNTIF(wide_protocolSteps!C:C,INDIRECT("maps!F$"&amp;ROW()))&gt;0,"protocolSteps",IF(COUNTIF(wide_repositories!C:C,INDIRECT("maps!F$"&amp;ROW()))&gt;0,"repositories",IF(COUNTIF(wide_protocols!C:C,INDIRECT("maps!F$"&amp;ROW()))&gt;0,"protocols",""))))</f>
        <v>repositories</v>
      </c>
      <c r="I66" s="9" t="s">
        <v>1113</v>
      </c>
      <c r="J66" s="6"/>
      <c r="K66" s="6"/>
      <c r="L66" s="6"/>
      <c r="M66" s="6"/>
      <c r="N66" s="6"/>
    </row>
    <row r="67" spans="1:31" x14ac:dyDescent="0.2">
      <c r="A67">
        <v>66</v>
      </c>
      <c r="B67" t="b">
        <v>1</v>
      </c>
      <c r="C67" s="6" t="b">
        <f t="shared" ref="C67:C130" si="1">IF(AND(G67="NA",H67&lt;&gt;"wide_value"),TRUE,"")</f>
        <v>1</v>
      </c>
      <c r="D67" s="6" t="s">
        <v>24</v>
      </c>
      <c r="E67" s="6" t="s">
        <v>192</v>
      </c>
      <c r="F67" s="6" t="s">
        <v>25</v>
      </c>
      <c r="G67" s="6" t="s">
        <v>497</v>
      </c>
      <c r="H67" s="6" t="s">
        <v>1013</v>
      </c>
      <c r="I67" s="6"/>
      <c r="J67" s="6" t="s">
        <v>1014</v>
      </c>
      <c r="K67" s="6" t="s">
        <v>1016</v>
      </c>
      <c r="L67" s="6" t="s">
        <v>1046</v>
      </c>
      <c r="M67" s="6"/>
      <c r="N67" s="5" t="s">
        <v>1034</v>
      </c>
      <c r="O67" s="6" t="s">
        <v>1937</v>
      </c>
    </row>
    <row r="68" spans="1:31" x14ac:dyDescent="0.2">
      <c r="A68">
        <v>67</v>
      </c>
      <c r="B68" t="b">
        <v>1</v>
      </c>
      <c r="C68" s="6" t="str">
        <f t="shared" si="1"/>
        <v/>
      </c>
      <c r="D68" s="6" t="s">
        <v>24</v>
      </c>
      <c r="E68" s="6" t="s">
        <v>192</v>
      </c>
      <c r="F68" s="6" t="s">
        <v>43</v>
      </c>
      <c r="G68" s="6" t="s">
        <v>347</v>
      </c>
      <c r="H68" s="6" t="s">
        <v>1013</v>
      </c>
      <c r="I68" s="6"/>
      <c r="J68" s="6" t="s">
        <v>1036</v>
      </c>
      <c r="K68" s="6" t="s">
        <v>1050</v>
      </c>
      <c r="L68" s="6"/>
      <c r="M68" s="6"/>
      <c r="N68" s="5" t="s">
        <v>1045</v>
      </c>
    </row>
    <row r="69" spans="1:31" x14ac:dyDescent="0.2">
      <c r="A69">
        <v>68</v>
      </c>
      <c r="B69" t="b">
        <v>1</v>
      </c>
      <c r="C69" s="6" t="str">
        <f t="shared" si="1"/>
        <v/>
      </c>
      <c r="D69" s="6" t="s">
        <v>24</v>
      </c>
      <c r="E69" s="6" t="s">
        <v>192</v>
      </c>
      <c r="F69" s="6" t="s">
        <v>43</v>
      </c>
      <c r="G69" s="6" t="s">
        <v>348</v>
      </c>
      <c r="H69" s="6" t="s">
        <v>1013</v>
      </c>
      <c r="I69" s="6"/>
      <c r="J69" s="6" t="s">
        <v>1036</v>
      </c>
      <c r="K69" s="6" t="s">
        <v>1051</v>
      </c>
      <c r="L69" s="6"/>
      <c r="M69" s="6"/>
      <c r="N69" s="5" t="s">
        <v>1045</v>
      </c>
    </row>
    <row r="70" spans="1:31" x14ac:dyDescent="0.2">
      <c r="A70">
        <v>69</v>
      </c>
      <c r="B70" t="b">
        <v>1</v>
      </c>
      <c r="C70" s="6" t="str">
        <f t="shared" si="1"/>
        <v/>
      </c>
      <c r="D70" s="6" t="s">
        <v>24</v>
      </c>
      <c r="E70" s="6" t="s">
        <v>192</v>
      </c>
      <c r="F70" s="6" t="s">
        <v>43</v>
      </c>
      <c r="G70" s="6" t="s">
        <v>338</v>
      </c>
      <c r="H70" s="6" t="s">
        <v>1013</v>
      </c>
      <c r="I70" s="6"/>
      <c r="J70" s="6" t="s">
        <v>1036</v>
      </c>
      <c r="K70" s="6" t="s">
        <v>1040</v>
      </c>
      <c r="L70" s="6"/>
      <c r="M70" s="6"/>
      <c r="N70" s="5" t="s">
        <v>1045</v>
      </c>
    </row>
    <row r="71" spans="1:31" x14ac:dyDescent="0.2">
      <c r="A71">
        <v>70</v>
      </c>
      <c r="B71" t="b">
        <v>1</v>
      </c>
      <c r="C71" s="6" t="b">
        <f t="shared" ca="1" si="1"/>
        <v>1</v>
      </c>
      <c r="D71" s="6" t="s">
        <v>24</v>
      </c>
      <c r="E71" s="6" t="s">
        <v>192</v>
      </c>
      <c r="F71" s="6" t="s">
        <v>66</v>
      </c>
      <c r="G71" s="6" t="s">
        <v>497</v>
      </c>
      <c r="H71" s="9" t="str" cm="1">
        <f t="array" aca="1" ref="H71" ca="1">IF(COUNTIF(wide_measures!D:D,INDIRECT("maps!F$"&amp;ROW()))&gt;0,"measures",IF(COUNTIF(wide_protocolSteps!C:C,INDIRECT("maps!F$"&amp;ROW()))&gt;0,"protocolSteps",IF(COUNTIF(wide_repositories!C:C,INDIRECT("maps!F$"&amp;ROW()))&gt;0,"repositories",IF(COUNTIF(wide_protocols!C:C,INDIRECT("maps!F$"&amp;ROW()))&gt;0,"protocols",""))))</f>
        <v>measures</v>
      </c>
      <c r="I71" s="9" t="s">
        <v>1113</v>
      </c>
      <c r="J71" s="6"/>
      <c r="K71" s="6"/>
      <c r="L71" s="6"/>
      <c r="M71" s="6"/>
      <c r="N71" s="6"/>
    </row>
    <row r="72" spans="1:31" x14ac:dyDescent="0.2">
      <c r="A72">
        <v>71</v>
      </c>
      <c r="B72" t="b">
        <v>1</v>
      </c>
      <c r="C72" s="6" t="str">
        <f t="shared" si="1"/>
        <v/>
      </c>
      <c r="D72" s="6" t="s">
        <v>24</v>
      </c>
      <c r="E72" s="6" t="s">
        <v>192</v>
      </c>
      <c r="F72" s="6" t="s">
        <v>44</v>
      </c>
      <c r="G72" s="6" t="s">
        <v>326</v>
      </c>
      <c r="H72" s="6" t="s">
        <v>1013</v>
      </c>
      <c r="I72" s="6"/>
      <c r="J72" s="6" t="s">
        <v>1036</v>
      </c>
      <c r="K72" s="6" t="s">
        <v>1052</v>
      </c>
      <c r="L72" s="6"/>
      <c r="M72" s="6"/>
      <c r="N72" s="5" t="s">
        <v>1045</v>
      </c>
    </row>
    <row r="73" spans="1:31" x14ac:dyDescent="0.2">
      <c r="A73">
        <v>72</v>
      </c>
      <c r="B73" t="b">
        <v>1</v>
      </c>
      <c r="C73" s="6" t="str">
        <f t="shared" si="1"/>
        <v/>
      </c>
      <c r="D73" s="6" t="s">
        <v>24</v>
      </c>
      <c r="E73" s="6" t="s">
        <v>192</v>
      </c>
      <c r="F73" s="6" t="s">
        <v>44</v>
      </c>
      <c r="G73" s="6" t="s">
        <v>327</v>
      </c>
      <c r="H73" s="6" t="s">
        <v>1013</v>
      </c>
      <c r="I73" s="6"/>
      <c r="J73" s="6" t="s">
        <v>1036</v>
      </c>
      <c r="K73" s="6" t="s">
        <v>1037</v>
      </c>
      <c r="L73" s="6"/>
      <c r="M73" s="6"/>
      <c r="N73" s="5" t="s">
        <v>1045</v>
      </c>
    </row>
    <row r="74" spans="1:31" x14ac:dyDescent="0.2">
      <c r="A74">
        <v>73</v>
      </c>
      <c r="B74" t="b">
        <v>1</v>
      </c>
      <c r="C74" s="6" t="b">
        <f t="shared" ca="1" si="1"/>
        <v>1</v>
      </c>
      <c r="D74" s="6" t="s">
        <v>24</v>
      </c>
      <c r="E74" s="6" t="s">
        <v>192</v>
      </c>
      <c r="F74" s="6" t="s">
        <v>181</v>
      </c>
      <c r="G74" s="6" t="s">
        <v>497</v>
      </c>
      <c r="H74" s="9" t="str" cm="1">
        <f t="array" aca="1" ref="H74" ca="1">IF(COUNTIF(wide_measures!D:D,INDIRECT("maps!F$"&amp;ROW()))&gt;0,"measures",IF(COUNTIF(wide_protocolSteps!C:C,INDIRECT("maps!F$"&amp;ROW()))&gt;0,"protocolSteps",IF(COUNTIF(wide_repositories!C:C,INDIRECT("maps!F$"&amp;ROW()))&gt;0,"repositories",IF(COUNTIF(wide_protocols!C:C,INDIRECT("maps!F$"&amp;ROW()))&gt;0,"protocols",""))))</f>
        <v>measures</v>
      </c>
      <c r="I74" s="9" t="s">
        <v>1113</v>
      </c>
      <c r="J74" s="6"/>
      <c r="K74" s="6"/>
      <c r="L74" s="6"/>
      <c r="M74" s="6"/>
      <c r="N74" s="6"/>
    </row>
    <row r="75" spans="1:31" x14ac:dyDescent="0.2">
      <c r="A75">
        <v>74</v>
      </c>
      <c r="B75" t="b">
        <v>1</v>
      </c>
      <c r="C75" s="6" t="b">
        <f t="shared" si="1"/>
        <v>1</v>
      </c>
      <c r="D75" s="6" t="s">
        <v>24</v>
      </c>
      <c r="E75" s="6" t="s">
        <v>192</v>
      </c>
      <c r="F75" s="6" t="s">
        <v>26</v>
      </c>
      <c r="G75" s="6" t="s">
        <v>497</v>
      </c>
      <c r="H75" s="6" t="s">
        <v>1013</v>
      </c>
      <c r="I75" s="6"/>
      <c r="J75" s="6" t="s">
        <v>1014</v>
      </c>
      <c r="K75" s="6" t="s">
        <v>1017</v>
      </c>
      <c r="L75" s="6" t="s">
        <v>1046</v>
      </c>
      <c r="M75" s="6"/>
      <c r="N75" s="5" t="s">
        <v>1034</v>
      </c>
      <c r="AE75" t="s">
        <v>1015</v>
      </c>
    </row>
    <row r="76" spans="1:31" x14ac:dyDescent="0.2">
      <c r="A76">
        <v>75</v>
      </c>
      <c r="B76" t="b">
        <v>1</v>
      </c>
      <c r="C76" s="6" t="str">
        <f t="shared" si="1"/>
        <v/>
      </c>
      <c r="D76" s="6" t="s">
        <v>24</v>
      </c>
      <c r="E76" s="6" t="s">
        <v>192</v>
      </c>
      <c r="F76" s="6" t="s">
        <v>45</v>
      </c>
      <c r="G76" s="6" t="s">
        <v>336</v>
      </c>
      <c r="H76" s="6" t="s">
        <v>1013</v>
      </c>
      <c r="I76" s="6"/>
      <c r="J76" s="6" t="s">
        <v>1036</v>
      </c>
      <c r="K76" s="6" t="s">
        <v>1038</v>
      </c>
      <c r="L76" s="6"/>
      <c r="M76" s="6"/>
      <c r="N76" s="5" t="s">
        <v>1045</v>
      </c>
    </row>
    <row r="77" spans="1:31" x14ac:dyDescent="0.2">
      <c r="A77">
        <v>76</v>
      </c>
      <c r="B77" t="b">
        <v>1</v>
      </c>
      <c r="C77" s="6" t="b">
        <f t="shared" ca="1" si="1"/>
        <v>1</v>
      </c>
      <c r="D77" s="6" t="s">
        <v>24</v>
      </c>
      <c r="E77" s="6" t="s">
        <v>192</v>
      </c>
      <c r="F77" s="6" t="s">
        <v>184</v>
      </c>
      <c r="G77" s="6" t="s">
        <v>497</v>
      </c>
      <c r="H77" s="9" t="str" cm="1">
        <f t="array" aca="1" ref="H77" ca="1">IF(COUNTIF(wide_measures!D:D,INDIRECT("maps!F$"&amp;ROW()))&gt;0,"measures",IF(COUNTIF(wide_protocolSteps!C:C,INDIRECT("maps!F$"&amp;ROW()))&gt;0,"protocolSteps",IF(COUNTIF(wide_repositories!C:C,INDIRECT("maps!F$"&amp;ROW()))&gt;0,"repositories",IF(COUNTIF(wide_protocols!C:C,INDIRECT("maps!F$"&amp;ROW()))&gt;0,"protocols",""))))</f>
        <v>measures</v>
      </c>
      <c r="I77" s="9" t="s">
        <v>1113</v>
      </c>
      <c r="J77" s="6"/>
      <c r="K77" s="6"/>
      <c r="L77" s="6"/>
      <c r="M77" s="6"/>
      <c r="N77" s="6"/>
    </row>
    <row r="78" spans="1:31" x14ac:dyDescent="0.2">
      <c r="A78">
        <v>77</v>
      </c>
      <c r="B78" t="b">
        <v>1</v>
      </c>
      <c r="C78" s="6" t="b">
        <f t="shared" si="1"/>
        <v>1</v>
      </c>
      <c r="D78" s="6" t="s">
        <v>24</v>
      </c>
      <c r="E78" s="6" t="s">
        <v>192</v>
      </c>
      <c r="F78" s="6" t="s">
        <v>27</v>
      </c>
      <c r="G78" s="6" t="s">
        <v>497</v>
      </c>
      <c r="H78" s="6" t="s">
        <v>1013</v>
      </c>
      <c r="I78" s="6"/>
      <c r="J78" s="6" t="s">
        <v>1014</v>
      </c>
      <c r="K78" s="6" t="s">
        <v>1018</v>
      </c>
      <c r="L78" s="6" t="s">
        <v>1046</v>
      </c>
      <c r="M78" s="6"/>
      <c r="N78" s="5" t="s">
        <v>1034</v>
      </c>
    </row>
    <row r="79" spans="1:31" x14ac:dyDescent="0.2">
      <c r="A79">
        <v>78</v>
      </c>
      <c r="B79" t="b">
        <v>1</v>
      </c>
      <c r="C79" s="6" t="str">
        <f t="shared" si="1"/>
        <v/>
      </c>
      <c r="D79" s="6" t="s">
        <v>24</v>
      </c>
      <c r="E79" s="6" t="s">
        <v>192</v>
      </c>
      <c r="F79" s="6" t="s">
        <v>46</v>
      </c>
      <c r="G79" s="6" t="s">
        <v>336</v>
      </c>
      <c r="H79" s="6" t="s">
        <v>1013</v>
      </c>
      <c r="I79" s="6"/>
      <c r="J79" s="6" t="s">
        <v>1036</v>
      </c>
      <c r="K79" s="6" t="s">
        <v>1038</v>
      </c>
      <c r="L79" s="6"/>
      <c r="M79" s="6"/>
      <c r="N79" s="5" t="s">
        <v>1045</v>
      </c>
    </row>
    <row r="80" spans="1:31" x14ac:dyDescent="0.2">
      <c r="A80">
        <v>79</v>
      </c>
      <c r="B80" t="b">
        <v>1</v>
      </c>
      <c r="C80" s="6" t="b">
        <f t="shared" ca="1" si="1"/>
        <v>1</v>
      </c>
      <c r="D80" s="6" t="s">
        <v>24</v>
      </c>
      <c r="E80" s="6" t="s">
        <v>192</v>
      </c>
      <c r="F80" s="6" t="s">
        <v>185</v>
      </c>
      <c r="G80" s="6" t="s">
        <v>497</v>
      </c>
      <c r="H80" s="9" t="str" cm="1">
        <f t="array" aca="1" ref="H80" ca="1">IF(COUNTIF(wide_measures!D:D,INDIRECT("maps!F$"&amp;ROW()))&gt;0,"measures",IF(COUNTIF(wide_protocolSteps!C:C,INDIRECT("maps!F$"&amp;ROW()))&gt;0,"protocolSteps",IF(COUNTIF(wide_repositories!C:C,INDIRECT("maps!F$"&amp;ROW()))&gt;0,"repositories",IF(COUNTIF(wide_protocols!C:C,INDIRECT("maps!F$"&amp;ROW()))&gt;0,"protocols",""))))</f>
        <v>measures</v>
      </c>
      <c r="I80" s="9" t="s">
        <v>1113</v>
      </c>
      <c r="J80" s="6"/>
      <c r="K80" s="6"/>
      <c r="L80" s="6"/>
      <c r="M80" s="6"/>
      <c r="N80" s="6"/>
    </row>
    <row r="81" spans="1:14" x14ac:dyDescent="0.2">
      <c r="A81">
        <v>80</v>
      </c>
      <c r="B81" t="b">
        <v>1</v>
      </c>
      <c r="C81" s="6" t="b">
        <f t="shared" si="1"/>
        <v>1</v>
      </c>
      <c r="D81" s="6" t="s">
        <v>24</v>
      </c>
      <c r="E81" s="6" t="s">
        <v>192</v>
      </c>
      <c r="F81" s="6" t="s">
        <v>28</v>
      </c>
      <c r="G81" s="6" t="s">
        <v>497</v>
      </c>
      <c r="H81" s="6" t="s">
        <v>1013</v>
      </c>
      <c r="I81" s="6"/>
      <c r="J81" s="6" t="s">
        <v>1014</v>
      </c>
      <c r="K81" s="6" t="s">
        <v>1019</v>
      </c>
      <c r="L81" s="6" t="s">
        <v>1046</v>
      </c>
      <c r="M81" s="6"/>
      <c r="N81" s="5" t="s">
        <v>1034</v>
      </c>
    </row>
    <row r="82" spans="1:14" x14ac:dyDescent="0.2">
      <c r="A82">
        <v>81</v>
      </c>
      <c r="B82" t="b">
        <v>1</v>
      </c>
      <c r="C82" s="6" t="str">
        <f t="shared" si="1"/>
        <v/>
      </c>
      <c r="D82" s="6" t="s">
        <v>24</v>
      </c>
      <c r="E82" s="6" t="s">
        <v>192</v>
      </c>
      <c r="F82" s="6" t="s">
        <v>47</v>
      </c>
      <c r="G82" s="6" t="s">
        <v>349</v>
      </c>
      <c r="H82" s="6" t="s">
        <v>1013</v>
      </c>
      <c r="I82" s="6"/>
      <c r="J82" s="6" t="s">
        <v>1036</v>
      </c>
      <c r="K82" s="6" t="s">
        <v>1053</v>
      </c>
      <c r="L82" s="6"/>
      <c r="M82" s="6"/>
      <c r="N82" s="5" t="s">
        <v>1045</v>
      </c>
    </row>
    <row r="83" spans="1:14" x14ac:dyDescent="0.2">
      <c r="A83">
        <v>82</v>
      </c>
      <c r="B83" t="b">
        <v>1</v>
      </c>
      <c r="C83" s="6" t="str">
        <f t="shared" si="1"/>
        <v/>
      </c>
      <c r="D83" s="6" t="s">
        <v>24</v>
      </c>
      <c r="E83" s="6" t="s">
        <v>192</v>
      </c>
      <c r="F83" s="6" t="s">
        <v>47</v>
      </c>
      <c r="G83" s="6" t="s">
        <v>350</v>
      </c>
      <c r="H83" s="6" t="s">
        <v>1013</v>
      </c>
      <c r="I83" s="6"/>
      <c r="J83" s="6" t="s">
        <v>1036</v>
      </c>
      <c r="K83" s="6" t="s">
        <v>1039</v>
      </c>
      <c r="L83" s="6"/>
      <c r="M83" s="6"/>
      <c r="N83" s="5" t="s">
        <v>1045</v>
      </c>
    </row>
    <row r="84" spans="1:14" x14ac:dyDescent="0.2">
      <c r="A84">
        <v>83</v>
      </c>
      <c r="B84" t="b">
        <v>1</v>
      </c>
      <c r="C84" s="6" t="str">
        <f t="shared" si="1"/>
        <v/>
      </c>
      <c r="D84" s="6" t="s">
        <v>24</v>
      </c>
      <c r="E84" s="6" t="s">
        <v>192</v>
      </c>
      <c r="F84" s="6" t="s">
        <v>47</v>
      </c>
      <c r="G84" s="6" t="s">
        <v>351</v>
      </c>
      <c r="H84" s="6" t="s">
        <v>1013</v>
      </c>
      <c r="I84" s="6"/>
      <c r="J84" s="6" t="s">
        <v>1036</v>
      </c>
      <c r="K84" s="6" t="s">
        <v>1054</v>
      </c>
      <c r="L84" s="6"/>
      <c r="M84" s="6"/>
      <c r="N84" s="5" t="s">
        <v>1045</v>
      </c>
    </row>
    <row r="85" spans="1:14" x14ac:dyDescent="0.2">
      <c r="A85">
        <v>84</v>
      </c>
      <c r="B85" t="b">
        <v>1</v>
      </c>
      <c r="C85" s="6" t="str">
        <f t="shared" si="1"/>
        <v/>
      </c>
      <c r="D85" s="6" t="s">
        <v>24</v>
      </c>
      <c r="E85" s="6" t="s">
        <v>192</v>
      </c>
      <c r="F85" s="6" t="s">
        <v>47</v>
      </c>
      <c r="G85" s="6" t="s">
        <v>352</v>
      </c>
      <c r="H85" s="6" t="s">
        <v>1013</v>
      </c>
      <c r="I85" s="6"/>
      <c r="J85" s="6" t="s">
        <v>1036</v>
      </c>
      <c r="K85" s="6" t="s">
        <v>1055</v>
      </c>
      <c r="L85" s="6"/>
      <c r="M85" s="6"/>
      <c r="N85" s="5" t="s">
        <v>1045</v>
      </c>
    </row>
    <row r="86" spans="1:14" x14ac:dyDescent="0.2">
      <c r="A86">
        <v>85</v>
      </c>
      <c r="B86" t="b">
        <v>1</v>
      </c>
      <c r="C86" s="6" t="str">
        <f t="shared" si="1"/>
        <v/>
      </c>
      <c r="D86" s="6" t="s">
        <v>24</v>
      </c>
      <c r="E86" s="6" t="s">
        <v>192</v>
      </c>
      <c r="F86" s="6" t="s">
        <v>47</v>
      </c>
      <c r="G86" s="6" t="s">
        <v>353</v>
      </c>
      <c r="H86" s="6" t="s">
        <v>1013</v>
      </c>
      <c r="I86" s="6"/>
      <c r="J86" s="6" t="s">
        <v>1036</v>
      </c>
      <c r="K86" s="6" t="s">
        <v>1056</v>
      </c>
      <c r="L86" s="6"/>
      <c r="M86" s="6"/>
      <c r="N86" s="5" t="s">
        <v>1045</v>
      </c>
    </row>
    <row r="87" spans="1:14" x14ac:dyDescent="0.2">
      <c r="A87">
        <v>86</v>
      </c>
      <c r="B87" t="b">
        <v>1</v>
      </c>
      <c r="C87" s="6" t="b">
        <f t="shared" ca="1" si="1"/>
        <v>1</v>
      </c>
      <c r="D87" s="6" t="s">
        <v>24</v>
      </c>
      <c r="E87" s="6" t="s">
        <v>192</v>
      </c>
      <c r="F87" s="6" t="s">
        <v>186</v>
      </c>
      <c r="G87" s="6" t="s">
        <v>497</v>
      </c>
      <c r="H87" s="9" t="str" cm="1">
        <f t="array" aca="1" ref="H87" ca="1">IF(COUNTIF(wide_measures!D:D,INDIRECT("maps!F$"&amp;ROW()))&gt;0,"measures",IF(COUNTIF(wide_protocolSteps!C:C,INDIRECT("maps!F$"&amp;ROW()))&gt;0,"protocolSteps",IF(COUNTIF(wide_repositories!C:C,INDIRECT("maps!F$"&amp;ROW()))&gt;0,"repositories",IF(COUNTIF(wide_protocols!C:C,INDIRECT("maps!F$"&amp;ROW()))&gt;0,"protocols",""))))</f>
        <v>measures</v>
      </c>
      <c r="I87" s="9" t="s">
        <v>1113</v>
      </c>
      <c r="J87" s="6"/>
      <c r="K87" s="6"/>
      <c r="L87" s="6"/>
      <c r="M87" s="6"/>
      <c r="N87" s="6"/>
    </row>
    <row r="88" spans="1:14" x14ac:dyDescent="0.2">
      <c r="A88">
        <v>87</v>
      </c>
      <c r="B88" t="b">
        <v>1</v>
      </c>
      <c r="C88" s="6" t="b">
        <f t="shared" si="1"/>
        <v>1</v>
      </c>
      <c r="D88" s="6" t="s">
        <v>24</v>
      </c>
      <c r="E88" s="6" t="s">
        <v>192</v>
      </c>
      <c r="F88" s="6" t="s">
        <v>29</v>
      </c>
      <c r="G88" s="6" t="s">
        <v>497</v>
      </c>
      <c r="H88" s="6" t="s">
        <v>1013</v>
      </c>
      <c r="I88" s="6"/>
      <c r="J88" s="6" t="s">
        <v>1014</v>
      </c>
      <c r="K88" s="6" t="s">
        <v>1020</v>
      </c>
      <c r="L88" s="6" t="s">
        <v>1046</v>
      </c>
      <c r="M88" s="6"/>
      <c r="N88" s="5" t="s">
        <v>1034</v>
      </c>
    </row>
    <row r="89" spans="1:14" x14ac:dyDescent="0.2">
      <c r="A89">
        <v>88</v>
      </c>
      <c r="B89" t="b">
        <v>1</v>
      </c>
      <c r="C89" s="6" t="str">
        <f t="shared" si="1"/>
        <v/>
      </c>
      <c r="D89" s="6" t="s">
        <v>24</v>
      </c>
      <c r="E89" s="6" t="s">
        <v>192</v>
      </c>
      <c r="F89" s="6" t="s">
        <v>48</v>
      </c>
      <c r="G89" s="6" t="s">
        <v>336</v>
      </c>
      <c r="H89" s="6" t="s">
        <v>1013</v>
      </c>
      <c r="I89" s="6"/>
      <c r="J89" s="6" t="s">
        <v>1036</v>
      </c>
      <c r="K89" s="6" t="s">
        <v>1038</v>
      </c>
      <c r="L89" s="6"/>
      <c r="M89" s="6"/>
      <c r="N89" s="5" t="s">
        <v>1045</v>
      </c>
    </row>
    <row r="90" spans="1:14" x14ac:dyDescent="0.2">
      <c r="A90">
        <v>89</v>
      </c>
      <c r="B90" t="b">
        <v>1</v>
      </c>
      <c r="C90" s="6" t="str">
        <f t="shared" si="1"/>
        <v/>
      </c>
      <c r="D90" s="6" t="s">
        <v>24</v>
      </c>
      <c r="E90" s="6" t="s">
        <v>192</v>
      </c>
      <c r="F90" s="6" t="s">
        <v>48</v>
      </c>
      <c r="G90" s="6" t="s">
        <v>337</v>
      </c>
      <c r="H90" s="6" t="s">
        <v>1013</v>
      </c>
      <c r="I90" s="6"/>
      <c r="J90" s="6" t="s">
        <v>1036</v>
      </c>
      <c r="K90" s="6" t="s">
        <v>1057</v>
      </c>
      <c r="L90" s="6"/>
      <c r="M90" s="6"/>
      <c r="N90" s="5" t="s">
        <v>1045</v>
      </c>
    </row>
    <row r="91" spans="1:14" x14ac:dyDescent="0.2">
      <c r="A91">
        <v>90</v>
      </c>
      <c r="B91" t="b">
        <v>1</v>
      </c>
      <c r="C91" s="6" t="str">
        <f t="shared" si="1"/>
        <v/>
      </c>
      <c r="D91" s="6" t="s">
        <v>24</v>
      </c>
      <c r="E91" s="6" t="s">
        <v>192</v>
      </c>
      <c r="F91" s="6" t="s">
        <v>48</v>
      </c>
      <c r="G91" s="6" t="s">
        <v>338</v>
      </c>
      <c r="H91" s="6" t="s">
        <v>1013</v>
      </c>
      <c r="I91" s="6"/>
      <c r="J91" s="6" t="s">
        <v>1036</v>
      </c>
      <c r="K91" s="6" t="s">
        <v>1040</v>
      </c>
      <c r="L91" s="6"/>
      <c r="M91" s="6"/>
      <c r="N91" s="5" t="s">
        <v>1045</v>
      </c>
    </row>
    <row r="92" spans="1:14" x14ac:dyDescent="0.2">
      <c r="A92">
        <v>91</v>
      </c>
      <c r="B92" t="b">
        <v>1</v>
      </c>
      <c r="C92" s="6" t="b">
        <f t="shared" ca="1" si="1"/>
        <v>1</v>
      </c>
      <c r="D92" s="6" t="s">
        <v>24</v>
      </c>
      <c r="E92" s="6" t="s">
        <v>192</v>
      </c>
      <c r="F92" s="6" t="s">
        <v>79</v>
      </c>
      <c r="G92" s="6" t="s">
        <v>497</v>
      </c>
      <c r="H92" s="9" t="str" cm="1">
        <f t="array" aca="1" ref="H92" ca="1">IF(COUNTIF(wide_measures!D:D,INDIRECT("maps!F$"&amp;ROW()))&gt;0,"measures",IF(COUNTIF(wide_protocolSteps!C:C,INDIRECT("maps!F$"&amp;ROW()))&gt;0,"protocolSteps",IF(COUNTIF(wide_repositories!C:C,INDIRECT("maps!F$"&amp;ROW()))&gt;0,"repositories",IF(COUNTIF(wide_protocols!C:C,INDIRECT("maps!F$"&amp;ROW()))&gt;0,"protocols",""))))</f>
        <v>measures</v>
      </c>
      <c r="I92" s="9" t="s">
        <v>1113</v>
      </c>
      <c r="J92" s="6"/>
      <c r="K92" s="6"/>
      <c r="L92" s="6"/>
      <c r="M92" s="6"/>
      <c r="N92" s="6"/>
    </row>
    <row r="93" spans="1:14" x14ac:dyDescent="0.2">
      <c r="A93">
        <v>92</v>
      </c>
      <c r="B93" t="b">
        <v>1</v>
      </c>
      <c r="C93" s="6" t="b">
        <f t="shared" si="1"/>
        <v>1</v>
      </c>
      <c r="D93" s="6" t="s">
        <v>24</v>
      </c>
      <c r="E93" s="6" t="s">
        <v>192</v>
      </c>
      <c r="F93" s="6" t="s">
        <v>30</v>
      </c>
      <c r="G93" s="6" t="s">
        <v>497</v>
      </c>
      <c r="H93" s="6" t="s">
        <v>1013</v>
      </c>
      <c r="I93" s="6"/>
      <c r="J93" s="6" t="s">
        <v>1014</v>
      </c>
      <c r="K93" s="6" t="s">
        <v>1021</v>
      </c>
      <c r="L93" s="6" t="s">
        <v>1046</v>
      </c>
      <c r="M93" s="6"/>
      <c r="N93" s="5" t="s">
        <v>1034</v>
      </c>
    </row>
    <row r="94" spans="1:14" x14ac:dyDescent="0.2">
      <c r="A94">
        <v>93</v>
      </c>
      <c r="B94" t="b">
        <v>1</v>
      </c>
      <c r="C94" s="6" t="str">
        <f t="shared" si="1"/>
        <v/>
      </c>
      <c r="D94" s="6" t="s">
        <v>24</v>
      </c>
      <c r="E94" s="6" t="s">
        <v>192</v>
      </c>
      <c r="F94" s="6" t="s">
        <v>49</v>
      </c>
      <c r="G94" s="6" t="s">
        <v>369</v>
      </c>
      <c r="H94" s="6" t="s">
        <v>1013</v>
      </c>
      <c r="I94" s="6"/>
      <c r="J94" s="6" t="s">
        <v>1036</v>
      </c>
      <c r="K94" s="6" t="s">
        <v>1058</v>
      </c>
      <c r="L94" s="6"/>
      <c r="M94" s="6"/>
      <c r="N94" s="5" t="s">
        <v>1045</v>
      </c>
    </row>
    <row r="95" spans="1:14" x14ac:dyDescent="0.2">
      <c r="A95">
        <v>94</v>
      </c>
      <c r="B95" t="b">
        <v>1</v>
      </c>
      <c r="C95" s="6" t="str">
        <f t="shared" si="1"/>
        <v/>
      </c>
      <c r="D95" s="6" t="s">
        <v>24</v>
      </c>
      <c r="E95" s="6" t="s">
        <v>192</v>
      </c>
      <c r="F95" s="6" t="s">
        <v>49</v>
      </c>
      <c r="G95" s="6" t="s">
        <v>370</v>
      </c>
      <c r="H95" s="6" t="s">
        <v>1013</v>
      </c>
      <c r="I95" s="6"/>
      <c r="J95" s="6" t="s">
        <v>1036</v>
      </c>
      <c r="K95" s="6" t="s">
        <v>1041</v>
      </c>
      <c r="L95" s="6"/>
      <c r="M95" s="6"/>
      <c r="N95" s="5" t="s">
        <v>1045</v>
      </c>
    </row>
    <row r="96" spans="1:14" x14ac:dyDescent="0.2">
      <c r="A96">
        <v>95</v>
      </c>
      <c r="B96" t="b">
        <v>1</v>
      </c>
      <c r="C96" s="6" t="str">
        <f t="shared" si="1"/>
        <v/>
      </c>
      <c r="D96" s="6" t="s">
        <v>24</v>
      </c>
      <c r="E96" s="6" t="s">
        <v>192</v>
      </c>
      <c r="F96" s="6" t="s">
        <v>49</v>
      </c>
      <c r="G96" s="6" t="s">
        <v>371</v>
      </c>
      <c r="H96" s="6" t="s">
        <v>1013</v>
      </c>
      <c r="I96" s="6"/>
      <c r="J96" s="6" t="s">
        <v>1036</v>
      </c>
      <c r="K96" s="6" t="s">
        <v>1059</v>
      </c>
      <c r="L96" s="6"/>
      <c r="M96" s="6"/>
      <c r="N96" s="5" t="s">
        <v>1045</v>
      </c>
    </row>
    <row r="97" spans="1:14" x14ac:dyDescent="0.2">
      <c r="A97">
        <v>96</v>
      </c>
      <c r="B97" t="b">
        <v>1</v>
      </c>
      <c r="C97" s="6" t="str">
        <f t="shared" si="1"/>
        <v/>
      </c>
      <c r="D97" s="6" t="s">
        <v>24</v>
      </c>
      <c r="E97" s="6" t="s">
        <v>192</v>
      </c>
      <c r="F97" s="6" t="s">
        <v>49</v>
      </c>
      <c r="G97" s="6" t="s">
        <v>372</v>
      </c>
      <c r="H97" s="6" t="s">
        <v>1013</v>
      </c>
      <c r="I97" s="6"/>
      <c r="J97" s="6" t="s">
        <v>1036</v>
      </c>
      <c r="K97" s="6" t="s">
        <v>1060</v>
      </c>
      <c r="L97" s="6"/>
      <c r="M97" s="6"/>
      <c r="N97" s="5" t="s">
        <v>1045</v>
      </c>
    </row>
    <row r="98" spans="1:14" x14ac:dyDescent="0.2">
      <c r="A98">
        <v>97</v>
      </c>
      <c r="B98" t="b">
        <v>1</v>
      </c>
      <c r="C98" s="6" t="str">
        <f t="shared" si="1"/>
        <v/>
      </c>
      <c r="D98" s="6" t="s">
        <v>24</v>
      </c>
      <c r="E98" s="6" t="s">
        <v>192</v>
      </c>
      <c r="F98" s="6" t="s">
        <v>49</v>
      </c>
      <c r="G98" s="6" t="s">
        <v>373</v>
      </c>
      <c r="H98" s="6" t="s">
        <v>1013</v>
      </c>
      <c r="I98" s="6"/>
      <c r="J98" s="6" t="s">
        <v>1036</v>
      </c>
      <c r="K98" s="6" t="s">
        <v>1061</v>
      </c>
      <c r="L98" s="6"/>
      <c r="M98" s="6"/>
      <c r="N98" s="5" t="s">
        <v>1045</v>
      </c>
    </row>
    <row r="99" spans="1:14" x14ac:dyDescent="0.2">
      <c r="A99">
        <v>98</v>
      </c>
      <c r="B99" t="b">
        <v>1</v>
      </c>
      <c r="C99" s="6" t="str">
        <f t="shared" si="1"/>
        <v/>
      </c>
      <c r="D99" s="6" t="s">
        <v>24</v>
      </c>
      <c r="E99" s="6" t="s">
        <v>192</v>
      </c>
      <c r="F99" s="6" t="s">
        <v>49</v>
      </c>
      <c r="G99" s="6" t="s">
        <v>363</v>
      </c>
      <c r="H99" s="6" t="s">
        <v>1013</v>
      </c>
      <c r="I99" s="6"/>
      <c r="J99" s="6" t="s">
        <v>1036</v>
      </c>
      <c r="K99" s="6" t="s">
        <v>1062</v>
      </c>
      <c r="L99" s="6"/>
      <c r="M99" s="6"/>
      <c r="N99" s="5" t="s">
        <v>1045</v>
      </c>
    </row>
    <row r="100" spans="1:14" x14ac:dyDescent="0.2">
      <c r="A100">
        <v>99</v>
      </c>
      <c r="B100" t="b">
        <v>1</v>
      </c>
      <c r="C100" s="6" t="str">
        <f t="shared" si="1"/>
        <v/>
      </c>
      <c r="D100" s="6" t="s">
        <v>24</v>
      </c>
      <c r="E100" s="6" t="s">
        <v>192</v>
      </c>
      <c r="F100" s="6" t="s">
        <v>49</v>
      </c>
      <c r="G100" s="6" t="s">
        <v>364</v>
      </c>
      <c r="H100" s="6" t="s">
        <v>1013</v>
      </c>
      <c r="I100" s="6"/>
      <c r="J100" s="6" t="s">
        <v>1036</v>
      </c>
      <c r="K100" s="6" t="s">
        <v>1042</v>
      </c>
      <c r="L100" s="6"/>
      <c r="M100" s="6"/>
      <c r="N100" s="5" t="s">
        <v>1045</v>
      </c>
    </row>
    <row r="101" spans="1:14" x14ac:dyDescent="0.2">
      <c r="A101">
        <v>100</v>
      </c>
      <c r="B101" t="b">
        <v>1</v>
      </c>
      <c r="C101" s="6" t="str">
        <f t="shared" si="1"/>
        <v/>
      </c>
      <c r="D101" s="6" t="s">
        <v>24</v>
      </c>
      <c r="E101" s="6" t="s">
        <v>192</v>
      </c>
      <c r="F101" s="6" t="s">
        <v>49</v>
      </c>
      <c r="G101" s="6" t="s">
        <v>365</v>
      </c>
      <c r="H101" s="6" t="s">
        <v>1013</v>
      </c>
      <c r="I101" s="6"/>
      <c r="J101" s="6" t="s">
        <v>1036</v>
      </c>
      <c r="K101" s="6" t="s">
        <v>1063</v>
      </c>
      <c r="L101" s="6"/>
      <c r="M101" s="6"/>
      <c r="N101" s="5" t="s">
        <v>1045</v>
      </c>
    </row>
    <row r="102" spans="1:14" x14ac:dyDescent="0.2">
      <c r="A102">
        <v>101</v>
      </c>
      <c r="B102" t="b">
        <v>1</v>
      </c>
      <c r="C102" s="6" t="str">
        <f t="shared" si="1"/>
        <v/>
      </c>
      <c r="D102" s="6" t="s">
        <v>24</v>
      </c>
      <c r="E102" s="6" t="s">
        <v>192</v>
      </c>
      <c r="F102" s="6" t="s">
        <v>49</v>
      </c>
      <c r="G102" s="6" t="s">
        <v>366</v>
      </c>
      <c r="H102" s="6" t="s">
        <v>1013</v>
      </c>
      <c r="I102" s="6"/>
      <c r="J102" s="6" t="s">
        <v>1036</v>
      </c>
      <c r="K102" s="6" t="s">
        <v>1064</v>
      </c>
      <c r="L102" s="6"/>
      <c r="M102" s="6"/>
      <c r="N102" s="5" t="s">
        <v>1045</v>
      </c>
    </row>
    <row r="103" spans="1:14" x14ac:dyDescent="0.2">
      <c r="A103">
        <v>102</v>
      </c>
      <c r="B103" t="b">
        <v>1</v>
      </c>
      <c r="C103" s="6" t="b">
        <f t="shared" ca="1" si="1"/>
        <v>1</v>
      </c>
      <c r="D103" s="6" t="s">
        <v>24</v>
      </c>
      <c r="E103" s="6" t="s">
        <v>192</v>
      </c>
      <c r="F103" s="6" t="s">
        <v>85</v>
      </c>
      <c r="G103" s="6" t="s">
        <v>497</v>
      </c>
      <c r="H103" s="9" t="str" cm="1">
        <f t="array" aca="1" ref="H103" ca="1">IF(COUNTIF(wide_measures!D:D,INDIRECT("maps!F$"&amp;ROW()))&gt;0,"measures",IF(COUNTIF(wide_protocolSteps!C:C,INDIRECT("maps!F$"&amp;ROW()))&gt;0,"protocolSteps",IF(COUNTIF(wide_repositories!C:C,INDIRECT("maps!F$"&amp;ROW()))&gt;0,"repositories",IF(COUNTIF(wide_protocols!C:C,INDIRECT("maps!F$"&amp;ROW()))&gt;0,"protocols",""))))</f>
        <v>measures</v>
      </c>
      <c r="I103" s="9" t="s">
        <v>1113</v>
      </c>
      <c r="J103" s="6"/>
      <c r="K103" s="6"/>
      <c r="L103" s="6"/>
      <c r="M103" s="6"/>
      <c r="N103" s="6"/>
    </row>
    <row r="104" spans="1:14" x14ac:dyDescent="0.2">
      <c r="A104">
        <v>103</v>
      </c>
      <c r="B104" t="b">
        <v>1</v>
      </c>
      <c r="C104" s="6" t="str">
        <f t="shared" si="1"/>
        <v/>
      </c>
      <c r="D104" s="6" t="s">
        <v>24</v>
      </c>
      <c r="E104" s="6" t="s">
        <v>192</v>
      </c>
      <c r="F104" s="6" t="s">
        <v>153</v>
      </c>
      <c r="G104" s="6" t="s">
        <v>357</v>
      </c>
      <c r="H104" s="6" t="s">
        <v>1013</v>
      </c>
      <c r="I104" s="6"/>
      <c r="J104" s="6" t="s">
        <v>1091</v>
      </c>
      <c r="K104" s="6" t="s">
        <v>1469</v>
      </c>
      <c r="L104" s="6"/>
      <c r="M104" s="6"/>
      <c r="N104" s="5" t="s">
        <v>1468</v>
      </c>
    </row>
    <row r="105" spans="1:14" x14ac:dyDescent="0.2">
      <c r="A105">
        <v>104</v>
      </c>
      <c r="B105" t="b">
        <v>1</v>
      </c>
      <c r="C105" s="6" t="str">
        <f t="shared" si="1"/>
        <v/>
      </c>
      <c r="D105" s="6" t="s">
        <v>24</v>
      </c>
      <c r="E105" s="6" t="s">
        <v>192</v>
      </c>
      <c r="F105" s="6" t="s">
        <v>153</v>
      </c>
      <c r="G105" s="6" t="s">
        <v>358</v>
      </c>
      <c r="H105" s="6" t="s">
        <v>1013</v>
      </c>
      <c r="I105" s="6"/>
      <c r="J105" s="6" t="s">
        <v>1091</v>
      </c>
      <c r="K105" s="6" t="s">
        <v>1470</v>
      </c>
      <c r="L105" s="6"/>
      <c r="M105" s="6"/>
      <c r="N105" s="5" t="s">
        <v>1468</v>
      </c>
    </row>
    <row r="106" spans="1:14" x14ac:dyDescent="0.2">
      <c r="A106">
        <v>105</v>
      </c>
      <c r="B106" t="b">
        <v>1</v>
      </c>
      <c r="C106" s="6" t="str">
        <f t="shared" si="1"/>
        <v/>
      </c>
      <c r="D106" s="6" t="s">
        <v>24</v>
      </c>
      <c r="E106" s="6" t="s">
        <v>192</v>
      </c>
      <c r="F106" s="6" t="s">
        <v>153</v>
      </c>
      <c r="G106" s="6" t="s">
        <v>359</v>
      </c>
      <c r="H106" s="6" t="s">
        <v>1013</v>
      </c>
      <c r="I106" s="6"/>
      <c r="J106" s="6" t="s">
        <v>1091</v>
      </c>
      <c r="K106" s="6" t="s">
        <v>1471</v>
      </c>
      <c r="L106" s="6"/>
      <c r="M106" s="6"/>
      <c r="N106" s="5" t="s">
        <v>1468</v>
      </c>
    </row>
    <row r="107" spans="1:14" x14ac:dyDescent="0.2">
      <c r="A107">
        <v>106</v>
      </c>
      <c r="B107" t="b">
        <v>1</v>
      </c>
      <c r="C107" s="6" t="str">
        <f t="shared" si="1"/>
        <v/>
      </c>
      <c r="D107" s="6" t="s">
        <v>24</v>
      </c>
      <c r="E107" s="6" t="s">
        <v>192</v>
      </c>
      <c r="F107" s="6" t="s">
        <v>153</v>
      </c>
      <c r="G107" s="6" t="s">
        <v>360</v>
      </c>
      <c r="H107" s="6" t="s">
        <v>1013</v>
      </c>
      <c r="I107" s="6"/>
      <c r="J107" s="6" t="s">
        <v>1091</v>
      </c>
      <c r="K107" s="6" t="s">
        <v>1473</v>
      </c>
      <c r="L107" s="6"/>
      <c r="M107" s="6"/>
      <c r="N107" s="5" t="s">
        <v>1468</v>
      </c>
    </row>
    <row r="108" spans="1:14" x14ac:dyDescent="0.2">
      <c r="A108">
        <v>107</v>
      </c>
      <c r="B108" t="b">
        <v>1</v>
      </c>
      <c r="C108" s="6" t="str">
        <f t="shared" si="1"/>
        <v/>
      </c>
      <c r="D108" s="6" t="s">
        <v>24</v>
      </c>
      <c r="E108" s="6" t="s">
        <v>192</v>
      </c>
      <c r="F108" s="6" t="s">
        <v>153</v>
      </c>
      <c r="G108" s="6" t="s">
        <v>361</v>
      </c>
      <c r="H108" s="6" t="s">
        <v>1013</v>
      </c>
      <c r="I108" s="6"/>
      <c r="J108" s="6" t="s">
        <v>1091</v>
      </c>
      <c r="K108" s="6" t="s">
        <v>1472</v>
      </c>
      <c r="L108" s="6"/>
      <c r="M108" s="6"/>
      <c r="N108" s="5" t="s">
        <v>1468</v>
      </c>
    </row>
    <row r="109" spans="1:14" x14ac:dyDescent="0.2">
      <c r="A109">
        <v>108</v>
      </c>
      <c r="B109" t="b">
        <v>1</v>
      </c>
      <c r="C109" s="6" t="str">
        <f t="shared" si="1"/>
        <v/>
      </c>
      <c r="D109" s="6" t="s">
        <v>24</v>
      </c>
      <c r="E109" s="6" t="s">
        <v>192</v>
      </c>
      <c r="F109" s="6" t="s">
        <v>153</v>
      </c>
      <c r="G109" s="6" t="s">
        <v>362</v>
      </c>
      <c r="H109" s="6" t="s">
        <v>1013</v>
      </c>
      <c r="I109" s="6"/>
      <c r="J109" s="6" t="s">
        <v>1091</v>
      </c>
      <c r="K109" s="6" t="s">
        <v>362</v>
      </c>
      <c r="L109" s="6"/>
      <c r="M109" s="6"/>
      <c r="N109" s="5" t="s">
        <v>1468</v>
      </c>
    </row>
    <row r="110" spans="1:14" x14ac:dyDescent="0.2">
      <c r="A110">
        <v>109</v>
      </c>
      <c r="B110" t="b">
        <v>1</v>
      </c>
      <c r="C110" s="6" t="b">
        <f t="shared" si="1"/>
        <v>1</v>
      </c>
      <c r="D110" s="6" t="s">
        <v>24</v>
      </c>
      <c r="E110" s="6" t="s">
        <v>192</v>
      </c>
      <c r="F110" s="6" t="s">
        <v>31</v>
      </c>
      <c r="G110" s="6" t="s">
        <v>497</v>
      </c>
      <c r="H110" s="6" t="s">
        <v>1013</v>
      </c>
      <c r="I110" s="6"/>
      <c r="J110" s="6" t="s">
        <v>1014</v>
      </c>
      <c r="K110" s="6" t="s">
        <v>1022</v>
      </c>
      <c r="L110" s="6" t="s">
        <v>1046</v>
      </c>
      <c r="M110" s="6"/>
      <c r="N110" s="5" t="s">
        <v>1034</v>
      </c>
    </row>
    <row r="111" spans="1:14" x14ac:dyDescent="0.2">
      <c r="A111">
        <v>110</v>
      </c>
      <c r="B111" t="b">
        <v>1</v>
      </c>
      <c r="C111" s="6" t="str">
        <f t="shared" si="1"/>
        <v/>
      </c>
      <c r="D111" s="6" t="s">
        <v>24</v>
      </c>
      <c r="E111" s="6" t="s">
        <v>192</v>
      </c>
      <c r="F111" s="6" t="s">
        <v>50</v>
      </c>
      <c r="G111" s="6" t="s">
        <v>363</v>
      </c>
      <c r="H111" s="6" t="s">
        <v>1013</v>
      </c>
      <c r="I111" s="6"/>
      <c r="J111" s="6" t="s">
        <v>1036</v>
      </c>
      <c r="K111" s="6" t="s">
        <v>1062</v>
      </c>
      <c r="L111" s="6"/>
      <c r="M111" s="6"/>
      <c r="N111" s="5" t="s">
        <v>1045</v>
      </c>
    </row>
    <row r="112" spans="1:14" x14ac:dyDescent="0.2">
      <c r="A112">
        <v>111</v>
      </c>
      <c r="B112" t="b">
        <v>1</v>
      </c>
      <c r="C112" s="6" t="str">
        <f t="shared" si="1"/>
        <v/>
      </c>
      <c r="D112" s="6" t="s">
        <v>24</v>
      </c>
      <c r="E112" s="6" t="s">
        <v>192</v>
      </c>
      <c r="F112" s="6" t="s">
        <v>50</v>
      </c>
      <c r="G112" s="6" t="s">
        <v>364</v>
      </c>
      <c r="H112" s="6" t="s">
        <v>1013</v>
      </c>
      <c r="I112" s="6"/>
      <c r="J112" s="6" t="s">
        <v>1036</v>
      </c>
      <c r="K112" s="6" t="s">
        <v>1042</v>
      </c>
      <c r="L112" s="6"/>
      <c r="M112" s="6"/>
      <c r="N112" s="5" t="s">
        <v>1045</v>
      </c>
    </row>
    <row r="113" spans="1:14" x14ac:dyDescent="0.2">
      <c r="A113">
        <v>112</v>
      </c>
      <c r="B113" t="b">
        <v>1</v>
      </c>
      <c r="C113" s="6" t="str">
        <f t="shared" si="1"/>
        <v/>
      </c>
      <c r="D113" s="6" t="s">
        <v>24</v>
      </c>
      <c r="E113" s="6" t="s">
        <v>192</v>
      </c>
      <c r="F113" s="6" t="s">
        <v>50</v>
      </c>
      <c r="G113" s="6" t="s">
        <v>1151</v>
      </c>
      <c r="H113" s="6" t="s">
        <v>1013</v>
      </c>
      <c r="I113" s="6"/>
      <c r="J113" s="6" t="s">
        <v>1036</v>
      </c>
      <c r="K113" s="6" t="s">
        <v>1374</v>
      </c>
      <c r="L113" s="6"/>
      <c r="M113" s="6"/>
      <c r="N113" s="5" t="s">
        <v>1045</v>
      </c>
    </row>
    <row r="114" spans="1:14" x14ac:dyDescent="0.2">
      <c r="A114">
        <v>113</v>
      </c>
      <c r="B114" t="b">
        <v>1</v>
      </c>
      <c r="C114" s="6" t="str">
        <f t="shared" si="1"/>
        <v/>
      </c>
      <c r="D114" s="6" t="s">
        <v>24</v>
      </c>
      <c r="E114" s="6" t="s">
        <v>192</v>
      </c>
      <c r="F114" s="6" t="s">
        <v>50</v>
      </c>
      <c r="G114" s="6" t="s">
        <v>366</v>
      </c>
      <c r="H114" s="6" t="s">
        <v>1013</v>
      </c>
      <c r="I114" s="6"/>
      <c r="J114" s="6" t="s">
        <v>1036</v>
      </c>
      <c r="K114" s="6" t="s">
        <v>1064</v>
      </c>
      <c r="L114" s="6"/>
      <c r="M114" s="6"/>
      <c r="N114" s="5" t="s">
        <v>1045</v>
      </c>
    </row>
    <row r="115" spans="1:14" x14ac:dyDescent="0.2">
      <c r="A115">
        <v>114</v>
      </c>
      <c r="B115" t="b">
        <v>1</v>
      </c>
      <c r="C115" s="6" t="b">
        <f t="shared" ca="1" si="1"/>
        <v>1</v>
      </c>
      <c r="D115" s="6" t="s">
        <v>24</v>
      </c>
      <c r="E115" s="6" t="s">
        <v>192</v>
      </c>
      <c r="F115" s="6" t="s">
        <v>154</v>
      </c>
      <c r="G115" s="6" t="s">
        <v>497</v>
      </c>
      <c r="H115" s="9" t="str" cm="1">
        <f t="array" aca="1" ref="H115" ca="1">IF(COUNTIF(wide_measures!D:D,INDIRECT("maps!F$"&amp;ROW()))&gt;0,"measures",IF(COUNTIF(wide_protocolSteps!C:C,INDIRECT("maps!F$"&amp;ROW()))&gt;0,"protocolSteps",IF(COUNTIF(wide_repositories!C:C,INDIRECT("maps!F$"&amp;ROW()))&gt;0,"repositories",IF(COUNTIF(wide_protocols!C:C,INDIRECT("maps!F$"&amp;ROW()))&gt;0,"protocols",""))))</f>
        <v>measures</v>
      </c>
      <c r="I115" s="9" t="s">
        <v>1113</v>
      </c>
      <c r="J115" s="6"/>
      <c r="K115" s="6"/>
      <c r="L115" s="6"/>
      <c r="M115" s="6"/>
      <c r="N115" s="6"/>
    </row>
    <row r="116" spans="1:14" x14ac:dyDescent="0.2">
      <c r="A116">
        <v>115</v>
      </c>
      <c r="B116" t="b">
        <v>1</v>
      </c>
      <c r="C116" s="6" t="b">
        <f t="shared" si="1"/>
        <v>1</v>
      </c>
      <c r="D116" s="6" t="s">
        <v>24</v>
      </c>
      <c r="E116" s="6" t="s">
        <v>192</v>
      </c>
      <c r="F116" s="6" t="s">
        <v>1150</v>
      </c>
      <c r="G116" s="6" t="s">
        <v>497</v>
      </c>
      <c r="H116" s="6" t="s">
        <v>1013</v>
      </c>
      <c r="I116" s="6"/>
      <c r="J116" s="6" t="s">
        <v>1014</v>
      </c>
      <c r="K116" s="6" t="s">
        <v>1023</v>
      </c>
      <c r="L116" s="6" t="s">
        <v>1046</v>
      </c>
      <c r="M116" s="6"/>
      <c r="N116" s="5" t="s">
        <v>1034</v>
      </c>
    </row>
    <row r="117" spans="1:14" x14ac:dyDescent="0.2">
      <c r="A117">
        <v>116</v>
      </c>
      <c r="B117" t="b">
        <v>1</v>
      </c>
      <c r="C117" s="6" t="str">
        <f t="shared" si="1"/>
        <v/>
      </c>
      <c r="D117" s="6" t="s">
        <v>24</v>
      </c>
      <c r="E117" s="6" t="s">
        <v>192</v>
      </c>
      <c r="F117" s="6" t="s">
        <v>1149</v>
      </c>
      <c r="G117" s="6" t="s">
        <v>328</v>
      </c>
      <c r="H117" s="6" t="s">
        <v>1013</v>
      </c>
      <c r="I117" s="6"/>
      <c r="J117" s="6" t="s">
        <v>1036</v>
      </c>
      <c r="K117" s="6" t="s">
        <v>1043</v>
      </c>
      <c r="L117" s="6"/>
      <c r="M117" s="6"/>
      <c r="N117" s="5" t="s">
        <v>1045</v>
      </c>
    </row>
    <row r="118" spans="1:14" x14ac:dyDescent="0.2">
      <c r="A118">
        <v>117</v>
      </c>
      <c r="B118" t="b">
        <v>1</v>
      </c>
      <c r="C118" s="6" t="str">
        <f t="shared" si="1"/>
        <v/>
      </c>
      <c r="D118" s="6" t="s">
        <v>24</v>
      </c>
      <c r="E118" s="6" t="s">
        <v>192</v>
      </c>
      <c r="F118" s="6" t="s">
        <v>1149</v>
      </c>
      <c r="G118" s="6" t="s">
        <v>329</v>
      </c>
      <c r="H118" s="6" t="s">
        <v>1013</v>
      </c>
      <c r="I118" s="6"/>
      <c r="J118" s="6" t="s">
        <v>1036</v>
      </c>
      <c r="K118" s="6" t="s">
        <v>1065</v>
      </c>
      <c r="L118" s="6"/>
      <c r="M118" s="6"/>
      <c r="N118" s="5" t="s">
        <v>1045</v>
      </c>
    </row>
    <row r="119" spans="1:14" x14ac:dyDescent="0.2">
      <c r="A119">
        <v>118</v>
      </c>
      <c r="B119" t="b">
        <v>1</v>
      </c>
      <c r="C119" s="6" t="str">
        <f t="shared" si="1"/>
        <v/>
      </c>
      <c r="D119" s="6" t="s">
        <v>24</v>
      </c>
      <c r="E119" s="6" t="s">
        <v>192</v>
      </c>
      <c r="F119" s="6" t="s">
        <v>1149</v>
      </c>
      <c r="G119" s="6" t="s">
        <v>330</v>
      </c>
      <c r="H119" s="6" t="s">
        <v>1013</v>
      </c>
      <c r="I119" s="6"/>
      <c r="J119" s="6" t="s">
        <v>1036</v>
      </c>
      <c r="K119" s="6" t="s">
        <v>1044</v>
      </c>
      <c r="L119" s="6"/>
      <c r="M119" s="6"/>
      <c r="N119" s="5" t="s">
        <v>1045</v>
      </c>
    </row>
    <row r="120" spans="1:14" x14ac:dyDescent="0.2">
      <c r="A120">
        <v>119</v>
      </c>
      <c r="B120" t="b">
        <v>1</v>
      </c>
      <c r="C120" s="6" t="str">
        <f t="shared" si="1"/>
        <v/>
      </c>
      <c r="D120" s="6" t="s">
        <v>24</v>
      </c>
      <c r="E120" s="6" t="s">
        <v>192</v>
      </c>
      <c r="F120" s="6" t="s">
        <v>1149</v>
      </c>
      <c r="G120" s="6" t="s">
        <v>331</v>
      </c>
      <c r="H120" s="6" t="s">
        <v>1013</v>
      </c>
      <c r="I120" s="6"/>
      <c r="J120" s="6" t="s">
        <v>1036</v>
      </c>
      <c r="K120" s="6" t="s">
        <v>1066</v>
      </c>
      <c r="L120" s="6"/>
      <c r="M120" s="6"/>
      <c r="N120" s="5" t="s">
        <v>1045</v>
      </c>
    </row>
    <row r="121" spans="1:14" x14ac:dyDescent="0.2">
      <c r="A121">
        <v>120</v>
      </c>
      <c r="B121" t="b">
        <v>1</v>
      </c>
      <c r="C121" s="6" t="str">
        <f t="shared" si="1"/>
        <v/>
      </c>
      <c r="D121" s="6" t="s">
        <v>24</v>
      </c>
      <c r="E121" s="6" t="s">
        <v>192</v>
      </c>
      <c r="F121" s="6" t="s">
        <v>1149</v>
      </c>
      <c r="G121" s="6" t="s">
        <v>332</v>
      </c>
      <c r="H121" s="6" t="s">
        <v>1013</v>
      </c>
      <c r="I121" s="6"/>
      <c r="J121" s="6" t="s">
        <v>1036</v>
      </c>
      <c r="K121" s="6" t="s">
        <v>1067</v>
      </c>
      <c r="L121" s="6"/>
      <c r="M121" s="6"/>
      <c r="N121" s="5" t="s">
        <v>1045</v>
      </c>
    </row>
    <row r="122" spans="1:14" x14ac:dyDescent="0.2">
      <c r="A122">
        <v>121</v>
      </c>
      <c r="B122" t="b">
        <v>1</v>
      </c>
      <c r="C122" s="6" t="str">
        <f t="shared" si="1"/>
        <v/>
      </c>
      <c r="D122" s="6" t="s">
        <v>24</v>
      </c>
      <c r="E122" s="6" t="s">
        <v>192</v>
      </c>
      <c r="F122" s="6" t="s">
        <v>1149</v>
      </c>
      <c r="G122" s="6" t="s">
        <v>333</v>
      </c>
      <c r="H122" s="6" t="s">
        <v>1013</v>
      </c>
      <c r="I122" s="6"/>
      <c r="J122" s="6" t="s">
        <v>1036</v>
      </c>
      <c r="K122" s="6" t="s">
        <v>1068</v>
      </c>
      <c r="L122" s="6"/>
      <c r="M122" s="6"/>
      <c r="N122" s="5" t="s">
        <v>1045</v>
      </c>
    </row>
    <row r="123" spans="1:14" x14ac:dyDescent="0.2">
      <c r="A123">
        <v>122</v>
      </c>
      <c r="B123" t="b">
        <v>1</v>
      </c>
      <c r="C123" s="6" t="str">
        <f t="shared" si="1"/>
        <v/>
      </c>
      <c r="D123" s="6" t="s">
        <v>24</v>
      </c>
      <c r="E123" s="6" t="s">
        <v>192</v>
      </c>
      <c r="F123" s="6" t="s">
        <v>1149</v>
      </c>
      <c r="G123" s="6" t="s">
        <v>1152</v>
      </c>
      <c r="H123" s="6" t="s">
        <v>1013</v>
      </c>
      <c r="I123" s="6"/>
      <c r="J123" s="6" t="s">
        <v>1036</v>
      </c>
      <c r="K123" s="6" t="s">
        <v>1288</v>
      </c>
      <c r="L123" s="6"/>
      <c r="M123" s="6"/>
      <c r="N123" s="5" t="s">
        <v>1045</v>
      </c>
    </row>
    <row r="124" spans="1:14" x14ac:dyDescent="0.2">
      <c r="A124">
        <v>123</v>
      </c>
      <c r="B124" t="b">
        <v>1</v>
      </c>
      <c r="C124" s="6" t="str">
        <f t="shared" si="1"/>
        <v/>
      </c>
      <c r="D124" s="6" t="s">
        <v>24</v>
      </c>
      <c r="E124" s="6" t="s">
        <v>192</v>
      </c>
      <c r="F124" s="6" t="s">
        <v>1149</v>
      </c>
      <c r="G124" s="6" t="s">
        <v>1153</v>
      </c>
      <c r="H124" s="6" t="s">
        <v>1013</v>
      </c>
      <c r="I124" s="6"/>
      <c r="J124" s="6" t="s">
        <v>1036</v>
      </c>
      <c r="K124" s="6" t="s">
        <v>1289</v>
      </c>
      <c r="L124" s="6"/>
      <c r="M124" s="6"/>
      <c r="N124" s="5" t="s">
        <v>1045</v>
      </c>
    </row>
    <row r="125" spans="1:14" x14ac:dyDescent="0.2">
      <c r="A125">
        <v>124</v>
      </c>
      <c r="B125" t="b">
        <v>1</v>
      </c>
      <c r="C125" s="6" t="b">
        <f t="shared" ca="1" si="1"/>
        <v>1</v>
      </c>
      <c r="D125" s="6" t="s">
        <v>24</v>
      </c>
      <c r="E125" s="6" t="s">
        <v>192</v>
      </c>
      <c r="F125" s="6" t="s">
        <v>1148</v>
      </c>
      <c r="G125" s="6" t="s">
        <v>497</v>
      </c>
      <c r="H125" s="9" t="str" cm="1">
        <f t="array" aca="1" ref="H125" ca="1">IF(COUNTIF(wide_measures!D:D,INDIRECT("maps!F$"&amp;ROW()))&gt;0,"measures",IF(COUNTIF(wide_protocolSteps!C:C,INDIRECT("maps!F$"&amp;ROW()))&gt;0,"protocolSteps",IF(COUNTIF(wide_repositories!C:C,INDIRECT("maps!F$"&amp;ROW()))&gt;0,"repositories",IF(COUNTIF(wide_protocols!C:C,INDIRECT("maps!F$"&amp;ROW()))&gt;0,"protocols",""))))</f>
        <v>measures</v>
      </c>
      <c r="I125" s="9" t="s">
        <v>1113</v>
      </c>
      <c r="J125" s="6"/>
      <c r="K125" s="6"/>
      <c r="L125" s="6"/>
      <c r="M125" s="6"/>
      <c r="N125" s="6"/>
    </row>
    <row r="126" spans="1:14" x14ac:dyDescent="0.2">
      <c r="A126">
        <v>125</v>
      </c>
      <c r="B126" t="b">
        <v>1</v>
      </c>
      <c r="C126" s="6" t="b">
        <f t="shared" si="1"/>
        <v>1</v>
      </c>
      <c r="D126" s="6" t="s">
        <v>24</v>
      </c>
      <c r="E126" s="6" t="s">
        <v>192</v>
      </c>
      <c r="F126" s="6" t="s">
        <v>32</v>
      </c>
      <c r="G126" s="6" t="s">
        <v>497</v>
      </c>
      <c r="H126" s="6" t="s">
        <v>1013</v>
      </c>
      <c r="I126" s="6"/>
      <c r="J126" s="6" t="s">
        <v>1014</v>
      </c>
      <c r="K126" s="6" t="s">
        <v>1024</v>
      </c>
      <c r="L126" s="6" t="s">
        <v>1046</v>
      </c>
      <c r="M126" s="6"/>
      <c r="N126" s="5" t="s">
        <v>1034</v>
      </c>
    </row>
    <row r="127" spans="1:14" x14ac:dyDescent="0.2">
      <c r="A127">
        <v>126</v>
      </c>
      <c r="B127" t="b">
        <v>1</v>
      </c>
      <c r="C127" s="6" t="str">
        <f t="shared" si="1"/>
        <v/>
      </c>
      <c r="D127" s="6" t="s">
        <v>24</v>
      </c>
      <c r="E127" s="6" t="s">
        <v>192</v>
      </c>
      <c r="F127" s="6" t="s">
        <v>51</v>
      </c>
      <c r="G127" s="6" t="s">
        <v>339</v>
      </c>
      <c r="H127" s="6" t="s">
        <v>1013</v>
      </c>
      <c r="I127" s="6"/>
      <c r="J127" s="6" t="s">
        <v>1036</v>
      </c>
      <c r="K127" s="6" t="s">
        <v>1069</v>
      </c>
      <c r="L127" s="6"/>
      <c r="M127" s="6"/>
      <c r="N127" s="5" t="s">
        <v>1045</v>
      </c>
    </row>
    <row r="128" spans="1:14" x14ac:dyDescent="0.2">
      <c r="A128">
        <v>127</v>
      </c>
      <c r="B128" t="b">
        <v>1</v>
      </c>
      <c r="C128" s="6" t="b">
        <f t="shared" ca="1" si="1"/>
        <v>1</v>
      </c>
      <c r="D128" s="6" t="s">
        <v>24</v>
      </c>
      <c r="E128" s="6" t="s">
        <v>192</v>
      </c>
      <c r="F128" s="6" t="s">
        <v>103</v>
      </c>
      <c r="G128" s="6" t="s">
        <v>497</v>
      </c>
      <c r="H128" s="9" t="str" cm="1">
        <f t="array" aca="1" ref="H128" ca="1">IF(COUNTIF(wide_measures!D:D,INDIRECT("maps!F$"&amp;ROW()))&gt;0,"measures",IF(COUNTIF(wide_protocolSteps!C:C,INDIRECT("maps!F$"&amp;ROW()))&gt;0,"protocolSteps",IF(COUNTIF(wide_repositories!C:C,INDIRECT("maps!F$"&amp;ROW()))&gt;0,"repositories",IF(COUNTIF(wide_protocols!C:C,INDIRECT("maps!F$"&amp;ROW()))&gt;0,"protocols",""))))</f>
        <v>measures</v>
      </c>
      <c r="I128" s="9" t="s">
        <v>1113</v>
      </c>
      <c r="J128" s="6"/>
      <c r="K128" s="6"/>
      <c r="L128" s="6"/>
      <c r="M128" s="6"/>
      <c r="N128" s="6"/>
    </row>
    <row r="129" spans="1:14" x14ac:dyDescent="0.2">
      <c r="A129">
        <v>128</v>
      </c>
      <c r="B129" t="b">
        <v>1</v>
      </c>
      <c r="C129" s="6" t="b">
        <f t="shared" si="1"/>
        <v>1</v>
      </c>
      <c r="D129" s="6" t="s">
        <v>24</v>
      </c>
      <c r="E129" s="6" t="s">
        <v>192</v>
      </c>
      <c r="F129" s="6" t="s">
        <v>52</v>
      </c>
      <c r="G129" s="6" t="s">
        <v>497</v>
      </c>
      <c r="H129" s="6" t="s">
        <v>1013</v>
      </c>
      <c r="I129" s="6"/>
      <c r="J129" s="6" t="s">
        <v>1014</v>
      </c>
      <c r="K129" s="6" t="s">
        <v>1035</v>
      </c>
      <c r="L129" s="6" t="s">
        <v>1046</v>
      </c>
      <c r="M129" s="6"/>
      <c r="N129" s="5" t="s">
        <v>1034</v>
      </c>
    </row>
    <row r="130" spans="1:14" s="36" customFormat="1" x14ac:dyDescent="0.2">
      <c r="A130" s="36">
        <v>129</v>
      </c>
      <c r="B130" s="36" t="b">
        <v>1</v>
      </c>
      <c r="C130" s="37" t="b">
        <f t="shared" ca="1" si="1"/>
        <v>1</v>
      </c>
      <c r="D130" s="37" t="s">
        <v>24</v>
      </c>
      <c r="E130" s="37" t="s">
        <v>192</v>
      </c>
      <c r="F130" s="37" t="s">
        <v>176</v>
      </c>
      <c r="G130" s="37" t="s">
        <v>497</v>
      </c>
      <c r="H130" s="9" t="str" cm="1">
        <f t="array" aca="1" ref="H130" ca="1">IF(COUNTIF(wide_measures!D:D,INDIRECT("maps!F$"&amp;ROW()))&gt;0,"measures",IF(COUNTIF(wide_protocolSteps!C:C,INDIRECT("maps!F$"&amp;ROW()))&gt;0,"protocolSteps",IF(COUNTIF(wide_repositories!C:C,INDIRECT("maps!F$"&amp;ROW()))&gt;0,"repositories",IF(COUNTIF(wide_protocols!C:C,INDIRECT("maps!F$"&amp;ROW()))&gt;0,"protocols",""))))</f>
        <v>measures</v>
      </c>
      <c r="I130" s="9" t="s">
        <v>1113</v>
      </c>
      <c r="J130" s="37"/>
      <c r="K130" s="37"/>
      <c r="L130" s="37"/>
      <c r="M130" s="37"/>
      <c r="N130" s="37"/>
    </row>
    <row r="131" spans="1:14" s="36" customFormat="1" x14ac:dyDescent="0.2">
      <c r="A131" s="36">
        <v>130</v>
      </c>
      <c r="B131" s="36" t="b">
        <v>1</v>
      </c>
      <c r="C131" s="37" t="str">
        <f t="shared" ref="C131:C194" ca="1" si="2">IF(AND(G131="NA",H131&lt;&gt;"wide_value"),TRUE,"")</f>
        <v/>
      </c>
      <c r="D131" s="37" t="s">
        <v>24</v>
      </c>
      <c r="E131" s="37" t="s">
        <v>192</v>
      </c>
      <c r="F131" s="37" t="s">
        <v>106</v>
      </c>
      <c r="G131" s="37" t="s">
        <v>311</v>
      </c>
      <c r="H131" s="9" t="str" cm="1">
        <f t="array" aca="1" ref="H131" ca="1">IF(COUNTIF(wide_measures!D:D,INDIRECT("maps!F$"&amp;ROW()))&gt;0,"measures",IF(COUNTIF(wide_protocolSteps!C:C,INDIRECT("maps!F$"&amp;ROW()))&gt;0,"protocolSteps",IF(COUNTIF(wide_repositories!C:C,INDIRECT("maps!F$"&amp;ROW()))&gt;0,"repositories",IF(COUNTIF(wide_protocols!C:C,INDIRECT("maps!F$"&amp;ROW()))&gt;0,"protocols",""))))</f>
        <v>measures</v>
      </c>
      <c r="I131" s="9" t="s">
        <v>1113</v>
      </c>
      <c r="J131" s="37"/>
      <c r="K131" s="37"/>
      <c r="L131" s="37"/>
      <c r="M131" s="37"/>
      <c r="N131" s="37"/>
    </row>
    <row r="132" spans="1:14" x14ac:dyDescent="0.2">
      <c r="A132">
        <v>131</v>
      </c>
      <c r="B132" s="36" t="b">
        <v>1</v>
      </c>
      <c r="C132" s="6" t="str">
        <f t="shared" ca="1" si="2"/>
        <v/>
      </c>
      <c r="D132" s="6" t="s">
        <v>24</v>
      </c>
      <c r="E132" s="6" t="s">
        <v>192</v>
      </c>
      <c r="F132" s="6" t="s">
        <v>106</v>
      </c>
      <c r="G132" s="6" t="s">
        <v>312</v>
      </c>
      <c r="H132" s="9" t="str" cm="1">
        <f t="array" aca="1" ref="H132" ca="1">IF(COUNTIF(wide_measures!D:D,INDIRECT("maps!F$"&amp;ROW()))&gt;0,"measures",IF(COUNTIF(wide_protocolSteps!C:C,INDIRECT("maps!F$"&amp;ROW()))&gt;0,"protocolSteps",IF(COUNTIF(wide_repositories!C:C,INDIRECT("maps!F$"&amp;ROW()))&gt;0,"repositories",IF(COUNTIF(wide_protocols!C:C,INDIRECT("maps!F$"&amp;ROW()))&gt;0,"protocols",""))))</f>
        <v>measures</v>
      </c>
      <c r="I132" s="9" t="s">
        <v>1113</v>
      </c>
      <c r="J132" s="6"/>
      <c r="K132" s="6"/>
      <c r="L132" s="6"/>
      <c r="M132" s="6"/>
      <c r="N132" s="6"/>
    </row>
    <row r="133" spans="1:14" x14ac:dyDescent="0.2">
      <c r="A133">
        <v>132</v>
      </c>
      <c r="B133" s="36" t="b">
        <v>1</v>
      </c>
      <c r="C133" s="6" t="str">
        <f t="shared" ca="1" si="2"/>
        <v/>
      </c>
      <c r="D133" s="6" t="s">
        <v>24</v>
      </c>
      <c r="E133" s="6" t="s">
        <v>192</v>
      </c>
      <c r="F133" s="6" t="s">
        <v>106</v>
      </c>
      <c r="G133" s="6" t="s">
        <v>313</v>
      </c>
      <c r="H133" s="9" t="str" cm="1">
        <f t="array" aca="1" ref="H133" ca="1">IF(COUNTIF(wide_measures!D:D,INDIRECT("maps!F$"&amp;ROW()))&gt;0,"measures",IF(COUNTIF(wide_protocolSteps!C:C,INDIRECT("maps!F$"&amp;ROW()))&gt;0,"protocolSteps",IF(COUNTIF(wide_repositories!C:C,INDIRECT("maps!F$"&amp;ROW()))&gt;0,"repositories",IF(COUNTIF(wide_protocols!C:C,INDIRECT("maps!F$"&amp;ROW()))&gt;0,"protocols",""))))</f>
        <v>measures</v>
      </c>
      <c r="I133" s="9" t="s">
        <v>1113</v>
      </c>
      <c r="J133" s="6"/>
      <c r="K133" s="6"/>
      <c r="L133" s="6"/>
      <c r="M133" s="6"/>
      <c r="N133" s="6"/>
    </row>
    <row r="134" spans="1:14" x14ac:dyDescent="0.2">
      <c r="A134">
        <v>133</v>
      </c>
      <c r="B134" t="b">
        <v>1</v>
      </c>
      <c r="C134" s="6" t="b">
        <f t="shared" si="2"/>
        <v>1</v>
      </c>
      <c r="D134" s="6" t="s">
        <v>24</v>
      </c>
      <c r="E134" s="6" t="s">
        <v>192</v>
      </c>
      <c r="F134" s="6" t="s">
        <v>33</v>
      </c>
      <c r="G134" s="6" t="s">
        <v>497</v>
      </c>
      <c r="H134" s="6" t="s">
        <v>1013</v>
      </c>
      <c r="I134" s="6"/>
      <c r="J134" s="6" t="s">
        <v>1014</v>
      </c>
      <c r="K134" s="6" t="s">
        <v>1025</v>
      </c>
      <c r="L134" s="6" t="s">
        <v>1046</v>
      </c>
      <c r="M134" s="6"/>
      <c r="N134" s="5" t="s">
        <v>1034</v>
      </c>
    </row>
    <row r="135" spans="1:14" x14ac:dyDescent="0.2">
      <c r="A135">
        <v>134</v>
      </c>
      <c r="B135" t="b">
        <v>1</v>
      </c>
      <c r="C135" s="6" t="str">
        <f t="shared" si="2"/>
        <v/>
      </c>
      <c r="D135" s="6" t="s">
        <v>24</v>
      </c>
      <c r="E135" s="6" t="s">
        <v>192</v>
      </c>
      <c r="F135" s="6" t="s">
        <v>53</v>
      </c>
      <c r="G135" s="6" t="s">
        <v>322</v>
      </c>
      <c r="H135" s="6" t="s">
        <v>1013</v>
      </c>
      <c r="I135" s="6"/>
      <c r="J135" s="6" t="s">
        <v>1036</v>
      </c>
      <c r="K135" s="6" t="s">
        <v>1047</v>
      </c>
      <c r="L135" s="6"/>
      <c r="M135" s="6"/>
      <c r="N135" s="5" t="s">
        <v>1045</v>
      </c>
    </row>
    <row r="136" spans="1:14" x14ac:dyDescent="0.2">
      <c r="A136">
        <v>135</v>
      </c>
      <c r="B136" t="b">
        <v>1</v>
      </c>
      <c r="C136" s="6" t="str">
        <f t="shared" si="2"/>
        <v/>
      </c>
      <c r="D136" s="6" t="s">
        <v>24</v>
      </c>
      <c r="E136" s="6" t="s">
        <v>192</v>
      </c>
      <c r="F136" s="6" t="s">
        <v>53</v>
      </c>
      <c r="G136" s="6" t="s">
        <v>1221</v>
      </c>
      <c r="H136" s="6" t="s">
        <v>1013</v>
      </c>
      <c r="I136" s="6"/>
      <c r="J136" s="6" t="s">
        <v>1036</v>
      </c>
      <c r="K136" s="6" t="s">
        <v>1290</v>
      </c>
      <c r="L136" s="6"/>
      <c r="M136" s="6"/>
      <c r="N136" s="5" t="s">
        <v>1045</v>
      </c>
    </row>
    <row r="137" spans="1:14" x14ac:dyDescent="0.2">
      <c r="A137">
        <v>136</v>
      </c>
      <c r="B137" t="b">
        <v>1</v>
      </c>
      <c r="C137" s="6" t="str">
        <f t="shared" si="2"/>
        <v/>
      </c>
      <c r="D137" s="6" t="s">
        <v>24</v>
      </c>
      <c r="E137" s="6" t="s">
        <v>192</v>
      </c>
      <c r="F137" s="6" t="s">
        <v>53</v>
      </c>
      <c r="G137" s="6" t="s">
        <v>323</v>
      </c>
      <c r="H137" s="6" t="s">
        <v>1013</v>
      </c>
      <c r="I137" s="6"/>
      <c r="J137" s="6" t="s">
        <v>1036</v>
      </c>
      <c r="K137" s="6" t="s">
        <v>1070</v>
      </c>
      <c r="L137" s="6"/>
      <c r="M137" s="6"/>
      <c r="N137" s="5" t="s">
        <v>1045</v>
      </c>
    </row>
    <row r="138" spans="1:14" x14ac:dyDescent="0.2">
      <c r="A138">
        <v>137</v>
      </c>
      <c r="B138" t="b">
        <v>1</v>
      </c>
      <c r="C138" s="6" t="str">
        <f t="shared" si="2"/>
        <v/>
      </c>
      <c r="D138" s="6" t="s">
        <v>24</v>
      </c>
      <c r="E138" s="6" t="s">
        <v>192</v>
      </c>
      <c r="F138" s="6" t="s">
        <v>53</v>
      </c>
      <c r="G138" s="6" t="s">
        <v>324</v>
      </c>
      <c r="H138" s="6" t="s">
        <v>1013</v>
      </c>
      <c r="I138" s="6"/>
      <c r="J138" s="6" t="s">
        <v>1036</v>
      </c>
      <c r="K138" s="6" t="s">
        <v>1071</v>
      </c>
      <c r="L138" s="6"/>
      <c r="M138" s="6"/>
      <c r="N138" s="5" t="s">
        <v>1045</v>
      </c>
    </row>
    <row r="139" spans="1:14" x14ac:dyDescent="0.2">
      <c r="A139">
        <v>138</v>
      </c>
      <c r="B139" t="b">
        <v>1</v>
      </c>
      <c r="C139" s="6" t="str">
        <f t="shared" si="2"/>
        <v/>
      </c>
      <c r="D139" s="6" t="s">
        <v>24</v>
      </c>
      <c r="E139" s="6" t="s">
        <v>192</v>
      </c>
      <c r="F139" s="6" t="s">
        <v>53</v>
      </c>
      <c r="G139" s="6" t="s">
        <v>325</v>
      </c>
      <c r="H139" s="6" t="s">
        <v>1013</v>
      </c>
      <c r="I139" s="6"/>
      <c r="J139" s="6" t="s">
        <v>1036</v>
      </c>
      <c r="K139" s="6" t="s">
        <v>1072</v>
      </c>
      <c r="L139" s="6"/>
      <c r="M139" s="6"/>
      <c r="N139" s="5" t="s">
        <v>1045</v>
      </c>
    </row>
    <row r="140" spans="1:14" x14ac:dyDescent="0.2">
      <c r="A140">
        <v>139</v>
      </c>
      <c r="B140" t="b">
        <v>1</v>
      </c>
      <c r="C140" s="6" t="b">
        <f t="shared" ca="1" si="2"/>
        <v>1</v>
      </c>
      <c r="D140" s="6" t="s">
        <v>24</v>
      </c>
      <c r="E140" s="6" t="s">
        <v>192</v>
      </c>
      <c r="F140" s="6" t="s">
        <v>182</v>
      </c>
      <c r="G140" s="6" t="s">
        <v>497</v>
      </c>
      <c r="H140" s="9" t="str" cm="1">
        <f t="array" aca="1" ref="H140" ca="1">IF(COUNTIF(wide_measures!D:D,INDIRECT("maps!F$"&amp;ROW()))&gt;0,"measures",IF(COUNTIF(wide_protocolSteps!C:C,INDIRECT("maps!F$"&amp;ROW()))&gt;0,"protocolSteps",IF(COUNTIF(wide_repositories!C:C,INDIRECT("maps!F$"&amp;ROW()))&gt;0,"repositories",IF(COUNTIF(wide_protocols!C:C,INDIRECT("maps!F$"&amp;ROW()))&gt;0,"protocols",""))))</f>
        <v>measures</v>
      </c>
      <c r="I140" s="9" t="s">
        <v>1113</v>
      </c>
      <c r="J140" s="6"/>
      <c r="K140" s="6"/>
      <c r="L140" s="6"/>
      <c r="M140" s="6"/>
      <c r="N140" s="6"/>
    </row>
    <row r="141" spans="1:14" x14ac:dyDescent="0.2">
      <c r="A141">
        <v>140</v>
      </c>
      <c r="B141" t="b">
        <v>1</v>
      </c>
      <c r="C141" s="6" t="str">
        <f t="shared" ca="1" si="2"/>
        <v/>
      </c>
      <c r="D141" s="6" t="s">
        <v>24</v>
      </c>
      <c r="E141" s="6" t="s">
        <v>192</v>
      </c>
      <c r="F141" s="6" t="s">
        <v>156</v>
      </c>
      <c r="G141" s="6" t="s">
        <v>314</v>
      </c>
      <c r="H141" s="9" t="str" cm="1">
        <f t="array" aca="1" ref="H141" ca="1">IF(COUNTIF(wide_measures!D:D,INDIRECT("maps!F$"&amp;ROW()))&gt;0,"measures",IF(COUNTIF(wide_protocolSteps!C:C,INDIRECT("maps!F$"&amp;ROW()))&gt;0,"protocolSteps",IF(COUNTIF(wide_repositories!C:C,INDIRECT("maps!F$"&amp;ROW()))&gt;0,"repositories",IF(COUNTIF(wide_protocols!C:C,INDIRECT("maps!F$"&amp;ROW()))&gt;0,"protocols",""))))</f>
        <v>measures</v>
      </c>
      <c r="I141" s="9" t="s">
        <v>1113</v>
      </c>
      <c r="J141" s="6"/>
      <c r="K141" s="6"/>
      <c r="L141" s="6"/>
      <c r="M141" s="6"/>
      <c r="N141" s="6"/>
    </row>
    <row r="142" spans="1:14" x14ac:dyDescent="0.2">
      <c r="A142">
        <v>141</v>
      </c>
      <c r="B142" t="b">
        <v>1</v>
      </c>
      <c r="C142" s="6" t="str">
        <f t="shared" ca="1" si="2"/>
        <v/>
      </c>
      <c r="D142" s="6" t="s">
        <v>24</v>
      </c>
      <c r="E142" s="6" t="s">
        <v>192</v>
      </c>
      <c r="F142" s="6" t="s">
        <v>156</v>
      </c>
      <c r="G142" s="6" t="s">
        <v>315</v>
      </c>
      <c r="H142" s="9" t="str" cm="1">
        <f t="array" aca="1" ref="H142" ca="1">IF(COUNTIF(wide_measures!D:D,INDIRECT("maps!F$"&amp;ROW()))&gt;0,"measures",IF(COUNTIF(wide_protocolSteps!C:C,INDIRECT("maps!F$"&amp;ROW()))&gt;0,"protocolSteps",IF(COUNTIF(wide_repositories!C:C,INDIRECT("maps!F$"&amp;ROW()))&gt;0,"repositories",IF(COUNTIF(wide_protocols!C:C,INDIRECT("maps!F$"&amp;ROW()))&gt;0,"protocols",""))))</f>
        <v>measures</v>
      </c>
      <c r="I142" s="9" t="s">
        <v>1113</v>
      </c>
      <c r="J142" s="6"/>
      <c r="K142" s="6"/>
      <c r="L142" s="6"/>
      <c r="M142" s="6"/>
      <c r="N142" s="6"/>
    </row>
    <row r="143" spans="1:14" x14ac:dyDescent="0.2">
      <c r="A143">
        <v>142</v>
      </c>
      <c r="B143" t="b">
        <v>1</v>
      </c>
      <c r="C143" s="6" t="str">
        <f t="shared" ca="1" si="2"/>
        <v/>
      </c>
      <c r="D143" s="6" t="s">
        <v>24</v>
      </c>
      <c r="E143" s="6" t="s">
        <v>192</v>
      </c>
      <c r="F143" s="6" t="s">
        <v>156</v>
      </c>
      <c r="G143" s="6" t="s">
        <v>316</v>
      </c>
      <c r="H143" s="9" t="str" cm="1">
        <f t="array" aca="1" ref="H143" ca="1">IF(COUNTIF(wide_measures!D:D,INDIRECT("maps!F$"&amp;ROW()))&gt;0,"measures",IF(COUNTIF(wide_protocolSteps!C:C,INDIRECT("maps!F$"&amp;ROW()))&gt;0,"protocolSteps",IF(COUNTIF(wide_repositories!C:C,INDIRECT("maps!F$"&amp;ROW()))&gt;0,"repositories",IF(COUNTIF(wide_protocols!C:C,INDIRECT("maps!F$"&amp;ROW()))&gt;0,"protocols",""))))</f>
        <v>measures</v>
      </c>
      <c r="I143" s="9" t="s">
        <v>1113</v>
      </c>
      <c r="J143" s="6"/>
      <c r="K143" s="6"/>
      <c r="L143" s="6"/>
      <c r="M143" s="6"/>
      <c r="N143" s="6"/>
    </row>
    <row r="144" spans="1:14" x14ac:dyDescent="0.2">
      <c r="A144">
        <v>143</v>
      </c>
      <c r="B144" t="b">
        <v>1</v>
      </c>
      <c r="C144" s="6" t="str">
        <f t="shared" ca="1" si="2"/>
        <v/>
      </c>
      <c r="D144" s="6" t="s">
        <v>24</v>
      </c>
      <c r="E144" s="6" t="s">
        <v>192</v>
      </c>
      <c r="F144" s="6" t="s">
        <v>156</v>
      </c>
      <c r="G144" s="6" t="s">
        <v>317</v>
      </c>
      <c r="H144" s="9" t="str" cm="1">
        <f t="array" aca="1" ref="H144" ca="1">IF(COUNTIF(wide_measures!D:D,INDIRECT("maps!F$"&amp;ROW()))&gt;0,"measures",IF(COUNTIF(wide_protocolSteps!C:C,INDIRECT("maps!F$"&amp;ROW()))&gt;0,"protocolSteps",IF(COUNTIF(wide_repositories!C:C,INDIRECT("maps!F$"&amp;ROW()))&gt;0,"repositories",IF(COUNTIF(wide_protocols!C:C,INDIRECT("maps!F$"&amp;ROW()))&gt;0,"protocols",""))))</f>
        <v>measures</v>
      </c>
      <c r="I144" s="9" t="s">
        <v>1113</v>
      </c>
      <c r="J144" s="6"/>
      <c r="K144" s="6"/>
      <c r="L144" s="6"/>
      <c r="M144" s="6"/>
      <c r="N144" s="6"/>
    </row>
    <row r="145" spans="1:14" x14ac:dyDescent="0.2">
      <c r="A145">
        <v>144</v>
      </c>
      <c r="B145" t="b">
        <v>1</v>
      </c>
      <c r="C145" s="6" t="str">
        <f t="shared" ca="1" si="2"/>
        <v/>
      </c>
      <c r="D145" s="6" t="s">
        <v>24</v>
      </c>
      <c r="E145" s="6" t="s">
        <v>192</v>
      </c>
      <c r="F145" s="6" t="s">
        <v>156</v>
      </c>
      <c r="G145" s="6" t="s">
        <v>318</v>
      </c>
      <c r="H145" s="9" t="str" cm="1">
        <f t="array" aca="1" ref="H145" ca="1">IF(COUNTIF(wide_measures!D:D,INDIRECT("maps!F$"&amp;ROW()))&gt;0,"measures",IF(COUNTIF(wide_protocolSteps!C:C,INDIRECT("maps!F$"&amp;ROW()))&gt;0,"protocolSteps",IF(COUNTIF(wide_repositories!C:C,INDIRECT("maps!F$"&amp;ROW()))&gt;0,"repositories",IF(COUNTIF(wide_protocols!C:C,INDIRECT("maps!F$"&amp;ROW()))&gt;0,"protocols",""))))</f>
        <v>measures</v>
      </c>
      <c r="I145" s="9" t="s">
        <v>1113</v>
      </c>
      <c r="J145" s="6"/>
      <c r="K145" s="6"/>
      <c r="L145" s="6"/>
      <c r="M145" s="6"/>
      <c r="N145" s="6"/>
    </row>
    <row r="146" spans="1:14" x14ac:dyDescent="0.2">
      <c r="A146">
        <v>145</v>
      </c>
      <c r="B146" t="b">
        <v>1</v>
      </c>
      <c r="C146" s="6" t="str">
        <f t="shared" ca="1" si="2"/>
        <v/>
      </c>
      <c r="D146" s="6" t="s">
        <v>24</v>
      </c>
      <c r="E146" s="6" t="s">
        <v>192</v>
      </c>
      <c r="F146" s="6" t="s">
        <v>156</v>
      </c>
      <c r="G146" s="6" t="s">
        <v>319</v>
      </c>
      <c r="H146" s="9" t="str" cm="1">
        <f t="array" aca="1" ref="H146" ca="1">IF(COUNTIF(wide_measures!D:D,INDIRECT("maps!F$"&amp;ROW()))&gt;0,"measures",IF(COUNTIF(wide_protocolSteps!C:C,INDIRECT("maps!F$"&amp;ROW()))&gt;0,"protocolSteps",IF(COUNTIF(wide_repositories!C:C,INDIRECT("maps!F$"&amp;ROW()))&gt;0,"repositories",IF(COUNTIF(wide_protocols!C:C,INDIRECT("maps!F$"&amp;ROW()))&gt;0,"protocols",""))))</f>
        <v>measures</v>
      </c>
      <c r="I146" s="9" t="s">
        <v>1113</v>
      </c>
      <c r="J146" s="6"/>
      <c r="K146" s="6"/>
      <c r="L146" s="6"/>
      <c r="M146" s="6"/>
      <c r="N146" s="6"/>
    </row>
    <row r="147" spans="1:14" x14ac:dyDescent="0.2">
      <c r="A147">
        <v>146</v>
      </c>
      <c r="B147" t="b">
        <v>1</v>
      </c>
      <c r="C147" s="6" t="str">
        <f t="shared" ca="1" si="2"/>
        <v/>
      </c>
      <c r="D147" s="6" t="s">
        <v>24</v>
      </c>
      <c r="E147" s="6" t="s">
        <v>192</v>
      </c>
      <c r="F147" s="6" t="s">
        <v>156</v>
      </c>
      <c r="G147" s="6" t="s">
        <v>320</v>
      </c>
      <c r="H147" s="9" t="str" cm="1">
        <f t="array" aca="1" ref="H147" ca="1">IF(COUNTIF(wide_measures!D:D,INDIRECT("maps!F$"&amp;ROW()))&gt;0,"measures",IF(COUNTIF(wide_protocolSteps!C:C,INDIRECT("maps!F$"&amp;ROW()))&gt;0,"protocolSteps",IF(COUNTIF(wide_repositories!C:C,INDIRECT("maps!F$"&amp;ROW()))&gt;0,"repositories",IF(COUNTIF(wide_protocols!C:C,INDIRECT("maps!F$"&amp;ROW()))&gt;0,"protocols",""))))</f>
        <v>measures</v>
      </c>
      <c r="I147" s="9" t="s">
        <v>1113</v>
      </c>
      <c r="J147" s="6"/>
      <c r="K147" s="6"/>
      <c r="L147" s="6"/>
      <c r="M147" s="6"/>
      <c r="N147" s="6"/>
    </row>
    <row r="148" spans="1:14" x14ac:dyDescent="0.2">
      <c r="A148">
        <v>147</v>
      </c>
      <c r="B148" t="b">
        <v>1</v>
      </c>
      <c r="C148" s="6" t="str">
        <f t="shared" ca="1" si="2"/>
        <v/>
      </c>
      <c r="D148" s="6" t="s">
        <v>24</v>
      </c>
      <c r="E148" s="6" t="s">
        <v>192</v>
      </c>
      <c r="F148" s="6" t="s">
        <v>156</v>
      </c>
      <c r="G148" s="6" t="s">
        <v>321</v>
      </c>
      <c r="H148" s="9" t="str" cm="1">
        <f t="array" aca="1" ref="H148" ca="1">IF(COUNTIF(wide_measures!D:D,INDIRECT("maps!F$"&amp;ROW()))&gt;0,"measures",IF(COUNTIF(wide_protocolSteps!C:C,INDIRECT("maps!F$"&amp;ROW()))&gt;0,"protocolSteps",IF(COUNTIF(wide_repositories!C:C,INDIRECT("maps!F$"&amp;ROW()))&gt;0,"repositories",IF(COUNTIF(wide_protocols!C:C,INDIRECT("maps!F$"&amp;ROW()))&gt;0,"protocols",""))))</f>
        <v>measures</v>
      </c>
      <c r="I148" s="9" t="s">
        <v>1113</v>
      </c>
      <c r="J148" s="6"/>
      <c r="K148" s="6"/>
      <c r="L148" s="6"/>
      <c r="M148" s="6"/>
      <c r="N148" s="6"/>
    </row>
    <row r="149" spans="1:14" x14ac:dyDescent="0.2">
      <c r="A149">
        <v>148</v>
      </c>
      <c r="B149" t="b">
        <v>1</v>
      </c>
      <c r="C149" s="6" t="b">
        <f t="shared" si="2"/>
        <v>1</v>
      </c>
      <c r="D149" s="6" t="s">
        <v>24</v>
      </c>
      <c r="E149" s="6" t="s">
        <v>192</v>
      </c>
      <c r="F149" s="6" t="s">
        <v>34</v>
      </c>
      <c r="G149" s="6" t="s">
        <v>497</v>
      </c>
      <c r="H149" s="6" t="s">
        <v>1013</v>
      </c>
      <c r="I149" s="6"/>
      <c r="J149" s="6" t="s">
        <v>1014</v>
      </c>
      <c r="K149" s="6" t="s">
        <v>1026</v>
      </c>
      <c r="L149" s="6" t="s">
        <v>1046</v>
      </c>
      <c r="M149" s="6"/>
      <c r="N149" s="5" t="s">
        <v>1034</v>
      </c>
    </row>
    <row r="150" spans="1:14" x14ac:dyDescent="0.2">
      <c r="A150">
        <v>149</v>
      </c>
      <c r="B150" t="b">
        <v>1</v>
      </c>
      <c r="C150" s="6" t="str">
        <f t="shared" si="2"/>
        <v/>
      </c>
      <c r="D150" s="6" t="s">
        <v>24</v>
      </c>
      <c r="E150" s="6" t="s">
        <v>192</v>
      </c>
      <c r="F150" s="6" t="s">
        <v>54</v>
      </c>
      <c r="G150" s="6" t="s">
        <v>354</v>
      </c>
      <c r="H150" s="6" t="s">
        <v>1013</v>
      </c>
      <c r="I150" s="6"/>
      <c r="J150" s="6" t="s">
        <v>1036</v>
      </c>
      <c r="K150" s="6" t="s">
        <v>1073</v>
      </c>
      <c r="L150" s="6"/>
      <c r="M150" s="6"/>
      <c r="N150" s="5" t="s">
        <v>1045</v>
      </c>
    </row>
    <row r="151" spans="1:14" x14ac:dyDescent="0.2">
      <c r="A151">
        <v>150</v>
      </c>
      <c r="B151" t="b">
        <v>1</v>
      </c>
      <c r="C151" s="6" t="str">
        <f t="shared" si="2"/>
        <v/>
      </c>
      <c r="D151" s="6" t="s">
        <v>24</v>
      </c>
      <c r="E151" s="6" t="s">
        <v>192</v>
      </c>
      <c r="F151" s="6" t="s">
        <v>54</v>
      </c>
      <c r="G151" s="6" t="s">
        <v>355</v>
      </c>
      <c r="H151" s="6" t="s">
        <v>1013</v>
      </c>
      <c r="I151" s="6"/>
      <c r="J151" s="6" t="s">
        <v>1036</v>
      </c>
      <c r="K151" s="6" t="s">
        <v>1074</v>
      </c>
      <c r="L151" s="6"/>
      <c r="M151" s="6"/>
      <c r="N151" s="5" t="s">
        <v>1045</v>
      </c>
    </row>
    <row r="152" spans="1:14" x14ac:dyDescent="0.2">
      <c r="A152">
        <v>151</v>
      </c>
      <c r="B152" t="b">
        <v>1</v>
      </c>
      <c r="C152" s="6" t="str">
        <f t="shared" si="2"/>
        <v/>
      </c>
      <c r="D152" s="6" t="s">
        <v>24</v>
      </c>
      <c r="E152" s="6" t="s">
        <v>192</v>
      </c>
      <c r="F152" s="6" t="s">
        <v>54</v>
      </c>
      <c r="G152" s="6" t="s">
        <v>356</v>
      </c>
      <c r="H152" s="6" t="s">
        <v>1013</v>
      </c>
      <c r="I152" s="6"/>
      <c r="J152" s="6" t="s">
        <v>1036</v>
      </c>
      <c r="K152" s="6" t="s">
        <v>1075</v>
      </c>
      <c r="L152" s="6"/>
      <c r="M152" s="6"/>
      <c r="N152" s="5" t="s">
        <v>1045</v>
      </c>
    </row>
    <row r="153" spans="1:14" x14ac:dyDescent="0.2">
      <c r="A153">
        <v>152</v>
      </c>
      <c r="B153" t="b">
        <v>1</v>
      </c>
      <c r="C153" s="6" t="str">
        <f t="shared" si="2"/>
        <v/>
      </c>
      <c r="D153" s="6" t="s">
        <v>24</v>
      </c>
      <c r="E153" s="6" t="s">
        <v>192</v>
      </c>
      <c r="F153" s="6" t="s">
        <v>54</v>
      </c>
      <c r="G153" s="6" t="s">
        <v>1222</v>
      </c>
      <c r="H153" s="6" t="s">
        <v>1013</v>
      </c>
      <c r="I153" s="6"/>
      <c r="J153" s="6" t="s">
        <v>1036</v>
      </c>
      <c r="K153" s="6" t="s">
        <v>1372</v>
      </c>
      <c r="L153" s="6"/>
      <c r="M153" s="6"/>
      <c r="N153" s="5" t="s">
        <v>1045</v>
      </c>
    </row>
    <row r="154" spans="1:14" x14ac:dyDescent="0.2">
      <c r="A154">
        <v>153</v>
      </c>
      <c r="B154" t="b">
        <v>1</v>
      </c>
      <c r="C154" s="6" t="str">
        <f t="shared" si="2"/>
        <v/>
      </c>
      <c r="D154" s="6" t="s">
        <v>24</v>
      </c>
      <c r="E154" s="6" t="s">
        <v>192</v>
      </c>
      <c r="F154" s="6" t="s">
        <v>54</v>
      </c>
      <c r="G154" s="6" t="s">
        <v>341</v>
      </c>
      <c r="H154" s="6" t="s">
        <v>1013</v>
      </c>
      <c r="I154" s="6"/>
      <c r="J154" s="6" t="s">
        <v>1036</v>
      </c>
      <c r="K154" s="6" t="s">
        <v>1076</v>
      </c>
      <c r="L154" s="6"/>
      <c r="M154" s="6"/>
      <c r="N154" s="5" t="s">
        <v>1045</v>
      </c>
    </row>
    <row r="155" spans="1:14" x14ac:dyDescent="0.2">
      <c r="A155">
        <v>154</v>
      </c>
      <c r="B155" t="b">
        <v>1</v>
      </c>
      <c r="C155" s="6" t="b">
        <f t="shared" ca="1" si="2"/>
        <v>1</v>
      </c>
      <c r="D155" s="6" t="s">
        <v>24</v>
      </c>
      <c r="E155" s="6" t="s">
        <v>192</v>
      </c>
      <c r="F155" s="6" t="s">
        <v>118</v>
      </c>
      <c r="G155" s="6" t="s">
        <v>497</v>
      </c>
      <c r="H155" s="9" t="str" cm="1">
        <f t="array" aca="1" ref="H155" ca="1">IF(COUNTIF(wide_measures!D:D,INDIRECT("maps!F$"&amp;ROW()))&gt;0,"measures",IF(COUNTIF(wide_protocolSteps!C:C,INDIRECT("maps!F$"&amp;ROW()))&gt;0,"protocolSteps",IF(COUNTIF(wide_repositories!C:C,INDIRECT("maps!F$"&amp;ROW()))&gt;0,"repositories",IF(COUNTIF(wide_protocols!C:C,INDIRECT("maps!F$"&amp;ROW()))&gt;0,"protocols",""))))</f>
        <v>measures</v>
      </c>
      <c r="I155" s="9" t="s">
        <v>1113</v>
      </c>
      <c r="J155" s="6"/>
      <c r="K155" s="6"/>
      <c r="L155" s="6"/>
      <c r="M155" s="6"/>
      <c r="N155" s="6"/>
    </row>
    <row r="156" spans="1:14" x14ac:dyDescent="0.2">
      <c r="A156">
        <v>155</v>
      </c>
      <c r="B156" t="b">
        <v>1</v>
      </c>
      <c r="C156" s="6" t="str">
        <f t="shared" si="2"/>
        <v/>
      </c>
      <c r="D156" s="6" t="s">
        <v>24</v>
      </c>
      <c r="E156" s="6" t="s">
        <v>192</v>
      </c>
      <c r="F156" s="6" t="s">
        <v>56</v>
      </c>
      <c r="G156" s="6" t="s">
        <v>326</v>
      </c>
      <c r="H156" s="6" t="s">
        <v>1013</v>
      </c>
      <c r="I156" s="6"/>
      <c r="J156" s="6" t="s">
        <v>1036</v>
      </c>
      <c r="K156" s="6" t="s">
        <v>1052</v>
      </c>
      <c r="L156" s="6"/>
      <c r="M156" s="6"/>
      <c r="N156" s="5" t="s">
        <v>1045</v>
      </c>
    </row>
    <row r="157" spans="1:14" x14ac:dyDescent="0.2">
      <c r="A157">
        <v>156</v>
      </c>
      <c r="B157" t="b">
        <v>1</v>
      </c>
      <c r="C157" s="6" t="str">
        <f t="shared" si="2"/>
        <v/>
      </c>
      <c r="D157" s="6" t="s">
        <v>24</v>
      </c>
      <c r="E157" s="6" t="s">
        <v>192</v>
      </c>
      <c r="F157" s="6" t="s">
        <v>56</v>
      </c>
      <c r="G157" s="6" t="s">
        <v>327</v>
      </c>
      <c r="H157" s="6" t="s">
        <v>1013</v>
      </c>
      <c r="I157" s="6"/>
      <c r="J157" s="6" t="s">
        <v>1036</v>
      </c>
      <c r="K157" s="6" t="s">
        <v>1037</v>
      </c>
      <c r="L157" s="6"/>
      <c r="M157" s="6"/>
      <c r="N157" s="5" t="s">
        <v>1045</v>
      </c>
    </row>
    <row r="158" spans="1:14" x14ac:dyDescent="0.2">
      <c r="A158">
        <v>157</v>
      </c>
      <c r="B158" t="b">
        <v>1</v>
      </c>
      <c r="C158" s="6" t="str">
        <f t="shared" si="2"/>
        <v/>
      </c>
      <c r="D158" s="6" t="s">
        <v>24</v>
      </c>
      <c r="E158" s="6" t="s">
        <v>192</v>
      </c>
      <c r="F158" s="6" t="s">
        <v>57</v>
      </c>
      <c r="G158" s="6" t="s">
        <v>326</v>
      </c>
      <c r="H158" s="6" t="s">
        <v>1013</v>
      </c>
      <c r="I158" s="6"/>
      <c r="J158" s="6" t="s">
        <v>1036</v>
      </c>
      <c r="K158" s="6" t="s">
        <v>1052</v>
      </c>
      <c r="L158" s="6"/>
      <c r="M158" s="6"/>
      <c r="N158" s="5" t="s">
        <v>1045</v>
      </c>
    </row>
    <row r="159" spans="1:14" x14ac:dyDescent="0.2">
      <c r="A159">
        <v>158</v>
      </c>
      <c r="B159" t="b">
        <v>1</v>
      </c>
      <c r="C159" s="6" t="str">
        <f t="shared" si="2"/>
        <v/>
      </c>
      <c r="D159" s="6" t="s">
        <v>24</v>
      </c>
      <c r="E159" s="6" t="s">
        <v>192</v>
      </c>
      <c r="F159" s="6" t="s">
        <v>57</v>
      </c>
      <c r="G159" s="6" t="s">
        <v>327</v>
      </c>
      <c r="H159" s="6" t="s">
        <v>1013</v>
      </c>
      <c r="I159" s="6"/>
      <c r="J159" s="6" t="s">
        <v>1036</v>
      </c>
      <c r="K159" s="6" t="s">
        <v>1037</v>
      </c>
      <c r="L159" s="6"/>
      <c r="M159" s="6"/>
      <c r="N159" s="5" t="s">
        <v>1045</v>
      </c>
    </row>
    <row r="160" spans="1:14" x14ac:dyDescent="0.2">
      <c r="A160">
        <v>159</v>
      </c>
      <c r="B160" t="b">
        <v>1</v>
      </c>
      <c r="C160" s="6" t="b">
        <f t="shared" ca="1" si="2"/>
        <v>1</v>
      </c>
      <c r="D160" s="6" t="s">
        <v>24</v>
      </c>
      <c r="E160" s="6" t="s">
        <v>192</v>
      </c>
      <c r="F160" s="6" t="s">
        <v>180</v>
      </c>
      <c r="G160" s="6" t="s">
        <v>497</v>
      </c>
      <c r="H160" s="9" t="str" cm="1">
        <f t="array" aca="1" ref="H160" ca="1">IF(COUNTIF(wide_measures!D:D,INDIRECT("maps!F$"&amp;ROW()))&gt;0,"measures",IF(COUNTIF(wide_protocolSteps!C:C,INDIRECT("maps!F$"&amp;ROW()))&gt;0,"protocolSteps",IF(COUNTIF(wide_repositories!C:C,INDIRECT("maps!F$"&amp;ROW()))&gt;0,"repositories",IF(COUNTIF(wide_protocols!C:C,INDIRECT("maps!F$"&amp;ROW()))&gt;0,"protocols",""))))</f>
        <v>measures</v>
      </c>
      <c r="I160" s="9" t="s">
        <v>1113</v>
      </c>
      <c r="J160" s="6"/>
      <c r="K160" s="6"/>
      <c r="L160" s="6"/>
      <c r="M160" s="6"/>
      <c r="N160" s="6"/>
    </row>
    <row r="161" spans="1:14" x14ac:dyDescent="0.2">
      <c r="A161">
        <v>160</v>
      </c>
      <c r="B161" t="b">
        <v>1</v>
      </c>
      <c r="C161" s="6" t="b">
        <f t="shared" ca="1" si="2"/>
        <v>1</v>
      </c>
      <c r="D161" s="6" t="s">
        <v>24</v>
      </c>
      <c r="E161" s="6" t="s">
        <v>192</v>
      </c>
      <c r="F161" s="6" t="s">
        <v>177</v>
      </c>
      <c r="G161" s="6" t="s">
        <v>497</v>
      </c>
      <c r="H161" s="9" t="str" cm="1">
        <f t="array" aca="1" ref="H161" ca="1">IF(COUNTIF(wide_measures!D:D,INDIRECT("maps!F$"&amp;ROW()))&gt;0,"measures",IF(COUNTIF(wide_protocolSteps!C:C,INDIRECT("maps!F$"&amp;ROW()))&gt;0,"protocolSteps",IF(COUNTIF(wide_repositories!C:C,INDIRECT("maps!F$"&amp;ROW()))&gt;0,"repositories",IF(COUNTIF(wide_protocols!C:C,INDIRECT("maps!F$"&amp;ROW()))&gt;0,"protocols",""))))</f>
        <v>measures</v>
      </c>
      <c r="I161" s="9" t="s">
        <v>1113</v>
      </c>
      <c r="J161" s="6"/>
      <c r="K161" s="6"/>
      <c r="L161" s="6"/>
      <c r="M161" s="6"/>
      <c r="N161" s="6"/>
    </row>
    <row r="162" spans="1:14" x14ac:dyDescent="0.2">
      <c r="A162">
        <v>161</v>
      </c>
      <c r="B162" t="b">
        <v>1</v>
      </c>
      <c r="C162" s="6" t="str">
        <f t="shared" ca="1" si="2"/>
        <v/>
      </c>
      <c r="D162" s="6" t="s">
        <v>24</v>
      </c>
      <c r="E162" s="6" t="s">
        <v>192</v>
      </c>
      <c r="F162" s="6" t="s">
        <v>183</v>
      </c>
      <c r="G162" s="6" t="s">
        <v>314</v>
      </c>
      <c r="H162" s="9" t="str" cm="1">
        <f t="array" aca="1" ref="H162" ca="1">IF(COUNTIF(wide_measures!D:D,INDIRECT("maps!F$"&amp;ROW()))&gt;0,"measures",IF(COUNTIF(wide_protocolSteps!C:C,INDIRECT("maps!F$"&amp;ROW()))&gt;0,"protocolSteps",IF(COUNTIF(wide_repositories!C:C,INDIRECT("maps!F$"&amp;ROW()))&gt;0,"repositories",IF(COUNTIF(wide_protocols!C:C,INDIRECT("maps!F$"&amp;ROW()))&gt;0,"protocols",""))))</f>
        <v>measures</v>
      </c>
      <c r="I162" s="9" t="s">
        <v>1113</v>
      </c>
      <c r="J162" s="6"/>
      <c r="K162" s="6"/>
      <c r="L162" s="6"/>
      <c r="M162" s="6"/>
      <c r="N162" s="6"/>
    </row>
    <row r="163" spans="1:14" x14ac:dyDescent="0.2">
      <c r="A163">
        <v>162</v>
      </c>
      <c r="B163" t="b">
        <v>1</v>
      </c>
      <c r="C163" s="6" t="str">
        <f t="shared" ca="1" si="2"/>
        <v/>
      </c>
      <c r="D163" s="6" t="s">
        <v>24</v>
      </c>
      <c r="E163" s="6" t="s">
        <v>192</v>
      </c>
      <c r="F163" s="6" t="s">
        <v>183</v>
      </c>
      <c r="G163" s="6" t="s">
        <v>315</v>
      </c>
      <c r="H163" s="9" t="str" cm="1">
        <f t="array" aca="1" ref="H163" ca="1">IF(COUNTIF(wide_measures!D:D,INDIRECT("maps!F$"&amp;ROW()))&gt;0,"measures",IF(COUNTIF(wide_protocolSteps!C:C,INDIRECT("maps!F$"&amp;ROW()))&gt;0,"protocolSteps",IF(COUNTIF(wide_repositories!C:C,INDIRECT("maps!F$"&amp;ROW()))&gt;0,"repositories",IF(COUNTIF(wide_protocols!C:C,INDIRECT("maps!F$"&amp;ROW()))&gt;0,"protocols",""))))</f>
        <v>measures</v>
      </c>
      <c r="I163" s="9" t="s">
        <v>1113</v>
      </c>
      <c r="J163" s="6"/>
      <c r="K163" s="6"/>
      <c r="L163" s="6"/>
      <c r="M163" s="6"/>
      <c r="N163" s="6"/>
    </row>
    <row r="164" spans="1:14" x14ac:dyDescent="0.2">
      <c r="A164">
        <v>163</v>
      </c>
      <c r="B164" t="b">
        <v>1</v>
      </c>
      <c r="C164" s="6" t="str">
        <f t="shared" ca="1" si="2"/>
        <v/>
      </c>
      <c r="D164" s="6" t="s">
        <v>24</v>
      </c>
      <c r="E164" s="6" t="s">
        <v>192</v>
      </c>
      <c r="F164" s="6" t="s">
        <v>183</v>
      </c>
      <c r="G164" s="6" t="s">
        <v>316</v>
      </c>
      <c r="H164" s="9" t="str" cm="1">
        <f t="array" aca="1" ref="H164" ca="1">IF(COUNTIF(wide_measures!D:D,INDIRECT("maps!F$"&amp;ROW()))&gt;0,"measures",IF(COUNTIF(wide_protocolSteps!C:C,INDIRECT("maps!F$"&amp;ROW()))&gt;0,"protocolSteps",IF(COUNTIF(wide_repositories!C:C,INDIRECT("maps!F$"&amp;ROW()))&gt;0,"repositories",IF(COUNTIF(wide_protocols!C:C,INDIRECT("maps!F$"&amp;ROW()))&gt;0,"protocols",""))))</f>
        <v>measures</v>
      </c>
      <c r="I164" s="9" t="s">
        <v>1113</v>
      </c>
      <c r="J164" s="6"/>
      <c r="K164" s="6"/>
      <c r="L164" s="6"/>
      <c r="M164" s="6"/>
      <c r="N164" s="6"/>
    </row>
    <row r="165" spans="1:14" x14ac:dyDescent="0.2">
      <c r="A165">
        <v>164</v>
      </c>
      <c r="B165" t="b">
        <v>1</v>
      </c>
      <c r="C165" s="6" t="str">
        <f t="shared" ca="1" si="2"/>
        <v/>
      </c>
      <c r="D165" s="6" t="s">
        <v>24</v>
      </c>
      <c r="E165" s="6" t="s">
        <v>192</v>
      </c>
      <c r="F165" s="6" t="s">
        <v>183</v>
      </c>
      <c r="G165" s="6" t="s">
        <v>317</v>
      </c>
      <c r="H165" s="9" t="str" cm="1">
        <f t="array" aca="1" ref="H165" ca="1">IF(COUNTIF(wide_measures!D:D,INDIRECT("maps!F$"&amp;ROW()))&gt;0,"measures",IF(COUNTIF(wide_protocolSteps!C:C,INDIRECT("maps!F$"&amp;ROW()))&gt;0,"protocolSteps",IF(COUNTIF(wide_repositories!C:C,INDIRECT("maps!F$"&amp;ROW()))&gt;0,"repositories",IF(COUNTIF(wide_protocols!C:C,INDIRECT("maps!F$"&amp;ROW()))&gt;0,"protocols",""))))</f>
        <v>measures</v>
      </c>
      <c r="I165" s="9" t="s">
        <v>1113</v>
      </c>
      <c r="J165" s="6"/>
      <c r="K165" s="6"/>
      <c r="L165" s="6"/>
      <c r="M165" s="6"/>
      <c r="N165" s="6"/>
    </row>
    <row r="166" spans="1:14" x14ac:dyDescent="0.2">
      <c r="A166">
        <v>165</v>
      </c>
      <c r="B166" t="b">
        <v>1</v>
      </c>
      <c r="C166" s="6" t="str">
        <f t="shared" ca="1" si="2"/>
        <v/>
      </c>
      <c r="D166" s="6" t="s">
        <v>24</v>
      </c>
      <c r="E166" s="6" t="s">
        <v>192</v>
      </c>
      <c r="F166" s="6" t="s">
        <v>183</v>
      </c>
      <c r="G166" s="6" t="s">
        <v>318</v>
      </c>
      <c r="H166" s="9" t="str" cm="1">
        <f t="array" aca="1" ref="H166" ca="1">IF(COUNTIF(wide_measures!D:D,INDIRECT("maps!F$"&amp;ROW()))&gt;0,"measures",IF(COUNTIF(wide_protocolSteps!C:C,INDIRECT("maps!F$"&amp;ROW()))&gt;0,"protocolSteps",IF(COUNTIF(wide_repositories!C:C,INDIRECT("maps!F$"&amp;ROW()))&gt;0,"repositories",IF(COUNTIF(wide_protocols!C:C,INDIRECT("maps!F$"&amp;ROW()))&gt;0,"protocols",""))))</f>
        <v>measures</v>
      </c>
      <c r="I166" s="9" t="s">
        <v>1113</v>
      </c>
      <c r="J166" s="6"/>
      <c r="K166" s="6"/>
      <c r="L166" s="6"/>
      <c r="M166" s="6"/>
      <c r="N166" s="6"/>
    </row>
    <row r="167" spans="1:14" x14ac:dyDescent="0.2">
      <c r="A167">
        <v>166</v>
      </c>
      <c r="B167" t="b">
        <v>1</v>
      </c>
      <c r="C167" s="6" t="str">
        <f t="shared" ca="1" si="2"/>
        <v/>
      </c>
      <c r="D167" s="6" t="s">
        <v>24</v>
      </c>
      <c r="E167" s="6" t="s">
        <v>192</v>
      </c>
      <c r="F167" s="6" t="s">
        <v>183</v>
      </c>
      <c r="G167" s="6" t="s">
        <v>319</v>
      </c>
      <c r="H167" s="9" t="str" cm="1">
        <f t="array" aca="1" ref="H167" ca="1">IF(COUNTIF(wide_measures!D:D,INDIRECT("maps!F$"&amp;ROW()))&gt;0,"measures",IF(COUNTIF(wide_protocolSteps!C:C,INDIRECT("maps!F$"&amp;ROW()))&gt;0,"protocolSteps",IF(COUNTIF(wide_repositories!C:C,INDIRECT("maps!F$"&amp;ROW()))&gt;0,"repositories",IF(COUNTIF(wide_protocols!C:C,INDIRECT("maps!F$"&amp;ROW()))&gt;0,"protocols",""))))</f>
        <v>measures</v>
      </c>
      <c r="I167" s="9" t="s">
        <v>1113</v>
      </c>
      <c r="J167" s="6"/>
      <c r="K167" s="6"/>
      <c r="L167" s="6"/>
      <c r="M167" s="6"/>
      <c r="N167" s="6"/>
    </row>
    <row r="168" spans="1:14" x14ac:dyDescent="0.2">
      <c r="A168">
        <v>167</v>
      </c>
      <c r="B168" t="b">
        <v>1</v>
      </c>
      <c r="C168" s="6" t="str">
        <f t="shared" ca="1" si="2"/>
        <v/>
      </c>
      <c r="D168" s="6" t="s">
        <v>24</v>
      </c>
      <c r="E168" s="6" t="s">
        <v>192</v>
      </c>
      <c r="F168" s="6" t="s">
        <v>183</v>
      </c>
      <c r="G168" s="6" t="s">
        <v>320</v>
      </c>
      <c r="H168" s="9" t="str" cm="1">
        <f t="array" aca="1" ref="H168" ca="1">IF(COUNTIF(wide_measures!D:D,INDIRECT("maps!F$"&amp;ROW()))&gt;0,"measures",IF(COUNTIF(wide_protocolSteps!C:C,INDIRECT("maps!F$"&amp;ROW()))&gt;0,"protocolSteps",IF(COUNTIF(wide_repositories!C:C,INDIRECT("maps!F$"&amp;ROW()))&gt;0,"repositories",IF(COUNTIF(wide_protocols!C:C,INDIRECT("maps!F$"&amp;ROW()))&gt;0,"protocols",""))))</f>
        <v>measures</v>
      </c>
      <c r="I168" s="9" t="s">
        <v>1113</v>
      </c>
      <c r="J168" s="6"/>
      <c r="K168" s="6"/>
      <c r="L168" s="6"/>
      <c r="M168" s="6"/>
      <c r="N168" s="6"/>
    </row>
    <row r="169" spans="1:14" x14ac:dyDescent="0.2">
      <c r="A169">
        <v>168</v>
      </c>
      <c r="B169" t="b">
        <v>1</v>
      </c>
      <c r="C169" s="6" t="str">
        <f t="shared" ca="1" si="2"/>
        <v/>
      </c>
      <c r="D169" s="6" t="s">
        <v>24</v>
      </c>
      <c r="E169" s="6" t="s">
        <v>192</v>
      </c>
      <c r="F169" s="6" t="s">
        <v>183</v>
      </c>
      <c r="G169" s="6" t="s">
        <v>321</v>
      </c>
      <c r="H169" s="9" t="str" cm="1">
        <f t="array" aca="1" ref="H169" ca="1">IF(COUNTIF(wide_measures!D:D,INDIRECT("maps!F$"&amp;ROW()))&gt;0,"measures",IF(COUNTIF(wide_protocolSteps!C:C,INDIRECT("maps!F$"&amp;ROW()))&gt;0,"protocolSteps",IF(COUNTIF(wide_repositories!C:C,INDIRECT("maps!F$"&amp;ROW()))&gt;0,"repositories",IF(COUNTIF(wide_protocols!C:C,INDIRECT("maps!F$"&amp;ROW()))&gt;0,"protocols",""))))</f>
        <v>measures</v>
      </c>
      <c r="I169" s="9" t="s">
        <v>1113</v>
      </c>
      <c r="J169" s="6"/>
      <c r="K169" s="6"/>
      <c r="L169" s="6"/>
      <c r="M169" s="6"/>
      <c r="N169" s="6"/>
    </row>
    <row r="170" spans="1:14" x14ac:dyDescent="0.2">
      <c r="A170">
        <v>169</v>
      </c>
      <c r="B170" t="b">
        <v>1</v>
      </c>
      <c r="C170" s="6" t="b">
        <f t="shared" si="2"/>
        <v>1</v>
      </c>
      <c r="D170" s="6" t="s">
        <v>24</v>
      </c>
      <c r="E170" s="6" t="s">
        <v>192</v>
      </c>
      <c r="F170" s="6" t="s">
        <v>1147</v>
      </c>
      <c r="G170" s="6" t="s">
        <v>497</v>
      </c>
      <c r="H170" s="6" t="s">
        <v>1013</v>
      </c>
      <c r="I170" s="6"/>
      <c r="J170" s="6" t="s">
        <v>1014</v>
      </c>
      <c r="K170" s="6" t="s">
        <v>1023</v>
      </c>
      <c r="L170" s="6" t="s">
        <v>1046</v>
      </c>
      <c r="M170" s="6"/>
      <c r="N170" s="5" t="s">
        <v>1034</v>
      </c>
    </row>
    <row r="171" spans="1:14" ht="15" customHeight="1" x14ac:dyDescent="0.2">
      <c r="A171">
        <v>170</v>
      </c>
      <c r="B171" t="b">
        <v>1</v>
      </c>
      <c r="C171" s="6" t="str">
        <f t="shared" si="2"/>
        <v/>
      </c>
      <c r="D171" s="6" t="s">
        <v>24</v>
      </c>
      <c r="E171" s="6" t="s">
        <v>192</v>
      </c>
      <c r="F171" s="6" t="s">
        <v>1146</v>
      </c>
      <c r="G171" s="6" t="s">
        <v>328</v>
      </c>
      <c r="H171" s="6" t="s">
        <v>1013</v>
      </c>
      <c r="I171" s="6"/>
      <c r="J171" s="6" t="s">
        <v>1036</v>
      </c>
      <c r="K171" s="6" t="s">
        <v>1043</v>
      </c>
      <c r="L171" s="6"/>
      <c r="M171" s="6"/>
      <c r="N171" s="5" t="s">
        <v>1045</v>
      </c>
    </row>
    <row r="172" spans="1:14" x14ac:dyDescent="0.2">
      <c r="A172">
        <v>171</v>
      </c>
      <c r="B172" t="b">
        <v>1</v>
      </c>
      <c r="C172" s="6" t="str">
        <f t="shared" si="2"/>
        <v/>
      </c>
      <c r="D172" s="6" t="s">
        <v>24</v>
      </c>
      <c r="E172" s="6" t="s">
        <v>192</v>
      </c>
      <c r="F172" s="6" t="s">
        <v>1146</v>
      </c>
      <c r="G172" s="6" t="s">
        <v>329</v>
      </c>
      <c r="H172" s="6" t="s">
        <v>1013</v>
      </c>
      <c r="I172" s="6"/>
      <c r="J172" s="6" t="s">
        <v>1036</v>
      </c>
      <c r="K172" s="6" t="s">
        <v>1065</v>
      </c>
      <c r="L172" s="6"/>
      <c r="M172" s="6"/>
      <c r="N172" s="5" t="s">
        <v>1045</v>
      </c>
    </row>
    <row r="173" spans="1:14" x14ac:dyDescent="0.2">
      <c r="A173">
        <v>172</v>
      </c>
      <c r="B173" t="b">
        <v>1</v>
      </c>
      <c r="C173" s="6" t="str">
        <f t="shared" si="2"/>
        <v/>
      </c>
      <c r="D173" s="6" t="s">
        <v>24</v>
      </c>
      <c r="E173" s="6" t="s">
        <v>192</v>
      </c>
      <c r="F173" s="6" t="s">
        <v>1146</v>
      </c>
      <c r="G173" s="6" t="s">
        <v>330</v>
      </c>
      <c r="H173" s="6" t="s">
        <v>1013</v>
      </c>
      <c r="I173" s="6"/>
      <c r="J173" s="6" t="s">
        <v>1036</v>
      </c>
      <c r="K173" s="6" t="s">
        <v>1044</v>
      </c>
      <c r="L173" s="6"/>
      <c r="M173" s="6"/>
      <c r="N173" s="5" t="s">
        <v>1045</v>
      </c>
    </row>
    <row r="174" spans="1:14" x14ac:dyDescent="0.2">
      <c r="A174">
        <v>173</v>
      </c>
      <c r="B174" t="b">
        <v>1</v>
      </c>
      <c r="C174" s="6" t="str">
        <f t="shared" si="2"/>
        <v/>
      </c>
      <c r="D174" s="6" t="s">
        <v>24</v>
      </c>
      <c r="E174" s="6" t="s">
        <v>192</v>
      </c>
      <c r="F174" s="6" t="s">
        <v>1146</v>
      </c>
      <c r="G174" s="6" t="s">
        <v>331</v>
      </c>
      <c r="H174" s="6" t="s">
        <v>1013</v>
      </c>
      <c r="I174" s="6"/>
      <c r="J174" s="6" t="s">
        <v>1036</v>
      </c>
      <c r="K174" s="6" t="s">
        <v>1066</v>
      </c>
      <c r="L174" s="6"/>
      <c r="M174" s="6"/>
      <c r="N174" s="5" t="s">
        <v>1045</v>
      </c>
    </row>
    <row r="175" spans="1:14" x14ac:dyDescent="0.2">
      <c r="A175">
        <v>174</v>
      </c>
      <c r="B175" t="b">
        <v>1</v>
      </c>
      <c r="C175" s="6" t="str">
        <f t="shared" si="2"/>
        <v/>
      </c>
      <c r="D175" s="6" t="s">
        <v>24</v>
      </c>
      <c r="E175" s="6" t="s">
        <v>192</v>
      </c>
      <c r="F175" s="6" t="s">
        <v>1146</v>
      </c>
      <c r="G175" s="6" t="s">
        <v>332</v>
      </c>
      <c r="H175" s="6" t="s">
        <v>1013</v>
      </c>
      <c r="I175" s="6"/>
      <c r="J175" s="6" t="s">
        <v>1036</v>
      </c>
      <c r="K175" s="6" t="s">
        <v>1067</v>
      </c>
      <c r="L175" s="6"/>
      <c r="M175" s="6"/>
      <c r="N175" s="5" t="s">
        <v>1045</v>
      </c>
    </row>
    <row r="176" spans="1:14" x14ac:dyDescent="0.2">
      <c r="A176">
        <v>175</v>
      </c>
      <c r="B176" t="b">
        <v>1</v>
      </c>
      <c r="C176" s="6" t="str">
        <f t="shared" si="2"/>
        <v/>
      </c>
      <c r="D176" s="6" t="s">
        <v>24</v>
      </c>
      <c r="E176" s="6" t="s">
        <v>192</v>
      </c>
      <c r="F176" s="6" t="s">
        <v>1146</v>
      </c>
      <c r="G176" s="6" t="s">
        <v>333</v>
      </c>
      <c r="H176" s="6" t="s">
        <v>1013</v>
      </c>
      <c r="I176" s="6"/>
      <c r="J176" s="6" t="s">
        <v>1036</v>
      </c>
      <c r="K176" s="6" t="s">
        <v>1068</v>
      </c>
      <c r="L176" s="6"/>
      <c r="M176" s="6"/>
      <c r="N176" s="5" t="s">
        <v>1045</v>
      </c>
    </row>
    <row r="177" spans="1:14" x14ac:dyDescent="0.2">
      <c r="A177">
        <v>176</v>
      </c>
      <c r="B177" t="b">
        <v>1</v>
      </c>
      <c r="C177" s="6" t="str">
        <f t="shared" si="2"/>
        <v/>
      </c>
      <c r="D177" s="6" t="s">
        <v>24</v>
      </c>
      <c r="E177" s="6" t="s">
        <v>192</v>
      </c>
      <c r="F177" s="6" t="s">
        <v>1146</v>
      </c>
      <c r="G177" s="6" t="s">
        <v>1152</v>
      </c>
      <c r="H177" s="6" t="s">
        <v>1013</v>
      </c>
      <c r="I177" s="6"/>
      <c r="J177" s="6" t="s">
        <v>1036</v>
      </c>
      <c r="K177" s="6" t="s">
        <v>1288</v>
      </c>
      <c r="L177" s="6"/>
      <c r="M177" s="6"/>
      <c r="N177" s="5" t="s">
        <v>1045</v>
      </c>
    </row>
    <row r="178" spans="1:14" x14ac:dyDescent="0.2">
      <c r="A178">
        <v>177</v>
      </c>
      <c r="B178" t="b">
        <v>1</v>
      </c>
      <c r="C178" s="6" t="str">
        <f t="shared" si="2"/>
        <v/>
      </c>
      <c r="D178" s="6" t="s">
        <v>24</v>
      </c>
      <c r="E178" s="6" t="s">
        <v>192</v>
      </c>
      <c r="F178" s="6" t="s">
        <v>1146</v>
      </c>
      <c r="G178" s="6" t="s">
        <v>1153</v>
      </c>
      <c r="H178" s="6" t="s">
        <v>1013</v>
      </c>
      <c r="I178" s="6"/>
      <c r="J178" s="6" t="s">
        <v>1036</v>
      </c>
      <c r="K178" s="6" t="s">
        <v>1289</v>
      </c>
      <c r="L178" s="6"/>
      <c r="M178" s="6"/>
      <c r="N178" s="5" t="s">
        <v>1045</v>
      </c>
    </row>
    <row r="179" spans="1:14" x14ac:dyDescent="0.2">
      <c r="A179">
        <v>178</v>
      </c>
      <c r="B179" t="b">
        <v>1</v>
      </c>
      <c r="C179" s="6" t="b">
        <f t="shared" ca="1" si="2"/>
        <v>1</v>
      </c>
      <c r="D179" s="6" t="s">
        <v>24</v>
      </c>
      <c r="E179" s="6" t="s">
        <v>192</v>
      </c>
      <c r="F179" s="6" t="s">
        <v>1145</v>
      </c>
      <c r="G179" s="6" t="s">
        <v>497</v>
      </c>
      <c r="H179" s="9" t="str" cm="1">
        <f t="array" aca="1" ref="H179" ca="1">IF(COUNTIF(wide_measures!D:D,INDIRECT("maps!F$"&amp;ROW()))&gt;0,"measures",IF(COUNTIF(wide_protocolSteps!C:C,INDIRECT("maps!F$"&amp;ROW()))&gt;0,"protocolSteps",IF(COUNTIF(wide_repositories!C:C,INDIRECT("maps!F$"&amp;ROW()))&gt;0,"repositories",IF(COUNTIF(wide_protocols!C:C,INDIRECT("maps!F$"&amp;ROW()))&gt;0,"protocols",""))))</f>
        <v>measures</v>
      </c>
      <c r="I179" s="9" t="s">
        <v>1113</v>
      </c>
      <c r="J179" s="6"/>
      <c r="K179" s="6"/>
      <c r="L179" s="6"/>
      <c r="M179" s="6"/>
      <c r="N179" s="6"/>
    </row>
    <row r="180" spans="1:14" x14ac:dyDescent="0.2">
      <c r="A180">
        <v>179</v>
      </c>
      <c r="B180" t="b">
        <v>1</v>
      </c>
      <c r="C180" s="6" t="b">
        <f t="shared" si="2"/>
        <v>1</v>
      </c>
      <c r="D180" s="6" t="s">
        <v>24</v>
      </c>
      <c r="E180" s="6" t="s">
        <v>192</v>
      </c>
      <c r="F180" s="6" t="s">
        <v>35</v>
      </c>
      <c r="G180" s="6" t="s">
        <v>497</v>
      </c>
      <c r="H180" s="6" t="s">
        <v>1013</v>
      </c>
      <c r="I180" s="6"/>
      <c r="J180" s="6" t="s">
        <v>1014</v>
      </c>
      <c r="K180" s="6" t="s">
        <v>1027</v>
      </c>
      <c r="L180" s="6" t="s">
        <v>1046</v>
      </c>
      <c r="M180" s="6"/>
      <c r="N180" s="5" t="s">
        <v>1034</v>
      </c>
    </row>
    <row r="181" spans="1:14" x14ac:dyDescent="0.2">
      <c r="A181">
        <v>180</v>
      </c>
      <c r="B181" t="b">
        <v>1</v>
      </c>
      <c r="C181" s="6" t="str">
        <f t="shared" si="2"/>
        <v/>
      </c>
      <c r="D181" s="6" t="s">
        <v>24</v>
      </c>
      <c r="E181" s="6" t="s">
        <v>192</v>
      </c>
      <c r="F181" s="6" t="s">
        <v>59</v>
      </c>
      <c r="G181" s="6" t="s">
        <v>340</v>
      </c>
      <c r="H181" s="6" t="s">
        <v>1013</v>
      </c>
      <c r="I181" s="6"/>
      <c r="J181" s="6" t="s">
        <v>1036</v>
      </c>
      <c r="K181" s="6" t="s">
        <v>1048</v>
      </c>
      <c r="L181" s="6"/>
      <c r="M181" s="6"/>
      <c r="N181" s="5" t="s">
        <v>1045</v>
      </c>
    </row>
    <row r="182" spans="1:14" x14ac:dyDescent="0.2">
      <c r="A182">
        <v>181</v>
      </c>
      <c r="B182" t="b">
        <v>1</v>
      </c>
      <c r="C182" s="6" t="str">
        <f t="shared" si="2"/>
        <v/>
      </c>
      <c r="D182" s="6" t="s">
        <v>24</v>
      </c>
      <c r="E182" s="6" t="s">
        <v>192</v>
      </c>
      <c r="F182" s="6" t="s">
        <v>59</v>
      </c>
      <c r="G182" s="6" t="s">
        <v>341</v>
      </c>
      <c r="H182" s="6" t="s">
        <v>1013</v>
      </c>
      <c r="I182" s="6"/>
      <c r="J182" s="6" t="s">
        <v>1036</v>
      </c>
      <c r="K182" s="6" t="s">
        <v>1076</v>
      </c>
      <c r="L182" s="6"/>
      <c r="M182" s="6"/>
      <c r="N182" s="5" t="s">
        <v>1045</v>
      </c>
    </row>
    <row r="183" spans="1:14" x14ac:dyDescent="0.2">
      <c r="A183">
        <v>182</v>
      </c>
      <c r="B183" t="b">
        <v>1</v>
      </c>
      <c r="C183" s="6" t="b">
        <f t="shared" ca="1" si="2"/>
        <v>1</v>
      </c>
      <c r="D183" s="6" t="s">
        <v>24</v>
      </c>
      <c r="E183" s="6" t="s">
        <v>192</v>
      </c>
      <c r="F183" s="6" t="s">
        <v>129</v>
      </c>
      <c r="G183" s="6" t="s">
        <v>497</v>
      </c>
      <c r="H183" s="9" t="str" cm="1">
        <f t="array" aca="1" ref="H183" ca="1">IF(COUNTIF(wide_measures!D:D,INDIRECT("maps!F$"&amp;ROW()))&gt;0,"measures",IF(COUNTIF(wide_protocolSteps!C:C,INDIRECT("maps!F$"&amp;ROW()))&gt;0,"protocolSteps",IF(COUNTIF(wide_repositories!C:C,INDIRECT("maps!F$"&amp;ROW()))&gt;0,"repositories",IF(COUNTIF(wide_protocols!C:C,INDIRECT("maps!F$"&amp;ROW()))&gt;0,"protocols",""))))</f>
        <v>measures</v>
      </c>
      <c r="I183" s="9" t="s">
        <v>1113</v>
      </c>
      <c r="J183" s="6"/>
      <c r="K183" s="6"/>
      <c r="L183" s="6"/>
      <c r="M183" s="6"/>
      <c r="N183" s="6"/>
    </row>
    <row r="184" spans="1:14" x14ac:dyDescent="0.2">
      <c r="A184">
        <v>183</v>
      </c>
      <c r="B184" t="b">
        <v>1</v>
      </c>
      <c r="C184" s="6" t="b">
        <f t="shared" si="2"/>
        <v>1</v>
      </c>
      <c r="D184" s="6" t="s">
        <v>24</v>
      </c>
      <c r="E184" s="6" t="s">
        <v>192</v>
      </c>
      <c r="F184" s="6" t="s">
        <v>36</v>
      </c>
      <c r="G184" s="6" t="s">
        <v>497</v>
      </c>
      <c r="H184" s="6" t="s">
        <v>1013</v>
      </c>
      <c r="I184" s="6"/>
      <c r="J184" s="6" t="s">
        <v>1014</v>
      </c>
      <c r="K184" s="6" t="s">
        <v>1028</v>
      </c>
      <c r="L184" s="6" t="s">
        <v>1046</v>
      </c>
      <c r="M184" s="6"/>
      <c r="N184" s="5" t="s">
        <v>1034</v>
      </c>
    </row>
    <row r="185" spans="1:14" x14ac:dyDescent="0.2">
      <c r="A185">
        <v>184</v>
      </c>
      <c r="B185" t="b">
        <v>1</v>
      </c>
      <c r="C185" s="6" t="str">
        <f t="shared" si="2"/>
        <v/>
      </c>
      <c r="D185" s="6" t="s">
        <v>24</v>
      </c>
      <c r="E185" s="6" t="s">
        <v>192</v>
      </c>
      <c r="F185" s="6" t="s">
        <v>60</v>
      </c>
      <c r="G185" s="6" t="s">
        <v>336</v>
      </c>
      <c r="H185" s="6" t="s">
        <v>1013</v>
      </c>
      <c r="I185" s="6"/>
      <c r="J185" s="6" t="s">
        <v>1036</v>
      </c>
      <c r="K185" s="6" t="s">
        <v>1038</v>
      </c>
      <c r="L185" s="6"/>
      <c r="M185" s="6"/>
      <c r="N185" s="5" t="s">
        <v>1045</v>
      </c>
    </row>
    <row r="186" spans="1:14" x14ac:dyDescent="0.2">
      <c r="A186">
        <v>185</v>
      </c>
      <c r="B186" t="b">
        <v>1</v>
      </c>
      <c r="C186" s="6" t="str">
        <f t="shared" si="2"/>
        <v/>
      </c>
      <c r="D186" s="6" t="s">
        <v>24</v>
      </c>
      <c r="E186" s="6" t="s">
        <v>192</v>
      </c>
      <c r="F186" s="6" t="s">
        <v>60</v>
      </c>
      <c r="G186" s="6" t="s">
        <v>341</v>
      </c>
      <c r="H186" s="6" t="s">
        <v>1013</v>
      </c>
      <c r="I186" s="6"/>
      <c r="J186" s="6" t="s">
        <v>1036</v>
      </c>
      <c r="K186" s="6" t="s">
        <v>1076</v>
      </c>
      <c r="L186" s="6"/>
      <c r="M186" s="6"/>
      <c r="N186" s="5" t="s">
        <v>1045</v>
      </c>
    </row>
    <row r="187" spans="1:14" x14ac:dyDescent="0.2">
      <c r="A187">
        <v>186</v>
      </c>
      <c r="B187" t="b">
        <v>1</v>
      </c>
      <c r="C187" s="6" t="str">
        <f t="shared" si="2"/>
        <v/>
      </c>
      <c r="D187" s="6" t="s">
        <v>24</v>
      </c>
      <c r="E187" s="6" t="s">
        <v>192</v>
      </c>
      <c r="F187" s="6" t="s">
        <v>60</v>
      </c>
      <c r="G187" s="6" t="s">
        <v>342</v>
      </c>
      <c r="H187" s="6" t="s">
        <v>1013</v>
      </c>
      <c r="I187" s="6"/>
      <c r="J187" s="6" t="s">
        <v>1036</v>
      </c>
      <c r="K187" s="6" t="s">
        <v>1077</v>
      </c>
      <c r="L187" s="6"/>
      <c r="M187" s="6"/>
      <c r="N187" s="5" t="s">
        <v>1045</v>
      </c>
    </row>
    <row r="188" spans="1:14" x14ac:dyDescent="0.2">
      <c r="A188">
        <v>187</v>
      </c>
      <c r="B188" t="b">
        <v>1</v>
      </c>
      <c r="C188" s="6" t="b">
        <f t="shared" ca="1" si="2"/>
        <v>1</v>
      </c>
      <c r="D188" s="6" t="s">
        <v>24</v>
      </c>
      <c r="E188" s="6" t="s">
        <v>192</v>
      </c>
      <c r="F188" s="6" t="s">
        <v>188</v>
      </c>
      <c r="G188" s="6" t="s">
        <v>497</v>
      </c>
      <c r="H188" s="9" t="str" cm="1">
        <f t="array" aca="1" ref="H188" ca="1">IF(COUNTIF(wide_measures!D:D,INDIRECT("maps!F$"&amp;ROW()))&gt;0,"measures",IF(COUNTIF(wide_protocolSteps!C:C,INDIRECT("maps!F$"&amp;ROW()))&gt;0,"protocolSteps",IF(COUNTIF(wide_repositories!C:C,INDIRECT("maps!F$"&amp;ROW()))&gt;0,"repositories",IF(COUNTIF(wide_protocols!C:C,INDIRECT("maps!F$"&amp;ROW()))&gt;0,"protocols",""))))</f>
        <v>measures</v>
      </c>
      <c r="I188" s="9" t="s">
        <v>1113</v>
      </c>
      <c r="J188" s="6"/>
      <c r="K188" s="6"/>
      <c r="L188" s="6"/>
      <c r="M188" s="6"/>
      <c r="N188" s="6"/>
    </row>
    <row r="189" spans="1:14" x14ac:dyDescent="0.2">
      <c r="A189">
        <v>188</v>
      </c>
      <c r="B189" t="b">
        <v>1</v>
      </c>
      <c r="C189" s="6" t="b">
        <f t="shared" si="2"/>
        <v>1</v>
      </c>
      <c r="D189" s="6" t="s">
        <v>24</v>
      </c>
      <c r="E189" s="6" t="s">
        <v>192</v>
      </c>
      <c r="F189" s="6" t="s">
        <v>37</v>
      </c>
      <c r="G189" s="6" t="s">
        <v>497</v>
      </c>
      <c r="H189" s="6" t="s">
        <v>1013</v>
      </c>
      <c r="I189" s="6"/>
      <c r="J189" s="6" t="s">
        <v>1014</v>
      </c>
      <c r="K189" s="6" t="s">
        <v>1029</v>
      </c>
      <c r="L189" s="6" t="s">
        <v>1046</v>
      </c>
      <c r="M189" s="6"/>
      <c r="N189" s="5" t="s">
        <v>1034</v>
      </c>
    </row>
    <row r="190" spans="1:14" x14ac:dyDescent="0.2">
      <c r="A190">
        <v>189</v>
      </c>
      <c r="B190" t="b">
        <v>1</v>
      </c>
      <c r="C190" s="6" t="str">
        <f t="shared" si="2"/>
        <v/>
      </c>
      <c r="D190" s="6" t="s">
        <v>24</v>
      </c>
      <c r="E190" s="6" t="s">
        <v>192</v>
      </c>
      <c r="F190" s="6" t="s">
        <v>61</v>
      </c>
      <c r="G190" s="6" t="s">
        <v>1223</v>
      </c>
      <c r="H190" s="6" t="s">
        <v>1013</v>
      </c>
      <c r="I190" s="6"/>
      <c r="J190" s="6" t="s">
        <v>1036</v>
      </c>
      <c r="K190" s="6" t="s">
        <v>1373</v>
      </c>
      <c r="L190" s="6"/>
      <c r="M190" s="6"/>
      <c r="N190" s="5" t="s">
        <v>1045</v>
      </c>
    </row>
    <row r="191" spans="1:14" x14ac:dyDescent="0.2">
      <c r="A191">
        <v>190</v>
      </c>
      <c r="B191" t="b">
        <v>1</v>
      </c>
      <c r="C191" s="6" t="str">
        <f t="shared" si="2"/>
        <v/>
      </c>
      <c r="D191" s="6" t="s">
        <v>24</v>
      </c>
      <c r="E191" s="6" t="s">
        <v>192</v>
      </c>
      <c r="F191" s="6" t="s">
        <v>61</v>
      </c>
      <c r="G191" s="6" t="s">
        <v>343</v>
      </c>
      <c r="H191" s="6" t="s">
        <v>1013</v>
      </c>
      <c r="I191" s="6"/>
      <c r="J191" s="6" t="s">
        <v>1036</v>
      </c>
      <c r="K191" s="6" t="s">
        <v>1078</v>
      </c>
      <c r="L191" s="6"/>
      <c r="M191" s="6"/>
      <c r="N191" s="5" t="s">
        <v>1045</v>
      </c>
    </row>
    <row r="192" spans="1:14" x14ac:dyDescent="0.2">
      <c r="A192">
        <v>191</v>
      </c>
      <c r="B192" t="b">
        <v>1</v>
      </c>
      <c r="C192" s="6" t="str">
        <f t="shared" si="2"/>
        <v/>
      </c>
      <c r="D192" s="6" t="s">
        <v>24</v>
      </c>
      <c r="E192" s="6" t="s">
        <v>192</v>
      </c>
      <c r="F192" s="6" t="s">
        <v>61</v>
      </c>
      <c r="G192" s="6" t="s">
        <v>344</v>
      </c>
      <c r="H192" s="6" t="s">
        <v>1013</v>
      </c>
      <c r="I192" s="6"/>
      <c r="J192" s="6" t="s">
        <v>1036</v>
      </c>
      <c r="K192" s="6" t="s">
        <v>1079</v>
      </c>
      <c r="L192" s="6"/>
      <c r="M192" s="6"/>
      <c r="N192" s="5" t="s">
        <v>1045</v>
      </c>
    </row>
    <row r="193" spans="1:14" x14ac:dyDescent="0.2">
      <c r="A193">
        <v>192</v>
      </c>
      <c r="B193" t="b">
        <v>1</v>
      </c>
      <c r="C193" s="6" t="str">
        <f t="shared" si="2"/>
        <v/>
      </c>
      <c r="D193" s="6" t="s">
        <v>24</v>
      </c>
      <c r="E193" s="6" t="s">
        <v>192</v>
      </c>
      <c r="F193" s="6" t="s">
        <v>61</v>
      </c>
      <c r="G193" s="6" t="s">
        <v>345</v>
      </c>
      <c r="H193" s="6" t="s">
        <v>1013</v>
      </c>
      <c r="I193" s="6"/>
      <c r="J193" s="6" t="s">
        <v>1036</v>
      </c>
      <c r="K193" s="6" t="s">
        <v>1080</v>
      </c>
      <c r="L193" s="6"/>
      <c r="M193" s="6"/>
      <c r="N193" s="5" t="s">
        <v>1045</v>
      </c>
    </row>
    <row r="194" spans="1:14" x14ac:dyDescent="0.2">
      <c r="A194">
        <v>193</v>
      </c>
      <c r="B194" t="b">
        <v>1</v>
      </c>
      <c r="C194" s="6" t="str">
        <f t="shared" si="2"/>
        <v/>
      </c>
      <c r="D194" s="6" t="s">
        <v>24</v>
      </c>
      <c r="E194" s="6" t="s">
        <v>192</v>
      </c>
      <c r="F194" s="6" t="s">
        <v>61</v>
      </c>
      <c r="G194" s="6" t="s">
        <v>346</v>
      </c>
      <c r="H194" s="6" t="s">
        <v>1013</v>
      </c>
      <c r="I194" s="6"/>
      <c r="J194" s="6" t="s">
        <v>1036</v>
      </c>
      <c r="K194" s="6" t="s">
        <v>1081</v>
      </c>
      <c r="L194" s="6"/>
      <c r="M194" s="6"/>
      <c r="N194" s="5" t="s">
        <v>1045</v>
      </c>
    </row>
    <row r="195" spans="1:14" x14ac:dyDescent="0.2">
      <c r="A195">
        <v>194</v>
      </c>
      <c r="B195" t="b">
        <v>1</v>
      </c>
      <c r="C195" s="6" t="b">
        <f t="shared" ref="C195:C258" ca="1" si="3">IF(AND(G195="NA",H195&lt;&gt;"wide_value"),TRUE,"")</f>
        <v>1</v>
      </c>
      <c r="D195" s="6" t="s">
        <v>24</v>
      </c>
      <c r="E195" s="6" t="s">
        <v>192</v>
      </c>
      <c r="F195" s="6" t="s">
        <v>187</v>
      </c>
      <c r="G195" s="6" t="s">
        <v>497</v>
      </c>
      <c r="H195" s="9" t="str" cm="1">
        <f t="array" aca="1" ref="H195" ca="1">IF(COUNTIF(wide_measures!D:D,INDIRECT("maps!F$"&amp;ROW()))&gt;0,"measures",IF(COUNTIF(wide_protocolSteps!C:C,INDIRECT("maps!F$"&amp;ROW()))&gt;0,"protocolSteps",IF(COUNTIF(wide_repositories!C:C,INDIRECT("maps!F$"&amp;ROW()))&gt;0,"repositories",IF(COUNTIF(wide_protocols!C:C,INDIRECT("maps!F$"&amp;ROW()))&gt;0,"protocols",""))))</f>
        <v>measures</v>
      </c>
      <c r="I195" s="9" t="s">
        <v>1113</v>
      </c>
      <c r="J195" s="6"/>
      <c r="K195" s="6"/>
      <c r="L195" s="6"/>
      <c r="M195" s="6"/>
      <c r="N195" s="6"/>
    </row>
    <row r="196" spans="1:14" x14ac:dyDescent="0.2">
      <c r="A196">
        <v>195</v>
      </c>
      <c r="B196" t="b">
        <v>1</v>
      </c>
      <c r="C196" s="6" t="b">
        <f t="shared" si="3"/>
        <v>1</v>
      </c>
      <c r="D196" s="6" t="s">
        <v>24</v>
      </c>
      <c r="E196" s="6" t="s">
        <v>192</v>
      </c>
      <c r="F196" s="6" t="s">
        <v>38</v>
      </c>
      <c r="G196" s="6" t="s">
        <v>497</v>
      </c>
      <c r="H196" s="6" t="s">
        <v>1013</v>
      </c>
      <c r="I196" s="6"/>
      <c r="J196" s="6" t="s">
        <v>1014</v>
      </c>
      <c r="K196" s="6" t="s">
        <v>1030</v>
      </c>
      <c r="L196" s="6" t="s">
        <v>1046</v>
      </c>
      <c r="M196" s="6"/>
      <c r="N196" s="5" t="s">
        <v>1034</v>
      </c>
    </row>
    <row r="197" spans="1:14" x14ac:dyDescent="0.2">
      <c r="A197">
        <v>196</v>
      </c>
      <c r="B197" t="b">
        <v>1</v>
      </c>
      <c r="C197" s="6" t="str">
        <f t="shared" si="3"/>
        <v/>
      </c>
      <c r="D197" s="6" t="s">
        <v>24</v>
      </c>
      <c r="E197" s="6" t="s">
        <v>192</v>
      </c>
      <c r="F197" s="6" t="s">
        <v>62</v>
      </c>
      <c r="G197" s="6" t="s">
        <v>340</v>
      </c>
      <c r="H197" s="6" t="s">
        <v>1013</v>
      </c>
      <c r="I197" s="6"/>
      <c r="J197" s="6" t="s">
        <v>1036</v>
      </c>
      <c r="K197" s="6" t="s">
        <v>1048</v>
      </c>
      <c r="L197" s="6"/>
      <c r="M197" s="6"/>
      <c r="N197" s="5" t="s">
        <v>1045</v>
      </c>
    </row>
    <row r="198" spans="1:14" x14ac:dyDescent="0.2">
      <c r="A198">
        <v>197</v>
      </c>
      <c r="B198" t="b">
        <v>1</v>
      </c>
      <c r="C198" s="6" t="str">
        <f t="shared" si="3"/>
        <v/>
      </c>
      <c r="D198" s="6" t="s">
        <v>24</v>
      </c>
      <c r="E198" s="6" t="s">
        <v>192</v>
      </c>
      <c r="F198" s="6" t="s">
        <v>62</v>
      </c>
      <c r="G198" s="6" t="s">
        <v>341</v>
      </c>
      <c r="H198" s="6" t="s">
        <v>1013</v>
      </c>
      <c r="I198" s="6"/>
      <c r="J198" s="6" t="s">
        <v>1036</v>
      </c>
      <c r="K198" s="6" t="s">
        <v>1076</v>
      </c>
      <c r="L198" s="6"/>
      <c r="M198" s="6"/>
      <c r="N198" s="5" t="s">
        <v>1045</v>
      </c>
    </row>
    <row r="199" spans="1:14" x14ac:dyDescent="0.2">
      <c r="A199">
        <v>198</v>
      </c>
      <c r="B199" t="b">
        <v>1</v>
      </c>
      <c r="C199" s="6" t="b">
        <f t="shared" ca="1" si="3"/>
        <v>1</v>
      </c>
      <c r="D199" s="6" t="s">
        <v>24</v>
      </c>
      <c r="E199" s="6" t="s">
        <v>192</v>
      </c>
      <c r="F199" s="6" t="s">
        <v>189</v>
      </c>
      <c r="G199" s="6" t="s">
        <v>497</v>
      </c>
      <c r="H199" s="9" t="str" cm="1">
        <f t="array" aca="1" ref="H199" ca="1">IF(COUNTIF(wide_measures!D:D,INDIRECT("maps!F$"&amp;ROW()))&gt;0,"measures",IF(COUNTIF(wide_protocolSteps!C:C,INDIRECT("maps!F$"&amp;ROW()))&gt;0,"protocolSteps",IF(COUNTIF(wide_repositories!C:C,INDIRECT("maps!F$"&amp;ROW()))&gt;0,"repositories",IF(COUNTIF(wide_protocols!C:C,INDIRECT("maps!F$"&amp;ROW()))&gt;0,"protocols",""))))</f>
        <v>measures</v>
      </c>
      <c r="I199" s="9" t="s">
        <v>1113</v>
      </c>
      <c r="J199" s="6"/>
      <c r="K199" s="6"/>
      <c r="L199" s="6"/>
      <c r="M199" s="6"/>
      <c r="N199" s="6"/>
    </row>
    <row r="200" spans="1:14" x14ac:dyDescent="0.2">
      <c r="A200">
        <v>199</v>
      </c>
      <c r="B200" t="b">
        <v>1</v>
      </c>
      <c r="C200" s="6" t="b">
        <f t="shared" si="3"/>
        <v>1</v>
      </c>
      <c r="D200" s="6" t="s">
        <v>24</v>
      </c>
      <c r="E200" s="6" t="s">
        <v>192</v>
      </c>
      <c r="F200" s="6" t="s">
        <v>39</v>
      </c>
      <c r="G200" s="6" t="s">
        <v>497</v>
      </c>
      <c r="H200" s="6" t="s">
        <v>1013</v>
      </c>
      <c r="I200" s="6"/>
      <c r="J200" s="6" t="s">
        <v>1014</v>
      </c>
      <c r="K200" s="6" t="s">
        <v>1031</v>
      </c>
      <c r="L200" s="6" t="s">
        <v>1046</v>
      </c>
      <c r="M200" s="6"/>
      <c r="N200" s="5" t="s">
        <v>1034</v>
      </c>
    </row>
    <row r="201" spans="1:14" x14ac:dyDescent="0.2">
      <c r="A201">
        <v>200</v>
      </c>
      <c r="B201" t="b">
        <v>1</v>
      </c>
      <c r="C201" s="6" t="str">
        <f t="shared" si="3"/>
        <v/>
      </c>
      <c r="D201" s="6" t="s">
        <v>24</v>
      </c>
      <c r="E201" s="6" t="s">
        <v>192</v>
      </c>
      <c r="F201" s="6" t="s">
        <v>63</v>
      </c>
      <c r="G201" s="6" t="s">
        <v>340</v>
      </c>
      <c r="H201" s="6" t="s">
        <v>1013</v>
      </c>
      <c r="I201" s="6"/>
      <c r="J201" s="6" t="s">
        <v>1036</v>
      </c>
      <c r="K201" s="6" t="s">
        <v>1048</v>
      </c>
      <c r="L201" s="6"/>
      <c r="M201" s="6"/>
      <c r="N201" s="5" t="s">
        <v>1045</v>
      </c>
    </row>
    <row r="202" spans="1:14" x14ac:dyDescent="0.2">
      <c r="A202">
        <v>201</v>
      </c>
      <c r="B202" t="b">
        <v>1</v>
      </c>
      <c r="C202" s="6" t="str">
        <f t="shared" si="3"/>
        <v/>
      </c>
      <c r="D202" s="6" t="s">
        <v>24</v>
      </c>
      <c r="E202" s="6" t="s">
        <v>192</v>
      </c>
      <c r="F202" s="6" t="s">
        <v>63</v>
      </c>
      <c r="G202" s="6" t="s">
        <v>341</v>
      </c>
      <c r="H202" s="6" t="s">
        <v>1013</v>
      </c>
      <c r="I202" s="6"/>
      <c r="J202" s="6" t="s">
        <v>1036</v>
      </c>
      <c r="K202" s="6" t="s">
        <v>1076</v>
      </c>
      <c r="L202" s="6"/>
      <c r="M202" s="6"/>
      <c r="N202" s="5" t="s">
        <v>1045</v>
      </c>
    </row>
    <row r="203" spans="1:14" x14ac:dyDescent="0.2">
      <c r="A203">
        <v>202</v>
      </c>
      <c r="B203" t="b">
        <v>1</v>
      </c>
      <c r="C203" s="6" t="b">
        <f t="shared" ca="1" si="3"/>
        <v>1</v>
      </c>
      <c r="D203" s="6" t="s">
        <v>24</v>
      </c>
      <c r="E203" s="6" t="s">
        <v>192</v>
      </c>
      <c r="F203" s="6" t="s">
        <v>190</v>
      </c>
      <c r="G203" s="6" t="s">
        <v>497</v>
      </c>
      <c r="H203" s="9" t="str" cm="1">
        <f t="array" aca="1" ref="H203" ca="1">IF(COUNTIF(wide_measures!D:D,INDIRECT("maps!F$"&amp;ROW()))&gt;0,"measures",IF(COUNTIF(wide_protocolSteps!C:C,INDIRECT("maps!F$"&amp;ROW()))&gt;0,"protocolSteps",IF(COUNTIF(wide_repositories!C:C,INDIRECT("maps!F$"&amp;ROW()))&gt;0,"repositories",IF(COUNTIF(wide_protocols!C:C,INDIRECT("maps!F$"&amp;ROW()))&gt;0,"protocols",""))))</f>
        <v>measures</v>
      </c>
      <c r="I203" s="9" t="s">
        <v>1113</v>
      </c>
      <c r="J203" s="6"/>
      <c r="K203" s="6"/>
      <c r="L203" s="6"/>
      <c r="M203" s="6"/>
      <c r="N203" s="6"/>
    </row>
    <row r="204" spans="1:14" x14ac:dyDescent="0.2">
      <c r="A204">
        <v>203</v>
      </c>
      <c r="B204" t="b">
        <v>1</v>
      </c>
      <c r="C204" s="6" t="b">
        <f t="shared" si="3"/>
        <v>1</v>
      </c>
      <c r="D204" s="6" t="s">
        <v>24</v>
      </c>
      <c r="E204" s="6" t="s">
        <v>192</v>
      </c>
      <c r="F204" s="6" t="s">
        <v>40</v>
      </c>
      <c r="G204" s="6" t="s">
        <v>497</v>
      </c>
      <c r="H204" s="6" t="s">
        <v>1013</v>
      </c>
      <c r="I204" s="6"/>
      <c r="J204" s="6" t="s">
        <v>1014</v>
      </c>
      <c r="K204" s="6" t="s">
        <v>1032</v>
      </c>
      <c r="L204" s="6" t="s">
        <v>1046</v>
      </c>
      <c r="M204" s="6"/>
      <c r="N204" s="5" t="s">
        <v>1034</v>
      </c>
    </row>
    <row r="205" spans="1:14" x14ac:dyDescent="0.2">
      <c r="A205">
        <v>204</v>
      </c>
      <c r="B205" t="b">
        <v>1</v>
      </c>
      <c r="C205" s="6" t="str">
        <f t="shared" si="3"/>
        <v/>
      </c>
      <c r="D205" s="6" t="s">
        <v>24</v>
      </c>
      <c r="E205" s="6" t="s">
        <v>192</v>
      </c>
      <c r="F205" s="6" t="s">
        <v>64</v>
      </c>
      <c r="G205" s="6" t="s">
        <v>334</v>
      </c>
      <c r="H205" s="6" t="s">
        <v>1013</v>
      </c>
      <c r="I205" s="6"/>
      <c r="J205" s="6" t="s">
        <v>1036</v>
      </c>
      <c r="K205" s="6" t="s">
        <v>1049</v>
      </c>
      <c r="L205" s="6"/>
      <c r="M205" s="6"/>
      <c r="N205" s="5" t="s">
        <v>1045</v>
      </c>
    </row>
    <row r="206" spans="1:14" x14ac:dyDescent="0.2">
      <c r="A206">
        <v>205</v>
      </c>
      <c r="B206" t="b">
        <v>1</v>
      </c>
      <c r="C206" s="6" t="str">
        <f t="shared" si="3"/>
        <v/>
      </c>
      <c r="D206" s="6" t="s">
        <v>24</v>
      </c>
      <c r="E206" s="6" t="s">
        <v>192</v>
      </c>
      <c r="F206" s="6" t="s">
        <v>64</v>
      </c>
      <c r="G206" s="6" t="s">
        <v>335</v>
      </c>
      <c r="H206" s="6" t="s">
        <v>1013</v>
      </c>
      <c r="I206" s="6"/>
      <c r="J206" s="6" t="s">
        <v>1036</v>
      </c>
      <c r="K206" s="6" t="s">
        <v>1082</v>
      </c>
      <c r="L206" s="6"/>
      <c r="M206" s="6"/>
      <c r="N206" s="5" t="s">
        <v>1045</v>
      </c>
    </row>
    <row r="207" spans="1:14" x14ac:dyDescent="0.2">
      <c r="A207">
        <v>206</v>
      </c>
      <c r="B207" t="b">
        <v>1</v>
      </c>
      <c r="C207" s="6" t="b">
        <f t="shared" ca="1" si="3"/>
        <v>1</v>
      </c>
      <c r="D207" s="6" t="s">
        <v>24</v>
      </c>
      <c r="E207" s="6" t="s">
        <v>192</v>
      </c>
      <c r="F207" s="6" t="s">
        <v>191</v>
      </c>
      <c r="G207" s="6" t="s">
        <v>497</v>
      </c>
      <c r="H207" s="9" t="str" cm="1">
        <f t="array" aca="1" ref="H207" ca="1">IF(COUNTIF(wide_measures!D:D,INDIRECT("maps!F$"&amp;ROW()))&gt;0,"measures",IF(COUNTIF(wide_protocolSteps!C:C,INDIRECT("maps!F$"&amp;ROW()))&gt;0,"protocolSteps",IF(COUNTIF(wide_repositories!C:C,INDIRECT("maps!F$"&amp;ROW()))&gt;0,"repositories",IF(COUNTIF(wide_protocols!C:C,INDIRECT("maps!F$"&amp;ROW()))&gt;0,"protocols",""))))</f>
        <v>measures</v>
      </c>
      <c r="I207" s="9" t="s">
        <v>1113</v>
      </c>
      <c r="J207" s="6"/>
      <c r="K207" s="6"/>
      <c r="L207" s="6"/>
      <c r="M207" s="6"/>
      <c r="N207" s="6"/>
    </row>
    <row r="208" spans="1:14" x14ac:dyDescent="0.2">
      <c r="A208">
        <v>207</v>
      </c>
      <c r="B208" t="b">
        <v>1</v>
      </c>
      <c r="C208" s="6" t="str">
        <f t="shared" si="3"/>
        <v/>
      </c>
      <c r="D208" s="6" t="s">
        <v>24</v>
      </c>
      <c r="E208" s="6" t="s">
        <v>192</v>
      </c>
      <c r="F208" s="6" t="s">
        <v>159</v>
      </c>
      <c r="G208" s="6" t="s">
        <v>368</v>
      </c>
      <c r="H208" s="6" t="s">
        <v>1013</v>
      </c>
      <c r="I208" s="6"/>
      <c r="J208" s="6" t="s">
        <v>1091</v>
      </c>
      <c r="K208" s="6" t="s">
        <v>368</v>
      </c>
      <c r="L208" s="6"/>
      <c r="M208" s="6"/>
      <c r="N208" s="5" t="s">
        <v>1468</v>
      </c>
    </row>
    <row r="209" spans="1:14" x14ac:dyDescent="0.2">
      <c r="A209">
        <v>208</v>
      </c>
      <c r="B209" t="b">
        <v>1</v>
      </c>
      <c r="C209" s="6" t="b">
        <f t="shared" si="3"/>
        <v>1</v>
      </c>
      <c r="D209" s="6" t="s">
        <v>24</v>
      </c>
      <c r="E209" s="6" t="s">
        <v>192</v>
      </c>
      <c r="F209" s="6" t="s">
        <v>41</v>
      </c>
      <c r="G209" s="6" t="s">
        <v>497</v>
      </c>
      <c r="H209" s="6" t="s">
        <v>1013</v>
      </c>
      <c r="I209" s="6"/>
      <c r="J209" s="6" t="s">
        <v>1014</v>
      </c>
      <c r="K209" s="6" t="s">
        <v>1033</v>
      </c>
      <c r="L209" s="6" t="s">
        <v>1046</v>
      </c>
      <c r="M209" s="6"/>
      <c r="N209" s="5" t="s">
        <v>1034</v>
      </c>
    </row>
    <row r="210" spans="1:14" x14ac:dyDescent="0.2">
      <c r="A210">
        <v>209</v>
      </c>
      <c r="B210" t="b">
        <v>1</v>
      </c>
      <c r="C210" s="6" t="str">
        <f t="shared" si="3"/>
        <v/>
      </c>
      <c r="D210" s="6" t="s">
        <v>24</v>
      </c>
      <c r="E210" s="6" t="s">
        <v>192</v>
      </c>
      <c r="F210" s="6" t="s">
        <v>65</v>
      </c>
      <c r="G210" s="6" t="s">
        <v>367</v>
      </c>
      <c r="H210" s="6" t="s">
        <v>1013</v>
      </c>
      <c r="I210" s="6"/>
      <c r="J210" s="6" t="s">
        <v>1036</v>
      </c>
      <c r="K210" s="6" t="s">
        <v>1083</v>
      </c>
      <c r="L210" s="6"/>
      <c r="M210" s="6"/>
      <c r="N210" s="5" t="s">
        <v>1045</v>
      </c>
    </row>
    <row r="211" spans="1:14" x14ac:dyDescent="0.2">
      <c r="A211">
        <v>210</v>
      </c>
      <c r="B211" t="b">
        <v>1</v>
      </c>
      <c r="C211" s="6" t="b">
        <f t="shared" ca="1" si="3"/>
        <v>1</v>
      </c>
      <c r="D211" s="6" t="s">
        <v>24</v>
      </c>
      <c r="E211" s="6" t="s">
        <v>192</v>
      </c>
      <c r="F211" s="6" t="s">
        <v>160</v>
      </c>
      <c r="G211" s="6" t="s">
        <v>497</v>
      </c>
      <c r="H211" s="9" t="str" cm="1">
        <f t="array" aca="1" ref="H211" ca="1">IF(COUNTIF(wide_measures!D:D,INDIRECT("maps!F$"&amp;ROW()))&gt;0,"measures",IF(COUNTIF(wide_protocolSteps!C:C,INDIRECT("maps!F$"&amp;ROW()))&gt;0,"protocolSteps",IF(COUNTIF(wide_repositories!C:C,INDIRECT("maps!F$"&amp;ROW()))&gt;0,"repositories",IF(COUNTIF(wide_protocols!C:C,INDIRECT("maps!F$"&amp;ROW()))&gt;0,"protocols",""))))</f>
        <v>measures</v>
      </c>
      <c r="I211" s="9" t="s">
        <v>1113</v>
      </c>
      <c r="J211" s="6"/>
      <c r="K211" s="6"/>
      <c r="L211" s="6"/>
      <c r="M211" s="6"/>
      <c r="N211" s="6"/>
    </row>
    <row r="212" spans="1:14" s="36" customFormat="1" x14ac:dyDescent="0.2">
      <c r="A212" s="36">
        <v>211</v>
      </c>
      <c r="B212" s="36" t="b">
        <v>1</v>
      </c>
      <c r="C212" s="37" t="str">
        <f t="shared" si="3"/>
        <v/>
      </c>
      <c r="D212" s="37" t="s">
        <v>24</v>
      </c>
      <c r="E212" s="37" t="s">
        <v>192</v>
      </c>
      <c r="F212" s="37" t="s">
        <v>161</v>
      </c>
      <c r="G212" s="37" t="s">
        <v>307</v>
      </c>
      <c r="H212" s="37" t="s">
        <v>1013</v>
      </c>
      <c r="I212" s="37"/>
      <c r="J212" s="37" t="s">
        <v>1036</v>
      </c>
      <c r="K212" s="37" t="s">
        <v>1375</v>
      </c>
      <c r="L212" s="37"/>
      <c r="M212" s="37"/>
      <c r="N212" s="38" t="s">
        <v>1045</v>
      </c>
    </row>
    <row r="213" spans="1:14" x14ac:dyDescent="0.2">
      <c r="A213">
        <v>212</v>
      </c>
      <c r="B213" s="36" t="b">
        <v>1</v>
      </c>
      <c r="C213" s="6" t="str">
        <f t="shared" si="3"/>
        <v/>
      </c>
      <c r="D213" s="6" t="s">
        <v>24</v>
      </c>
      <c r="E213" s="6" t="s">
        <v>192</v>
      </c>
      <c r="F213" s="6" t="s">
        <v>161</v>
      </c>
      <c r="G213" s="6" t="s">
        <v>308</v>
      </c>
      <c r="H213" s="6" t="s">
        <v>1013</v>
      </c>
      <c r="I213" s="6"/>
      <c r="J213" s="6" t="s">
        <v>1036</v>
      </c>
      <c r="K213" s="6" t="s">
        <v>1376</v>
      </c>
      <c r="L213" s="6"/>
      <c r="M213" s="6"/>
      <c r="N213" s="5" t="s">
        <v>1045</v>
      </c>
    </row>
    <row r="214" spans="1:14" x14ac:dyDescent="0.2">
      <c r="A214">
        <v>213</v>
      </c>
      <c r="B214" s="36" t="b">
        <v>1</v>
      </c>
      <c r="C214" s="6" t="str">
        <f t="shared" si="3"/>
        <v/>
      </c>
      <c r="D214" s="6" t="s">
        <v>24</v>
      </c>
      <c r="E214" s="6" t="s">
        <v>192</v>
      </c>
      <c r="F214" s="6" t="s">
        <v>161</v>
      </c>
      <c r="G214" s="6" t="s">
        <v>309</v>
      </c>
      <c r="H214" s="6" t="s">
        <v>1013</v>
      </c>
      <c r="I214" s="6"/>
      <c r="J214" s="6" t="s">
        <v>1036</v>
      </c>
      <c r="K214" s="6" t="s">
        <v>1377</v>
      </c>
      <c r="L214" s="6"/>
      <c r="M214" s="6"/>
      <c r="N214" s="5" t="s">
        <v>1045</v>
      </c>
    </row>
    <row r="215" spans="1:14" x14ac:dyDescent="0.2">
      <c r="A215">
        <v>214</v>
      </c>
      <c r="B215" s="36" t="b">
        <v>1</v>
      </c>
      <c r="C215" s="6" t="str">
        <f t="shared" si="3"/>
        <v/>
      </c>
      <c r="D215" s="6" t="s">
        <v>24</v>
      </c>
      <c r="E215" s="6" t="s">
        <v>192</v>
      </c>
      <c r="F215" s="6" t="s">
        <v>161</v>
      </c>
      <c r="G215" s="6" t="s">
        <v>310</v>
      </c>
      <c r="H215" s="6" t="s">
        <v>1013</v>
      </c>
      <c r="I215" s="6"/>
      <c r="J215" s="6" t="s">
        <v>1036</v>
      </c>
      <c r="K215" s="6" t="s">
        <v>1378</v>
      </c>
      <c r="L215" s="6"/>
      <c r="M215" s="6"/>
      <c r="N215" s="5" t="s">
        <v>1045</v>
      </c>
    </row>
    <row r="216" spans="1:14" x14ac:dyDescent="0.2">
      <c r="A216">
        <v>215</v>
      </c>
      <c r="B216" s="36" t="b">
        <v>1</v>
      </c>
      <c r="C216" s="6" t="b">
        <f t="shared" ca="1" si="3"/>
        <v>1</v>
      </c>
      <c r="D216" s="6" t="s">
        <v>24</v>
      </c>
      <c r="E216" s="6" t="s">
        <v>192</v>
      </c>
      <c r="F216" s="6" t="s">
        <v>162</v>
      </c>
      <c r="G216" s="6" t="s">
        <v>497</v>
      </c>
      <c r="H216" s="9" t="str" cm="1">
        <f t="array" aca="1" ref="H216" ca="1">IF(COUNTIF(wide_measures!D:D,INDIRECT("maps!F$"&amp;ROW()))&gt;0,"measures",IF(COUNTIF(wide_protocolSteps!C:C,INDIRECT("maps!F$"&amp;ROW()))&gt;0,"protocolSteps",IF(COUNTIF(wide_repositories!C:C,INDIRECT("maps!F$"&amp;ROW()))&gt;0,"repositories",IF(COUNTIF(wide_protocols!C:C,INDIRECT("maps!F$"&amp;ROW()))&gt;0,"protocols",""))))</f>
        <v>measures</v>
      </c>
      <c r="I216" s="9" t="s">
        <v>1113</v>
      </c>
      <c r="J216" s="6"/>
      <c r="K216" s="6"/>
      <c r="L216" s="6"/>
      <c r="M216" s="6"/>
      <c r="N216" s="6"/>
    </row>
    <row r="217" spans="1:14" x14ac:dyDescent="0.2">
      <c r="A217">
        <v>216</v>
      </c>
      <c r="B217" s="36" t="b">
        <v>1</v>
      </c>
      <c r="C217" s="6" t="str">
        <f t="shared" ca="1" si="3"/>
        <v/>
      </c>
      <c r="D217" s="6" t="s">
        <v>24</v>
      </c>
      <c r="E217" s="6" t="s">
        <v>192</v>
      </c>
      <c r="F217" s="6" t="s">
        <v>163</v>
      </c>
      <c r="G217" s="6"/>
      <c r="H217" s="9" t="str" cm="1">
        <f t="array" aca="1" ref="H217" ca="1">IF(COUNTIF(wide_measures!D:D,INDIRECT("maps!F$"&amp;ROW()))&gt;0,"measures",IF(COUNTIF(wide_protocolSteps!C:C,INDIRECT("maps!F$"&amp;ROW()))&gt;0,"protocolSteps",IF(COUNTIF(wide_repositories!C:C,INDIRECT("maps!F$"&amp;ROW()))&gt;0,"repositories",IF(COUNTIF(wide_protocols!C:C,INDIRECT("maps!F$"&amp;ROW()))&gt;0,"protocols",""))))</f>
        <v>protocols</v>
      </c>
      <c r="I217" s="9" t="s">
        <v>1113</v>
      </c>
      <c r="J217" s="6"/>
      <c r="K217" s="6"/>
      <c r="L217" s="6"/>
      <c r="M217" s="6"/>
      <c r="N217" s="6"/>
    </row>
    <row r="218" spans="1:14" x14ac:dyDescent="0.2">
      <c r="A218">
        <v>217</v>
      </c>
      <c r="B218" s="36" t="b">
        <v>1</v>
      </c>
      <c r="C218" s="6" t="b">
        <f t="shared" ca="1" si="3"/>
        <v>1</v>
      </c>
      <c r="D218" s="6" t="s">
        <v>24</v>
      </c>
      <c r="E218" s="6" t="s">
        <v>192</v>
      </c>
      <c r="F218" s="6" t="s">
        <v>133</v>
      </c>
      <c r="G218" s="6" t="s">
        <v>497</v>
      </c>
      <c r="H218" s="9" t="str" cm="1">
        <f t="array" aca="1" ref="H218" ca="1">IF(COUNTIF(wide_measures!D:D,INDIRECT("maps!F$"&amp;ROW()))&gt;0,"measures",IF(COUNTIF(wide_protocolSteps!C:C,INDIRECT("maps!F$"&amp;ROW()))&gt;0,"protocolSteps",IF(COUNTIF(wide_repositories!C:C,INDIRECT("maps!F$"&amp;ROW()))&gt;0,"repositories",IF(COUNTIF(wide_protocols!C:C,INDIRECT("maps!F$"&amp;ROW()))&gt;0,"protocols",""))))</f>
        <v>measures</v>
      </c>
      <c r="I218" s="9" t="s">
        <v>1113</v>
      </c>
      <c r="J218" s="6"/>
      <c r="K218" s="6"/>
      <c r="L218" s="6"/>
      <c r="M218" s="6"/>
      <c r="N218" s="6"/>
    </row>
    <row r="219" spans="1:14" x14ac:dyDescent="0.2">
      <c r="A219">
        <v>218</v>
      </c>
      <c r="B219" s="36" t="b">
        <v>1</v>
      </c>
      <c r="C219" s="6" t="str">
        <f t="shared" ca="1" si="3"/>
        <v/>
      </c>
      <c r="D219" s="6" t="s">
        <v>24</v>
      </c>
      <c r="E219" s="6" t="s">
        <v>192</v>
      </c>
      <c r="F219" s="6" t="s">
        <v>130</v>
      </c>
      <c r="G219" s="6" t="s">
        <v>300</v>
      </c>
      <c r="H219" s="9" t="str" cm="1">
        <f t="array" aca="1" ref="H219" ca="1">IF(COUNTIF(wide_measures!D:D,INDIRECT("maps!F$"&amp;ROW()))&gt;0,"measures",IF(COUNTIF(wide_protocolSteps!C:C,INDIRECT("maps!F$"&amp;ROW()))&gt;0,"protocolSteps",IF(COUNTIF(wide_repositories!C:C,INDIRECT("maps!F$"&amp;ROW()))&gt;0,"repositories",IF(COUNTIF(wide_protocols!C:C,INDIRECT("maps!F$"&amp;ROW()))&gt;0,"protocols",""))))</f>
        <v>measures</v>
      </c>
      <c r="I219" s="9" t="s">
        <v>1113</v>
      </c>
      <c r="J219" s="6"/>
      <c r="K219" s="6"/>
      <c r="L219" s="6"/>
      <c r="M219" s="6"/>
      <c r="N219" s="6"/>
    </row>
    <row r="220" spans="1:14" x14ac:dyDescent="0.2">
      <c r="A220">
        <v>219</v>
      </c>
      <c r="B220" s="36" t="b">
        <v>1</v>
      </c>
      <c r="C220" s="6" t="str">
        <f t="shared" ca="1" si="3"/>
        <v/>
      </c>
      <c r="D220" s="6" t="s">
        <v>24</v>
      </c>
      <c r="E220" s="6" t="s">
        <v>192</v>
      </c>
      <c r="F220" s="6" t="s">
        <v>130</v>
      </c>
      <c r="G220" s="6" t="s">
        <v>301</v>
      </c>
      <c r="H220" s="9" t="str" cm="1">
        <f t="array" aca="1" ref="H220" ca="1">IF(COUNTIF(wide_measures!D:D,INDIRECT("maps!F$"&amp;ROW()))&gt;0,"measures",IF(COUNTIF(wide_protocolSteps!C:C,INDIRECT("maps!F$"&amp;ROW()))&gt;0,"protocolSteps",IF(COUNTIF(wide_repositories!C:C,INDIRECT("maps!F$"&amp;ROW()))&gt;0,"repositories",IF(COUNTIF(wide_protocols!C:C,INDIRECT("maps!F$"&amp;ROW()))&gt;0,"protocols",""))))</f>
        <v>measures</v>
      </c>
      <c r="I220" s="9" t="s">
        <v>1113</v>
      </c>
      <c r="J220" s="6"/>
      <c r="K220" s="6"/>
      <c r="L220" s="6"/>
      <c r="M220" s="6"/>
      <c r="N220" s="6"/>
    </row>
    <row r="221" spans="1:14" x14ac:dyDescent="0.2">
      <c r="A221">
        <v>220</v>
      </c>
      <c r="B221" s="36" t="b">
        <v>1</v>
      </c>
      <c r="C221" s="6" t="str">
        <f t="shared" ca="1" si="3"/>
        <v/>
      </c>
      <c r="D221" s="6" t="s">
        <v>24</v>
      </c>
      <c r="E221" s="6" t="s">
        <v>192</v>
      </c>
      <c r="F221" s="6" t="s">
        <v>130</v>
      </c>
      <c r="G221" s="6" t="s">
        <v>302</v>
      </c>
      <c r="H221" s="9" t="str" cm="1">
        <f t="array" aca="1" ref="H221" ca="1">IF(COUNTIF(wide_measures!D:D,INDIRECT("maps!F$"&amp;ROW()))&gt;0,"measures",IF(COUNTIF(wide_protocolSteps!C:C,INDIRECT("maps!F$"&amp;ROW()))&gt;0,"protocolSteps",IF(COUNTIF(wide_repositories!C:C,INDIRECT("maps!F$"&amp;ROW()))&gt;0,"repositories",IF(COUNTIF(wide_protocols!C:C,INDIRECT("maps!F$"&amp;ROW()))&gt;0,"protocols",""))))</f>
        <v>measures</v>
      </c>
      <c r="I221" s="9" t="s">
        <v>1113</v>
      </c>
      <c r="J221" s="6"/>
      <c r="K221" s="6"/>
      <c r="L221" s="6"/>
      <c r="M221" s="6"/>
      <c r="N221" s="6"/>
    </row>
    <row r="222" spans="1:14" x14ac:dyDescent="0.2">
      <c r="A222">
        <v>221</v>
      </c>
      <c r="B222" s="36" t="b">
        <v>1</v>
      </c>
      <c r="C222" s="6" t="str">
        <f t="shared" ca="1" si="3"/>
        <v/>
      </c>
      <c r="D222" s="6" t="s">
        <v>24</v>
      </c>
      <c r="E222" s="6" t="s">
        <v>192</v>
      </c>
      <c r="F222" s="6" t="s">
        <v>130</v>
      </c>
      <c r="G222" s="6" t="s">
        <v>303</v>
      </c>
      <c r="H222" s="9" t="str" cm="1">
        <f t="array" aca="1" ref="H222" ca="1">IF(COUNTIF(wide_measures!D:D,INDIRECT("maps!F$"&amp;ROW()))&gt;0,"measures",IF(COUNTIF(wide_protocolSteps!C:C,INDIRECT("maps!F$"&amp;ROW()))&gt;0,"protocolSteps",IF(COUNTIF(wide_repositories!C:C,INDIRECT("maps!F$"&amp;ROW()))&gt;0,"repositories",IF(COUNTIF(wide_protocols!C:C,INDIRECT("maps!F$"&amp;ROW()))&gt;0,"protocols",""))))</f>
        <v>measures</v>
      </c>
      <c r="I222" s="9" t="s">
        <v>1113</v>
      </c>
      <c r="J222" s="6"/>
      <c r="K222" s="6"/>
      <c r="L222" s="6"/>
      <c r="M222" s="6"/>
      <c r="N222" s="6"/>
    </row>
    <row r="223" spans="1:14" x14ac:dyDescent="0.2">
      <c r="A223">
        <v>222</v>
      </c>
      <c r="B223" s="36" t="b">
        <v>1</v>
      </c>
      <c r="C223" s="6" t="str">
        <f t="shared" ca="1" si="3"/>
        <v/>
      </c>
      <c r="D223" s="6" t="s">
        <v>24</v>
      </c>
      <c r="E223" s="6" t="s">
        <v>192</v>
      </c>
      <c r="F223" s="6" t="s">
        <v>130</v>
      </c>
      <c r="G223" s="6" t="s">
        <v>304</v>
      </c>
      <c r="H223" s="9" t="str" cm="1">
        <f t="array" aca="1" ref="H223" ca="1">IF(COUNTIF(wide_measures!D:D,INDIRECT("maps!F$"&amp;ROW()))&gt;0,"measures",IF(COUNTIF(wide_protocolSteps!C:C,INDIRECT("maps!F$"&amp;ROW()))&gt;0,"protocolSteps",IF(COUNTIF(wide_repositories!C:C,INDIRECT("maps!F$"&amp;ROW()))&gt;0,"repositories",IF(COUNTIF(wide_protocols!C:C,INDIRECT("maps!F$"&amp;ROW()))&gt;0,"protocols",""))))</f>
        <v>measures</v>
      </c>
      <c r="I223" s="9" t="s">
        <v>1113</v>
      </c>
      <c r="J223" s="6"/>
      <c r="K223" s="6"/>
      <c r="L223" s="6"/>
      <c r="M223" s="6"/>
      <c r="N223" s="6"/>
    </row>
    <row r="224" spans="1:14" x14ac:dyDescent="0.2">
      <c r="A224">
        <v>223</v>
      </c>
      <c r="B224" s="36" t="b">
        <v>1</v>
      </c>
      <c r="C224" s="6" t="str">
        <f t="shared" ca="1" si="3"/>
        <v/>
      </c>
      <c r="D224" s="6" t="s">
        <v>24</v>
      </c>
      <c r="E224" s="6" t="s">
        <v>192</v>
      </c>
      <c r="F224" s="6" t="s">
        <v>130</v>
      </c>
      <c r="G224" s="6" t="s">
        <v>305</v>
      </c>
      <c r="H224" s="9" t="str" cm="1">
        <f t="array" aca="1" ref="H224" ca="1">IF(COUNTIF(wide_measures!D:D,INDIRECT("maps!F$"&amp;ROW()))&gt;0,"measures",IF(COUNTIF(wide_protocolSteps!C:C,INDIRECT("maps!F$"&amp;ROW()))&gt;0,"protocolSteps",IF(COUNTIF(wide_repositories!C:C,INDIRECT("maps!F$"&amp;ROW()))&gt;0,"repositories",IF(COUNTIF(wide_protocols!C:C,INDIRECT("maps!F$"&amp;ROW()))&gt;0,"protocols",""))))</f>
        <v>measures</v>
      </c>
      <c r="I224" s="9" t="s">
        <v>1113</v>
      </c>
      <c r="J224" s="6"/>
      <c r="K224" s="6"/>
      <c r="L224" s="6"/>
      <c r="M224" s="6"/>
      <c r="N224" s="6"/>
    </row>
    <row r="225" spans="1:15" x14ac:dyDescent="0.2">
      <c r="A225">
        <v>224</v>
      </c>
      <c r="B225" s="36" t="b">
        <v>1</v>
      </c>
      <c r="C225" s="6" t="str">
        <f t="shared" ca="1" si="3"/>
        <v/>
      </c>
      <c r="D225" s="6" t="s">
        <v>24</v>
      </c>
      <c r="E225" s="6" t="s">
        <v>192</v>
      </c>
      <c r="F225" s="6" t="s">
        <v>130</v>
      </c>
      <c r="G225" s="6" t="s">
        <v>306</v>
      </c>
      <c r="H225" s="9" t="str" cm="1">
        <f t="array" aca="1" ref="H225" ca="1">IF(COUNTIF(wide_measures!D:D,INDIRECT("maps!F$"&amp;ROW()))&gt;0,"measures",IF(COUNTIF(wide_protocolSteps!C:C,INDIRECT("maps!F$"&amp;ROW()))&gt;0,"protocolSteps",IF(COUNTIF(wide_repositories!C:C,INDIRECT("maps!F$"&amp;ROW()))&gt;0,"repositories",IF(COUNTIF(wide_protocols!C:C,INDIRECT("maps!F$"&amp;ROW()))&gt;0,"protocols",""))))</f>
        <v>measures</v>
      </c>
      <c r="I225" s="9" t="s">
        <v>1113</v>
      </c>
      <c r="J225" s="6"/>
      <c r="K225" s="6"/>
      <c r="L225" s="6"/>
      <c r="M225" s="6"/>
      <c r="N225" s="6"/>
    </row>
    <row r="226" spans="1:15" s="30" customFormat="1" x14ac:dyDescent="0.2">
      <c r="A226" s="30">
        <v>225</v>
      </c>
      <c r="C226" s="26" t="b">
        <f t="shared" si="3"/>
        <v>1</v>
      </c>
      <c r="D226" s="26" t="s">
        <v>1198</v>
      </c>
      <c r="E226" s="26" t="s">
        <v>192</v>
      </c>
      <c r="F226" s="26" t="s">
        <v>1202</v>
      </c>
      <c r="G226" s="26" t="s">
        <v>497</v>
      </c>
      <c r="H226" s="26" t="s">
        <v>1013</v>
      </c>
      <c r="I226" s="26"/>
      <c r="J226" s="26" t="s">
        <v>9</v>
      </c>
      <c r="K226" s="26" t="s">
        <v>1860</v>
      </c>
      <c r="L226" s="26"/>
      <c r="M226" s="26"/>
      <c r="N226" s="29" t="s">
        <v>1862</v>
      </c>
      <c r="O226" s="26" t="s">
        <v>1938</v>
      </c>
    </row>
    <row r="227" spans="1:15" x14ac:dyDescent="0.2">
      <c r="A227">
        <v>226</v>
      </c>
      <c r="C227" s="6" t="b">
        <f t="shared" ca="1" si="3"/>
        <v>1</v>
      </c>
      <c r="D227" s="6" t="s">
        <v>1198</v>
      </c>
      <c r="E227" s="6" t="s">
        <v>192</v>
      </c>
      <c r="F227" s="6" t="s">
        <v>1200</v>
      </c>
      <c r="G227" s="6" t="s">
        <v>497</v>
      </c>
      <c r="H227" s="9" t="str" cm="1">
        <f t="array" aca="1" ref="H227" ca="1">IF(COUNTIF(wide_measures!D:D,INDIRECT("maps!F$"&amp;ROW()))&gt;0,"measures",IF(COUNTIF(wide_protocolSteps!C:C,INDIRECT("maps!F$"&amp;ROW()))&gt;0,"protocolSteps",IF(COUNTIF(wide_repositories!C:C,INDIRECT("maps!F$"&amp;ROW()))&gt;0,"repositories",IF(COUNTIF(wide_protocols!C:C,INDIRECT("maps!F$"&amp;ROW()))&gt;0,"protocols",""))))</f>
        <v>protocolSteps</v>
      </c>
      <c r="I227" s="9" t="s">
        <v>1113</v>
      </c>
      <c r="J227" s="6"/>
      <c r="K227" s="6"/>
      <c r="L227" s="6"/>
      <c r="M227" s="6"/>
      <c r="N227" s="5" t="s">
        <v>1759</v>
      </c>
    </row>
    <row r="228" spans="1:15" x14ac:dyDescent="0.2">
      <c r="A228">
        <v>227</v>
      </c>
      <c r="C228" s="6" t="b">
        <f t="shared" si="3"/>
        <v>1</v>
      </c>
      <c r="D228" s="6" t="s">
        <v>1198</v>
      </c>
      <c r="E228" s="6" t="s">
        <v>192</v>
      </c>
      <c r="F228" s="6" t="s">
        <v>1201</v>
      </c>
      <c r="G228" s="6" t="s">
        <v>497</v>
      </c>
      <c r="H228" s="6" t="s">
        <v>1331</v>
      </c>
      <c r="I228" s="6"/>
      <c r="J228" s="6" t="s">
        <v>1734</v>
      </c>
      <c r="K228" s="6" t="s">
        <v>1878</v>
      </c>
      <c r="L228" s="6"/>
      <c r="M228" s="6"/>
      <c r="N228" s="5" t="s">
        <v>1758</v>
      </c>
      <c r="O228" s="6" t="s">
        <v>1939</v>
      </c>
    </row>
    <row r="229" spans="1:15" x14ac:dyDescent="0.2">
      <c r="A229">
        <v>228</v>
      </c>
      <c r="C229" s="6" t="b">
        <f t="shared" si="3"/>
        <v>1</v>
      </c>
      <c r="D229" s="6" t="s">
        <v>1198</v>
      </c>
      <c r="E229" s="6" t="s">
        <v>192</v>
      </c>
      <c r="F229" s="6" t="s">
        <v>1199</v>
      </c>
      <c r="G229" s="6" t="s">
        <v>497</v>
      </c>
      <c r="H229" s="6" t="s">
        <v>1013</v>
      </c>
      <c r="I229" s="6"/>
      <c r="J229" s="6" t="s">
        <v>1091</v>
      </c>
      <c r="K229" s="6" t="s">
        <v>1762</v>
      </c>
      <c r="L229" s="6"/>
      <c r="M229" s="6"/>
      <c r="N229" s="5" t="s">
        <v>1763</v>
      </c>
      <c r="O229" s="6" t="s">
        <v>1940</v>
      </c>
    </row>
    <row r="230" spans="1:15" x14ac:dyDescent="0.2">
      <c r="A230">
        <v>229</v>
      </c>
      <c r="B230" t="b">
        <v>1</v>
      </c>
      <c r="C230" s="6" t="str">
        <f t="shared" si="3"/>
        <v/>
      </c>
      <c r="D230" s="6" t="s">
        <v>497</v>
      </c>
      <c r="E230" s="6" t="s">
        <v>192</v>
      </c>
      <c r="F230" s="6" t="s">
        <v>491</v>
      </c>
      <c r="G230" s="6" t="s">
        <v>492</v>
      </c>
      <c r="H230" s="6" t="s">
        <v>497</v>
      </c>
      <c r="I230" s="6"/>
      <c r="J230" s="6" t="s">
        <v>497</v>
      </c>
      <c r="K230" s="6" t="s">
        <v>497</v>
      </c>
      <c r="L230" s="6"/>
      <c r="M230" s="6"/>
      <c r="N230" s="5" t="s">
        <v>1136</v>
      </c>
    </row>
    <row r="231" spans="1:15" x14ac:dyDescent="0.2">
      <c r="A231">
        <v>230</v>
      </c>
      <c r="B231" t="b">
        <v>1</v>
      </c>
      <c r="C231" s="6" t="str">
        <f t="shared" si="3"/>
        <v/>
      </c>
      <c r="D231" s="6" t="s">
        <v>497</v>
      </c>
      <c r="E231" s="6" t="s">
        <v>192</v>
      </c>
      <c r="F231" s="6" t="s">
        <v>491</v>
      </c>
      <c r="G231" s="6" t="s">
        <v>493</v>
      </c>
      <c r="H231" s="6" t="s">
        <v>497</v>
      </c>
      <c r="I231" s="6"/>
      <c r="J231" s="6" t="s">
        <v>497</v>
      </c>
      <c r="K231" s="6" t="s">
        <v>497</v>
      </c>
      <c r="L231" s="6"/>
      <c r="M231" s="6"/>
      <c r="N231" s="5" t="s">
        <v>1136</v>
      </c>
    </row>
    <row r="232" spans="1:15" x14ac:dyDescent="0.2">
      <c r="A232">
        <v>231</v>
      </c>
      <c r="B232" t="b">
        <v>1</v>
      </c>
      <c r="C232" s="6" t="str">
        <f t="shared" si="3"/>
        <v/>
      </c>
      <c r="D232" s="6" t="s">
        <v>497</v>
      </c>
      <c r="E232" s="6" t="s">
        <v>192</v>
      </c>
      <c r="F232" s="6" t="s">
        <v>491</v>
      </c>
      <c r="G232" s="6" t="s">
        <v>494</v>
      </c>
      <c r="H232" s="6" t="s">
        <v>497</v>
      </c>
      <c r="I232" s="6"/>
      <c r="J232" s="6" t="s">
        <v>497</v>
      </c>
      <c r="K232" s="6" t="s">
        <v>1134</v>
      </c>
      <c r="L232" s="6"/>
      <c r="M232" s="6"/>
      <c r="N232" s="6"/>
    </row>
    <row r="233" spans="1:15" x14ac:dyDescent="0.2">
      <c r="A233">
        <v>232</v>
      </c>
      <c r="B233" t="b">
        <v>1</v>
      </c>
      <c r="C233" s="6" t="str">
        <f t="shared" si="3"/>
        <v/>
      </c>
      <c r="D233" s="6" t="s">
        <v>497</v>
      </c>
      <c r="E233" s="6" t="s">
        <v>192</v>
      </c>
      <c r="F233" s="6" t="s">
        <v>491</v>
      </c>
      <c r="G233" s="6" t="s">
        <v>495</v>
      </c>
      <c r="H233" s="6" t="s">
        <v>497</v>
      </c>
      <c r="I233" s="6"/>
      <c r="J233" s="6" t="s">
        <v>497</v>
      </c>
      <c r="K233" s="6" t="s">
        <v>1133</v>
      </c>
      <c r="L233" s="6"/>
      <c r="M233" s="6"/>
      <c r="N233" s="6"/>
    </row>
    <row r="234" spans="1:15" ht="17" customHeight="1" x14ac:dyDescent="0.2">
      <c r="A234">
        <v>233</v>
      </c>
      <c r="B234" t="b">
        <v>1</v>
      </c>
      <c r="C234" s="6" t="str">
        <f t="shared" si="3"/>
        <v/>
      </c>
      <c r="D234" s="6" t="s">
        <v>497</v>
      </c>
      <c r="E234" s="6" t="s">
        <v>192</v>
      </c>
      <c r="F234" s="6" t="s">
        <v>491</v>
      </c>
      <c r="G234" s="6" t="s">
        <v>496</v>
      </c>
      <c r="H234" s="6" t="s">
        <v>497</v>
      </c>
      <c r="I234" s="6"/>
      <c r="J234" s="6" t="s">
        <v>497</v>
      </c>
      <c r="K234" s="6" t="s">
        <v>1135</v>
      </c>
      <c r="L234" s="6"/>
      <c r="M234" s="6"/>
      <c r="N234" s="6"/>
    </row>
    <row r="235" spans="1:15" s="36" customFormat="1" x14ac:dyDescent="0.2">
      <c r="A235" s="36">
        <v>234</v>
      </c>
      <c r="B235" s="36" t="b">
        <v>1</v>
      </c>
      <c r="C235" s="37" t="str">
        <f t="shared" ca="1" si="3"/>
        <v/>
      </c>
      <c r="D235" s="37" t="s">
        <v>149</v>
      </c>
      <c r="E235" s="37" t="s">
        <v>192</v>
      </c>
      <c r="F235" s="37" t="s">
        <v>150</v>
      </c>
      <c r="G235" s="37" t="s">
        <v>1241</v>
      </c>
      <c r="H235" s="9" t="str" cm="1">
        <f t="array" aca="1" ref="H235" ca="1">IF(COUNTIF(wide_measures!D:D,INDIRECT("maps!F$"&amp;ROW()))&gt;0,"measures",IF(COUNTIF(wide_protocolSteps!C:C,INDIRECT("maps!F$"&amp;ROW()))&gt;0,"protocolSteps",IF(COUNTIF(wide_repositories!C:C,INDIRECT("maps!F$"&amp;ROW()))&gt;0,"repositories",IF(COUNTIF(wide_protocols!C:C,INDIRECT("maps!F$"&amp;ROW()))&gt;0,"protocols",""))))</f>
        <v>protocolSteps</v>
      </c>
      <c r="I235" s="9" t="s">
        <v>1113</v>
      </c>
      <c r="J235" s="37"/>
      <c r="K235" s="37"/>
      <c r="L235" s="37"/>
      <c r="M235" s="37"/>
      <c r="N235" s="37"/>
      <c r="O235" s="36" t="s">
        <v>1941</v>
      </c>
    </row>
    <row r="236" spans="1:15" x14ac:dyDescent="0.2">
      <c r="A236">
        <v>235</v>
      </c>
      <c r="B236" t="b">
        <v>1</v>
      </c>
      <c r="C236" s="6" t="str">
        <f t="shared" ca="1" si="3"/>
        <v/>
      </c>
      <c r="D236" s="6" t="s">
        <v>149</v>
      </c>
      <c r="E236" s="6" t="s">
        <v>192</v>
      </c>
      <c r="F236" s="6" t="s">
        <v>150</v>
      </c>
      <c r="G236" s="6" t="s">
        <v>1242</v>
      </c>
      <c r="H236" s="9" t="str" cm="1">
        <f t="array" aca="1" ref="H236" ca="1">IF(COUNTIF(wide_measures!D:D,INDIRECT("maps!F$"&amp;ROW()))&gt;0,"measures",IF(COUNTIF(wide_protocolSteps!C:C,INDIRECT("maps!F$"&amp;ROW()))&gt;0,"protocolSteps",IF(COUNTIF(wide_repositories!C:C,INDIRECT("maps!F$"&amp;ROW()))&gt;0,"repositories",IF(COUNTIF(wide_protocols!C:C,INDIRECT("maps!F$"&amp;ROW()))&gt;0,"protocols",""))))</f>
        <v>protocolSteps</v>
      </c>
      <c r="I236" s="9" t="s">
        <v>1113</v>
      </c>
      <c r="J236" s="6"/>
      <c r="K236" s="6"/>
      <c r="L236" s="6"/>
      <c r="M236" s="6"/>
      <c r="N236" s="6"/>
    </row>
    <row r="237" spans="1:15" x14ac:dyDescent="0.2">
      <c r="A237">
        <v>236</v>
      </c>
      <c r="B237" t="b">
        <v>1</v>
      </c>
      <c r="C237" s="6" t="str">
        <f t="shared" ca="1" si="3"/>
        <v/>
      </c>
      <c r="D237" s="6" t="s">
        <v>149</v>
      </c>
      <c r="E237" s="6" t="s">
        <v>192</v>
      </c>
      <c r="F237" s="6" t="s">
        <v>150</v>
      </c>
      <c r="G237" s="6" t="s">
        <v>1243</v>
      </c>
      <c r="H237" s="9" t="str" cm="1">
        <f t="array" aca="1" ref="H237" ca="1">IF(COUNTIF(wide_measures!D:D,INDIRECT("maps!F$"&amp;ROW()))&gt;0,"measures",IF(COUNTIF(wide_protocolSteps!C:C,INDIRECT("maps!F$"&amp;ROW()))&gt;0,"protocolSteps",IF(COUNTIF(wide_repositories!C:C,INDIRECT("maps!F$"&amp;ROW()))&gt;0,"repositories",IF(COUNTIF(wide_protocols!C:C,INDIRECT("maps!F$"&amp;ROW()))&gt;0,"protocols",""))))</f>
        <v>protocolSteps</v>
      </c>
      <c r="I237" s="9" t="s">
        <v>1113</v>
      </c>
      <c r="J237" s="6"/>
      <c r="K237" s="6"/>
      <c r="L237" s="6"/>
      <c r="M237" s="6"/>
      <c r="N237" s="6"/>
    </row>
    <row r="238" spans="1:15" x14ac:dyDescent="0.2">
      <c r="A238">
        <v>237</v>
      </c>
      <c r="B238" t="b">
        <v>1</v>
      </c>
      <c r="C238" s="6" t="str">
        <f t="shared" si="3"/>
        <v/>
      </c>
      <c r="D238" s="6" t="s">
        <v>149</v>
      </c>
      <c r="E238" s="6" t="s">
        <v>192</v>
      </c>
      <c r="F238" s="6" t="s">
        <v>151</v>
      </c>
      <c r="G238" s="6" t="s">
        <v>364</v>
      </c>
      <c r="H238" s="6" t="s">
        <v>1013</v>
      </c>
      <c r="I238" s="6"/>
      <c r="J238" s="6" t="s">
        <v>1036</v>
      </c>
      <c r="K238" s="6" t="s">
        <v>1042</v>
      </c>
      <c r="L238" s="6"/>
      <c r="M238" s="6"/>
      <c r="N238" s="5" t="s">
        <v>1045</v>
      </c>
    </row>
    <row r="239" spans="1:15" x14ac:dyDescent="0.2">
      <c r="A239">
        <v>238</v>
      </c>
      <c r="B239" t="b">
        <v>1</v>
      </c>
      <c r="C239" s="6" t="str">
        <f t="shared" si="3"/>
        <v/>
      </c>
      <c r="D239" s="6" t="s">
        <v>149</v>
      </c>
      <c r="E239" s="6" t="s">
        <v>192</v>
      </c>
      <c r="F239" s="6" t="s">
        <v>151</v>
      </c>
      <c r="G239" s="6" t="s">
        <v>365</v>
      </c>
      <c r="H239" s="6" t="s">
        <v>1013</v>
      </c>
      <c r="I239" s="6"/>
      <c r="J239" s="6" t="s">
        <v>1036</v>
      </c>
      <c r="K239" s="6" t="s">
        <v>1063</v>
      </c>
      <c r="L239" s="6"/>
      <c r="M239" s="6"/>
      <c r="N239" s="5" t="s">
        <v>1045</v>
      </c>
    </row>
    <row r="240" spans="1:15" x14ac:dyDescent="0.2">
      <c r="A240">
        <v>239</v>
      </c>
      <c r="B240" t="b">
        <v>1</v>
      </c>
      <c r="C240" s="6" t="str">
        <f t="shared" si="3"/>
        <v/>
      </c>
      <c r="D240" s="6" t="s">
        <v>149</v>
      </c>
      <c r="E240" s="6" t="s">
        <v>192</v>
      </c>
      <c r="F240" s="6" t="s">
        <v>151</v>
      </c>
      <c r="G240" s="6" t="s">
        <v>369</v>
      </c>
      <c r="H240" s="6" t="s">
        <v>1013</v>
      </c>
      <c r="I240" s="6"/>
      <c r="J240" s="6" t="s">
        <v>1036</v>
      </c>
      <c r="K240" s="6" t="s">
        <v>1058</v>
      </c>
      <c r="L240" s="6"/>
      <c r="M240" s="6"/>
      <c r="N240" s="5" t="s">
        <v>1045</v>
      </c>
    </row>
    <row r="241" spans="1:15" x14ac:dyDescent="0.2">
      <c r="A241">
        <v>240</v>
      </c>
      <c r="B241" t="b">
        <v>1</v>
      </c>
      <c r="C241" s="6" t="str">
        <f t="shared" si="3"/>
        <v/>
      </c>
      <c r="D241" s="6" t="s">
        <v>149</v>
      </c>
      <c r="E241" s="6" t="s">
        <v>192</v>
      </c>
      <c r="F241" s="6" t="s">
        <v>151</v>
      </c>
      <c r="G241" s="6" t="s">
        <v>370</v>
      </c>
      <c r="H241" s="6" t="s">
        <v>1013</v>
      </c>
      <c r="I241" s="6"/>
      <c r="J241" s="6" t="s">
        <v>1036</v>
      </c>
      <c r="K241" s="6" t="s">
        <v>1041</v>
      </c>
      <c r="L241" s="6"/>
      <c r="M241" s="6"/>
      <c r="N241" s="5" t="s">
        <v>1045</v>
      </c>
    </row>
    <row r="242" spans="1:15" x14ac:dyDescent="0.2">
      <c r="A242">
        <v>241</v>
      </c>
      <c r="B242" t="b">
        <v>1</v>
      </c>
      <c r="C242" s="6" t="str">
        <f t="shared" si="3"/>
        <v/>
      </c>
      <c r="D242" s="6" t="s">
        <v>149</v>
      </c>
      <c r="E242" s="6" t="s">
        <v>192</v>
      </c>
      <c r="F242" s="6" t="s">
        <v>151</v>
      </c>
      <c r="G242" s="6" t="s">
        <v>371</v>
      </c>
      <c r="H242" s="6" t="s">
        <v>1013</v>
      </c>
      <c r="I242" s="6"/>
      <c r="J242" s="6" t="s">
        <v>1036</v>
      </c>
      <c r="K242" s="6" t="s">
        <v>1059</v>
      </c>
      <c r="L242" s="6"/>
      <c r="M242" s="6"/>
      <c r="N242" s="5" t="s">
        <v>1045</v>
      </c>
    </row>
    <row r="243" spans="1:15" x14ac:dyDescent="0.2">
      <c r="A243">
        <v>242</v>
      </c>
      <c r="B243" t="b">
        <v>1</v>
      </c>
      <c r="C243" s="6" t="str">
        <f t="shared" si="3"/>
        <v/>
      </c>
      <c r="D243" s="6" t="s">
        <v>149</v>
      </c>
      <c r="E243" s="6" t="s">
        <v>192</v>
      </c>
      <c r="F243" s="6" t="s">
        <v>151</v>
      </c>
      <c r="G243" s="6" t="s">
        <v>372</v>
      </c>
      <c r="H243" s="6" t="s">
        <v>1013</v>
      </c>
      <c r="I243" s="6"/>
      <c r="J243" s="6" t="s">
        <v>1036</v>
      </c>
      <c r="K243" s="6" t="s">
        <v>1060</v>
      </c>
      <c r="L243" s="6"/>
      <c r="M243" s="6"/>
      <c r="N243" s="5" t="s">
        <v>1045</v>
      </c>
    </row>
    <row r="244" spans="1:15" x14ac:dyDescent="0.2">
      <c r="A244">
        <v>243</v>
      </c>
      <c r="B244" t="b">
        <v>1</v>
      </c>
      <c r="C244" s="6" t="str">
        <f t="shared" si="3"/>
        <v/>
      </c>
      <c r="D244" s="6" t="s">
        <v>149</v>
      </c>
      <c r="E244" s="6" t="s">
        <v>192</v>
      </c>
      <c r="F244" s="6" t="s">
        <v>151</v>
      </c>
      <c r="G244" s="6" t="s">
        <v>373</v>
      </c>
      <c r="H244" s="6" t="s">
        <v>1013</v>
      </c>
      <c r="I244" s="6"/>
      <c r="J244" s="6" t="s">
        <v>1036</v>
      </c>
      <c r="K244" s="6" t="s">
        <v>1061</v>
      </c>
      <c r="L244" s="6"/>
      <c r="M244" s="6"/>
      <c r="N244" s="5" t="s">
        <v>1045</v>
      </c>
    </row>
    <row r="245" spans="1:15" x14ac:dyDescent="0.2">
      <c r="A245">
        <v>244</v>
      </c>
      <c r="B245" t="b">
        <v>1</v>
      </c>
      <c r="C245" s="6" t="str">
        <f t="shared" ca="1" si="3"/>
        <v/>
      </c>
      <c r="D245" s="6" t="s">
        <v>149</v>
      </c>
      <c r="E245" s="6" t="s">
        <v>192</v>
      </c>
      <c r="F245" s="6" t="s">
        <v>152</v>
      </c>
      <c r="G245" s="6"/>
      <c r="H245" s="9" t="str" cm="1">
        <f t="array" aca="1" ref="H245" ca="1">IF(COUNTIF(wide_measures!D:D,INDIRECT("maps!F$"&amp;ROW()))&gt;0,"measures",IF(COUNTIF(wide_protocolSteps!C:C,INDIRECT("maps!F$"&amp;ROW()))&gt;0,"protocolSteps",IF(COUNTIF(wide_repositories!C:C,INDIRECT("maps!F$"&amp;ROW()))&gt;0,"repositories",IF(COUNTIF(wide_protocols!C:C,INDIRECT("maps!F$"&amp;ROW()))&gt;0,"protocols",""))))</f>
        <v>measures</v>
      </c>
      <c r="I245" s="9" t="s">
        <v>1113</v>
      </c>
      <c r="J245" s="6"/>
      <c r="K245" s="6"/>
      <c r="L245" s="6"/>
      <c r="M245" s="6"/>
      <c r="N245" s="6"/>
    </row>
    <row r="246" spans="1:15" x14ac:dyDescent="0.2">
      <c r="A246">
        <v>245</v>
      </c>
      <c r="B246" t="b">
        <v>1</v>
      </c>
      <c r="C246" s="6" t="str">
        <f t="shared" ca="1" si="3"/>
        <v/>
      </c>
      <c r="D246" s="6" t="s">
        <v>149</v>
      </c>
      <c r="E246" s="6" t="s">
        <v>192</v>
      </c>
      <c r="F246" s="6" t="s">
        <v>1203</v>
      </c>
      <c r="G246" s="6" t="s">
        <v>1239</v>
      </c>
      <c r="H246" s="9" t="str" cm="1">
        <f t="array" aca="1" ref="H246" ca="1">IF(COUNTIF(wide_measures!D:D,INDIRECT("maps!F$"&amp;ROW()))&gt;0,"measures",IF(COUNTIF(wide_protocolSteps!C:C,INDIRECT("maps!F$"&amp;ROW()))&gt;0,"protocolSteps",IF(COUNTIF(wide_repositories!C:C,INDIRECT("maps!F$"&amp;ROW()))&gt;0,"repositories",IF(COUNTIF(wide_protocols!C:C,INDIRECT("maps!F$"&amp;ROW()))&gt;0,"protocols",""))))</f>
        <v>measures</v>
      </c>
      <c r="I246" s="9" t="s">
        <v>1113</v>
      </c>
      <c r="J246" s="6"/>
      <c r="K246" s="6"/>
      <c r="L246" s="6"/>
      <c r="M246" s="6"/>
      <c r="N246" s="6"/>
    </row>
    <row r="247" spans="1:15" x14ac:dyDescent="0.2">
      <c r="A247">
        <v>246</v>
      </c>
      <c r="B247" t="b">
        <v>1</v>
      </c>
      <c r="C247" s="6" t="str">
        <f t="shared" ca="1" si="3"/>
        <v/>
      </c>
      <c r="D247" s="6" t="s">
        <v>149</v>
      </c>
      <c r="E247" s="6" t="s">
        <v>192</v>
      </c>
      <c r="F247" s="6" t="s">
        <v>1203</v>
      </c>
      <c r="G247" s="6" t="s">
        <v>1240</v>
      </c>
      <c r="H247" s="9" t="str" cm="1">
        <f t="array" aca="1" ref="H247" ca="1">IF(COUNTIF(wide_measures!D:D,INDIRECT("maps!F$"&amp;ROW()))&gt;0,"measures",IF(COUNTIF(wide_protocolSteps!C:C,INDIRECT("maps!F$"&amp;ROW()))&gt;0,"protocolSteps",IF(COUNTIF(wide_repositories!C:C,INDIRECT("maps!F$"&amp;ROW()))&gt;0,"repositories",IF(COUNTIF(wide_protocols!C:C,INDIRECT("maps!F$"&amp;ROW()))&gt;0,"protocols",""))))</f>
        <v>measures</v>
      </c>
      <c r="I247" s="9" t="s">
        <v>1113</v>
      </c>
      <c r="J247" s="6"/>
      <c r="K247" s="6"/>
      <c r="L247" s="6"/>
      <c r="M247" s="6"/>
      <c r="N247" s="6"/>
    </row>
    <row r="248" spans="1:15" x14ac:dyDescent="0.2">
      <c r="A248">
        <v>247</v>
      </c>
      <c r="C248" s="6" t="str">
        <f t="shared" si="3"/>
        <v/>
      </c>
      <c r="D248" s="6" t="s">
        <v>149</v>
      </c>
      <c r="E248" s="6" t="s">
        <v>192</v>
      </c>
      <c r="F248" s="6" t="s">
        <v>155</v>
      </c>
      <c r="G248" s="6"/>
      <c r="H248" s="6" t="s">
        <v>1013</v>
      </c>
      <c r="I248" s="6"/>
      <c r="J248" s="6" t="s">
        <v>1091</v>
      </c>
      <c r="K248" s="6" t="s">
        <v>1527</v>
      </c>
      <c r="L248" s="6"/>
      <c r="M248" s="6"/>
      <c r="N248" s="5" t="s">
        <v>1526</v>
      </c>
      <c r="O248" s="6" t="s">
        <v>1943</v>
      </c>
    </row>
    <row r="249" spans="1:15" x14ac:dyDescent="0.2">
      <c r="A249">
        <v>248</v>
      </c>
      <c r="C249" s="6" t="b">
        <f t="shared" si="3"/>
        <v>1</v>
      </c>
      <c r="D249" s="6" t="s">
        <v>149</v>
      </c>
      <c r="E249" s="6" t="s">
        <v>192</v>
      </c>
      <c r="F249" s="6" t="s">
        <v>122</v>
      </c>
      <c r="G249" s="6" t="s">
        <v>497</v>
      </c>
      <c r="H249" s="6" t="s">
        <v>1013</v>
      </c>
      <c r="I249" s="6"/>
      <c r="J249" s="6" t="s">
        <v>1297</v>
      </c>
      <c r="K249" s="6" t="s">
        <v>1429</v>
      </c>
      <c r="L249" s="6"/>
      <c r="M249" s="6"/>
      <c r="N249" s="5" t="s">
        <v>1526</v>
      </c>
      <c r="O249" s="6" t="s">
        <v>1955</v>
      </c>
    </row>
    <row r="250" spans="1:15" x14ac:dyDescent="0.2">
      <c r="A250">
        <v>249</v>
      </c>
      <c r="C250" s="6" t="str">
        <f t="shared" si="3"/>
        <v/>
      </c>
      <c r="D250" s="6" t="s">
        <v>113</v>
      </c>
      <c r="E250" s="6" t="s">
        <v>192</v>
      </c>
      <c r="F250" s="6" t="s">
        <v>128</v>
      </c>
      <c r="G250" s="6" t="s">
        <v>284</v>
      </c>
      <c r="H250" s="6" t="s">
        <v>1276</v>
      </c>
      <c r="I250" s="6"/>
      <c r="J250" s="6" t="s">
        <v>1333</v>
      </c>
      <c r="K250" s="6" t="s">
        <v>1334</v>
      </c>
      <c r="L250" s="6"/>
      <c r="M250" s="6"/>
      <c r="N250" s="5" t="s">
        <v>1664</v>
      </c>
    </row>
    <row r="251" spans="1:15" x14ac:dyDescent="0.2">
      <c r="A251">
        <v>250</v>
      </c>
      <c r="C251" s="6" t="str">
        <f t="shared" si="3"/>
        <v/>
      </c>
      <c r="D251" s="6" t="s">
        <v>113</v>
      </c>
      <c r="E251" s="6" t="s">
        <v>192</v>
      </c>
      <c r="F251" s="6" t="s">
        <v>128</v>
      </c>
      <c r="G251" s="6" t="s">
        <v>285</v>
      </c>
      <c r="H251" s="6" t="s">
        <v>1276</v>
      </c>
      <c r="I251" s="6"/>
      <c r="J251" s="6" t="s">
        <v>1333</v>
      </c>
      <c r="K251" s="6" t="s">
        <v>1656</v>
      </c>
      <c r="L251" s="6"/>
      <c r="M251" s="6"/>
      <c r="N251" s="5" t="s">
        <v>1664</v>
      </c>
    </row>
    <row r="252" spans="1:15" x14ac:dyDescent="0.2">
      <c r="A252">
        <v>251</v>
      </c>
      <c r="C252" s="6" t="str">
        <f t="shared" si="3"/>
        <v/>
      </c>
      <c r="D252" s="6" t="s">
        <v>113</v>
      </c>
      <c r="E252" s="6" t="s">
        <v>192</v>
      </c>
      <c r="F252" s="6" t="s">
        <v>128</v>
      </c>
      <c r="G252" s="6" t="s">
        <v>286</v>
      </c>
      <c r="H252" s="6" t="s">
        <v>1276</v>
      </c>
      <c r="I252" s="6"/>
      <c r="J252" s="6" t="s">
        <v>1333</v>
      </c>
      <c r="K252" s="6" t="s">
        <v>1657</v>
      </c>
      <c r="L252" s="6"/>
      <c r="M252" s="6"/>
      <c r="N252" s="5" t="s">
        <v>1664</v>
      </c>
    </row>
    <row r="253" spans="1:15" x14ac:dyDescent="0.2">
      <c r="A253">
        <v>252</v>
      </c>
      <c r="C253" s="6" t="str">
        <f t="shared" si="3"/>
        <v/>
      </c>
      <c r="D253" s="6" t="s">
        <v>113</v>
      </c>
      <c r="E253" s="6" t="s">
        <v>192</v>
      </c>
      <c r="F253" s="6" t="s">
        <v>128</v>
      </c>
      <c r="G253" s="6" t="s">
        <v>287</v>
      </c>
      <c r="H253" s="6" t="s">
        <v>1276</v>
      </c>
      <c r="I253" s="6"/>
      <c r="J253" s="6" t="s">
        <v>1333</v>
      </c>
      <c r="K253" s="6" t="s">
        <v>1658</v>
      </c>
      <c r="L253" s="6"/>
      <c r="M253" s="6"/>
      <c r="N253" s="5" t="s">
        <v>1664</v>
      </c>
    </row>
    <row r="254" spans="1:15" x14ac:dyDescent="0.2">
      <c r="A254">
        <v>253</v>
      </c>
      <c r="C254" s="6" t="str">
        <f t="shared" si="3"/>
        <v/>
      </c>
      <c r="D254" s="6" t="s">
        <v>113</v>
      </c>
      <c r="E254" s="6" t="s">
        <v>192</v>
      </c>
      <c r="F254" s="6" t="s">
        <v>128</v>
      </c>
      <c r="G254" s="6" t="s">
        <v>288</v>
      </c>
      <c r="H254" s="6" t="s">
        <v>1276</v>
      </c>
      <c r="I254" s="6"/>
      <c r="J254" s="6" t="s">
        <v>1333</v>
      </c>
      <c r="K254" s="6" t="s">
        <v>1659</v>
      </c>
      <c r="L254" s="6"/>
      <c r="M254" s="6"/>
      <c r="N254" s="5" t="s">
        <v>1664</v>
      </c>
    </row>
    <row r="255" spans="1:15" x14ac:dyDescent="0.2">
      <c r="A255">
        <v>254</v>
      </c>
      <c r="C255" s="6" t="str">
        <f t="shared" si="3"/>
        <v/>
      </c>
      <c r="D255" s="6" t="s">
        <v>113</v>
      </c>
      <c r="E255" s="6" t="s">
        <v>192</v>
      </c>
      <c r="F255" s="6" t="s">
        <v>128</v>
      </c>
      <c r="G255" s="6" t="s">
        <v>289</v>
      </c>
      <c r="H255" s="6" t="s">
        <v>1276</v>
      </c>
      <c r="I255" s="6"/>
      <c r="J255" s="6" t="s">
        <v>1333</v>
      </c>
      <c r="K255" s="6" t="s">
        <v>1660</v>
      </c>
      <c r="L255" s="6"/>
      <c r="M255" s="6"/>
      <c r="N255" s="5" t="s">
        <v>1664</v>
      </c>
    </row>
    <row r="256" spans="1:15" x14ac:dyDescent="0.2">
      <c r="A256">
        <v>255</v>
      </c>
      <c r="C256" s="6" t="str">
        <f t="shared" si="3"/>
        <v/>
      </c>
      <c r="D256" s="6" t="s">
        <v>113</v>
      </c>
      <c r="E256" s="6" t="s">
        <v>192</v>
      </c>
      <c r="F256" s="6" t="s">
        <v>128</v>
      </c>
      <c r="G256" s="6" t="s">
        <v>290</v>
      </c>
      <c r="H256" s="6" t="s">
        <v>1276</v>
      </c>
      <c r="I256" s="6"/>
      <c r="J256" s="6" t="s">
        <v>1333</v>
      </c>
      <c r="K256" s="6" t="s">
        <v>1589</v>
      </c>
      <c r="L256" s="6"/>
      <c r="M256" s="6"/>
      <c r="N256" s="5" t="s">
        <v>1665</v>
      </c>
    </row>
    <row r="257" spans="1:15" x14ac:dyDescent="0.2">
      <c r="A257">
        <v>256</v>
      </c>
      <c r="C257" s="6" t="str">
        <f t="shared" si="3"/>
        <v/>
      </c>
      <c r="D257" s="6" t="s">
        <v>113</v>
      </c>
      <c r="E257" s="6" t="s">
        <v>192</v>
      </c>
      <c r="F257" s="6" t="s">
        <v>128</v>
      </c>
      <c r="G257" s="6" t="s">
        <v>291</v>
      </c>
      <c r="H257" s="6" t="s">
        <v>1276</v>
      </c>
      <c r="I257" s="6"/>
      <c r="J257" s="6" t="s">
        <v>1333</v>
      </c>
      <c r="K257" s="6" t="s">
        <v>1661</v>
      </c>
      <c r="L257" s="6"/>
      <c r="M257" s="6"/>
      <c r="N257" s="5" t="s">
        <v>1666</v>
      </c>
    </row>
    <row r="258" spans="1:15" x14ac:dyDescent="0.2">
      <c r="A258">
        <v>257</v>
      </c>
      <c r="C258" s="6" t="str">
        <f t="shared" si="3"/>
        <v/>
      </c>
      <c r="D258" s="6" t="s">
        <v>113</v>
      </c>
      <c r="E258" s="6" t="s">
        <v>192</v>
      </c>
      <c r="F258" s="6" t="s">
        <v>128</v>
      </c>
      <c r="G258" s="6" t="s">
        <v>292</v>
      </c>
      <c r="H258" s="6" t="s">
        <v>1276</v>
      </c>
      <c r="I258" s="6"/>
      <c r="J258" s="6" t="s">
        <v>1333</v>
      </c>
      <c r="K258" s="6" t="s">
        <v>1588</v>
      </c>
      <c r="L258" s="6"/>
      <c r="M258" s="6"/>
      <c r="N258" s="5" t="s">
        <v>1666</v>
      </c>
    </row>
    <row r="259" spans="1:15" x14ac:dyDescent="0.2">
      <c r="A259">
        <v>258</v>
      </c>
      <c r="C259" s="6" t="str">
        <f t="shared" ref="C259:C322" si="4">IF(AND(G259="NA",H259&lt;&gt;"wide_value"),TRUE,"")</f>
        <v/>
      </c>
      <c r="D259" s="6" t="s">
        <v>113</v>
      </c>
      <c r="E259" s="6" t="s">
        <v>192</v>
      </c>
      <c r="F259" s="6" t="s">
        <v>128</v>
      </c>
      <c r="G259" s="6" t="s">
        <v>293</v>
      </c>
      <c r="H259" s="6" t="s">
        <v>1276</v>
      </c>
      <c r="I259" s="6"/>
      <c r="J259" s="6" t="s">
        <v>1333</v>
      </c>
      <c r="K259" s="6" t="s">
        <v>1662</v>
      </c>
      <c r="L259" s="6"/>
      <c r="M259" s="6"/>
      <c r="N259" s="5" t="s">
        <v>1667</v>
      </c>
    </row>
    <row r="260" spans="1:15" x14ac:dyDescent="0.2">
      <c r="A260">
        <v>259</v>
      </c>
      <c r="C260" s="6" t="str">
        <f t="shared" si="4"/>
        <v/>
      </c>
      <c r="D260" s="6" t="s">
        <v>113</v>
      </c>
      <c r="E260" s="6" t="s">
        <v>192</v>
      </c>
      <c r="F260" s="6" t="s">
        <v>128</v>
      </c>
      <c r="G260" s="6" t="s">
        <v>294</v>
      </c>
      <c r="H260" s="6" t="s">
        <v>1276</v>
      </c>
      <c r="I260" s="6"/>
      <c r="J260" s="6" t="s">
        <v>1333</v>
      </c>
      <c r="K260" s="6" t="s">
        <v>1587</v>
      </c>
      <c r="L260" s="6"/>
      <c r="M260" s="6"/>
      <c r="N260" s="5" t="s">
        <v>1667</v>
      </c>
    </row>
    <row r="261" spans="1:15" x14ac:dyDescent="0.2">
      <c r="A261">
        <v>260</v>
      </c>
      <c r="C261" s="6" t="str">
        <f t="shared" si="4"/>
        <v/>
      </c>
      <c r="D261" s="6" t="s">
        <v>113</v>
      </c>
      <c r="E261" s="6" t="s">
        <v>192</v>
      </c>
      <c r="F261" s="6" t="s">
        <v>128</v>
      </c>
      <c r="G261" s="6" t="s">
        <v>295</v>
      </c>
      <c r="H261" s="6" t="s">
        <v>1276</v>
      </c>
      <c r="I261" s="6"/>
      <c r="J261" s="6" t="s">
        <v>1333</v>
      </c>
      <c r="K261" s="6" t="s">
        <v>1663</v>
      </c>
      <c r="L261" s="6"/>
      <c r="M261" s="6"/>
      <c r="N261" s="5" t="s">
        <v>1667</v>
      </c>
    </row>
    <row r="262" spans="1:15" x14ac:dyDescent="0.2">
      <c r="A262">
        <v>261</v>
      </c>
      <c r="C262" s="6" t="str">
        <f t="shared" si="4"/>
        <v/>
      </c>
      <c r="D262" s="6" t="s">
        <v>113</v>
      </c>
      <c r="E262" s="6" t="s">
        <v>192</v>
      </c>
      <c r="F262" s="6" t="s">
        <v>170</v>
      </c>
      <c r="G262" s="6" t="s">
        <v>296</v>
      </c>
      <c r="H262" s="6" t="s">
        <v>1276</v>
      </c>
      <c r="I262" s="6"/>
      <c r="J262" s="6" t="s">
        <v>1333</v>
      </c>
      <c r="K262" s="6" t="s">
        <v>1334</v>
      </c>
      <c r="L262" s="6"/>
      <c r="M262" s="6"/>
      <c r="N262" s="5" t="s">
        <v>1668</v>
      </c>
    </row>
    <row r="263" spans="1:15" x14ac:dyDescent="0.2">
      <c r="A263">
        <v>262</v>
      </c>
      <c r="C263" s="6" t="str">
        <f t="shared" si="4"/>
        <v/>
      </c>
      <c r="D263" s="6" t="s">
        <v>113</v>
      </c>
      <c r="E263" s="6" t="s">
        <v>192</v>
      </c>
      <c r="F263" s="6" t="s">
        <v>170</v>
      </c>
      <c r="G263" s="6" t="s">
        <v>297</v>
      </c>
      <c r="H263" s="6" t="s">
        <v>1276</v>
      </c>
      <c r="I263" s="6"/>
      <c r="J263" s="6" t="s">
        <v>1333</v>
      </c>
      <c r="K263" s="6" t="s">
        <v>1589</v>
      </c>
      <c r="L263" s="6"/>
      <c r="M263" s="6"/>
      <c r="N263" s="5" t="s">
        <v>1672</v>
      </c>
    </row>
    <row r="264" spans="1:15" x14ac:dyDescent="0.2">
      <c r="A264">
        <v>263</v>
      </c>
      <c r="C264" s="6" t="str">
        <f t="shared" si="4"/>
        <v/>
      </c>
      <c r="D264" s="6" t="s">
        <v>113</v>
      </c>
      <c r="E264" s="6" t="s">
        <v>192</v>
      </c>
      <c r="F264" s="6" t="s">
        <v>170</v>
      </c>
      <c r="G264" s="6" t="s">
        <v>298</v>
      </c>
      <c r="H264" s="6" t="s">
        <v>1276</v>
      </c>
      <c r="I264" s="6"/>
      <c r="J264" s="6" t="s">
        <v>1333</v>
      </c>
      <c r="K264" s="6" t="s">
        <v>1335</v>
      </c>
      <c r="L264" s="6"/>
      <c r="M264" s="6"/>
      <c r="N264" s="5" t="s">
        <v>1671</v>
      </c>
    </row>
    <row r="265" spans="1:15" x14ac:dyDescent="0.2">
      <c r="A265">
        <v>264</v>
      </c>
      <c r="C265" s="6" t="str">
        <f t="shared" si="4"/>
        <v/>
      </c>
      <c r="D265" s="6" t="s">
        <v>113</v>
      </c>
      <c r="E265" s="6" t="s">
        <v>192</v>
      </c>
      <c r="F265" s="6" t="s">
        <v>170</v>
      </c>
      <c r="G265" s="6" t="s">
        <v>299</v>
      </c>
      <c r="H265" s="6" t="s">
        <v>1276</v>
      </c>
      <c r="I265" s="6"/>
      <c r="J265" s="6" t="s">
        <v>1333</v>
      </c>
      <c r="K265" s="6" t="s">
        <v>1662</v>
      </c>
      <c r="L265" s="6"/>
      <c r="M265" s="6"/>
      <c r="N265" s="5" t="s">
        <v>1670</v>
      </c>
    </row>
    <row r="266" spans="1:15" x14ac:dyDescent="0.2">
      <c r="A266">
        <v>265</v>
      </c>
      <c r="C266" s="6" t="str">
        <f t="shared" si="4"/>
        <v/>
      </c>
      <c r="D266" s="6" t="s">
        <v>113</v>
      </c>
      <c r="E266" s="6" t="s">
        <v>192</v>
      </c>
      <c r="F266" s="6" t="s">
        <v>170</v>
      </c>
      <c r="G266" s="6" t="s">
        <v>1220</v>
      </c>
      <c r="H266" s="6" t="s">
        <v>1276</v>
      </c>
      <c r="I266" s="6"/>
      <c r="J266" s="6" t="s">
        <v>1333</v>
      </c>
      <c r="K266" s="6" t="s">
        <v>1590</v>
      </c>
      <c r="L266" s="6"/>
      <c r="M266" s="6"/>
      <c r="N266" s="5" t="s">
        <v>1669</v>
      </c>
    </row>
    <row r="267" spans="1:15" x14ac:dyDescent="0.2">
      <c r="A267">
        <v>266</v>
      </c>
      <c r="C267" s="6" t="b">
        <f t="shared" ca="1" si="4"/>
        <v>1</v>
      </c>
      <c r="D267" s="6" t="s">
        <v>113</v>
      </c>
      <c r="E267" s="6" t="s">
        <v>192</v>
      </c>
      <c r="F267" s="6" t="s">
        <v>1167</v>
      </c>
      <c r="G267" s="6" t="s">
        <v>497</v>
      </c>
      <c r="H267" s="9" t="str" cm="1">
        <f t="array" aca="1" ref="H267" ca="1">IF(COUNTIF(wide_measures!D:D,INDIRECT("maps!F$"&amp;ROW()))&gt;0,"measures",IF(COUNTIF(wide_protocolSteps!C:C,INDIRECT("maps!F$"&amp;ROW()))&gt;0,"protocolSteps",IF(COUNTIF(wide_repositories!C:C,INDIRECT("maps!F$"&amp;ROW()))&gt;0,"repositories",IF(COUNTIF(wide_protocols!C:C,INDIRECT("maps!F$"&amp;ROW()))&gt;0,"protocols",""))))</f>
        <v>measures</v>
      </c>
      <c r="I267" s="9" t="s">
        <v>1113</v>
      </c>
      <c r="J267" s="6"/>
      <c r="K267" s="6"/>
      <c r="L267" s="6"/>
      <c r="M267" s="6"/>
      <c r="N267" s="5" t="s">
        <v>1764</v>
      </c>
      <c r="O267" t="s">
        <v>1944</v>
      </c>
    </row>
    <row r="268" spans="1:15" s="36" customFormat="1" x14ac:dyDescent="0.2">
      <c r="A268" s="36">
        <v>267</v>
      </c>
      <c r="C268" s="37" t="str">
        <f t="shared" si="4"/>
        <v/>
      </c>
      <c r="D268" s="37" t="s">
        <v>113</v>
      </c>
      <c r="E268" s="37" t="s">
        <v>192</v>
      </c>
      <c r="F268" s="37" t="s">
        <v>174</v>
      </c>
      <c r="G268" s="37" t="s">
        <v>1244</v>
      </c>
      <c r="H268" s="37" t="s">
        <v>1276</v>
      </c>
      <c r="I268" s="37"/>
      <c r="J268" s="37" t="s">
        <v>1591</v>
      </c>
      <c r="K268" s="37" t="s">
        <v>1592</v>
      </c>
      <c r="L268" s="37"/>
      <c r="M268" s="37"/>
      <c r="N268" s="38" t="s">
        <v>1398</v>
      </c>
      <c r="O268" s="36" t="s">
        <v>1945</v>
      </c>
    </row>
    <row r="269" spans="1:15" x14ac:dyDescent="0.2">
      <c r="A269">
        <v>268</v>
      </c>
      <c r="C269" s="6" t="str">
        <f t="shared" si="4"/>
        <v/>
      </c>
      <c r="D269" s="6" t="s">
        <v>113</v>
      </c>
      <c r="E269" s="6" t="s">
        <v>192</v>
      </c>
      <c r="F269" s="6" t="s">
        <v>174</v>
      </c>
      <c r="G269" s="6" t="s">
        <v>1245</v>
      </c>
      <c r="H269" s="6" t="s">
        <v>1276</v>
      </c>
      <c r="I269" s="6"/>
      <c r="J269" s="6" t="s">
        <v>1591</v>
      </c>
      <c r="K269" s="6" t="s">
        <v>1595</v>
      </c>
      <c r="L269" s="6"/>
      <c r="M269" s="6"/>
      <c r="N269" s="5" t="s">
        <v>1398</v>
      </c>
    </row>
    <row r="270" spans="1:15" x14ac:dyDescent="0.2">
      <c r="A270">
        <v>269</v>
      </c>
      <c r="C270" s="6" t="str">
        <f t="shared" si="4"/>
        <v/>
      </c>
      <c r="D270" s="6" t="s">
        <v>113</v>
      </c>
      <c r="E270" s="6" t="s">
        <v>192</v>
      </c>
      <c r="F270" s="6" t="s">
        <v>174</v>
      </c>
      <c r="G270" s="6" t="s">
        <v>270</v>
      </c>
      <c r="H270" s="6" t="s">
        <v>1276</v>
      </c>
      <c r="I270" s="6"/>
      <c r="J270" s="6" t="s">
        <v>1591</v>
      </c>
      <c r="K270" s="6" t="s">
        <v>1598</v>
      </c>
      <c r="L270" s="6"/>
      <c r="M270" s="6"/>
      <c r="N270" s="5" t="s">
        <v>1398</v>
      </c>
    </row>
    <row r="271" spans="1:15" x14ac:dyDescent="0.2">
      <c r="A271">
        <v>270</v>
      </c>
      <c r="C271" s="6" t="str">
        <f t="shared" si="4"/>
        <v/>
      </c>
      <c r="D271" s="6" t="s">
        <v>113</v>
      </c>
      <c r="E271" s="6" t="s">
        <v>192</v>
      </c>
      <c r="F271" s="6" t="s">
        <v>174</v>
      </c>
      <c r="G271" s="6" t="s">
        <v>271</v>
      </c>
      <c r="H271" s="6" t="s">
        <v>1276</v>
      </c>
      <c r="I271" s="6"/>
      <c r="J271" s="6" t="s">
        <v>1591</v>
      </c>
      <c r="K271" s="6" t="s">
        <v>1599</v>
      </c>
      <c r="L271" s="6"/>
      <c r="M271" s="6"/>
      <c r="N271" s="5" t="s">
        <v>1398</v>
      </c>
    </row>
    <row r="272" spans="1:15" x14ac:dyDescent="0.2">
      <c r="A272">
        <v>271</v>
      </c>
      <c r="C272" s="6" t="str">
        <f t="shared" si="4"/>
        <v/>
      </c>
      <c r="D272" s="6" t="s">
        <v>113</v>
      </c>
      <c r="E272" s="6" t="s">
        <v>192</v>
      </c>
      <c r="F272" s="6" t="s">
        <v>174</v>
      </c>
      <c r="G272" s="6" t="s">
        <v>272</v>
      </c>
      <c r="H272" s="6" t="s">
        <v>1276</v>
      </c>
      <c r="I272" s="6"/>
      <c r="J272" s="6" t="s">
        <v>1591</v>
      </c>
      <c r="K272" s="6" t="s">
        <v>1594</v>
      </c>
      <c r="L272" s="6"/>
      <c r="M272" s="6"/>
      <c r="N272" s="5" t="s">
        <v>1398</v>
      </c>
    </row>
    <row r="273" spans="1:15" x14ac:dyDescent="0.2">
      <c r="A273">
        <v>272</v>
      </c>
      <c r="C273" s="6" t="str">
        <f t="shared" si="4"/>
        <v/>
      </c>
      <c r="D273" s="6" t="s">
        <v>113</v>
      </c>
      <c r="E273" s="6" t="s">
        <v>192</v>
      </c>
      <c r="F273" s="6" t="s">
        <v>174</v>
      </c>
      <c r="G273" s="6" t="s">
        <v>273</v>
      </c>
      <c r="H273" s="6" t="s">
        <v>1276</v>
      </c>
      <c r="I273" s="6"/>
      <c r="J273" s="6" t="s">
        <v>1591</v>
      </c>
      <c r="K273" s="6" t="s">
        <v>1597</v>
      </c>
      <c r="L273" s="6"/>
      <c r="M273" s="6"/>
      <c r="N273" s="5" t="s">
        <v>1398</v>
      </c>
    </row>
    <row r="274" spans="1:15" x14ac:dyDescent="0.2">
      <c r="A274">
        <v>273</v>
      </c>
      <c r="C274" s="6" t="str">
        <f t="shared" si="4"/>
        <v/>
      </c>
      <c r="D274" s="6" t="s">
        <v>113</v>
      </c>
      <c r="E274" s="6" t="s">
        <v>192</v>
      </c>
      <c r="F274" s="6" t="s">
        <v>174</v>
      </c>
      <c r="G274" s="6" t="s">
        <v>274</v>
      </c>
      <c r="H274" s="6" t="s">
        <v>1276</v>
      </c>
      <c r="I274" s="6"/>
      <c r="J274" s="6" t="s">
        <v>1591</v>
      </c>
      <c r="K274" s="6" t="s">
        <v>1600</v>
      </c>
      <c r="L274" s="6"/>
      <c r="M274" s="6"/>
      <c r="N274" s="5" t="s">
        <v>1398</v>
      </c>
    </row>
    <row r="275" spans="1:15" x14ac:dyDescent="0.2">
      <c r="A275">
        <v>274</v>
      </c>
      <c r="C275" s="6" t="str">
        <f t="shared" si="4"/>
        <v/>
      </c>
      <c r="D275" s="6" t="s">
        <v>113</v>
      </c>
      <c r="E275" s="6" t="s">
        <v>192</v>
      </c>
      <c r="F275" s="6" t="s">
        <v>174</v>
      </c>
      <c r="G275" s="6" t="s">
        <v>275</v>
      </c>
      <c r="H275" s="6" t="s">
        <v>1276</v>
      </c>
      <c r="I275" s="6"/>
      <c r="J275" s="6" t="s">
        <v>1591</v>
      </c>
      <c r="K275" s="6" t="s">
        <v>1593</v>
      </c>
      <c r="L275" s="6"/>
      <c r="M275" s="6"/>
      <c r="N275" s="5" t="s">
        <v>1398</v>
      </c>
    </row>
    <row r="276" spans="1:15" x14ac:dyDescent="0.2">
      <c r="A276">
        <v>275</v>
      </c>
      <c r="C276" s="6" t="str">
        <f t="shared" si="4"/>
        <v/>
      </c>
      <c r="D276" s="6" t="s">
        <v>113</v>
      </c>
      <c r="E276" s="6" t="s">
        <v>192</v>
      </c>
      <c r="F276" s="6" t="s">
        <v>174</v>
      </c>
      <c r="G276" s="6" t="s">
        <v>276</v>
      </c>
      <c r="H276" s="6" t="s">
        <v>1276</v>
      </c>
      <c r="I276" s="6"/>
      <c r="J276" s="6" t="s">
        <v>1591</v>
      </c>
      <c r="K276" s="6" t="s">
        <v>1596</v>
      </c>
      <c r="L276" s="6"/>
      <c r="M276" s="6"/>
      <c r="N276" s="5" t="s">
        <v>1398</v>
      </c>
    </row>
    <row r="277" spans="1:15" x14ac:dyDescent="0.2">
      <c r="A277">
        <v>276</v>
      </c>
      <c r="C277" s="6" t="str">
        <f t="shared" ca="1" si="4"/>
        <v/>
      </c>
      <c r="D277" s="6" t="s">
        <v>113</v>
      </c>
      <c r="E277" s="6" t="s">
        <v>192</v>
      </c>
      <c r="F277" s="6" t="s">
        <v>131</v>
      </c>
      <c r="G277" s="6" t="s">
        <v>277</v>
      </c>
      <c r="H277" s="9" t="str" cm="1">
        <f t="array" aca="1" ref="H277" ca="1">IF(COUNTIF(wide_measures!D:D,INDIRECT("maps!F$"&amp;ROW()))&gt;0,"measures",IF(COUNTIF(wide_protocolSteps!C:C,INDIRECT("maps!F$"&amp;ROW()))&gt;0,"protocolSteps",IF(COUNTIF(wide_repositories!C:C,INDIRECT("maps!F$"&amp;ROW()))&gt;0,"repositories",IF(COUNTIF(wide_protocols!C:C,INDIRECT("maps!F$"&amp;ROW()))&gt;0,"protocols",""))))</f>
        <v>measures</v>
      </c>
      <c r="I277" s="9" t="s">
        <v>1113</v>
      </c>
      <c r="J277" s="6"/>
      <c r="K277" s="6"/>
      <c r="L277" s="6"/>
      <c r="M277" s="6"/>
      <c r="N277" s="5" t="s">
        <v>1673</v>
      </c>
      <c r="O277" t="s">
        <v>1946</v>
      </c>
    </row>
    <row r="278" spans="1:15" x14ac:dyDescent="0.2">
      <c r="A278">
        <v>277</v>
      </c>
      <c r="C278" s="6" t="str">
        <f t="shared" ca="1" si="4"/>
        <v/>
      </c>
      <c r="D278" s="6" t="s">
        <v>113</v>
      </c>
      <c r="E278" s="6" t="s">
        <v>192</v>
      </c>
      <c r="F278" s="6" t="s">
        <v>131</v>
      </c>
      <c r="G278" s="6" t="s">
        <v>278</v>
      </c>
      <c r="H278" s="9" t="str" cm="1">
        <f t="array" aca="1" ref="H278" ca="1">IF(COUNTIF(wide_measures!D:D,INDIRECT("maps!F$"&amp;ROW()))&gt;0,"measures",IF(COUNTIF(wide_protocolSteps!C:C,INDIRECT("maps!F$"&amp;ROW()))&gt;0,"protocolSteps",IF(COUNTIF(wide_repositories!C:C,INDIRECT("maps!F$"&amp;ROW()))&gt;0,"repositories",IF(COUNTIF(wide_protocols!C:C,INDIRECT("maps!F$"&amp;ROW()))&gt;0,"protocols",""))))</f>
        <v>measures</v>
      </c>
      <c r="I278" s="9" t="s">
        <v>1113</v>
      </c>
      <c r="J278" s="6"/>
      <c r="K278" s="6"/>
      <c r="L278" s="6"/>
      <c r="M278" s="6"/>
      <c r="N278" s="5" t="s">
        <v>1673</v>
      </c>
      <c r="O278" t="s">
        <v>1946</v>
      </c>
    </row>
    <row r="279" spans="1:15" x14ac:dyDescent="0.2">
      <c r="A279">
        <v>278</v>
      </c>
      <c r="C279" s="6" t="str">
        <f t="shared" ca="1" si="4"/>
        <v/>
      </c>
      <c r="D279" s="6" t="s">
        <v>113</v>
      </c>
      <c r="E279" s="6" t="s">
        <v>192</v>
      </c>
      <c r="F279" s="6" t="s">
        <v>131</v>
      </c>
      <c r="G279" s="6" t="s">
        <v>279</v>
      </c>
      <c r="H279" s="9" t="str" cm="1">
        <f t="array" aca="1" ref="H279" ca="1">IF(COUNTIF(wide_measures!D:D,INDIRECT("maps!F$"&amp;ROW()))&gt;0,"measures",IF(COUNTIF(wide_protocolSteps!C:C,INDIRECT("maps!F$"&amp;ROW()))&gt;0,"protocolSteps",IF(COUNTIF(wide_repositories!C:C,INDIRECT("maps!F$"&amp;ROW()))&gt;0,"repositories",IF(COUNTIF(wide_protocols!C:C,INDIRECT("maps!F$"&amp;ROW()))&gt;0,"protocols",""))))</f>
        <v>measures</v>
      </c>
      <c r="I279" s="9" t="s">
        <v>1113</v>
      </c>
      <c r="J279" s="6"/>
      <c r="K279" s="6"/>
      <c r="L279" s="6"/>
      <c r="M279" s="6"/>
      <c r="N279" s="5" t="s">
        <v>1673</v>
      </c>
      <c r="O279" t="s">
        <v>1946</v>
      </c>
    </row>
    <row r="280" spans="1:15" x14ac:dyDescent="0.2">
      <c r="A280">
        <v>279</v>
      </c>
      <c r="C280" s="6" t="str">
        <f t="shared" ca="1" si="4"/>
        <v/>
      </c>
      <c r="D280" s="6" t="s">
        <v>113</v>
      </c>
      <c r="E280" s="6" t="s">
        <v>192</v>
      </c>
      <c r="F280" s="6" t="s">
        <v>131</v>
      </c>
      <c r="G280" s="6" t="s">
        <v>280</v>
      </c>
      <c r="H280" s="9" t="str" cm="1">
        <f t="array" aca="1" ref="H280" ca="1">IF(COUNTIF(wide_measures!D:D,INDIRECT("maps!F$"&amp;ROW()))&gt;0,"measures",IF(COUNTIF(wide_protocolSteps!C:C,INDIRECT("maps!F$"&amp;ROW()))&gt;0,"protocolSteps",IF(COUNTIF(wide_repositories!C:C,INDIRECT("maps!F$"&amp;ROW()))&gt;0,"repositories",IF(COUNTIF(wide_protocols!C:C,INDIRECT("maps!F$"&amp;ROW()))&gt;0,"protocols",""))))</f>
        <v>measures</v>
      </c>
      <c r="I280" s="9" t="s">
        <v>1113</v>
      </c>
      <c r="J280" s="6"/>
      <c r="K280" s="6"/>
      <c r="L280" s="6"/>
      <c r="M280" s="6"/>
      <c r="N280" s="5" t="s">
        <v>1673</v>
      </c>
      <c r="O280" t="s">
        <v>1946</v>
      </c>
    </row>
    <row r="281" spans="1:15" x14ac:dyDescent="0.2">
      <c r="A281">
        <v>280</v>
      </c>
      <c r="C281" s="6" t="str">
        <f t="shared" ca="1" si="4"/>
        <v/>
      </c>
      <c r="D281" s="6" t="s">
        <v>113</v>
      </c>
      <c r="E281" s="6" t="s">
        <v>192</v>
      </c>
      <c r="F281" s="6" t="s">
        <v>131</v>
      </c>
      <c r="G281" s="6" t="s">
        <v>281</v>
      </c>
      <c r="H281" s="9" t="str" cm="1">
        <f t="array" aca="1" ref="H281" ca="1">IF(COUNTIF(wide_measures!D:D,INDIRECT("maps!F$"&amp;ROW()))&gt;0,"measures",IF(COUNTIF(wide_protocolSteps!C:C,INDIRECT("maps!F$"&amp;ROW()))&gt;0,"protocolSteps",IF(COUNTIF(wide_repositories!C:C,INDIRECT("maps!F$"&amp;ROW()))&gt;0,"repositories",IF(COUNTIF(wide_protocols!C:C,INDIRECT("maps!F$"&amp;ROW()))&gt;0,"protocols",""))))</f>
        <v>measures</v>
      </c>
      <c r="I281" s="9" t="s">
        <v>1113</v>
      </c>
      <c r="J281" s="6"/>
      <c r="K281" s="6"/>
      <c r="L281" s="6"/>
      <c r="M281" s="6"/>
      <c r="N281" s="5" t="s">
        <v>1673</v>
      </c>
      <c r="O281" t="s">
        <v>1946</v>
      </c>
    </row>
    <row r="282" spans="1:15" x14ac:dyDescent="0.2">
      <c r="A282">
        <v>281</v>
      </c>
      <c r="C282" s="6" t="str">
        <f t="shared" ca="1" si="4"/>
        <v/>
      </c>
      <c r="D282" s="6" t="s">
        <v>113</v>
      </c>
      <c r="E282" s="6" t="s">
        <v>192</v>
      </c>
      <c r="F282" s="6" t="s">
        <v>131</v>
      </c>
      <c r="G282" s="6" t="s">
        <v>1213</v>
      </c>
      <c r="H282" s="9" t="str" cm="1">
        <f t="array" aca="1" ref="H282" ca="1">IF(COUNTIF(wide_measures!D:D,INDIRECT("maps!F$"&amp;ROW()))&gt;0,"measures",IF(COUNTIF(wide_protocolSteps!C:C,INDIRECT("maps!F$"&amp;ROW()))&gt;0,"protocolSteps",IF(COUNTIF(wide_repositories!C:C,INDIRECT("maps!F$"&amp;ROW()))&gt;0,"repositories",IF(COUNTIF(wide_protocols!C:C,INDIRECT("maps!F$"&amp;ROW()))&gt;0,"protocols",""))))</f>
        <v>measures</v>
      </c>
      <c r="I282" s="9" t="s">
        <v>1113</v>
      </c>
      <c r="J282" s="6"/>
      <c r="K282" s="6"/>
      <c r="L282" s="6"/>
      <c r="M282" s="6"/>
      <c r="N282" s="5" t="s">
        <v>1673</v>
      </c>
      <c r="O282" t="s">
        <v>1946</v>
      </c>
    </row>
    <row r="283" spans="1:15" x14ac:dyDescent="0.2">
      <c r="A283">
        <v>282</v>
      </c>
      <c r="C283" s="6" t="str">
        <f t="shared" ca="1" si="4"/>
        <v/>
      </c>
      <c r="D283" s="6" t="s">
        <v>113</v>
      </c>
      <c r="E283" s="6" t="s">
        <v>192</v>
      </c>
      <c r="F283" s="6" t="s">
        <v>131</v>
      </c>
      <c r="G283" s="6" t="s">
        <v>1214</v>
      </c>
      <c r="H283" s="9" t="str" cm="1">
        <f t="array" aca="1" ref="H283" ca="1">IF(COUNTIF(wide_measures!D:D,INDIRECT("maps!F$"&amp;ROW()))&gt;0,"measures",IF(COUNTIF(wide_protocolSteps!C:C,INDIRECT("maps!F$"&amp;ROW()))&gt;0,"protocolSteps",IF(COUNTIF(wide_repositories!C:C,INDIRECT("maps!F$"&amp;ROW()))&gt;0,"repositories",IF(COUNTIF(wide_protocols!C:C,INDIRECT("maps!F$"&amp;ROW()))&gt;0,"protocols",""))))</f>
        <v>measures</v>
      </c>
      <c r="I283" s="9" t="s">
        <v>1113</v>
      </c>
      <c r="J283" s="6"/>
      <c r="K283" s="6"/>
      <c r="L283" s="6"/>
      <c r="M283" s="6"/>
      <c r="N283" s="5" t="s">
        <v>1673</v>
      </c>
      <c r="O283" t="s">
        <v>1946</v>
      </c>
    </row>
    <row r="284" spans="1:15" x14ac:dyDescent="0.2">
      <c r="A284">
        <v>283</v>
      </c>
      <c r="C284" s="6" t="str">
        <f t="shared" ca="1" si="4"/>
        <v/>
      </c>
      <c r="D284" s="6" t="s">
        <v>113</v>
      </c>
      <c r="E284" s="6" t="s">
        <v>192</v>
      </c>
      <c r="F284" s="6" t="s">
        <v>131</v>
      </c>
      <c r="G284" s="6" t="s">
        <v>282</v>
      </c>
      <c r="H284" s="9" t="str" cm="1">
        <f t="array" aca="1" ref="H284" ca="1">IF(COUNTIF(wide_measures!D:D,INDIRECT("maps!F$"&amp;ROW()))&gt;0,"measures",IF(COUNTIF(wide_protocolSteps!C:C,INDIRECT("maps!F$"&amp;ROW()))&gt;0,"protocolSteps",IF(COUNTIF(wide_repositories!C:C,INDIRECT("maps!F$"&amp;ROW()))&gt;0,"repositories",IF(COUNTIF(wide_protocols!C:C,INDIRECT("maps!F$"&amp;ROW()))&gt;0,"protocols",""))))</f>
        <v>measures</v>
      </c>
      <c r="I284" s="9" t="s">
        <v>1113</v>
      </c>
      <c r="J284" s="6"/>
      <c r="K284" s="6"/>
      <c r="L284" s="6"/>
      <c r="M284" s="6"/>
      <c r="N284" s="5" t="s">
        <v>1673</v>
      </c>
      <c r="O284" t="s">
        <v>1946</v>
      </c>
    </row>
    <row r="285" spans="1:15" x14ac:dyDescent="0.2">
      <c r="A285">
        <v>284</v>
      </c>
      <c r="C285" s="6" t="str">
        <f t="shared" ca="1" si="4"/>
        <v/>
      </c>
      <c r="D285" s="6" t="s">
        <v>113</v>
      </c>
      <c r="E285" s="6" t="s">
        <v>192</v>
      </c>
      <c r="F285" s="6" t="s">
        <v>131</v>
      </c>
      <c r="G285" s="6" t="s">
        <v>283</v>
      </c>
      <c r="H285" s="9" t="str" cm="1">
        <f t="array" aca="1" ref="H285" ca="1">IF(COUNTIF(wide_measures!D:D,INDIRECT("maps!F$"&amp;ROW()))&gt;0,"measures",IF(COUNTIF(wide_protocolSteps!C:C,INDIRECT("maps!F$"&amp;ROW()))&gt;0,"protocolSteps",IF(COUNTIF(wide_repositories!C:C,INDIRECT("maps!F$"&amp;ROW()))&gt;0,"repositories",IF(COUNTIF(wide_protocols!C:C,INDIRECT("maps!F$"&amp;ROW()))&gt;0,"protocols",""))))</f>
        <v>measures</v>
      </c>
      <c r="I285" s="9" t="s">
        <v>1113</v>
      </c>
      <c r="J285" s="6"/>
      <c r="K285" s="6"/>
      <c r="L285" s="6"/>
      <c r="M285" s="6"/>
      <c r="N285" s="5" t="s">
        <v>1673</v>
      </c>
      <c r="O285" t="s">
        <v>1946</v>
      </c>
    </row>
    <row r="286" spans="1:15" x14ac:dyDescent="0.2">
      <c r="A286">
        <v>285</v>
      </c>
      <c r="C286" s="6" t="str">
        <f t="shared" ca="1" si="4"/>
        <v/>
      </c>
      <c r="D286" s="6" t="s">
        <v>113</v>
      </c>
      <c r="E286" s="6" t="s">
        <v>192</v>
      </c>
      <c r="F286" s="6" t="s">
        <v>131</v>
      </c>
      <c r="G286" s="6" t="s">
        <v>1215</v>
      </c>
      <c r="H286" s="9" t="str" cm="1">
        <f t="array" aca="1" ref="H286" ca="1">IF(COUNTIF(wide_measures!D:D,INDIRECT("maps!F$"&amp;ROW()))&gt;0,"measures",IF(COUNTIF(wide_protocolSteps!C:C,INDIRECT("maps!F$"&amp;ROW()))&gt;0,"protocolSteps",IF(COUNTIF(wide_repositories!C:C,INDIRECT("maps!F$"&amp;ROW()))&gt;0,"repositories",IF(COUNTIF(wide_protocols!C:C,INDIRECT("maps!F$"&amp;ROW()))&gt;0,"protocols",""))))</f>
        <v>measures</v>
      </c>
      <c r="I286" s="9" t="s">
        <v>1113</v>
      </c>
      <c r="J286" s="6"/>
      <c r="K286" s="6"/>
      <c r="L286" s="6"/>
      <c r="M286" s="6"/>
      <c r="N286" s="5" t="s">
        <v>1673</v>
      </c>
      <c r="O286" t="s">
        <v>1946</v>
      </c>
    </row>
    <row r="287" spans="1:15" x14ac:dyDescent="0.2">
      <c r="A287">
        <v>286</v>
      </c>
      <c r="C287" s="6" t="str">
        <f t="shared" ca="1" si="4"/>
        <v/>
      </c>
      <c r="D287" s="6" t="s">
        <v>113</v>
      </c>
      <c r="E287" s="6" t="s">
        <v>192</v>
      </c>
      <c r="F287" s="6" t="s">
        <v>131</v>
      </c>
      <c r="G287" s="6" t="s">
        <v>1216</v>
      </c>
      <c r="H287" s="9" t="str" cm="1">
        <f t="array" aca="1" ref="H287" ca="1">IF(COUNTIF(wide_measures!D:D,INDIRECT("maps!F$"&amp;ROW()))&gt;0,"measures",IF(COUNTIF(wide_protocolSteps!C:C,INDIRECT("maps!F$"&amp;ROW()))&gt;0,"protocolSteps",IF(COUNTIF(wide_repositories!C:C,INDIRECT("maps!F$"&amp;ROW()))&gt;0,"repositories",IF(COUNTIF(wide_protocols!C:C,INDIRECT("maps!F$"&amp;ROW()))&gt;0,"protocols",""))))</f>
        <v>measures</v>
      </c>
      <c r="I287" s="9" t="s">
        <v>1113</v>
      </c>
      <c r="J287" s="6"/>
      <c r="K287" s="6"/>
      <c r="L287" s="6"/>
      <c r="M287" s="6"/>
      <c r="N287" s="5" t="s">
        <v>1673</v>
      </c>
      <c r="O287" t="s">
        <v>1946</v>
      </c>
    </row>
    <row r="288" spans="1:15" x14ac:dyDescent="0.2">
      <c r="A288">
        <v>287</v>
      </c>
      <c r="C288" s="6" t="str">
        <f t="shared" si="4"/>
        <v/>
      </c>
      <c r="D288" s="6" t="s">
        <v>113</v>
      </c>
      <c r="E288" s="6" t="s">
        <v>192</v>
      </c>
      <c r="F288" s="6" t="s">
        <v>165</v>
      </c>
      <c r="G288" s="6" t="s">
        <v>236</v>
      </c>
      <c r="H288" s="6" t="s">
        <v>1282</v>
      </c>
      <c r="I288" s="6"/>
      <c r="J288" s="6" t="s">
        <v>1354</v>
      </c>
      <c r="K288" s="6" t="s">
        <v>1338</v>
      </c>
      <c r="L288" s="6"/>
      <c r="M288" s="6"/>
      <c r="N288" s="6"/>
      <c r="O288" t="s">
        <v>1948</v>
      </c>
    </row>
    <row r="289" spans="1:15" x14ac:dyDescent="0.2">
      <c r="A289">
        <v>288</v>
      </c>
      <c r="C289" s="6" t="str">
        <f t="shared" si="4"/>
        <v/>
      </c>
      <c r="D289" s="6" t="s">
        <v>113</v>
      </c>
      <c r="E289" s="6" t="s">
        <v>192</v>
      </c>
      <c r="F289" s="6" t="s">
        <v>165</v>
      </c>
      <c r="G289" s="6" t="s">
        <v>237</v>
      </c>
      <c r="H289" s="6" t="s">
        <v>1282</v>
      </c>
      <c r="I289" s="6"/>
      <c r="J289" s="6" t="s">
        <v>1354</v>
      </c>
      <c r="K289" s="6" t="s">
        <v>1646</v>
      </c>
      <c r="L289" s="6"/>
      <c r="M289" s="6"/>
      <c r="N289" s="6"/>
      <c r="O289" t="s">
        <v>1948</v>
      </c>
    </row>
    <row r="290" spans="1:15" x14ac:dyDescent="0.2">
      <c r="A290">
        <v>289</v>
      </c>
      <c r="C290" s="6" t="str">
        <f t="shared" si="4"/>
        <v/>
      </c>
      <c r="D290" s="6" t="s">
        <v>113</v>
      </c>
      <c r="E290" s="6" t="s">
        <v>192</v>
      </c>
      <c r="F290" s="6" t="s">
        <v>165</v>
      </c>
      <c r="G290" s="6" t="s">
        <v>238</v>
      </c>
      <c r="H290" s="6" t="s">
        <v>1282</v>
      </c>
      <c r="I290" s="6"/>
      <c r="J290" s="6" t="s">
        <v>1354</v>
      </c>
      <c r="K290" s="6" t="s">
        <v>1339</v>
      </c>
      <c r="L290" s="6"/>
      <c r="M290" s="6"/>
      <c r="N290" s="6"/>
      <c r="O290" t="s">
        <v>1948</v>
      </c>
    </row>
    <row r="291" spans="1:15" x14ac:dyDescent="0.2">
      <c r="A291">
        <v>290</v>
      </c>
      <c r="C291" s="6" t="str">
        <f t="shared" si="4"/>
        <v/>
      </c>
      <c r="D291" s="6" t="s">
        <v>113</v>
      </c>
      <c r="E291" s="6" t="s">
        <v>192</v>
      </c>
      <c r="F291" s="6" t="s">
        <v>165</v>
      </c>
      <c r="G291" s="6" t="s">
        <v>239</v>
      </c>
      <c r="H291" s="6" t="s">
        <v>1282</v>
      </c>
      <c r="I291" s="6"/>
      <c r="J291" s="6" t="s">
        <v>1354</v>
      </c>
      <c r="K291" s="6" t="s">
        <v>1647</v>
      </c>
      <c r="L291" s="6"/>
      <c r="M291" s="6"/>
      <c r="N291" s="6"/>
      <c r="O291" t="s">
        <v>1948</v>
      </c>
    </row>
    <row r="292" spans="1:15" x14ac:dyDescent="0.2">
      <c r="A292">
        <v>291</v>
      </c>
      <c r="C292" s="6" t="str">
        <f t="shared" si="4"/>
        <v/>
      </c>
      <c r="D292" s="6" t="s">
        <v>113</v>
      </c>
      <c r="E292" s="6" t="s">
        <v>192</v>
      </c>
      <c r="F292" s="6" t="s">
        <v>165</v>
      </c>
      <c r="G292" s="6" t="s">
        <v>240</v>
      </c>
      <c r="H292" s="6" t="s">
        <v>1282</v>
      </c>
      <c r="I292" s="6"/>
      <c r="J292" s="6" t="s">
        <v>1354</v>
      </c>
      <c r="K292" s="6" t="s">
        <v>1648</v>
      </c>
      <c r="L292" s="6"/>
      <c r="M292" s="6"/>
      <c r="N292" s="6"/>
      <c r="O292" t="s">
        <v>1948</v>
      </c>
    </row>
    <row r="293" spans="1:15" x14ac:dyDescent="0.2">
      <c r="A293">
        <v>292</v>
      </c>
      <c r="C293" s="6" t="str">
        <f t="shared" si="4"/>
        <v/>
      </c>
      <c r="D293" s="6" t="s">
        <v>113</v>
      </c>
      <c r="E293" s="6" t="s">
        <v>192</v>
      </c>
      <c r="F293" s="6" t="s">
        <v>165</v>
      </c>
      <c r="G293" s="6" t="s">
        <v>241</v>
      </c>
      <c r="H293" s="6" t="s">
        <v>1282</v>
      </c>
      <c r="I293" s="6"/>
      <c r="J293" s="6" t="s">
        <v>1354</v>
      </c>
      <c r="K293" s="6" t="s">
        <v>1353</v>
      </c>
      <c r="L293" s="6"/>
      <c r="M293" s="6"/>
      <c r="N293" s="6"/>
      <c r="O293" t="s">
        <v>1948</v>
      </c>
    </row>
    <row r="294" spans="1:15" x14ac:dyDescent="0.2">
      <c r="A294">
        <v>293</v>
      </c>
      <c r="C294" s="6" t="str">
        <f t="shared" si="4"/>
        <v/>
      </c>
      <c r="D294" s="6" t="s">
        <v>113</v>
      </c>
      <c r="E294" s="6" t="s">
        <v>192</v>
      </c>
      <c r="F294" s="6" t="s">
        <v>165</v>
      </c>
      <c r="G294" s="6" t="s">
        <v>242</v>
      </c>
      <c r="H294" s="6" t="s">
        <v>1282</v>
      </c>
      <c r="I294" s="6"/>
      <c r="J294" s="6" t="s">
        <v>1354</v>
      </c>
      <c r="K294" s="6" t="s">
        <v>1349</v>
      </c>
      <c r="L294" s="6"/>
      <c r="M294" s="6"/>
      <c r="N294" s="6"/>
      <c r="O294" t="s">
        <v>1948</v>
      </c>
    </row>
    <row r="295" spans="1:15" x14ac:dyDescent="0.2">
      <c r="A295">
        <v>294</v>
      </c>
      <c r="C295" s="6" t="str">
        <f t="shared" si="4"/>
        <v/>
      </c>
      <c r="D295" s="6" t="s">
        <v>113</v>
      </c>
      <c r="E295" s="6" t="s">
        <v>192</v>
      </c>
      <c r="F295" s="6" t="s">
        <v>165</v>
      </c>
      <c r="G295" s="6" t="s">
        <v>243</v>
      </c>
      <c r="H295" s="6" t="s">
        <v>1282</v>
      </c>
      <c r="I295" s="6"/>
      <c r="J295" s="6" t="s">
        <v>1354</v>
      </c>
      <c r="K295" s="6" t="s">
        <v>1352</v>
      </c>
      <c r="L295" s="6"/>
      <c r="M295" s="6"/>
      <c r="N295" s="6"/>
      <c r="O295" t="s">
        <v>1948</v>
      </c>
    </row>
    <row r="296" spans="1:15" x14ac:dyDescent="0.2">
      <c r="A296">
        <v>295</v>
      </c>
      <c r="C296" s="6" t="str">
        <f t="shared" si="4"/>
        <v/>
      </c>
      <c r="D296" s="6" t="s">
        <v>113</v>
      </c>
      <c r="E296" s="6" t="s">
        <v>192</v>
      </c>
      <c r="F296" s="6" t="s">
        <v>165</v>
      </c>
      <c r="G296" s="6" t="s">
        <v>244</v>
      </c>
      <c r="H296" s="6" t="s">
        <v>1282</v>
      </c>
      <c r="I296" s="6"/>
      <c r="J296" s="6" t="s">
        <v>1354</v>
      </c>
      <c r="K296" s="6" t="s">
        <v>1645</v>
      </c>
      <c r="L296" s="6"/>
      <c r="M296" s="6"/>
      <c r="N296" s="6"/>
      <c r="O296" t="s">
        <v>1948</v>
      </c>
    </row>
    <row r="297" spans="1:15" x14ac:dyDescent="0.2">
      <c r="A297">
        <v>296</v>
      </c>
      <c r="C297" s="6" t="str">
        <f t="shared" si="4"/>
        <v/>
      </c>
      <c r="D297" s="6" t="s">
        <v>113</v>
      </c>
      <c r="E297" s="6" t="s">
        <v>192</v>
      </c>
      <c r="F297" s="6" t="s">
        <v>165</v>
      </c>
      <c r="G297" s="6" t="s">
        <v>245</v>
      </c>
      <c r="H297" s="6" t="s">
        <v>1282</v>
      </c>
      <c r="I297" s="6"/>
      <c r="J297" s="6" t="s">
        <v>1354</v>
      </c>
      <c r="K297" s="6" t="s">
        <v>1350</v>
      </c>
      <c r="L297" s="6"/>
      <c r="M297" s="6"/>
      <c r="N297" s="6"/>
      <c r="O297" t="s">
        <v>1948</v>
      </c>
    </row>
    <row r="298" spans="1:15" x14ac:dyDescent="0.2">
      <c r="A298">
        <v>297</v>
      </c>
      <c r="C298" s="6" t="str">
        <f t="shared" si="4"/>
        <v/>
      </c>
      <c r="D298" s="6" t="s">
        <v>113</v>
      </c>
      <c r="E298" s="6" t="s">
        <v>192</v>
      </c>
      <c r="F298" s="6" t="s">
        <v>165</v>
      </c>
      <c r="G298" s="6" t="s">
        <v>246</v>
      </c>
      <c r="H298" s="6" t="s">
        <v>1282</v>
      </c>
      <c r="I298" s="6"/>
      <c r="J298" s="6" t="s">
        <v>1354</v>
      </c>
      <c r="K298" s="6" t="s">
        <v>1351</v>
      </c>
      <c r="L298" s="6"/>
      <c r="M298" s="6"/>
      <c r="N298" s="6"/>
      <c r="O298" t="s">
        <v>1948</v>
      </c>
    </row>
    <row r="299" spans="1:15" x14ac:dyDescent="0.2">
      <c r="A299">
        <v>298</v>
      </c>
      <c r="C299" s="6" t="str">
        <f t="shared" si="4"/>
        <v/>
      </c>
      <c r="D299" s="6" t="s">
        <v>113</v>
      </c>
      <c r="E299" s="6" t="s">
        <v>192</v>
      </c>
      <c r="F299" s="6" t="s">
        <v>165</v>
      </c>
      <c r="G299" s="6" t="s">
        <v>247</v>
      </c>
      <c r="H299" s="6" t="s">
        <v>1282</v>
      </c>
      <c r="I299" s="6"/>
      <c r="J299" s="6" t="s">
        <v>1354</v>
      </c>
      <c r="K299" s="6" t="s">
        <v>1649</v>
      </c>
      <c r="L299" s="6"/>
      <c r="M299" s="6"/>
      <c r="N299" s="6"/>
      <c r="O299" t="s">
        <v>1948</v>
      </c>
    </row>
    <row r="300" spans="1:15" x14ac:dyDescent="0.2">
      <c r="A300">
        <v>299</v>
      </c>
      <c r="C300" s="6" t="str">
        <f t="shared" si="4"/>
        <v/>
      </c>
      <c r="D300" s="6" t="s">
        <v>113</v>
      </c>
      <c r="E300" s="6" t="s">
        <v>192</v>
      </c>
      <c r="F300" s="6" t="s">
        <v>165</v>
      </c>
      <c r="G300" s="6" t="s">
        <v>248</v>
      </c>
      <c r="H300" s="6" t="s">
        <v>1282</v>
      </c>
      <c r="I300" s="6"/>
      <c r="J300" s="6" t="s">
        <v>1354</v>
      </c>
      <c r="K300" s="6" t="s">
        <v>1348</v>
      </c>
      <c r="L300" s="6"/>
      <c r="M300" s="6"/>
      <c r="N300" s="6"/>
      <c r="O300" t="s">
        <v>1948</v>
      </c>
    </row>
    <row r="301" spans="1:15" x14ac:dyDescent="0.2">
      <c r="A301">
        <v>300</v>
      </c>
      <c r="C301" s="6" t="str">
        <f t="shared" si="4"/>
        <v/>
      </c>
      <c r="D301" s="6" t="s">
        <v>113</v>
      </c>
      <c r="E301" s="6" t="s">
        <v>192</v>
      </c>
      <c r="F301" s="6" t="s">
        <v>165</v>
      </c>
      <c r="G301" s="6" t="s">
        <v>249</v>
      </c>
      <c r="H301" s="6" t="s">
        <v>1282</v>
      </c>
      <c r="I301" s="6"/>
      <c r="J301" s="6" t="s">
        <v>1354</v>
      </c>
      <c r="K301" s="6" t="s">
        <v>1650</v>
      </c>
      <c r="L301" s="6"/>
      <c r="M301" s="6"/>
      <c r="N301" s="6"/>
      <c r="O301" t="s">
        <v>1948</v>
      </c>
    </row>
    <row r="302" spans="1:15" x14ac:dyDescent="0.2">
      <c r="A302">
        <v>301</v>
      </c>
      <c r="C302" s="6" t="str">
        <f t="shared" si="4"/>
        <v/>
      </c>
      <c r="D302" s="6" t="s">
        <v>113</v>
      </c>
      <c r="E302" s="6" t="s">
        <v>192</v>
      </c>
      <c r="F302" s="6" t="s">
        <v>165</v>
      </c>
      <c r="G302" s="6" t="s">
        <v>250</v>
      </c>
      <c r="H302" s="6" t="s">
        <v>1282</v>
      </c>
      <c r="I302" s="6"/>
      <c r="J302" s="6" t="s">
        <v>1354</v>
      </c>
      <c r="K302" s="6" t="s">
        <v>1651</v>
      </c>
      <c r="L302" s="6"/>
      <c r="M302" s="6"/>
      <c r="N302" s="6"/>
      <c r="O302" t="s">
        <v>1948</v>
      </c>
    </row>
    <row r="303" spans="1:15" x14ac:dyDescent="0.2">
      <c r="A303">
        <v>302</v>
      </c>
      <c r="C303" s="6" t="str">
        <f t="shared" si="4"/>
        <v/>
      </c>
      <c r="D303" s="6" t="s">
        <v>113</v>
      </c>
      <c r="E303" s="6" t="s">
        <v>192</v>
      </c>
      <c r="F303" s="6" t="s">
        <v>165</v>
      </c>
      <c r="G303" s="6" t="s">
        <v>251</v>
      </c>
      <c r="H303" s="6" t="s">
        <v>1282</v>
      </c>
      <c r="I303" s="6"/>
      <c r="J303" s="6" t="s">
        <v>1354</v>
      </c>
      <c r="K303" s="6" t="s">
        <v>1652</v>
      </c>
      <c r="L303" s="6"/>
      <c r="M303" s="6"/>
      <c r="N303" s="6"/>
      <c r="O303" t="s">
        <v>1948</v>
      </c>
    </row>
    <row r="304" spans="1:15" x14ac:dyDescent="0.2">
      <c r="A304">
        <v>303</v>
      </c>
      <c r="C304" s="6" t="str">
        <f t="shared" si="4"/>
        <v/>
      </c>
      <c r="D304" s="6" t="s">
        <v>113</v>
      </c>
      <c r="E304" s="6" t="s">
        <v>192</v>
      </c>
      <c r="F304" s="6" t="s">
        <v>165</v>
      </c>
      <c r="G304" s="6" t="s">
        <v>252</v>
      </c>
      <c r="H304" s="6" t="s">
        <v>1282</v>
      </c>
      <c r="I304" s="6"/>
      <c r="J304" s="6" t="s">
        <v>1354</v>
      </c>
      <c r="K304" s="6" t="s">
        <v>1653</v>
      </c>
      <c r="L304" s="6"/>
      <c r="M304" s="6"/>
      <c r="N304" s="6"/>
      <c r="O304" t="s">
        <v>1948</v>
      </c>
    </row>
    <row r="305" spans="1:15" x14ac:dyDescent="0.2">
      <c r="A305">
        <v>304</v>
      </c>
      <c r="C305" s="6" t="str">
        <f t="shared" si="4"/>
        <v/>
      </c>
      <c r="D305" s="6" t="s">
        <v>113</v>
      </c>
      <c r="E305" s="6" t="s">
        <v>192</v>
      </c>
      <c r="F305" s="6" t="s">
        <v>165</v>
      </c>
      <c r="G305" s="6" t="s">
        <v>253</v>
      </c>
      <c r="H305" s="6" t="s">
        <v>1282</v>
      </c>
      <c r="I305" s="6"/>
      <c r="J305" s="6" t="s">
        <v>1354</v>
      </c>
      <c r="K305" s="6" t="s">
        <v>1654</v>
      </c>
      <c r="L305" s="6"/>
      <c r="M305" s="6"/>
      <c r="N305" s="6"/>
      <c r="O305" t="s">
        <v>1948</v>
      </c>
    </row>
    <row r="306" spans="1:15" x14ac:dyDescent="0.2">
      <c r="A306">
        <v>305</v>
      </c>
      <c r="C306" s="6" t="str">
        <f t="shared" si="4"/>
        <v/>
      </c>
      <c r="D306" s="6" t="s">
        <v>113</v>
      </c>
      <c r="E306" s="6" t="s">
        <v>192</v>
      </c>
      <c r="F306" s="6" t="s">
        <v>165</v>
      </c>
      <c r="G306" s="6" t="s">
        <v>254</v>
      </c>
      <c r="H306" s="6" t="s">
        <v>1282</v>
      </c>
      <c r="I306" s="6"/>
      <c r="J306" s="6" t="s">
        <v>1355</v>
      </c>
      <c r="K306" s="6" t="s">
        <v>1636</v>
      </c>
      <c r="L306" s="6"/>
      <c r="M306" s="6"/>
      <c r="N306" s="6"/>
      <c r="O306" t="s">
        <v>1948</v>
      </c>
    </row>
    <row r="307" spans="1:15" x14ac:dyDescent="0.2">
      <c r="A307">
        <v>306</v>
      </c>
      <c r="C307" s="6" t="str">
        <f t="shared" si="4"/>
        <v/>
      </c>
      <c r="D307" s="6" t="s">
        <v>113</v>
      </c>
      <c r="E307" s="6" t="s">
        <v>192</v>
      </c>
      <c r="F307" s="6" t="s">
        <v>165</v>
      </c>
      <c r="G307" s="6" t="s">
        <v>255</v>
      </c>
      <c r="H307" s="6" t="s">
        <v>1282</v>
      </c>
      <c r="I307" s="6"/>
      <c r="J307" s="6" t="s">
        <v>1355</v>
      </c>
      <c r="K307" s="6" t="s">
        <v>1637</v>
      </c>
      <c r="L307" s="6"/>
      <c r="M307" s="6"/>
      <c r="N307" s="6"/>
      <c r="O307" t="s">
        <v>1948</v>
      </c>
    </row>
    <row r="308" spans="1:15" x14ac:dyDescent="0.2">
      <c r="A308">
        <v>307</v>
      </c>
      <c r="C308" s="6" t="str">
        <f t="shared" si="4"/>
        <v/>
      </c>
      <c r="D308" s="6" t="s">
        <v>113</v>
      </c>
      <c r="E308" s="6" t="s">
        <v>192</v>
      </c>
      <c r="F308" s="6" t="s">
        <v>165</v>
      </c>
      <c r="G308" s="6" t="s">
        <v>256</v>
      </c>
      <c r="H308" s="6" t="s">
        <v>1282</v>
      </c>
      <c r="I308" s="6"/>
      <c r="J308" s="6" t="s">
        <v>1355</v>
      </c>
      <c r="K308" s="6" t="s">
        <v>1340</v>
      </c>
      <c r="L308" s="6"/>
      <c r="M308" s="6"/>
      <c r="N308" s="6"/>
      <c r="O308" t="s">
        <v>1948</v>
      </c>
    </row>
    <row r="309" spans="1:15" x14ac:dyDescent="0.2">
      <c r="A309">
        <v>308</v>
      </c>
      <c r="C309" s="6" t="str">
        <f t="shared" si="4"/>
        <v/>
      </c>
      <c r="D309" s="6" t="s">
        <v>113</v>
      </c>
      <c r="E309" s="6" t="s">
        <v>192</v>
      </c>
      <c r="F309" s="6" t="s">
        <v>165</v>
      </c>
      <c r="G309" s="6" t="s">
        <v>257</v>
      </c>
      <c r="H309" s="6" t="s">
        <v>1282</v>
      </c>
      <c r="I309" s="6"/>
      <c r="J309" s="6" t="s">
        <v>1355</v>
      </c>
      <c r="K309" s="6" t="s">
        <v>1638</v>
      </c>
      <c r="L309" s="6"/>
      <c r="M309" s="6"/>
      <c r="N309" s="6"/>
      <c r="O309" t="s">
        <v>1948</v>
      </c>
    </row>
    <row r="310" spans="1:15" x14ac:dyDescent="0.2">
      <c r="A310">
        <v>309</v>
      </c>
      <c r="C310" s="6" t="str">
        <f t="shared" si="4"/>
        <v/>
      </c>
      <c r="D310" s="6" t="s">
        <v>113</v>
      </c>
      <c r="E310" s="6" t="s">
        <v>192</v>
      </c>
      <c r="F310" s="6" t="s">
        <v>165</v>
      </c>
      <c r="G310" s="6" t="s">
        <v>258</v>
      </c>
      <c r="H310" s="6" t="s">
        <v>1282</v>
      </c>
      <c r="I310" s="6"/>
      <c r="J310" s="6" t="s">
        <v>1355</v>
      </c>
      <c r="K310" s="6" t="s">
        <v>1341</v>
      </c>
      <c r="L310" s="6"/>
      <c r="M310" s="6"/>
      <c r="N310" s="6"/>
      <c r="O310" t="s">
        <v>1948</v>
      </c>
    </row>
    <row r="311" spans="1:15" x14ac:dyDescent="0.2">
      <c r="A311">
        <v>310</v>
      </c>
      <c r="C311" s="6" t="str">
        <f t="shared" si="4"/>
        <v/>
      </c>
      <c r="D311" s="6" t="s">
        <v>113</v>
      </c>
      <c r="E311" s="6" t="s">
        <v>192</v>
      </c>
      <c r="F311" s="6" t="s">
        <v>165</v>
      </c>
      <c r="G311" s="6" t="s">
        <v>259</v>
      </c>
      <c r="H311" s="6" t="s">
        <v>1282</v>
      </c>
      <c r="I311" s="6"/>
      <c r="J311" s="6" t="s">
        <v>1355</v>
      </c>
      <c r="K311" s="6" t="s">
        <v>1342</v>
      </c>
      <c r="L311" s="6"/>
      <c r="M311" s="6"/>
      <c r="N311" s="6"/>
      <c r="O311" t="s">
        <v>1948</v>
      </c>
    </row>
    <row r="312" spans="1:15" x14ac:dyDescent="0.2">
      <c r="A312">
        <v>311</v>
      </c>
      <c r="C312" s="6" t="str">
        <f t="shared" si="4"/>
        <v/>
      </c>
      <c r="D312" s="6" t="s">
        <v>113</v>
      </c>
      <c r="E312" s="6" t="s">
        <v>192</v>
      </c>
      <c r="F312" s="6" t="s">
        <v>165</v>
      </c>
      <c r="G312" s="6" t="s">
        <v>260</v>
      </c>
      <c r="H312" s="6" t="s">
        <v>1282</v>
      </c>
      <c r="I312" s="6"/>
      <c r="J312" s="6" t="s">
        <v>1355</v>
      </c>
      <c r="K312" s="6" t="s">
        <v>1343</v>
      </c>
      <c r="L312" s="6"/>
      <c r="M312" s="6"/>
      <c r="N312" s="6"/>
      <c r="O312" t="s">
        <v>1948</v>
      </c>
    </row>
    <row r="313" spans="1:15" x14ac:dyDescent="0.2">
      <c r="A313">
        <v>312</v>
      </c>
      <c r="C313" s="6" t="str">
        <f t="shared" si="4"/>
        <v/>
      </c>
      <c r="D313" s="6" t="s">
        <v>113</v>
      </c>
      <c r="E313" s="6" t="s">
        <v>192</v>
      </c>
      <c r="F313" s="6" t="s">
        <v>165</v>
      </c>
      <c r="G313" s="6" t="s">
        <v>261</v>
      </c>
      <c r="H313" s="6" t="s">
        <v>1282</v>
      </c>
      <c r="I313" s="6"/>
      <c r="J313" s="6" t="s">
        <v>1355</v>
      </c>
      <c r="K313" s="6" t="s">
        <v>1639</v>
      </c>
      <c r="L313" s="6"/>
      <c r="M313" s="6"/>
      <c r="N313" s="6"/>
      <c r="O313" t="s">
        <v>1948</v>
      </c>
    </row>
    <row r="314" spans="1:15" x14ac:dyDescent="0.2">
      <c r="A314">
        <v>313</v>
      </c>
      <c r="C314" s="6" t="str">
        <f t="shared" si="4"/>
        <v/>
      </c>
      <c r="D314" s="6" t="s">
        <v>113</v>
      </c>
      <c r="E314" s="6" t="s">
        <v>192</v>
      </c>
      <c r="F314" s="6" t="s">
        <v>165</v>
      </c>
      <c r="G314" s="6" t="s">
        <v>262</v>
      </c>
      <c r="H314" s="6" t="s">
        <v>1282</v>
      </c>
      <c r="I314" s="6"/>
      <c r="J314" s="6" t="s">
        <v>1355</v>
      </c>
      <c r="K314" s="6" t="s">
        <v>1640</v>
      </c>
      <c r="L314" s="6"/>
      <c r="M314" s="6"/>
      <c r="N314" s="6"/>
      <c r="O314" t="s">
        <v>1948</v>
      </c>
    </row>
    <row r="315" spans="1:15" x14ac:dyDescent="0.2">
      <c r="A315">
        <v>314</v>
      </c>
      <c r="C315" s="6" t="str">
        <f t="shared" si="4"/>
        <v/>
      </c>
      <c r="D315" s="6" t="s">
        <v>113</v>
      </c>
      <c r="E315" s="6" t="s">
        <v>192</v>
      </c>
      <c r="F315" s="6" t="s">
        <v>165</v>
      </c>
      <c r="G315" s="6" t="s">
        <v>263</v>
      </c>
      <c r="H315" s="6" t="s">
        <v>1282</v>
      </c>
      <c r="I315" s="6"/>
      <c r="J315" s="6" t="s">
        <v>1355</v>
      </c>
      <c r="K315" s="6" t="s">
        <v>1641</v>
      </c>
      <c r="L315" s="6"/>
      <c r="M315" s="6"/>
      <c r="N315" s="6"/>
      <c r="O315" t="s">
        <v>1948</v>
      </c>
    </row>
    <row r="316" spans="1:15" x14ac:dyDescent="0.2">
      <c r="A316">
        <v>315</v>
      </c>
      <c r="C316" s="6" t="str">
        <f t="shared" si="4"/>
        <v/>
      </c>
      <c r="D316" s="6" t="s">
        <v>113</v>
      </c>
      <c r="E316" s="6" t="s">
        <v>192</v>
      </c>
      <c r="F316" s="6" t="s">
        <v>165</v>
      </c>
      <c r="G316" s="6" t="s">
        <v>264</v>
      </c>
      <c r="H316" s="6" t="s">
        <v>1282</v>
      </c>
      <c r="I316" s="6"/>
      <c r="J316" s="6" t="s">
        <v>1355</v>
      </c>
      <c r="K316" s="6" t="s">
        <v>1642</v>
      </c>
      <c r="L316" s="6"/>
      <c r="M316" s="6"/>
      <c r="N316" s="6"/>
      <c r="O316" t="s">
        <v>1948</v>
      </c>
    </row>
    <row r="317" spans="1:15" x14ac:dyDescent="0.2">
      <c r="A317">
        <v>316</v>
      </c>
      <c r="C317" s="6" t="str">
        <f t="shared" si="4"/>
        <v/>
      </c>
      <c r="D317" s="6" t="s">
        <v>113</v>
      </c>
      <c r="E317" s="6" t="s">
        <v>192</v>
      </c>
      <c r="F317" s="6" t="s">
        <v>165</v>
      </c>
      <c r="G317" s="6" t="s">
        <v>265</v>
      </c>
      <c r="H317" s="6" t="s">
        <v>1282</v>
      </c>
      <c r="I317" s="6"/>
      <c r="J317" s="6" t="s">
        <v>1355</v>
      </c>
      <c r="K317" s="6" t="s">
        <v>1643</v>
      </c>
      <c r="L317" s="6"/>
      <c r="M317" s="6"/>
      <c r="N317" s="6"/>
      <c r="O317" t="s">
        <v>1948</v>
      </c>
    </row>
    <row r="318" spans="1:15" x14ac:dyDescent="0.2">
      <c r="A318">
        <v>317</v>
      </c>
      <c r="C318" s="6" t="str">
        <f t="shared" si="4"/>
        <v/>
      </c>
      <c r="D318" s="6" t="s">
        <v>113</v>
      </c>
      <c r="E318" s="6" t="s">
        <v>192</v>
      </c>
      <c r="F318" s="6" t="s">
        <v>165</v>
      </c>
      <c r="G318" s="6" t="s">
        <v>1211</v>
      </c>
      <c r="H318" s="6" t="s">
        <v>1282</v>
      </c>
      <c r="I318" s="6"/>
      <c r="J318" s="6" t="s">
        <v>1355</v>
      </c>
      <c r="K318" s="6" t="s">
        <v>1344</v>
      </c>
      <c r="L318" s="6"/>
      <c r="M318" s="6"/>
      <c r="N318" s="6"/>
      <c r="O318" t="s">
        <v>1948</v>
      </c>
    </row>
    <row r="319" spans="1:15" x14ac:dyDescent="0.2">
      <c r="A319">
        <v>318</v>
      </c>
      <c r="C319" s="6" t="str">
        <f t="shared" si="4"/>
        <v/>
      </c>
      <c r="D319" s="6" t="s">
        <v>113</v>
      </c>
      <c r="E319" s="6" t="s">
        <v>192</v>
      </c>
      <c r="F319" s="6" t="s">
        <v>165</v>
      </c>
      <c r="G319" s="6" t="s">
        <v>1212</v>
      </c>
      <c r="H319" s="6" t="s">
        <v>1282</v>
      </c>
      <c r="I319" s="6"/>
      <c r="J319" s="6" t="s">
        <v>1355</v>
      </c>
      <c r="K319" s="6" t="s">
        <v>1644</v>
      </c>
      <c r="L319" s="6"/>
      <c r="M319" s="6"/>
      <c r="N319" s="6"/>
      <c r="O319" t="s">
        <v>1948</v>
      </c>
    </row>
    <row r="320" spans="1:15" x14ac:dyDescent="0.2">
      <c r="A320">
        <v>319</v>
      </c>
      <c r="C320" s="6" t="str">
        <f t="shared" si="4"/>
        <v/>
      </c>
      <c r="D320" s="6" t="s">
        <v>113</v>
      </c>
      <c r="E320" s="6" t="s">
        <v>192</v>
      </c>
      <c r="F320" s="6" t="s">
        <v>165</v>
      </c>
      <c r="G320" s="6" t="s">
        <v>266</v>
      </c>
      <c r="H320" s="6" t="s">
        <v>1282</v>
      </c>
      <c r="I320" s="6"/>
      <c r="J320" s="6" t="s">
        <v>1354</v>
      </c>
      <c r="K320" s="6" t="s">
        <v>1655</v>
      </c>
      <c r="L320" s="6"/>
      <c r="M320" s="6"/>
      <c r="N320" s="6"/>
      <c r="O320" t="s">
        <v>1948</v>
      </c>
    </row>
    <row r="321" spans="1:15" x14ac:dyDescent="0.2">
      <c r="A321">
        <v>320</v>
      </c>
      <c r="C321" s="6" t="str">
        <f t="shared" si="4"/>
        <v/>
      </c>
      <c r="D321" s="6" t="s">
        <v>113</v>
      </c>
      <c r="E321" s="6" t="s">
        <v>192</v>
      </c>
      <c r="F321" s="6" t="s">
        <v>165</v>
      </c>
      <c r="G321" s="6" t="s">
        <v>267</v>
      </c>
      <c r="H321" s="6" t="s">
        <v>1282</v>
      </c>
      <c r="I321" s="6"/>
      <c r="J321" s="6" t="s">
        <v>1354</v>
      </c>
      <c r="K321" s="6" t="s">
        <v>1347</v>
      </c>
      <c r="L321" s="6"/>
      <c r="M321" s="6"/>
      <c r="N321" s="6"/>
      <c r="O321" t="s">
        <v>1948</v>
      </c>
    </row>
    <row r="322" spans="1:15" x14ac:dyDescent="0.2">
      <c r="A322">
        <v>321</v>
      </c>
      <c r="C322" s="6" t="str">
        <f t="shared" si="4"/>
        <v/>
      </c>
      <c r="D322" s="6" t="s">
        <v>113</v>
      </c>
      <c r="E322" s="6" t="s">
        <v>192</v>
      </c>
      <c r="F322" s="6" t="s">
        <v>165</v>
      </c>
      <c r="G322" s="6" t="s">
        <v>268</v>
      </c>
      <c r="H322" s="6" t="s">
        <v>1282</v>
      </c>
      <c r="I322" s="6"/>
      <c r="J322" s="6" t="s">
        <v>1354</v>
      </c>
      <c r="K322" s="6" t="s">
        <v>1346</v>
      </c>
      <c r="L322" s="6"/>
      <c r="M322" s="6"/>
      <c r="N322" s="6"/>
      <c r="O322" t="s">
        <v>1948</v>
      </c>
    </row>
    <row r="323" spans="1:15" x14ac:dyDescent="0.2">
      <c r="A323">
        <v>322</v>
      </c>
      <c r="C323" s="6" t="str">
        <f t="shared" ref="C323:C386" si="5">IF(AND(G323="NA",H323&lt;&gt;"wide_value"),TRUE,"")</f>
        <v/>
      </c>
      <c r="D323" s="6" t="s">
        <v>113</v>
      </c>
      <c r="E323" s="6" t="s">
        <v>192</v>
      </c>
      <c r="F323" s="6" t="s">
        <v>165</v>
      </c>
      <c r="G323" s="6" t="s">
        <v>269</v>
      </c>
      <c r="H323" s="6" t="s">
        <v>1282</v>
      </c>
      <c r="I323" s="6"/>
      <c r="J323" s="6" t="s">
        <v>1355</v>
      </c>
      <c r="K323" s="6" t="s">
        <v>1345</v>
      </c>
      <c r="L323" s="6"/>
      <c r="M323" s="6"/>
      <c r="N323" s="6"/>
      <c r="O323" t="s">
        <v>1948</v>
      </c>
    </row>
    <row r="324" spans="1:15" s="36" customFormat="1" x14ac:dyDescent="0.2">
      <c r="A324" s="36">
        <v>323</v>
      </c>
      <c r="C324" s="37" t="b">
        <f t="shared" si="5"/>
        <v>1</v>
      </c>
      <c r="D324" s="37" t="s">
        <v>113</v>
      </c>
      <c r="E324" s="37" t="s">
        <v>192</v>
      </c>
      <c r="F324" s="37" t="s">
        <v>171</v>
      </c>
      <c r="G324" s="37" t="s">
        <v>497</v>
      </c>
      <c r="H324" s="37" t="s">
        <v>1536</v>
      </c>
      <c r="I324" s="37"/>
      <c r="J324" s="37" t="s">
        <v>1632</v>
      </c>
      <c r="K324" s="37" t="s">
        <v>1768</v>
      </c>
      <c r="L324" s="37"/>
      <c r="M324" s="37"/>
      <c r="N324" s="38" t="s">
        <v>1769</v>
      </c>
      <c r="O324" s="36" t="s">
        <v>1926</v>
      </c>
    </row>
    <row r="325" spans="1:15" x14ac:dyDescent="0.2">
      <c r="A325">
        <v>324</v>
      </c>
      <c r="B325" t="b">
        <v>1</v>
      </c>
      <c r="C325" s="6" t="b">
        <f t="shared" si="5"/>
        <v>1</v>
      </c>
      <c r="D325" s="6" t="s">
        <v>113</v>
      </c>
      <c r="E325" s="6" t="s">
        <v>192</v>
      </c>
      <c r="F325" s="6" t="s">
        <v>1165</v>
      </c>
      <c r="G325" s="6" t="s">
        <v>497</v>
      </c>
      <c r="H325" s="6" t="s">
        <v>1536</v>
      </c>
      <c r="I325" s="6"/>
      <c r="J325" s="6" t="s">
        <v>1014</v>
      </c>
      <c r="K325" s="6" t="s">
        <v>1721</v>
      </c>
      <c r="L325" s="6"/>
      <c r="M325" s="6"/>
      <c r="N325" s="6"/>
    </row>
    <row r="326" spans="1:15" x14ac:dyDescent="0.2">
      <c r="A326">
        <v>325</v>
      </c>
      <c r="B326" t="b">
        <v>1</v>
      </c>
      <c r="C326" s="6" t="str">
        <f t="shared" si="5"/>
        <v/>
      </c>
      <c r="D326" s="6" t="s">
        <v>113</v>
      </c>
      <c r="E326" s="6" t="s">
        <v>192</v>
      </c>
      <c r="F326" s="6" t="s">
        <v>1166</v>
      </c>
      <c r="G326" s="6" t="s">
        <v>1218</v>
      </c>
      <c r="H326" s="6" t="s">
        <v>1276</v>
      </c>
      <c r="I326" s="6"/>
      <c r="J326" s="6" t="s">
        <v>1686</v>
      </c>
      <c r="K326" s="6" t="s">
        <v>1687</v>
      </c>
      <c r="L326" s="6"/>
      <c r="M326" s="6"/>
      <c r="N326" s="6"/>
    </row>
    <row r="327" spans="1:15" x14ac:dyDescent="0.2">
      <c r="A327">
        <v>326</v>
      </c>
      <c r="B327" t="b">
        <v>1</v>
      </c>
      <c r="C327" s="6" t="str">
        <f t="shared" si="5"/>
        <v/>
      </c>
      <c r="D327" s="6" t="s">
        <v>113</v>
      </c>
      <c r="E327" s="6" t="s">
        <v>192</v>
      </c>
      <c r="F327" s="6" t="s">
        <v>1166</v>
      </c>
      <c r="G327" s="6" t="s">
        <v>1219</v>
      </c>
      <c r="H327" s="6" t="s">
        <v>1276</v>
      </c>
      <c r="I327" s="6"/>
      <c r="J327" s="6" t="s">
        <v>1686</v>
      </c>
      <c r="K327" s="6" t="s">
        <v>1688</v>
      </c>
      <c r="L327" s="6"/>
      <c r="M327" s="6"/>
      <c r="N327" s="6"/>
    </row>
    <row r="328" spans="1:15" x14ac:dyDescent="0.2">
      <c r="A328">
        <v>327</v>
      </c>
      <c r="B328" t="b">
        <v>1</v>
      </c>
      <c r="C328" s="6" t="str">
        <f t="shared" si="5"/>
        <v/>
      </c>
      <c r="D328" s="6" t="s">
        <v>113</v>
      </c>
      <c r="E328" s="6" t="s">
        <v>192</v>
      </c>
      <c r="F328" s="6" t="s">
        <v>1166</v>
      </c>
      <c r="G328" s="6" t="s">
        <v>234</v>
      </c>
      <c r="H328" s="6" t="s">
        <v>1276</v>
      </c>
      <c r="I328" s="6"/>
      <c r="J328" s="6" t="s">
        <v>1686</v>
      </c>
      <c r="K328" s="6" t="s">
        <v>1689</v>
      </c>
      <c r="L328" s="6"/>
      <c r="M328" s="6"/>
      <c r="N328" s="6"/>
    </row>
    <row r="329" spans="1:15" x14ac:dyDescent="0.2">
      <c r="A329">
        <v>328</v>
      </c>
      <c r="B329" t="b">
        <v>1</v>
      </c>
      <c r="C329" s="6" t="str">
        <f t="shared" si="5"/>
        <v/>
      </c>
      <c r="D329" s="6" t="s">
        <v>113</v>
      </c>
      <c r="E329" s="6" t="s">
        <v>192</v>
      </c>
      <c r="F329" s="6" t="s">
        <v>1166</v>
      </c>
      <c r="G329" s="6" t="s">
        <v>235</v>
      </c>
      <c r="H329" s="6" t="s">
        <v>1276</v>
      </c>
      <c r="I329" s="6"/>
      <c r="J329" s="6" t="s">
        <v>1686</v>
      </c>
      <c r="K329" s="6" t="s">
        <v>1690</v>
      </c>
      <c r="L329" s="6"/>
      <c r="M329" s="6"/>
      <c r="N329" s="6"/>
    </row>
    <row r="330" spans="1:15" x14ac:dyDescent="0.2">
      <c r="A330">
        <v>329</v>
      </c>
      <c r="C330" s="6" t="b">
        <f t="shared" ca="1" si="5"/>
        <v>1</v>
      </c>
      <c r="D330" s="6" t="s">
        <v>113</v>
      </c>
      <c r="E330" s="6" t="s">
        <v>1776</v>
      </c>
      <c r="F330" s="6" t="s">
        <v>147</v>
      </c>
      <c r="G330" s="6" t="s">
        <v>497</v>
      </c>
      <c r="H330" s="9" t="str" cm="1">
        <f t="array" aca="1" ref="H330" ca="1">IF(COUNTIF(wide_measures!D:D,INDIRECT("maps!F$"&amp;ROW()))&gt;0,"measures",IF(COUNTIF(wide_protocolSteps!C:C,INDIRECT("maps!F$"&amp;ROW()))&gt;0,"protocolSteps",IF(COUNTIF(wide_repositories!C:C,INDIRECT("maps!F$"&amp;ROW()))&gt;0,"repositories",IF(COUNTIF(wide_protocols!C:C,INDIRECT("maps!F$"&amp;ROW()))&gt;0,"protocols",""))))</f>
        <v>protocolSteps</v>
      </c>
      <c r="I330" s="9" t="s">
        <v>1113</v>
      </c>
      <c r="J330" s="6"/>
      <c r="K330" s="6"/>
      <c r="L330" s="6"/>
      <c r="M330" s="6"/>
      <c r="N330" s="5" t="s">
        <v>1770</v>
      </c>
    </row>
    <row r="331" spans="1:15" x14ac:dyDescent="0.2">
      <c r="A331">
        <v>330</v>
      </c>
      <c r="B331" t="b">
        <v>1</v>
      </c>
      <c r="C331" s="6"/>
      <c r="D331" s="6" t="s">
        <v>113</v>
      </c>
      <c r="E331" s="6" t="s">
        <v>192</v>
      </c>
      <c r="F331" s="6" t="s">
        <v>148</v>
      </c>
      <c r="G331" s="6" t="s">
        <v>497</v>
      </c>
      <c r="H331" s="6" t="s">
        <v>1331</v>
      </c>
      <c r="I331" s="6"/>
      <c r="J331" s="6" t="s">
        <v>1632</v>
      </c>
      <c r="K331" s="6" t="s">
        <v>1772</v>
      </c>
      <c r="L331" s="6"/>
      <c r="M331" s="6"/>
      <c r="N331" s="5" t="s">
        <v>1771</v>
      </c>
    </row>
    <row r="332" spans="1:15" s="36" customFormat="1" x14ac:dyDescent="0.2">
      <c r="A332" s="36">
        <v>331</v>
      </c>
      <c r="C332" s="37" t="b">
        <f t="shared" si="5"/>
        <v>1</v>
      </c>
      <c r="D332" s="37" t="s">
        <v>113</v>
      </c>
      <c r="E332" s="37" t="s">
        <v>192</v>
      </c>
      <c r="F332" s="37" t="s">
        <v>1169</v>
      </c>
      <c r="G332" s="37" t="s">
        <v>497</v>
      </c>
      <c r="H332" s="37" t="s">
        <v>1331</v>
      </c>
      <c r="I332" s="37"/>
      <c r="J332" s="37" t="s">
        <v>1632</v>
      </c>
      <c r="K332" s="37" t="s">
        <v>1777</v>
      </c>
      <c r="L332" s="37"/>
      <c r="M332" s="37"/>
      <c r="N332" s="38" t="s">
        <v>1778</v>
      </c>
      <c r="O332" s="36" t="s">
        <v>1950</v>
      </c>
    </row>
    <row r="333" spans="1:15" x14ac:dyDescent="0.2">
      <c r="A333">
        <v>332</v>
      </c>
      <c r="B333" s="36" t="b">
        <v>1</v>
      </c>
      <c r="C333" s="6" t="b">
        <f t="shared" ca="1" si="5"/>
        <v>1</v>
      </c>
      <c r="D333" s="6" t="s">
        <v>113</v>
      </c>
      <c r="E333" s="6" t="s">
        <v>192</v>
      </c>
      <c r="F333" s="6" t="s">
        <v>1168</v>
      </c>
      <c r="G333" s="6" t="s">
        <v>497</v>
      </c>
      <c r="H333" s="9" t="str" cm="1">
        <f t="array" aca="1" ref="H333" ca="1">IF(COUNTIF(wide_measures!D:D,INDIRECT("maps!F$"&amp;ROW()))&gt;0,"measures",IF(COUNTIF(wide_protocolSteps!C:C,INDIRECT("maps!F$"&amp;ROW()))&gt;0,"protocolSteps",IF(COUNTIF(wide_repositories!C:C,INDIRECT("maps!F$"&amp;ROW()))&gt;0,"repositories",IF(COUNTIF(wide_protocols!C:C,INDIRECT("maps!F$"&amp;ROW()))&gt;0,"protocols",""))))</f>
        <v>measures</v>
      </c>
      <c r="I333" s="9" t="s">
        <v>1113</v>
      </c>
      <c r="J333" s="6"/>
      <c r="K333" s="6"/>
      <c r="L333" s="6"/>
      <c r="M333" s="6"/>
      <c r="N333" s="5" t="s">
        <v>1779</v>
      </c>
    </row>
    <row r="334" spans="1:15" x14ac:dyDescent="0.2">
      <c r="A334">
        <v>333</v>
      </c>
      <c r="B334" s="36" t="b">
        <v>1</v>
      </c>
      <c r="C334" s="6" t="b">
        <f t="shared" si="5"/>
        <v>1</v>
      </c>
      <c r="D334" s="6" t="s">
        <v>113</v>
      </c>
      <c r="E334" s="6" t="s">
        <v>192</v>
      </c>
      <c r="F334" s="6" t="s">
        <v>1157</v>
      </c>
      <c r="G334" s="6" t="s">
        <v>497</v>
      </c>
      <c r="H334" s="6" t="s">
        <v>1282</v>
      </c>
      <c r="I334" s="6"/>
      <c r="J334" s="6" t="s">
        <v>1416</v>
      </c>
      <c r="K334" s="6" t="s">
        <v>1418</v>
      </c>
      <c r="L334" s="6"/>
      <c r="M334" s="6"/>
      <c r="N334" s="6"/>
    </row>
    <row r="335" spans="1:15" x14ac:dyDescent="0.2">
      <c r="A335">
        <v>334</v>
      </c>
      <c r="B335" s="36" t="b">
        <v>1</v>
      </c>
      <c r="C335" s="6" t="b">
        <f t="shared" si="5"/>
        <v>1</v>
      </c>
      <c r="D335" s="6" t="s">
        <v>113</v>
      </c>
      <c r="E335" s="6" t="s">
        <v>192</v>
      </c>
      <c r="F335" s="6" t="s">
        <v>1158</v>
      </c>
      <c r="G335" s="6" t="s">
        <v>497</v>
      </c>
      <c r="H335" s="6" t="s">
        <v>1282</v>
      </c>
      <c r="I335" s="6"/>
      <c r="J335" s="6" t="s">
        <v>1417</v>
      </c>
      <c r="K335" s="6" t="s">
        <v>1419</v>
      </c>
      <c r="L335" s="6"/>
      <c r="M335" s="6"/>
      <c r="N335" s="6"/>
    </row>
    <row r="336" spans="1:15" x14ac:dyDescent="0.2">
      <c r="A336">
        <v>335</v>
      </c>
      <c r="B336" s="36" t="b">
        <v>1</v>
      </c>
      <c r="C336" s="6" t="b">
        <f t="shared" si="5"/>
        <v>1</v>
      </c>
      <c r="D336" s="6" t="s">
        <v>113</v>
      </c>
      <c r="E336" s="6" t="s">
        <v>192</v>
      </c>
      <c r="F336" s="6" t="s">
        <v>134</v>
      </c>
      <c r="G336" s="6" t="s">
        <v>497</v>
      </c>
      <c r="H336" s="6" t="s">
        <v>1291</v>
      </c>
      <c r="I336" s="6"/>
      <c r="J336" s="6" t="s">
        <v>9</v>
      </c>
      <c r="K336" s="6" t="s">
        <v>1951</v>
      </c>
      <c r="L336" s="6"/>
      <c r="M336" s="6"/>
      <c r="N336" s="6"/>
    </row>
    <row r="337" spans="1:15" x14ac:dyDescent="0.2">
      <c r="A337">
        <v>336</v>
      </c>
      <c r="B337" s="36" t="b">
        <v>1</v>
      </c>
      <c r="C337" s="6" t="b">
        <f t="shared" si="5"/>
        <v>1</v>
      </c>
      <c r="D337" s="6" t="s">
        <v>113</v>
      </c>
      <c r="E337" s="6" t="s">
        <v>192</v>
      </c>
      <c r="F337" s="6" t="s">
        <v>164</v>
      </c>
      <c r="G337" s="6" t="s">
        <v>497</v>
      </c>
      <c r="H337" s="6" t="s">
        <v>1282</v>
      </c>
      <c r="I337" s="6"/>
      <c r="J337" s="6" t="s">
        <v>1247</v>
      </c>
      <c r="K337" s="6" t="s">
        <v>1308</v>
      </c>
      <c r="L337" s="6"/>
      <c r="M337" s="6"/>
      <c r="N337" s="6"/>
    </row>
    <row r="338" spans="1:15" x14ac:dyDescent="0.2">
      <c r="A338">
        <v>337</v>
      </c>
      <c r="B338" s="36" t="b">
        <v>1</v>
      </c>
      <c r="C338" s="6" t="b">
        <f t="shared" si="5"/>
        <v>1</v>
      </c>
      <c r="D338" s="6" t="s">
        <v>113</v>
      </c>
      <c r="E338" s="6" t="s">
        <v>192</v>
      </c>
      <c r="F338" s="6" t="s">
        <v>114</v>
      </c>
      <c r="G338" s="6" t="s">
        <v>497</v>
      </c>
      <c r="H338" s="6" t="s">
        <v>1291</v>
      </c>
      <c r="I338" s="6"/>
      <c r="J338" s="6" t="s">
        <v>1421</v>
      </c>
      <c r="K338" s="6" t="s">
        <v>1420</v>
      </c>
      <c r="L338" s="6"/>
      <c r="M338" s="6"/>
      <c r="N338" s="5" t="s">
        <v>1422</v>
      </c>
      <c r="O338" s="6" t="s">
        <v>1952</v>
      </c>
    </row>
    <row r="339" spans="1:15" x14ac:dyDescent="0.2">
      <c r="A339">
        <v>338</v>
      </c>
      <c r="C339" s="6" t="str">
        <f t="shared" si="5"/>
        <v/>
      </c>
      <c r="D339" s="6" t="s">
        <v>113</v>
      </c>
      <c r="E339" s="6" t="s">
        <v>192</v>
      </c>
      <c r="F339" s="6" t="s">
        <v>115</v>
      </c>
      <c r="G339" s="15" t="s">
        <v>499</v>
      </c>
      <c r="H339" s="6" t="s">
        <v>1291</v>
      </c>
      <c r="I339" s="6"/>
      <c r="J339" s="6" t="s">
        <v>1292</v>
      </c>
      <c r="K339" s="16" t="s">
        <v>498</v>
      </c>
      <c r="L339" s="6"/>
      <c r="M339" s="6"/>
      <c r="N339" s="5" t="s">
        <v>1293</v>
      </c>
      <c r="O339" s="6" t="s">
        <v>1953</v>
      </c>
    </row>
    <row r="340" spans="1:15" x14ac:dyDescent="0.2">
      <c r="A340">
        <v>339</v>
      </c>
      <c r="C340" s="6" t="str">
        <f t="shared" si="5"/>
        <v/>
      </c>
      <c r="D340" s="6" t="s">
        <v>113</v>
      </c>
      <c r="E340" s="6" t="s">
        <v>192</v>
      </c>
      <c r="F340" s="6" t="s">
        <v>115</v>
      </c>
      <c r="G340" s="15" t="s">
        <v>501</v>
      </c>
      <c r="H340" s="6" t="s">
        <v>1291</v>
      </c>
      <c r="I340" s="6"/>
      <c r="J340" s="6" t="s">
        <v>1292</v>
      </c>
      <c r="K340" s="16" t="s">
        <v>500</v>
      </c>
      <c r="L340" s="6"/>
      <c r="M340" s="6"/>
      <c r="N340" s="5" t="s">
        <v>1293</v>
      </c>
      <c r="O340" s="6" t="s">
        <v>1953</v>
      </c>
    </row>
    <row r="341" spans="1:15" x14ac:dyDescent="0.2">
      <c r="A341">
        <v>340</v>
      </c>
      <c r="C341" s="6" t="str">
        <f t="shared" si="5"/>
        <v/>
      </c>
      <c r="D341" s="6" t="s">
        <v>113</v>
      </c>
      <c r="E341" s="6" t="s">
        <v>192</v>
      </c>
      <c r="F341" s="6" t="s">
        <v>115</v>
      </c>
      <c r="G341" s="15" t="s">
        <v>503</v>
      </c>
      <c r="H341" s="6" t="s">
        <v>1291</v>
      </c>
      <c r="I341" s="6"/>
      <c r="J341" s="6" t="s">
        <v>1292</v>
      </c>
      <c r="K341" s="16" t="s">
        <v>502</v>
      </c>
      <c r="L341" s="6"/>
      <c r="M341" s="6"/>
      <c r="N341" s="5" t="s">
        <v>1293</v>
      </c>
      <c r="O341" s="6" t="s">
        <v>1953</v>
      </c>
    </row>
    <row r="342" spans="1:15" x14ac:dyDescent="0.2">
      <c r="A342">
        <v>341</v>
      </c>
      <c r="C342" s="6" t="str">
        <f t="shared" si="5"/>
        <v/>
      </c>
      <c r="D342" s="6" t="s">
        <v>113</v>
      </c>
      <c r="E342" s="6" t="s">
        <v>192</v>
      </c>
      <c r="F342" s="6" t="s">
        <v>115</v>
      </c>
      <c r="G342" s="15" t="s">
        <v>505</v>
      </c>
      <c r="H342" s="6" t="s">
        <v>1291</v>
      </c>
      <c r="I342" s="6"/>
      <c r="J342" s="6" t="s">
        <v>1292</v>
      </c>
      <c r="K342" s="16" t="s">
        <v>504</v>
      </c>
      <c r="L342" s="6"/>
      <c r="M342" s="6"/>
      <c r="N342" s="5" t="s">
        <v>1293</v>
      </c>
      <c r="O342" s="6" t="s">
        <v>1953</v>
      </c>
    </row>
    <row r="343" spans="1:15" x14ac:dyDescent="0.2">
      <c r="A343">
        <v>342</v>
      </c>
      <c r="C343" s="6" t="str">
        <f t="shared" si="5"/>
        <v/>
      </c>
      <c r="D343" s="6" t="s">
        <v>113</v>
      </c>
      <c r="E343" s="6" t="s">
        <v>192</v>
      </c>
      <c r="F343" s="6" t="s">
        <v>115</v>
      </c>
      <c r="G343" s="15" t="s">
        <v>507</v>
      </c>
      <c r="H343" s="6" t="s">
        <v>1291</v>
      </c>
      <c r="I343" s="6"/>
      <c r="J343" s="6" t="s">
        <v>1292</v>
      </c>
      <c r="K343" s="16" t="s">
        <v>506</v>
      </c>
      <c r="L343" s="6"/>
      <c r="M343" s="6"/>
      <c r="N343" s="5" t="s">
        <v>1293</v>
      </c>
      <c r="O343" s="6" t="s">
        <v>1953</v>
      </c>
    </row>
    <row r="344" spans="1:15" x14ac:dyDescent="0.2">
      <c r="A344">
        <v>343</v>
      </c>
      <c r="C344" s="6" t="str">
        <f t="shared" si="5"/>
        <v/>
      </c>
      <c r="D344" s="6" t="s">
        <v>113</v>
      </c>
      <c r="E344" s="6" t="s">
        <v>192</v>
      </c>
      <c r="F344" s="6" t="s">
        <v>115</v>
      </c>
      <c r="G344" s="15" t="s">
        <v>509</v>
      </c>
      <c r="H344" s="6" t="s">
        <v>1291</v>
      </c>
      <c r="I344" s="6"/>
      <c r="J344" s="6" t="s">
        <v>1292</v>
      </c>
      <c r="K344" s="16" t="s">
        <v>508</v>
      </c>
      <c r="L344" s="6"/>
      <c r="M344" s="6"/>
      <c r="N344" s="5" t="s">
        <v>1293</v>
      </c>
      <c r="O344" s="6" t="s">
        <v>1953</v>
      </c>
    </row>
    <row r="345" spans="1:15" x14ac:dyDescent="0.2">
      <c r="A345">
        <v>344</v>
      </c>
      <c r="C345" s="6" t="str">
        <f t="shared" si="5"/>
        <v/>
      </c>
      <c r="D345" s="6" t="s">
        <v>113</v>
      </c>
      <c r="E345" s="6" t="s">
        <v>192</v>
      </c>
      <c r="F345" s="6" t="s">
        <v>115</v>
      </c>
      <c r="G345" s="15" t="s">
        <v>511</v>
      </c>
      <c r="H345" s="6" t="s">
        <v>1291</v>
      </c>
      <c r="I345" s="6"/>
      <c r="J345" s="6" t="s">
        <v>1292</v>
      </c>
      <c r="K345" s="16" t="s">
        <v>510</v>
      </c>
      <c r="L345" s="6"/>
      <c r="M345" s="6"/>
      <c r="N345" s="5" t="s">
        <v>1293</v>
      </c>
      <c r="O345" s="6" t="s">
        <v>1953</v>
      </c>
    </row>
    <row r="346" spans="1:15" x14ac:dyDescent="0.2">
      <c r="A346">
        <v>345</v>
      </c>
      <c r="C346" s="6" t="str">
        <f t="shared" si="5"/>
        <v/>
      </c>
      <c r="D346" s="6" t="s">
        <v>113</v>
      </c>
      <c r="E346" s="6" t="s">
        <v>192</v>
      </c>
      <c r="F346" s="6" t="s">
        <v>115</v>
      </c>
      <c r="G346" s="15" t="s">
        <v>513</v>
      </c>
      <c r="H346" s="6" t="s">
        <v>1291</v>
      </c>
      <c r="I346" s="6"/>
      <c r="J346" s="6" t="s">
        <v>1292</v>
      </c>
      <c r="K346" s="16" t="s">
        <v>512</v>
      </c>
      <c r="L346" s="6"/>
      <c r="M346" s="6"/>
      <c r="N346" s="5" t="s">
        <v>1293</v>
      </c>
      <c r="O346" s="6" t="s">
        <v>1953</v>
      </c>
    </row>
    <row r="347" spans="1:15" x14ac:dyDescent="0.2">
      <c r="A347">
        <v>346</v>
      </c>
      <c r="C347" s="6" t="str">
        <f t="shared" si="5"/>
        <v/>
      </c>
      <c r="D347" s="6" t="s">
        <v>113</v>
      </c>
      <c r="E347" s="6" t="s">
        <v>192</v>
      </c>
      <c r="F347" s="6" t="s">
        <v>115</v>
      </c>
      <c r="G347" s="15" t="s">
        <v>515</v>
      </c>
      <c r="H347" s="6" t="s">
        <v>1291</v>
      </c>
      <c r="I347" s="6"/>
      <c r="J347" s="6" t="s">
        <v>1292</v>
      </c>
      <c r="K347" s="16" t="s">
        <v>514</v>
      </c>
      <c r="L347" s="6"/>
      <c r="M347" s="6"/>
      <c r="N347" s="5" t="s">
        <v>1293</v>
      </c>
      <c r="O347" s="6" t="s">
        <v>1953</v>
      </c>
    </row>
    <row r="348" spans="1:15" x14ac:dyDescent="0.2">
      <c r="A348">
        <v>347</v>
      </c>
      <c r="C348" s="6" t="str">
        <f t="shared" si="5"/>
        <v/>
      </c>
      <c r="D348" s="6" t="s">
        <v>113</v>
      </c>
      <c r="E348" s="6" t="s">
        <v>192</v>
      </c>
      <c r="F348" s="6" t="s">
        <v>115</v>
      </c>
      <c r="G348" s="15" t="s">
        <v>517</v>
      </c>
      <c r="H348" s="6" t="s">
        <v>1291</v>
      </c>
      <c r="I348" s="6"/>
      <c r="J348" s="6" t="s">
        <v>1292</v>
      </c>
      <c r="K348" s="16" t="s">
        <v>516</v>
      </c>
      <c r="L348" s="6"/>
      <c r="M348" s="6"/>
      <c r="N348" s="5" t="s">
        <v>1293</v>
      </c>
      <c r="O348" s="6" t="s">
        <v>1953</v>
      </c>
    </row>
    <row r="349" spans="1:15" x14ac:dyDescent="0.2">
      <c r="A349">
        <v>348</v>
      </c>
      <c r="C349" s="6" t="str">
        <f t="shared" si="5"/>
        <v/>
      </c>
      <c r="D349" s="6" t="s">
        <v>113</v>
      </c>
      <c r="E349" s="6" t="s">
        <v>192</v>
      </c>
      <c r="F349" s="6" t="s">
        <v>115</v>
      </c>
      <c r="G349" s="15" t="s">
        <v>519</v>
      </c>
      <c r="H349" s="6" t="s">
        <v>1291</v>
      </c>
      <c r="I349" s="6"/>
      <c r="J349" s="6" t="s">
        <v>1292</v>
      </c>
      <c r="K349" s="16" t="s">
        <v>518</v>
      </c>
      <c r="L349" s="6"/>
      <c r="M349" s="6"/>
      <c r="N349" s="5" t="s">
        <v>1293</v>
      </c>
      <c r="O349" s="6" t="s">
        <v>1953</v>
      </c>
    </row>
    <row r="350" spans="1:15" x14ac:dyDescent="0.2">
      <c r="A350">
        <v>349</v>
      </c>
      <c r="C350" s="6" t="str">
        <f t="shared" si="5"/>
        <v/>
      </c>
      <c r="D350" s="6" t="s">
        <v>113</v>
      </c>
      <c r="E350" s="6" t="s">
        <v>192</v>
      </c>
      <c r="F350" s="6" t="s">
        <v>115</v>
      </c>
      <c r="G350" s="15" t="s">
        <v>521</v>
      </c>
      <c r="H350" s="6" t="s">
        <v>1291</v>
      </c>
      <c r="I350" s="6"/>
      <c r="J350" s="6" t="s">
        <v>1292</v>
      </c>
      <c r="K350" s="16" t="s">
        <v>520</v>
      </c>
      <c r="L350" s="6"/>
      <c r="M350" s="6"/>
      <c r="N350" s="5" t="s">
        <v>1293</v>
      </c>
      <c r="O350" s="6" t="s">
        <v>1953</v>
      </c>
    </row>
    <row r="351" spans="1:15" x14ac:dyDescent="0.2">
      <c r="A351">
        <v>350</v>
      </c>
      <c r="C351" s="6" t="str">
        <f t="shared" si="5"/>
        <v/>
      </c>
      <c r="D351" s="6" t="s">
        <v>113</v>
      </c>
      <c r="E351" s="6" t="s">
        <v>192</v>
      </c>
      <c r="F351" s="6" t="s">
        <v>115</v>
      </c>
      <c r="G351" s="15" t="s">
        <v>522</v>
      </c>
      <c r="H351" s="6" t="s">
        <v>1291</v>
      </c>
      <c r="I351" s="6"/>
      <c r="J351" s="6" t="s">
        <v>1423</v>
      </c>
      <c r="K351" s="6" t="s">
        <v>1556</v>
      </c>
      <c r="L351" s="6"/>
      <c r="M351" s="6" t="s">
        <v>1557</v>
      </c>
      <c r="N351" s="5" t="s">
        <v>1293</v>
      </c>
      <c r="O351" s="6" t="s">
        <v>1953</v>
      </c>
    </row>
    <row r="352" spans="1:15" x14ac:dyDescent="0.2">
      <c r="A352">
        <v>351</v>
      </c>
      <c r="C352" s="6" t="str">
        <f t="shared" si="5"/>
        <v/>
      </c>
      <c r="D352" s="6" t="s">
        <v>113</v>
      </c>
      <c r="E352" s="6" t="s">
        <v>192</v>
      </c>
      <c r="F352" s="6" t="s">
        <v>115</v>
      </c>
      <c r="G352" s="15" t="s">
        <v>524</v>
      </c>
      <c r="H352" s="6" t="s">
        <v>1291</v>
      </c>
      <c r="I352" s="6"/>
      <c r="J352" s="6" t="s">
        <v>1292</v>
      </c>
      <c r="K352" s="16" t="s">
        <v>523</v>
      </c>
      <c r="L352" s="6"/>
      <c r="M352" s="6"/>
      <c r="N352" s="5" t="s">
        <v>1293</v>
      </c>
      <c r="O352" s="6" t="s">
        <v>1953</v>
      </c>
    </row>
    <row r="353" spans="1:15" x14ac:dyDescent="0.2">
      <c r="A353">
        <v>352</v>
      </c>
      <c r="C353" s="6" t="str">
        <f t="shared" si="5"/>
        <v/>
      </c>
      <c r="D353" s="6" t="s">
        <v>113</v>
      </c>
      <c r="E353" s="6" t="s">
        <v>192</v>
      </c>
      <c r="F353" s="6" t="s">
        <v>115</v>
      </c>
      <c r="G353" s="15" t="s">
        <v>526</v>
      </c>
      <c r="H353" s="6" t="s">
        <v>1291</v>
      </c>
      <c r="I353" s="6"/>
      <c r="J353" s="6" t="s">
        <v>1292</v>
      </c>
      <c r="K353" s="16" t="s">
        <v>525</v>
      </c>
      <c r="L353" s="6"/>
      <c r="M353" s="6"/>
      <c r="N353" s="5" t="s">
        <v>1293</v>
      </c>
      <c r="O353" s="6" t="s">
        <v>1953</v>
      </c>
    </row>
    <row r="354" spans="1:15" x14ac:dyDescent="0.2">
      <c r="A354">
        <v>353</v>
      </c>
      <c r="C354" s="6" t="str">
        <f t="shared" si="5"/>
        <v/>
      </c>
      <c r="D354" s="6" t="s">
        <v>113</v>
      </c>
      <c r="E354" s="6" t="s">
        <v>192</v>
      </c>
      <c r="F354" s="6" t="s">
        <v>115</v>
      </c>
      <c r="G354" s="15" t="s">
        <v>528</v>
      </c>
      <c r="H354" s="6" t="s">
        <v>1291</v>
      </c>
      <c r="I354" s="6"/>
      <c r="J354" s="6" t="s">
        <v>1292</v>
      </c>
      <c r="K354" s="16" t="s">
        <v>527</v>
      </c>
      <c r="L354" s="6"/>
      <c r="M354" s="6"/>
      <c r="N354" s="5" t="s">
        <v>1293</v>
      </c>
      <c r="O354" s="6" t="s">
        <v>1953</v>
      </c>
    </row>
    <row r="355" spans="1:15" x14ac:dyDescent="0.2">
      <c r="A355">
        <v>354</v>
      </c>
      <c r="C355" s="6" t="str">
        <f t="shared" si="5"/>
        <v/>
      </c>
      <c r="D355" s="6" t="s">
        <v>113</v>
      </c>
      <c r="E355" s="6" t="s">
        <v>192</v>
      </c>
      <c r="F355" s="6" t="s">
        <v>115</v>
      </c>
      <c r="G355" s="15" t="s">
        <v>530</v>
      </c>
      <c r="H355" s="6" t="s">
        <v>1291</v>
      </c>
      <c r="I355" s="6"/>
      <c r="J355" s="6" t="s">
        <v>1292</v>
      </c>
      <c r="K355" s="16" t="s">
        <v>529</v>
      </c>
      <c r="L355" s="6"/>
      <c r="M355" s="6"/>
      <c r="N355" s="5" t="s">
        <v>1293</v>
      </c>
      <c r="O355" s="6" t="s">
        <v>1953</v>
      </c>
    </row>
    <row r="356" spans="1:15" x14ac:dyDescent="0.2">
      <c r="A356">
        <v>355</v>
      </c>
      <c r="C356" s="6" t="str">
        <f t="shared" si="5"/>
        <v/>
      </c>
      <c r="D356" s="6" t="s">
        <v>113</v>
      </c>
      <c r="E356" s="6" t="s">
        <v>192</v>
      </c>
      <c r="F356" s="6" t="s">
        <v>115</v>
      </c>
      <c r="G356" s="15" t="s">
        <v>532</v>
      </c>
      <c r="H356" s="6" t="s">
        <v>1291</v>
      </c>
      <c r="I356" s="6"/>
      <c r="J356" s="6" t="s">
        <v>1292</v>
      </c>
      <c r="K356" s="16" t="s">
        <v>531</v>
      </c>
      <c r="L356" s="6"/>
      <c r="M356" s="6"/>
      <c r="N356" s="5" t="s">
        <v>1293</v>
      </c>
      <c r="O356" s="6" t="s">
        <v>1953</v>
      </c>
    </row>
    <row r="357" spans="1:15" x14ac:dyDescent="0.2">
      <c r="A357">
        <v>356</v>
      </c>
      <c r="C357" s="6" t="str">
        <f t="shared" si="5"/>
        <v/>
      </c>
      <c r="D357" s="6" t="s">
        <v>113</v>
      </c>
      <c r="E357" s="6" t="s">
        <v>192</v>
      </c>
      <c r="F357" s="6" t="s">
        <v>115</v>
      </c>
      <c r="G357" s="15" t="s">
        <v>533</v>
      </c>
      <c r="H357" s="6" t="s">
        <v>1291</v>
      </c>
      <c r="I357" s="6"/>
      <c r="J357" s="6" t="s">
        <v>1423</v>
      </c>
      <c r="K357" s="20" t="s">
        <v>1558</v>
      </c>
      <c r="L357" s="6"/>
      <c r="M357" s="6" t="s">
        <v>1559</v>
      </c>
      <c r="N357" s="5" t="s">
        <v>1293</v>
      </c>
      <c r="O357" s="6" t="s">
        <v>1953</v>
      </c>
    </row>
    <row r="358" spans="1:15" x14ac:dyDescent="0.2">
      <c r="A358">
        <v>357</v>
      </c>
      <c r="C358" s="6" t="str">
        <f t="shared" si="5"/>
        <v/>
      </c>
      <c r="D358" s="6" t="s">
        <v>113</v>
      </c>
      <c r="E358" s="6" t="s">
        <v>192</v>
      </c>
      <c r="F358" s="6" t="s">
        <v>115</v>
      </c>
      <c r="G358" s="15" t="s">
        <v>535</v>
      </c>
      <c r="H358" s="6" t="s">
        <v>1291</v>
      </c>
      <c r="I358" s="6"/>
      <c r="J358" s="6" t="s">
        <v>1292</v>
      </c>
      <c r="K358" s="16" t="s">
        <v>534</v>
      </c>
      <c r="L358" s="6"/>
      <c r="M358" s="6"/>
      <c r="N358" s="5" t="s">
        <v>1293</v>
      </c>
      <c r="O358" s="6" t="s">
        <v>1953</v>
      </c>
    </row>
    <row r="359" spans="1:15" x14ac:dyDescent="0.2">
      <c r="A359">
        <v>358</v>
      </c>
      <c r="C359" s="6" t="str">
        <f t="shared" si="5"/>
        <v/>
      </c>
      <c r="D359" s="6" t="s">
        <v>113</v>
      </c>
      <c r="E359" s="6" t="s">
        <v>192</v>
      </c>
      <c r="F359" s="6" t="s">
        <v>115</v>
      </c>
      <c r="G359" s="15" t="s">
        <v>537</v>
      </c>
      <c r="H359" s="6" t="s">
        <v>1291</v>
      </c>
      <c r="I359" s="6"/>
      <c r="J359" s="6" t="s">
        <v>1292</v>
      </c>
      <c r="K359" s="16" t="s">
        <v>536</v>
      </c>
      <c r="L359" s="6"/>
      <c r="M359" s="6"/>
      <c r="N359" s="5" t="s">
        <v>1293</v>
      </c>
      <c r="O359" s="6" t="s">
        <v>1953</v>
      </c>
    </row>
    <row r="360" spans="1:15" x14ac:dyDescent="0.2">
      <c r="A360">
        <v>359</v>
      </c>
      <c r="C360" s="6" t="str">
        <f t="shared" si="5"/>
        <v/>
      </c>
      <c r="D360" s="6" t="s">
        <v>113</v>
      </c>
      <c r="E360" s="6" t="s">
        <v>192</v>
      </c>
      <c r="F360" s="6" t="s">
        <v>115</v>
      </c>
      <c r="G360" s="15" t="s">
        <v>538</v>
      </c>
      <c r="H360" s="6" t="s">
        <v>1291</v>
      </c>
      <c r="I360" s="6"/>
      <c r="J360" s="6" t="s">
        <v>1423</v>
      </c>
      <c r="K360" s="20" t="s">
        <v>1560</v>
      </c>
      <c r="L360" s="6"/>
      <c r="M360" s="6" t="s">
        <v>1561</v>
      </c>
      <c r="N360" s="5" t="s">
        <v>1293</v>
      </c>
      <c r="O360" s="6" t="s">
        <v>1953</v>
      </c>
    </row>
    <row r="361" spans="1:15" x14ac:dyDescent="0.2">
      <c r="A361">
        <v>360</v>
      </c>
      <c r="C361" s="6" t="str">
        <f t="shared" si="5"/>
        <v/>
      </c>
      <c r="D361" s="6" t="s">
        <v>113</v>
      </c>
      <c r="E361" s="6" t="s">
        <v>192</v>
      </c>
      <c r="F361" s="6" t="s">
        <v>115</v>
      </c>
      <c r="G361" s="15" t="s">
        <v>540</v>
      </c>
      <c r="H361" s="6" t="s">
        <v>1291</v>
      </c>
      <c r="I361" s="6"/>
      <c r="J361" s="6" t="s">
        <v>1292</v>
      </c>
      <c r="K361" s="16" t="s">
        <v>539</v>
      </c>
      <c r="L361" s="6"/>
      <c r="M361" s="6"/>
      <c r="N361" s="5" t="s">
        <v>1293</v>
      </c>
      <c r="O361" s="6" t="s">
        <v>1953</v>
      </c>
    </row>
    <row r="362" spans="1:15" x14ac:dyDescent="0.2">
      <c r="A362">
        <v>361</v>
      </c>
      <c r="C362" s="6" t="str">
        <f t="shared" si="5"/>
        <v/>
      </c>
      <c r="D362" s="6" t="s">
        <v>113</v>
      </c>
      <c r="E362" s="6" t="s">
        <v>192</v>
      </c>
      <c r="F362" s="6" t="s">
        <v>115</v>
      </c>
      <c r="G362" s="15" t="s">
        <v>542</v>
      </c>
      <c r="H362" s="6" t="s">
        <v>1291</v>
      </c>
      <c r="I362" s="6"/>
      <c r="J362" s="6" t="s">
        <v>1292</v>
      </c>
      <c r="K362" s="16" t="s">
        <v>541</v>
      </c>
      <c r="L362" s="6"/>
      <c r="M362" s="6"/>
      <c r="N362" s="5" t="s">
        <v>1293</v>
      </c>
      <c r="O362" s="6" t="s">
        <v>1953</v>
      </c>
    </row>
    <row r="363" spans="1:15" x14ac:dyDescent="0.2">
      <c r="A363">
        <v>362</v>
      </c>
      <c r="C363" s="6" t="str">
        <f t="shared" si="5"/>
        <v/>
      </c>
      <c r="D363" s="6" t="s">
        <v>113</v>
      </c>
      <c r="E363" s="6" t="s">
        <v>192</v>
      </c>
      <c r="F363" s="6" t="s">
        <v>115</v>
      </c>
      <c r="G363" s="15" t="s">
        <v>544</v>
      </c>
      <c r="H363" s="6" t="s">
        <v>1291</v>
      </c>
      <c r="I363" s="6"/>
      <c r="J363" s="6" t="s">
        <v>1292</v>
      </c>
      <c r="K363" s="16" t="s">
        <v>543</v>
      </c>
      <c r="L363" s="6"/>
      <c r="M363" s="6"/>
      <c r="N363" s="5" t="s">
        <v>1293</v>
      </c>
      <c r="O363" s="6" t="s">
        <v>1953</v>
      </c>
    </row>
    <row r="364" spans="1:15" x14ac:dyDescent="0.2">
      <c r="A364">
        <v>363</v>
      </c>
      <c r="C364" s="6" t="str">
        <f t="shared" si="5"/>
        <v/>
      </c>
      <c r="D364" s="6" t="s">
        <v>113</v>
      </c>
      <c r="E364" s="6" t="s">
        <v>192</v>
      </c>
      <c r="F364" s="6" t="s">
        <v>115</v>
      </c>
      <c r="G364" s="15" t="s">
        <v>546</v>
      </c>
      <c r="H364" s="6" t="s">
        <v>1291</v>
      </c>
      <c r="I364" s="6"/>
      <c r="J364" s="6" t="s">
        <v>1292</v>
      </c>
      <c r="K364" s="16" t="s">
        <v>545</v>
      </c>
      <c r="L364" s="6"/>
      <c r="M364" s="6"/>
      <c r="N364" s="5" t="s">
        <v>1293</v>
      </c>
      <c r="O364" s="6" t="s">
        <v>1953</v>
      </c>
    </row>
    <row r="365" spans="1:15" x14ac:dyDescent="0.2">
      <c r="A365">
        <v>364</v>
      </c>
      <c r="C365" s="6" t="str">
        <f t="shared" si="5"/>
        <v/>
      </c>
      <c r="D365" s="6" t="s">
        <v>113</v>
      </c>
      <c r="E365" s="6" t="s">
        <v>192</v>
      </c>
      <c r="F365" s="6" t="s">
        <v>115</v>
      </c>
      <c r="G365" s="15" t="s">
        <v>548</v>
      </c>
      <c r="H365" s="6" t="s">
        <v>1291</v>
      </c>
      <c r="I365" s="6"/>
      <c r="J365" s="6" t="s">
        <v>1292</v>
      </c>
      <c r="K365" s="16" t="s">
        <v>547</v>
      </c>
      <c r="L365" s="6"/>
      <c r="M365" s="6"/>
      <c r="N365" s="5" t="s">
        <v>1293</v>
      </c>
      <c r="O365" s="6" t="s">
        <v>1953</v>
      </c>
    </row>
    <row r="366" spans="1:15" x14ac:dyDescent="0.2">
      <c r="A366">
        <v>365</v>
      </c>
      <c r="C366" s="6" t="str">
        <f t="shared" si="5"/>
        <v/>
      </c>
      <c r="D366" s="6" t="s">
        <v>113</v>
      </c>
      <c r="E366" s="6" t="s">
        <v>192</v>
      </c>
      <c r="F366" s="6" t="s">
        <v>115</v>
      </c>
      <c r="G366" s="15" t="s">
        <v>550</v>
      </c>
      <c r="H366" s="6" t="s">
        <v>1291</v>
      </c>
      <c r="I366" s="6"/>
      <c r="J366" s="6" t="s">
        <v>1292</v>
      </c>
      <c r="K366" s="16" t="s">
        <v>549</v>
      </c>
      <c r="L366" s="6"/>
      <c r="M366" s="6"/>
      <c r="N366" s="5" t="s">
        <v>1293</v>
      </c>
      <c r="O366" s="6" t="s">
        <v>1953</v>
      </c>
    </row>
    <row r="367" spans="1:15" x14ac:dyDescent="0.2">
      <c r="A367">
        <v>366</v>
      </c>
      <c r="C367" s="6" t="str">
        <f t="shared" si="5"/>
        <v/>
      </c>
      <c r="D367" s="6" t="s">
        <v>113</v>
      </c>
      <c r="E367" s="6" t="s">
        <v>192</v>
      </c>
      <c r="F367" s="6" t="s">
        <v>115</v>
      </c>
      <c r="G367" s="15" t="s">
        <v>552</v>
      </c>
      <c r="H367" s="6" t="s">
        <v>1291</v>
      </c>
      <c r="I367" s="6"/>
      <c r="J367" s="6" t="s">
        <v>1292</v>
      </c>
      <c r="K367" s="16" t="s">
        <v>551</v>
      </c>
      <c r="L367" s="6"/>
      <c r="M367" s="6"/>
      <c r="N367" s="5" t="s">
        <v>1293</v>
      </c>
      <c r="O367" s="6" t="s">
        <v>1953</v>
      </c>
    </row>
    <row r="368" spans="1:15" x14ac:dyDescent="0.2">
      <c r="A368">
        <v>367</v>
      </c>
      <c r="C368" s="6" t="str">
        <f t="shared" si="5"/>
        <v/>
      </c>
      <c r="D368" s="6" t="s">
        <v>113</v>
      </c>
      <c r="E368" s="6" t="s">
        <v>192</v>
      </c>
      <c r="F368" s="6" t="s">
        <v>115</v>
      </c>
      <c r="G368" s="15" t="s">
        <v>554</v>
      </c>
      <c r="H368" s="6" t="s">
        <v>1291</v>
      </c>
      <c r="I368" s="6"/>
      <c r="J368" s="6" t="s">
        <v>1292</v>
      </c>
      <c r="K368" s="16" t="s">
        <v>553</v>
      </c>
      <c r="L368" s="6"/>
      <c r="M368" s="6"/>
      <c r="N368" s="5" t="s">
        <v>1293</v>
      </c>
      <c r="O368" s="6" t="s">
        <v>1953</v>
      </c>
    </row>
    <row r="369" spans="1:15" x14ac:dyDescent="0.2">
      <c r="A369">
        <v>368</v>
      </c>
      <c r="C369" s="6" t="str">
        <f t="shared" si="5"/>
        <v/>
      </c>
      <c r="D369" s="6" t="s">
        <v>113</v>
      </c>
      <c r="E369" s="6" t="s">
        <v>192</v>
      </c>
      <c r="F369" s="6" t="s">
        <v>115</v>
      </c>
      <c r="G369" s="15" t="s">
        <v>556</v>
      </c>
      <c r="H369" s="6" t="s">
        <v>1291</v>
      </c>
      <c r="I369" s="6"/>
      <c r="J369" s="6" t="s">
        <v>1292</v>
      </c>
      <c r="K369" s="16" t="s">
        <v>555</v>
      </c>
      <c r="L369" s="6"/>
      <c r="M369" s="6"/>
      <c r="N369" s="5" t="s">
        <v>1293</v>
      </c>
      <c r="O369" s="6" t="s">
        <v>1953</v>
      </c>
    </row>
    <row r="370" spans="1:15" x14ac:dyDescent="0.2">
      <c r="A370">
        <v>369</v>
      </c>
      <c r="C370" s="6" t="str">
        <f t="shared" si="5"/>
        <v/>
      </c>
      <c r="D370" s="6" t="s">
        <v>113</v>
      </c>
      <c r="E370" s="6" t="s">
        <v>192</v>
      </c>
      <c r="F370" s="6" t="s">
        <v>115</v>
      </c>
      <c r="G370" s="15" t="s">
        <v>558</v>
      </c>
      <c r="H370" s="6" t="s">
        <v>1291</v>
      </c>
      <c r="I370" s="6"/>
      <c r="J370" s="6" t="s">
        <v>1292</v>
      </c>
      <c r="K370" s="16" t="s">
        <v>557</v>
      </c>
      <c r="L370" s="6"/>
      <c r="M370" s="6"/>
      <c r="N370" s="5" t="s">
        <v>1293</v>
      </c>
      <c r="O370" s="6" t="s">
        <v>1953</v>
      </c>
    </row>
    <row r="371" spans="1:15" x14ac:dyDescent="0.2">
      <c r="A371">
        <v>370</v>
      </c>
      <c r="C371" s="6" t="str">
        <f t="shared" si="5"/>
        <v/>
      </c>
      <c r="D371" s="6" t="s">
        <v>113</v>
      </c>
      <c r="E371" s="6" t="s">
        <v>192</v>
      </c>
      <c r="F371" s="6" t="s">
        <v>115</v>
      </c>
      <c r="G371" s="15" t="s">
        <v>560</v>
      </c>
      <c r="H371" s="6" t="s">
        <v>1291</v>
      </c>
      <c r="I371" s="6"/>
      <c r="J371" s="6" t="s">
        <v>1292</v>
      </c>
      <c r="K371" s="16" t="s">
        <v>559</v>
      </c>
      <c r="L371" s="6"/>
      <c r="M371" s="6"/>
      <c r="N371" s="5" t="s">
        <v>1293</v>
      </c>
      <c r="O371" s="6" t="s">
        <v>1953</v>
      </c>
    </row>
    <row r="372" spans="1:15" x14ac:dyDescent="0.2">
      <c r="A372">
        <v>371</v>
      </c>
      <c r="C372" s="6" t="str">
        <f t="shared" si="5"/>
        <v/>
      </c>
      <c r="D372" s="6" t="s">
        <v>113</v>
      </c>
      <c r="E372" s="6" t="s">
        <v>192</v>
      </c>
      <c r="F372" s="6" t="s">
        <v>115</v>
      </c>
      <c r="G372" s="15" t="s">
        <v>562</v>
      </c>
      <c r="H372" s="6" t="s">
        <v>1291</v>
      </c>
      <c r="I372" s="6"/>
      <c r="J372" s="6" t="s">
        <v>1292</v>
      </c>
      <c r="K372" s="16" t="s">
        <v>561</v>
      </c>
      <c r="L372" s="6"/>
      <c r="M372" s="6"/>
      <c r="N372" s="5" t="s">
        <v>1293</v>
      </c>
      <c r="O372" s="6" t="s">
        <v>1953</v>
      </c>
    </row>
    <row r="373" spans="1:15" x14ac:dyDescent="0.2">
      <c r="A373">
        <v>372</v>
      </c>
      <c r="C373" s="6" t="str">
        <f t="shared" si="5"/>
        <v/>
      </c>
      <c r="D373" s="6" t="s">
        <v>113</v>
      </c>
      <c r="E373" s="6" t="s">
        <v>192</v>
      </c>
      <c r="F373" s="6" t="s">
        <v>115</v>
      </c>
      <c r="G373" s="15" t="s">
        <v>564</v>
      </c>
      <c r="H373" s="6" t="s">
        <v>1291</v>
      </c>
      <c r="I373" s="6"/>
      <c r="J373" s="6" t="s">
        <v>1292</v>
      </c>
      <c r="K373" s="16" t="s">
        <v>563</v>
      </c>
      <c r="L373" s="6"/>
      <c r="M373" s="6"/>
      <c r="N373" s="5" t="s">
        <v>1293</v>
      </c>
      <c r="O373" s="6" t="s">
        <v>1953</v>
      </c>
    </row>
    <row r="374" spans="1:15" x14ac:dyDescent="0.2">
      <c r="A374">
        <v>373</v>
      </c>
      <c r="C374" s="6" t="str">
        <f t="shared" si="5"/>
        <v/>
      </c>
      <c r="D374" s="6" t="s">
        <v>113</v>
      </c>
      <c r="E374" s="6" t="s">
        <v>192</v>
      </c>
      <c r="F374" s="6" t="s">
        <v>115</v>
      </c>
      <c r="G374" s="15" t="s">
        <v>566</v>
      </c>
      <c r="H374" s="6" t="s">
        <v>1291</v>
      </c>
      <c r="I374" s="6"/>
      <c r="J374" s="6" t="s">
        <v>1292</v>
      </c>
      <c r="K374" s="16" t="s">
        <v>565</v>
      </c>
      <c r="L374" s="6"/>
      <c r="M374" s="6"/>
      <c r="N374" s="5" t="s">
        <v>1293</v>
      </c>
      <c r="O374" s="6" t="s">
        <v>1953</v>
      </c>
    </row>
    <row r="375" spans="1:15" x14ac:dyDescent="0.2">
      <c r="A375">
        <v>374</v>
      </c>
      <c r="C375" s="6" t="str">
        <f t="shared" si="5"/>
        <v/>
      </c>
      <c r="D375" s="6" t="s">
        <v>113</v>
      </c>
      <c r="E375" s="6" t="s">
        <v>192</v>
      </c>
      <c r="F375" s="6" t="s">
        <v>115</v>
      </c>
      <c r="G375" s="15" t="s">
        <v>568</v>
      </c>
      <c r="H375" s="6" t="s">
        <v>1291</v>
      </c>
      <c r="I375" s="6"/>
      <c r="J375" s="6" t="s">
        <v>1292</v>
      </c>
      <c r="K375" s="16" t="s">
        <v>567</v>
      </c>
      <c r="L375" s="6"/>
      <c r="M375" s="6"/>
      <c r="N375" s="5" t="s">
        <v>1293</v>
      </c>
      <c r="O375" s="6" t="s">
        <v>1953</v>
      </c>
    </row>
    <row r="376" spans="1:15" x14ac:dyDescent="0.2">
      <c r="A376">
        <v>375</v>
      </c>
      <c r="C376" s="6" t="str">
        <f t="shared" si="5"/>
        <v/>
      </c>
      <c r="D376" s="6" t="s">
        <v>113</v>
      </c>
      <c r="E376" s="6" t="s">
        <v>192</v>
      </c>
      <c r="F376" s="6" t="s">
        <v>115</v>
      </c>
      <c r="G376" s="15" t="s">
        <v>570</v>
      </c>
      <c r="H376" s="6" t="s">
        <v>1291</v>
      </c>
      <c r="I376" s="6"/>
      <c r="J376" s="6" t="s">
        <v>1292</v>
      </c>
      <c r="K376" s="16" t="s">
        <v>569</v>
      </c>
      <c r="L376" s="6"/>
      <c r="M376" s="6"/>
      <c r="N376" s="5" t="s">
        <v>1293</v>
      </c>
      <c r="O376" s="6" t="s">
        <v>1953</v>
      </c>
    </row>
    <row r="377" spans="1:15" x14ac:dyDescent="0.2">
      <c r="A377">
        <v>376</v>
      </c>
      <c r="C377" s="6" t="str">
        <f t="shared" si="5"/>
        <v/>
      </c>
      <c r="D377" s="6" t="s">
        <v>113</v>
      </c>
      <c r="E377" s="6" t="s">
        <v>192</v>
      </c>
      <c r="F377" s="6" t="s">
        <v>115</v>
      </c>
      <c r="G377" s="15" t="s">
        <v>572</v>
      </c>
      <c r="H377" s="6" t="s">
        <v>1291</v>
      </c>
      <c r="I377" s="6"/>
      <c r="J377" s="6" t="s">
        <v>1292</v>
      </c>
      <c r="K377" s="16" t="s">
        <v>571</v>
      </c>
      <c r="L377" s="6"/>
      <c r="M377" s="6"/>
      <c r="N377" s="5" t="s">
        <v>1293</v>
      </c>
      <c r="O377" s="6" t="s">
        <v>1953</v>
      </c>
    </row>
    <row r="378" spans="1:15" x14ac:dyDescent="0.2">
      <c r="A378">
        <v>377</v>
      </c>
      <c r="C378" s="6" t="str">
        <f t="shared" si="5"/>
        <v/>
      </c>
      <c r="D378" s="6" t="s">
        <v>113</v>
      </c>
      <c r="E378" s="6" t="s">
        <v>192</v>
      </c>
      <c r="F378" s="6" t="s">
        <v>115</v>
      </c>
      <c r="G378" s="15" t="s">
        <v>574</v>
      </c>
      <c r="H378" s="6" t="s">
        <v>1291</v>
      </c>
      <c r="I378" s="6"/>
      <c r="J378" s="6" t="s">
        <v>1292</v>
      </c>
      <c r="K378" s="16" t="s">
        <v>573</v>
      </c>
      <c r="L378" s="6"/>
      <c r="M378" s="6"/>
      <c r="N378" s="5" t="s">
        <v>1293</v>
      </c>
      <c r="O378" s="6" t="s">
        <v>1953</v>
      </c>
    </row>
    <row r="379" spans="1:15" x14ac:dyDescent="0.2">
      <c r="A379">
        <v>378</v>
      </c>
      <c r="C379" s="6" t="str">
        <f t="shared" si="5"/>
        <v/>
      </c>
      <c r="D379" s="6" t="s">
        <v>113</v>
      </c>
      <c r="E379" s="6" t="s">
        <v>192</v>
      </c>
      <c r="F379" s="6" t="s">
        <v>115</v>
      </c>
      <c r="G379" s="15" t="s">
        <v>576</v>
      </c>
      <c r="H379" s="6" t="s">
        <v>1291</v>
      </c>
      <c r="I379" s="6"/>
      <c r="J379" s="6" t="s">
        <v>1292</v>
      </c>
      <c r="K379" s="16" t="s">
        <v>575</v>
      </c>
      <c r="L379" s="6"/>
      <c r="M379" s="6"/>
      <c r="N379" s="5" t="s">
        <v>1293</v>
      </c>
      <c r="O379" s="6" t="s">
        <v>1953</v>
      </c>
    </row>
    <row r="380" spans="1:15" x14ac:dyDescent="0.2">
      <c r="A380">
        <v>379</v>
      </c>
      <c r="C380" s="6" t="str">
        <f t="shared" si="5"/>
        <v/>
      </c>
      <c r="D380" s="6" t="s">
        <v>113</v>
      </c>
      <c r="E380" s="6" t="s">
        <v>192</v>
      </c>
      <c r="F380" s="6" t="s">
        <v>115</v>
      </c>
      <c r="G380" s="15" t="s">
        <v>578</v>
      </c>
      <c r="H380" s="6" t="s">
        <v>1291</v>
      </c>
      <c r="I380" s="6"/>
      <c r="J380" s="6" t="s">
        <v>1292</v>
      </c>
      <c r="K380" s="16" t="s">
        <v>577</v>
      </c>
      <c r="L380" s="6"/>
      <c r="M380" s="6"/>
      <c r="N380" s="5" t="s">
        <v>1293</v>
      </c>
      <c r="O380" s="6" t="s">
        <v>1953</v>
      </c>
    </row>
    <row r="381" spans="1:15" x14ac:dyDescent="0.2">
      <c r="A381">
        <v>380</v>
      </c>
      <c r="C381" s="6" t="str">
        <f t="shared" si="5"/>
        <v/>
      </c>
      <c r="D381" s="6" t="s">
        <v>113</v>
      </c>
      <c r="E381" s="6" t="s">
        <v>192</v>
      </c>
      <c r="F381" s="6" t="s">
        <v>115</v>
      </c>
      <c r="G381" s="15" t="s">
        <v>580</v>
      </c>
      <c r="H381" s="6" t="s">
        <v>1291</v>
      </c>
      <c r="I381" s="6"/>
      <c r="J381" s="6" t="s">
        <v>1292</v>
      </c>
      <c r="K381" s="16" t="s">
        <v>579</v>
      </c>
      <c r="L381" s="6"/>
      <c r="M381" s="6"/>
      <c r="N381" s="5" t="s">
        <v>1293</v>
      </c>
      <c r="O381" s="6" t="s">
        <v>1953</v>
      </c>
    </row>
    <row r="382" spans="1:15" x14ac:dyDescent="0.2">
      <c r="A382">
        <v>381</v>
      </c>
      <c r="C382" s="6" t="str">
        <f t="shared" si="5"/>
        <v/>
      </c>
      <c r="D382" s="6" t="s">
        <v>113</v>
      </c>
      <c r="E382" s="6" t="s">
        <v>192</v>
      </c>
      <c r="F382" s="6" t="s">
        <v>115</v>
      </c>
      <c r="G382" s="15" t="s">
        <v>582</v>
      </c>
      <c r="H382" s="6" t="s">
        <v>1291</v>
      </c>
      <c r="I382" s="6"/>
      <c r="J382" s="6" t="s">
        <v>1292</v>
      </c>
      <c r="K382" s="16" t="s">
        <v>581</v>
      </c>
      <c r="L382" s="6"/>
      <c r="M382" s="6"/>
      <c r="N382" s="5" t="s">
        <v>1293</v>
      </c>
      <c r="O382" s="6" t="s">
        <v>1953</v>
      </c>
    </row>
    <row r="383" spans="1:15" x14ac:dyDescent="0.2">
      <c r="A383">
        <v>382</v>
      </c>
      <c r="C383" s="6" t="str">
        <f t="shared" si="5"/>
        <v/>
      </c>
      <c r="D383" s="6" t="s">
        <v>113</v>
      </c>
      <c r="E383" s="6" t="s">
        <v>192</v>
      </c>
      <c r="F383" s="6" t="s">
        <v>115</v>
      </c>
      <c r="G383" s="15" t="s">
        <v>584</v>
      </c>
      <c r="H383" s="6" t="s">
        <v>1291</v>
      </c>
      <c r="I383" s="6"/>
      <c r="J383" s="6" t="s">
        <v>1292</v>
      </c>
      <c r="K383" s="16" t="s">
        <v>583</v>
      </c>
      <c r="L383" s="6"/>
      <c r="M383" s="6"/>
      <c r="N383" s="5" t="s">
        <v>1293</v>
      </c>
      <c r="O383" s="6" t="s">
        <v>1953</v>
      </c>
    </row>
    <row r="384" spans="1:15" x14ac:dyDescent="0.2">
      <c r="A384">
        <v>383</v>
      </c>
      <c r="C384" s="6" t="str">
        <f t="shared" si="5"/>
        <v/>
      </c>
      <c r="D384" s="6" t="s">
        <v>113</v>
      </c>
      <c r="E384" s="6" t="s">
        <v>192</v>
      </c>
      <c r="F384" s="6" t="s">
        <v>115</v>
      </c>
      <c r="G384" s="15" t="s">
        <v>586</v>
      </c>
      <c r="H384" s="6" t="s">
        <v>1291</v>
      </c>
      <c r="I384" s="6"/>
      <c r="J384" s="6" t="s">
        <v>1292</v>
      </c>
      <c r="K384" s="16" t="s">
        <v>585</v>
      </c>
      <c r="L384" s="6"/>
      <c r="M384" s="6"/>
      <c r="N384" s="5" t="s">
        <v>1293</v>
      </c>
      <c r="O384" s="6" t="s">
        <v>1953</v>
      </c>
    </row>
    <row r="385" spans="1:15" x14ac:dyDescent="0.2">
      <c r="A385">
        <v>384</v>
      </c>
      <c r="C385" s="6" t="str">
        <f t="shared" si="5"/>
        <v/>
      </c>
      <c r="D385" s="6" t="s">
        <v>113</v>
      </c>
      <c r="E385" s="6" t="s">
        <v>192</v>
      </c>
      <c r="F385" s="6" t="s">
        <v>115</v>
      </c>
      <c r="G385" s="15" t="s">
        <v>588</v>
      </c>
      <c r="H385" s="6" t="s">
        <v>1291</v>
      </c>
      <c r="I385" s="6"/>
      <c r="J385" s="6" t="s">
        <v>1292</v>
      </c>
      <c r="K385" s="16" t="s">
        <v>587</v>
      </c>
      <c r="L385" s="6"/>
      <c r="M385" s="6"/>
      <c r="N385" s="5" t="s">
        <v>1293</v>
      </c>
      <c r="O385" s="6" t="s">
        <v>1953</v>
      </c>
    </row>
    <row r="386" spans="1:15" x14ac:dyDescent="0.2">
      <c r="A386">
        <v>385</v>
      </c>
      <c r="C386" s="6" t="str">
        <f t="shared" si="5"/>
        <v/>
      </c>
      <c r="D386" s="6" t="s">
        <v>113</v>
      </c>
      <c r="E386" s="6" t="s">
        <v>192</v>
      </c>
      <c r="F386" s="6" t="s">
        <v>115</v>
      </c>
      <c r="G386" s="15" t="s">
        <v>590</v>
      </c>
      <c r="H386" s="6" t="s">
        <v>1291</v>
      </c>
      <c r="I386" s="6"/>
      <c r="J386" s="6" t="s">
        <v>1292</v>
      </c>
      <c r="K386" s="16" t="s">
        <v>589</v>
      </c>
      <c r="L386" s="6"/>
      <c r="M386" s="6"/>
      <c r="N386" s="5" t="s">
        <v>1293</v>
      </c>
      <c r="O386" s="6" t="s">
        <v>1953</v>
      </c>
    </row>
    <row r="387" spans="1:15" x14ac:dyDescent="0.2">
      <c r="A387">
        <v>386</v>
      </c>
      <c r="C387" s="6" t="str">
        <f t="shared" ref="C387:C450" si="6">IF(AND(G387="NA",H387&lt;&gt;"wide_value"),TRUE,"")</f>
        <v/>
      </c>
      <c r="D387" s="6" t="s">
        <v>113</v>
      </c>
      <c r="E387" s="6" t="s">
        <v>192</v>
      </c>
      <c r="F387" s="6" t="s">
        <v>115</v>
      </c>
      <c r="G387" s="15" t="s">
        <v>592</v>
      </c>
      <c r="H387" s="6" t="s">
        <v>1291</v>
      </c>
      <c r="I387" s="6"/>
      <c r="J387" s="6" t="s">
        <v>1292</v>
      </c>
      <c r="K387" s="16" t="s">
        <v>591</v>
      </c>
      <c r="L387" s="6"/>
      <c r="M387" s="6"/>
      <c r="N387" s="5" t="s">
        <v>1293</v>
      </c>
      <c r="O387" s="6" t="s">
        <v>1953</v>
      </c>
    </row>
    <row r="388" spans="1:15" x14ac:dyDescent="0.2">
      <c r="A388">
        <v>387</v>
      </c>
      <c r="C388" s="6" t="str">
        <f t="shared" si="6"/>
        <v/>
      </c>
      <c r="D388" s="6" t="s">
        <v>113</v>
      </c>
      <c r="E388" s="6" t="s">
        <v>192</v>
      </c>
      <c r="F388" s="6" t="s">
        <v>115</v>
      </c>
      <c r="G388" s="15" t="s">
        <v>593</v>
      </c>
      <c r="H388" s="6" t="s">
        <v>1291</v>
      </c>
      <c r="I388" s="6"/>
      <c r="J388" s="6" t="s">
        <v>1423</v>
      </c>
      <c r="K388" s="20" t="s">
        <v>1562</v>
      </c>
      <c r="L388" s="6"/>
      <c r="M388" s="6" t="s">
        <v>1561</v>
      </c>
      <c r="N388" s="5" t="s">
        <v>1293</v>
      </c>
      <c r="O388" s="6" t="s">
        <v>1953</v>
      </c>
    </row>
    <row r="389" spans="1:15" x14ac:dyDescent="0.2">
      <c r="A389">
        <v>388</v>
      </c>
      <c r="C389" s="6" t="str">
        <f t="shared" si="6"/>
        <v/>
      </c>
      <c r="D389" s="6" t="s">
        <v>113</v>
      </c>
      <c r="E389" s="6" t="s">
        <v>192</v>
      </c>
      <c r="F389" s="6" t="s">
        <v>115</v>
      </c>
      <c r="G389" s="15" t="s">
        <v>595</v>
      </c>
      <c r="H389" s="6" t="s">
        <v>1291</v>
      </c>
      <c r="I389" s="6"/>
      <c r="J389" s="6" t="s">
        <v>1292</v>
      </c>
      <c r="K389" s="16" t="s">
        <v>594</v>
      </c>
      <c r="L389" s="6"/>
      <c r="M389" s="6"/>
      <c r="N389" s="5" t="s">
        <v>1293</v>
      </c>
      <c r="O389" s="6" t="s">
        <v>1953</v>
      </c>
    </row>
    <row r="390" spans="1:15" x14ac:dyDescent="0.2">
      <c r="A390">
        <v>389</v>
      </c>
      <c r="C390" s="6" t="str">
        <f t="shared" si="6"/>
        <v/>
      </c>
      <c r="D390" s="6" t="s">
        <v>113</v>
      </c>
      <c r="E390" s="6" t="s">
        <v>192</v>
      </c>
      <c r="F390" s="6" t="s">
        <v>115</v>
      </c>
      <c r="G390" s="15" t="s">
        <v>597</v>
      </c>
      <c r="H390" s="6" t="s">
        <v>1291</v>
      </c>
      <c r="I390" s="6"/>
      <c r="J390" s="6" t="s">
        <v>1292</v>
      </c>
      <c r="K390" s="16" t="s">
        <v>596</v>
      </c>
      <c r="L390" s="6"/>
      <c r="M390" s="6"/>
      <c r="N390" s="5" t="s">
        <v>1293</v>
      </c>
      <c r="O390" s="6" t="s">
        <v>1953</v>
      </c>
    </row>
    <row r="391" spans="1:15" x14ac:dyDescent="0.2">
      <c r="A391">
        <v>390</v>
      </c>
      <c r="C391" s="6" t="str">
        <f t="shared" si="6"/>
        <v/>
      </c>
      <c r="D391" s="6" t="s">
        <v>113</v>
      </c>
      <c r="E391" s="6" t="s">
        <v>192</v>
      </c>
      <c r="F391" s="6" t="s">
        <v>115</v>
      </c>
      <c r="G391" s="15" t="s">
        <v>599</v>
      </c>
      <c r="H391" s="6" t="s">
        <v>1291</v>
      </c>
      <c r="I391" s="6"/>
      <c r="J391" s="6" t="s">
        <v>1292</v>
      </c>
      <c r="K391" s="16" t="s">
        <v>598</v>
      </c>
      <c r="L391" s="6"/>
      <c r="M391" s="6"/>
      <c r="N391" s="5" t="s">
        <v>1293</v>
      </c>
      <c r="O391" s="6" t="s">
        <v>1953</v>
      </c>
    </row>
    <row r="392" spans="1:15" x14ac:dyDescent="0.2">
      <c r="A392">
        <v>391</v>
      </c>
      <c r="C392" s="6" t="str">
        <f t="shared" si="6"/>
        <v/>
      </c>
      <c r="D392" s="6" t="s">
        <v>113</v>
      </c>
      <c r="E392" s="6" t="s">
        <v>192</v>
      </c>
      <c r="F392" s="6" t="s">
        <v>115</v>
      </c>
      <c r="G392" s="15" t="s">
        <v>601</v>
      </c>
      <c r="H392" s="6" t="s">
        <v>1291</v>
      </c>
      <c r="I392" s="6"/>
      <c r="J392" s="6" t="s">
        <v>1292</v>
      </c>
      <c r="K392" s="16" t="s">
        <v>600</v>
      </c>
      <c r="L392" s="6"/>
      <c r="M392" s="6"/>
      <c r="N392" s="5" t="s">
        <v>1293</v>
      </c>
      <c r="O392" s="6" t="s">
        <v>1953</v>
      </c>
    </row>
    <row r="393" spans="1:15" x14ac:dyDescent="0.2">
      <c r="A393">
        <v>392</v>
      </c>
      <c r="C393" s="6" t="str">
        <f t="shared" si="6"/>
        <v/>
      </c>
      <c r="D393" s="6" t="s">
        <v>113</v>
      </c>
      <c r="E393" s="6" t="s">
        <v>192</v>
      </c>
      <c r="F393" s="6" t="s">
        <v>115</v>
      </c>
      <c r="G393" s="15" t="s">
        <v>602</v>
      </c>
      <c r="H393" s="6" t="s">
        <v>1291</v>
      </c>
      <c r="I393" s="6"/>
      <c r="J393" s="6" t="s">
        <v>1423</v>
      </c>
      <c r="K393" s="20" t="s">
        <v>1563</v>
      </c>
      <c r="L393" s="6"/>
      <c r="M393" s="6" t="s">
        <v>1557</v>
      </c>
      <c r="N393" s="5" t="s">
        <v>1293</v>
      </c>
      <c r="O393" s="6" t="s">
        <v>1953</v>
      </c>
    </row>
    <row r="394" spans="1:15" x14ac:dyDescent="0.2">
      <c r="A394">
        <v>393</v>
      </c>
      <c r="C394" s="6" t="str">
        <f t="shared" si="6"/>
        <v/>
      </c>
      <c r="D394" s="6" t="s">
        <v>113</v>
      </c>
      <c r="E394" s="6" t="s">
        <v>192</v>
      </c>
      <c r="F394" s="6" t="s">
        <v>115</v>
      </c>
      <c r="G394" s="15" t="s">
        <v>604</v>
      </c>
      <c r="H394" s="6" t="s">
        <v>1291</v>
      </c>
      <c r="I394" s="6"/>
      <c r="J394" s="6" t="s">
        <v>1292</v>
      </c>
      <c r="K394" s="16" t="s">
        <v>603</v>
      </c>
      <c r="L394" s="6"/>
      <c r="M394" s="6"/>
      <c r="N394" s="5" t="s">
        <v>1293</v>
      </c>
      <c r="O394" s="6" t="s">
        <v>1953</v>
      </c>
    </row>
    <row r="395" spans="1:15" x14ac:dyDescent="0.2">
      <c r="A395">
        <v>394</v>
      </c>
      <c r="C395" s="6" t="str">
        <f t="shared" si="6"/>
        <v/>
      </c>
      <c r="D395" s="6" t="s">
        <v>113</v>
      </c>
      <c r="E395" s="6" t="s">
        <v>192</v>
      </c>
      <c r="F395" s="6" t="s">
        <v>115</v>
      </c>
      <c r="G395" s="15" t="s">
        <v>606</v>
      </c>
      <c r="H395" s="6" t="s">
        <v>1291</v>
      </c>
      <c r="I395" s="6"/>
      <c r="J395" s="6" t="s">
        <v>1292</v>
      </c>
      <c r="K395" s="16" t="s">
        <v>605</v>
      </c>
      <c r="L395" s="6"/>
      <c r="M395" s="6"/>
      <c r="N395" s="5" t="s">
        <v>1293</v>
      </c>
      <c r="O395" s="6" t="s">
        <v>1953</v>
      </c>
    </row>
    <row r="396" spans="1:15" x14ac:dyDescent="0.2">
      <c r="A396">
        <v>395</v>
      </c>
      <c r="C396" s="6" t="str">
        <f t="shared" si="6"/>
        <v/>
      </c>
      <c r="D396" s="6" t="s">
        <v>113</v>
      </c>
      <c r="E396" s="6" t="s">
        <v>192</v>
      </c>
      <c r="F396" s="6" t="s">
        <v>115</v>
      </c>
      <c r="G396" s="15" t="s">
        <v>608</v>
      </c>
      <c r="H396" s="6" t="s">
        <v>1291</v>
      </c>
      <c r="I396" s="6"/>
      <c r="J396" s="6" t="s">
        <v>1292</v>
      </c>
      <c r="K396" s="16" t="s">
        <v>607</v>
      </c>
      <c r="L396" s="6"/>
      <c r="M396" s="6"/>
      <c r="N396" s="5" t="s">
        <v>1293</v>
      </c>
      <c r="O396" s="6" t="s">
        <v>1953</v>
      </c>
    </row>
    <row r="397" spans="1:15" x14ac:dyDescent="0.2">
      <c r="A397">
        <v>396</v>
      </c>
      <c r="C397" s="6" t="str">
        <f t="shared" si="6"/>
        <v/>
      </c>
      <c r="D397" s="6" t="s">
        <v>113</v>
      </c>
      <c r="E397" s="6" t="s">
        <v>192</v>
      </c>
      <c r="F397" s="6" t="s">
        <v>115</v>
      </c>
      <c r="G397" s="15" t="s">
        <v>610</v>
      </c>
      <c r="H397" s="6" t="s">
        <v>1291</v>
      </c>
      <c r="I397" s="6"/>
      <c r="J397" s="6" t="s">
        <v>1292</v>
      </c>
      <c r="K397" s="16" t="s">
        <v>609</v>
      </c>
      <c r="L397" s="6"/>
      <c r="M397" s="6"/>
      <c r="N397" s="5" t="s">
        <v>1293</v>
      </c>
      <c r="O397" s="6" t="s">
        <v>1953</v>
      </c>
    </row>
    <row r="398" spans="1:15" x14ac:dyDescent="0.2">
      <c r="A398">
        <v>397</v>
      </c>
      <c r="C398" s="6" t="str">
        <f t="shared" si="6"/>
        <v/>
      </c>
      <c r="D398" s="6" t="s">
        <v>113</v>
      </c>
      <c r="E398" s="6" t="s">
        <v>192</v>
      </c>
      <c r="F398" s="6" t="s">
        <v>115</v>
      </c>
      <c r="G398" s="15" t="s">
        <v>612</v>
      </c>
      <c r="H398" s="6" t="s">
        <v>1291</v>
      </c>
      <c r="I398" s="6"/>
      <c r="J398" s="6" t="s">
        <v>1292</v>
      </c>
      <c r="K398" s="16" t="s">
        <v>611</v>
      </c>
      <c r="L398" s="6"/>
      <c r="M398" s="6"/>
      <c r="N398" s="5" t="s">
        <v>1293</v>
      </c>
      <c r="O398" s="6" t="s">
        <v>1953</v>
      </c>
    </row>
    <row r="399" spans="1:15" x14ac:dyDescent="0.2">
      <c r="A399">
        <v>398</v>
      </c>
      <c r="C399" s="6" t="str">
        <f t="shared" si="6"/>
        <v/>
      </c>
      <c r="D399" s="6" t="s">
        <v>113</v>
      </c>
      <c r="E399" s="6" t="s">
        <v>192</v>
      </c>
      <c r="F399" s="6" t="s">
        <v>115</v>
      </c>
      <c r="G399" s="15" t="s">
        <v>614</v>
      </c>
      <c r="H399" s="6" t="s">
        <v>1291</v>
      </c>
      <c r="I399" s="6"/>
      <c r="J399" s="6" t="s">
        <v>1292</v>
      </c>
      <c r="K399" s="16" t="s">
        <v>613</v>
      </c>
      <c r="L399" s="6"/>
      <c r="M399" s="6"/>
      <c r="N399" s="5" t="s">
        <v>1293</v>
      </c>
      <c r="O399" s="6" t="s">
        <v>1953</v>
      </c>
    </row>
    <row r="400" spans="1:15" x14ac:dyDescent="0.2">
      <c r="A400">
        <v>399</v>
      </c>
      <c r="C400" s="6" t="str">
        <f t="shared" si="6"/>
        <v/>
      </c>
      <c r="D400" s="6" t="s">
        <v>113</v>
      </c>
      <c r="E400" s="6" t="s">
        <v>192</v>
      </c>
      <c r="F400" s="6" t="s">
        <v>115</v>
      </c>
      <c r="G400" s="15" t="s">
        <v>616</v>
      </c>
      <c r="H400" s="6" t="s">
        <v>1291</v>
      </c>
      <c r="I400" s="6"/>
      <c r="J400" s="6" t="s">
        <v>1292</v>
      </c>
      <c r="K400" s="16" t="s">
        <v>615</v>
      </c>
      <c r="L400" s="6"/>
      <c r="M400" s="6"/>
      <c r="N400" s="5" t="s">
        <v>1293</v>
      </c>
      <c r="O400" s="6" t="s">
        <v>1953</v>
      </c>
    </row>
    <row r="401" spans="1:15" x14ac:dyDescent="0.2">
      <c r="A401">
        <v>400</v>
      </c>
      <c r="C401" s="6" t="str">
        <f t="shared" si="6"/>
        <v/>
      </c>
      <c r="D401" s="6" t="s">
        <v>113</v>
      </c>
      <c r="E401" s="6" t="s">
        <v>192</v>
      </c>
      <c r="F401" s="6" t="s">
        <v>115</v>
      </c>
      <c r="G401" s="15" t="s">
        <v>618</v>
      </c>
      <c r="H401" s="6" t="s">
        <v>1291</v>
      </c>
      <c r="I401" s="6"/>
      <c r="J401" s="6" t="s">
        <v>1292</v>
      </c>
      <c r="K401" s="16" t="s">
        <v>617</v>
      </c>
      <c r="L401" s="6"/>
      <c r="M401" s="6"/>
      <c r="N401" s="5" t="s">
        <v>1293</v>
      </c>
      <c r="O401" s="6" t="s">
        <v>1953</v>
      </c>
    </row>
    <row r="402" spans="1:15" x14ac:dyDescent="0.2">
      <c r="A402">
        <v>401</v>
      </c>
      <c r="C402" s="6" t="str">
        <f t="shared" si="6"/>
        <v/>
      </c>
      <c r="D402" s="6" t="s">
        <v>113</v>
      </c>
      <c r="E402" s="6" t="s">
        <v>192</v>
      </c>
      <c r="F402" s="6" t="s">
        <v>115</v>
      </c>
      <c r="G402" s="15" t="s">
        <v>620</v>
      </c>
      <c r="H402" s="6" t="s">
        <v>1291</v>
      </c>
      <c r="I402" s="6"/>
      <c r="J402" s="6" t="s">
        <v>1292</v>
      </c>
      <c r="K402" s="16" t="s">
        <v>619</v>
      </c>
      <c r="L402" s="6"/>
      <c r="M402" s="6"/>
      <c r="N402" s="5" t="s">
        <v>1293</v>
      </c>
      <c r="O402" s="6" t="s">
        <v>1953</v>
      </c>
    </row>
    <row r="403" spans="1:15" x14ac:dyDescent="0.2">
      <c r="A403">
        <v>402</v>
      </c>
      <c r="C403" s="6" t="str">
        <f t="shared" si="6"/>
        <v/>
      </c>
      <c r="D403" s="6" t="s">
        <v>113</v>
      </c>
      <c r="E403" s="6" t="s">
        <v>192</v>
      </c>
      <c r="F403" s="6" t="s">
        <v>115</v>
      </c>
      <c r="G403" s="15" t="s">
        <v>622</v>
      </c>
      <c r="H403" s="6" t="s">
        <v>1291</v>
      </c>
      <c r="I403" s="6"/>
      <c r="J403" s="6" t="s">
        <v>1292</v>
      </c>
      <c r="K403" s="16" t="s">
        <v>621</v>
      </c>
      <c r="L403" s="6"/>
      <c r="M403" s="6"/>
      <c r="N403" s="5" t="s">
        <v>1293</v>
      </c>
      <c r="O403" s="6" t="s">
        <v>1953</v>
      </c>
    </row>
    <row r="404" spans="1:15" x14ac:dyDescent="0.2">
      <c r="A404">
        <v>403</v>
      </c>
      <c r="C404" s="6" t="str">
        <f t="shared" si="6"/>
        <v/>
      </c>
      <c r="D404" s="6" t="s">
        <v>113</v>
      </c>
      <c r="E404" s="6" t="s">
        <v>192</v>
      </c>
      <c r="F404" s="6" t="s">
        <v>115</v>
      </c>
      <c r="G404" s="15" t="s">
        <v>624</v>
      </c>
      <c r="H404" s="6" t="s">
        <v>1291</v>
      </c>
      <c r="I404" s="6"/>
      <c r="J404" s="6" t="s">
        <v>1292</v>
      </c>
      <c r="K404" s="16" t="s">
        <v>623</v>
      </c>
      <c r="L404" s="6"/>
      <c r="M404" s="6"/>
      <c r="N404" s="5" t="s">
        <v>1293</v>
      </c>
      <c r="O404" s="6" t="s">
        <v>1953</v>
      </c>
    </row>
    <row r="405" spans="1:15" x14ac:dyDescent="0.2">
      <c r="A405">
        <v>404</v>
      </c>
      <c r="C405" s="6" t="str">
        <f t="shared" si="6"/>
        <v/>
      </c>
      <c r="D405" s="6" t="s">
        <v>113</v>
      </c>
      <c r="E405" s="6" t="s">
        <v>192</v>
      </c>
      <c r="F405" s="6" t="s">
        <v>115</v>
      </c>
      <c r="G405" s="15" t="s">
        <v>626</v>
      </c>
      <c r="H405" s="6" t="s">
        <v>1291</v>
      </c>
      <c r="I405" s="6"/>
      <c r="J405" s="6" t="s">
        <v>1292</v>
      </c>
      <c r="K405" s="16" t="s">
        <v>625</v>
      </c>
      <c r="L405" s="6"/>
      <c r="M405" s="6"/>
      <c r="N405" s="5" t="s">
        <v>1293</v>
      </c>
      <c r="O405" s="6" t="s">
        <v>1953</v>
      </c>
    </row>
    <row r="406" spans="1:15" x14ac:dyDescent="0.2">
      <c r="A406">
        <v>405</v>
      </c>
      <c r="C406" s="6" t="str">
        <f t="shared" si="6"/>
        <v/>
      </c>
      <c r="D406" s="6" t="s">
        <v>113</v>
      </c>
      <c r="E406" s="6" t="s">
        <v>192</v>
      </c>
      <c r="F406" s="6" t="s">
        <v>115</v>
      </c>
      <c r="G406" s="15" t="s">
        <v>628</v>
      </c>
      <c r="H406" s="6" t="s">
        <v>1291</v>
      </c>
      <c r="I406" s="6"/>
      <c r="J406" s="6" t="s">
        <v>1292</v>
      </c>
      <c r="K406" s="16" t="s">
        <v>627</v>
      </c>
      <c r="L406" s="6"/>
      <c r="M406" s="6"/>
      <c r="N406" s="5" t="s">
        <v>1293</v>
      </c>
      <c r="O406" s="6" t="s">
        <v>1953</v>
      </c>
    </row>
    <row r="407" spans="1:15" x14ac:dyDescent="0.2">
      <c r="A407">
        <v>406</v>
      </c>
      <c r="C407" s="6" t="str">
        <f t="shared" si="6"/>
        <v/>
      </c>
      <c r="D407" s="6" t="s">
        <v>113</v>
      </c>
      <c r="E407" s="6" t="s">
        <v>192</v>
      </c>
      <c r="F407" s="6" t="s">
        <v>115</v>
      </c>
      <c r="G407" s="15" t="s">
        <v>630</v>
      </c>
      <c r="H407" s="6" t="s">
        <v>1291</v>
      </c>
      <c r="I407" s="6"/>
      <c r="J407" s="6" t="s">
        <v>1292</v>
      </c>
      <c r="K407" s="16" t="s">
        <v>629</v>
      </c>
      <c r="L407" s="6"/>
      <c r="M407" s="6"/>
      <c r="N407" s="5" t="s">
        <v>1293</v>
      </c>
      <c r="O407" s="6" t="s">
        <v>1953</v>
      </c>
    </row>
    <row r="408" spans="1:15" x14ac:dyDescent="0.2">
      <c r="A408">
        <v>407</v>
      </c>
      <c r="C408" s="6" t="str">
        <f t="shared" si="6"/>
        <v/>
      </c>
      <c r="D408" s="6" t="s">
        <v>113</v>
      </c>
      <c r="E408" s="6" t="s">
        <v>192</v>
      </c>
      <c r="F408" s="6" t="s">
        <v>115</v>
      </c>
      <c r="G408" s="15" t="s">
        <v>632</v>
      </c>
      <c r="H408" s="6" t="s">
        <v>1291</v>
      </c>
      <c r="I408" s="6"/>
      <c r="J408" s="6" t="s">
        <v>1292</v>
      </c>
      <c r="K408" s="16" t="s">
        <v>631</v>
      </c>
      <c r="L408" s="6"/>
      <c r="M408" s="6"/>
      <c r="N408" s="5" t="s">
        <v>1293</v>
      </c>
      <c r="O408" s="6" t="s">
        <v>1953</v>
      </c>
    </row>
    <row r="409" spans="1:15" x14ac:dyDescent="0.2">
      <c r="A409">
        <v>408</v>
      </c>
      <c r="C409" s="6" t="str">
        <f t="shared" si="6"/>
        <v/>
      </c>
      <c r="D409" s="6" t="s">
        <v>113</v>
      </c>
      <c r="E409" s="6" t="s">
        <v>192</v>
      </c>
      <c r="F409" s="6" t="s">
        <v>115</v>
      </c>
      <c r="G409" s="15" t="s">
        <v>634</v>
      </c>
      <c r="H409" s="6" t="s">
        <v>1291</v>
      </c>
      <c r="I409" s="6"/>
      <c r="J409" s="6" t="s">
        <v>1292</v>
      </c>
      <c r="K409" s="16" t="s">
        <v>633</v>
      </c>
      <c r="L409" s="6"/>
      <c r="M409" s="6"/>
      <c r="N409" s="5" t="s">
        <v>1293</v>
      </c>
      <c r="O409" s="6" t="s">
        <v>1953</v>
      </c>
    </row>
    <row r="410" spans="1:15" x14ac:dyDescent="0.2">
      <c r="A410">
        <v>409</v>
      </c>
      <c r="C410" s="6" t="str">
        <f t="shared" si="6"/>
        <v/>
      </c>
      <c r="D410" s="6" t="s">
        <v>113</v>
      </c>
      <c r="E410" s="6" t="s">
        <v>192</v>
      </c>
      <c r="F410" s="6" t="s">
        <v>115</v>
      </c>
      <c r="G410" s="15" t="s">
        <v>636</v>
      </c>
      <c r="H410" s="6" t="s">
        <v>1291</v>
      </c>
      <c r="I410" s="6"/>
      <c r="J410" s="6" t="s">
        <v>1292</v>
      </c>
      <c r="K410" s="16" t="s">
        <v>635</v>
      </c>
      <c r="L410" s="6"/>
      <c r="M410" s="6"/>
      <c r="N410" s="5" t="s">
        <v>1293</v>
      </c>
      <c r="O410" s="6" t="s">
        <v>1953</v>
      </c>
    </row>
    <row r="411" spans="1:15" x14ac:dyDescent="0.2">
      <c r="A411">
        <v>410</v>
      </c>
      <c r="C411" s="6" t="str">
        <f t="shared" si="6"/>
        <v/>
      </c>
      <c r="D411" s="6" t="s">
        <v>113</v>
      </c>
      <c r="E411" s="6" t="s">
        <v>192</v>
      </c>
      <c r="F411" s="6" t="s">
        <v>115</v>
      </c>
      <c r="G411" s="15" t="s">
        <v>638</v>
      </c>
      <c r="H411" s="6" t="s">
        <v>1291</v>
      </c>
      <c r="I411" s="6"/>
      <c r="J411" s="6" t="s">
        <v>1292</v>
      </c>
      <c r="K411" s="16" t="s">
        <v>637</v>
      </c>
      <c r="L411" s="6"/>
      <c r="M411" s="6"/>
      <c r="N411" s="5" t="s">
        <v>1293</v>
      </c>
      <c r="O411" s="6" t="s">
        <v>1953</v>
      </c>
    </row>
    <row r="412" spans="1:15" x14ac:dyDescent="0.2">
      <c r="A412">
        <v>411</v>
      </c>
      <c r="C412" s="6" t="str">
        <f t="shared" si="6"/>
        <v/>
      </c>
      <c r="D412" s="6" t="s">
        <v>113</v>
      </c>
      <c r="E412" s="6" t="s">
        <v>192</v>
      </c>
      <c r="F412" s="6" t="s">
        <v>115</v>
      </c>
      <c r="G412" s="15" t="s">
        <v>640</v>
      </c>
      <c r="H412" s="6" t="s">
        <v>1291</v>
      </c>
      <c r="I412" s="6"/>
      <c r="J412" s="6" t="s">
        <v>1292</v>
      </c>
      <c r="K412" s="16" t="s">
        <v>639</v>
      </c>
      <c r="L412" s="6"/>
      <c r="M412" s="6"/>
      <c r="N412" s="5" t="s">
        <v>1293</v>
      </c>
      <c r="O412" s="6" t="s">
        <v>1953</v>
      </c>
    </row>
    <row r="413" spans="1:15" x14ac:dyDescent="0.2">
      <c r="A413">
        <v>412</v>
      </c>
      <c r="C413" s="6" t="str">
        <f t="shared" si="6"/>
        <v/>
      </c>
      <c r="D413" s="6" t="s">
        <v>113</v>
      </c>
      <c r="E413" s="6" t="s">
        <v>192</v>
      </c>
      <c r="F413" s="6" t="s">
        <v>115</v>
      </c>
      <c r="G413" s="15" t="s">
        <v>642</v>
      </c>
      <c r="H413" s="6" t="s">
        <v>1291</v>
      </c>
      <c r="I413" s="6"/>
      <c r="J413" s="6" t="s">
        <v>1292</v>
      </c>
      <c r="K413" s="16" t="s">
        <v>641</v>
      </c>
      <c r="L413" s="6"/>
      <c r="M413" s="6"/>
      <c r="N413" s="5" t="s">
        <v>1293</v>
      </c>
      <c r="O413" s="6" t="s">
        <v>1953</v>
      </c>
    </row>
    <row r="414" spans="1:15" x14ac:dyDescent="0.2">
      <c r="A414">
        <v>413</v>
      </c>
      <c r="C414" s="6" t="str">
        <f t="shared" si="6"/>
        <v/>
      </c>
      <c r="D414" s="6" t="s">
        <v>113</v>
      </c>
      <c r="E414" s="6" t="s">
        <v>192</v>
      </c>
      <c r="F414" s="6" t="s">
        <v>115</v>
      </c>
      <c r="G414" s="15" t="s">
        <v>643</v>
      </c>
      <c r="H414" s="6" t="s">
        <v>1291</v>
      </c>
      <c r="I414" s="6"/>
      <c r="J414" s="6" t="s">
        <v>1423</v>
      </c>
      <c r="K414" s="20" t="s">
        <v>1564</v>
      </c>
      <c r="L414" s="6"/>
      <c r="M414" s="6" t="s">
        <v>1561</v>
      </c>
      <c r="N414" s="5" t="s">
        <v>1293</v>
      </c>
      <c r="O414" s="6" t="s">
        <v>1953</v>
      </c>
    </row>
    <row r="415" spans="1:15" x14ac:dyDescent="0.2">
      <c r="A415">
        <v>414</v>
      </c>
      <c r="C415" s="6" t="str">
        <f t="shared" si="6"/>
        <v/>
      </c>
      <c r="D415" s="6" t="s">
        <v>113</v>
      </c>
      <c r="E415" s="6" t="s">
        <v>192</v>
      </c>
      <c r="F415" s="6" t="s">
        <v>115</v>
      </c>
      <c r="G415" s="15" t="s">
        <v>645</v>
      </c>
      <c r="H415" s="6" t="s">
        <v>1291</v>
      </c>
      <c r="I415" s="6"/>
      <c r="J415" s="6" t="s">
        <v>1292</v>
      </c>
      <c r="K415" s="16" t="s">
        <v>644</v>
      </c>
      <c r="L415" s="6"/>
      <c r="M415" s="6"/>
      <c r="N415" s="5" t="s">
        <v>1293</v>
      </c>
      <c r="O415" s="6" t="s">
        <v>1953</v>
      </c>
    </row>
    <row r="416" spans="1:15" x14ac:dyDescent="0.2">
      <c r="A416">
        <v>415</v>
      </c>
      <c r="C416" s="6" t="str">
        <f t="shared" si="6"/>
        <v/>
      </c>
      <c r="D416" s="6" t="s">
        <v>113</v>
      </c>
      <c r="E416" s="6" t="s">
        <v>192</v>
      </c>
      <c r="F416" s="6" t="s">
        <v>115</v>
      </c>
      <c r="G416" s="15" t="s">
        <v>647</v>
      </c>
      <c r="H416" s="6" t="s">
        <v>1291</v>
      </c>
      <c r="I416" s="6"/>
      <c r="J416" s="6" t="s">
        <v>1292</v>
      </c>
      <c r="K416" s="16" t="s">
        <v>646</v>
      </c>
      <c r="L416" s="6"/>
      <c r="M416" s="6"/>
      <c r="N416" s="5" t="s">
        <v>1293</v>
      </c>
      <c r="O416" s="6" t="s">
        <v>1953</v>
      </c>
    </row>
    <row r="417" spans="1:15" x14ac:dyDescent="0.2">
      <c r="A417">
        <v>416</v>
      </c>
      <c r="C417" s="6" t="str">
        <f t="shared" si="6"/>
        <v/>
      </c>
      <c r="D417" s="6" t="s">
        <v>113</v>
      </c>
      <c r="E417" s="6" t="s">
        <v>192</v>
      </c>
      <c r="F417" s="6" t="s">
        <v>115</v>
      </c>
      <c r="G417" s="15" t="s">
        <v>649</v>
      </c>
      <c r="H417" s="6" t="s">
        <v>1291</v>
      </c>
      <c r="I417" s="6"/>
      <c r="J417" s="6" t="s">
        <v>1292</v>
      </c>
      <c r="K417" s="16" t="s">
        <v>648</v>
      </c>
      <c r="L417" s="6"/>
      <c r="M417" s="6"/>
      <c r="N417" s="5" t="s">
        <v>1293</v>
      </c>
      <c r="O417" s="6" t="s">
        <v>1953</v>
      </c>
    </row>
    <row r="418" spans="1:15" x14ac:dyDescent="0.2">
      <c r="A418">
        <v>417</v>
      </c>
      <c r="C418" s="6" t="str">
        <f t="shared" si="6"/>
        <v/>
      </c>
      <c r="D418" s="6" t="s">
        <v>113</v>
      </c>
      <c r="E418" s="6" t="s">
        <v>192</v>
      </c>
      <c r="F418" s="6" t="s">
        <v>115</v>
      </c>
      <c r="G418" s="15" t="s">
        <v>651</v>
      </c>
      <c r="H418" s="6" t="s">
        <v>1291</v>
      </c>
      <c r="I418" s="6"/>
      <c r="J418" s="6" t="s">
        <v>1292</v>
      </c>
      <c r="K418" s="16" t="s">
        <v>650</v>
      </c>
      <c r="L418" s="6"/>
      <c r="M418" s="6"/>
      <c r="N418" s="5" t="s">
        <v>1293</v>
      </c>
      <c r="O418" s="6" t="s">
        <v>1953</v>
      </c>
    </row>
    <row r="419" spans="1:15" x14ac:dyDescent="0.2">
      <c r="A419">
        <v>418</v>
      </c>
      <c r="C419" s="6" t="str">
        <f t="shared" si="6"/>
        <v/>
      </c>
      <c r="D419" s="6" t="s">
        <v>113</v>
      </c>
      <c r="E419" s="6" t="s">
        <v>192</v>
      </c>
      <c r="F419" s="6" t="s">
        <v>115</v>
      </c>
      <c r="G419" s="15" t="s">
        <v>653</v>
      </c>
      <c r="H419" s="6" t="s">
        <v>1291</v>
      </c>
      <c r="I419" s="6"/>
      <c r="J419" s="6" t="s">
        <v>1292</v>
      </c>
      <c r="K419" s="16" t="s">
        <v>652</v>
      </c>
      <c r="L419" s="6"/>
      <c r="M419" s="6"/>
      <c r="N419" s="5" t="s">
        <v>1293</v>
      </c>
      <c r="O419" s="6" t="s">
        <v>1953</v>
      </c>
    </row>
    <row r="420" spans="1:15" x14ac:dyDescent="0.2">
      <c r="A420">
        <v>419</v>
      </c>
      <c r="C420" s="6" t="str">
        <f t="shared" si="6"/>
        <v/>
      </c>
      <c r="D420" s="6" t="s">
        <v>113</v>
      </c>
      <c r="E420" s="6" t="s">
        <v>192</v>
      </c>
      <c r="F420" s="6" t="s">
        <v>115</v>
      </c>
      <c r="G420" s="15" t="s">
        <v>655</v>
      </c>
      <c r="H420" s="6" t="s">
        <v>1291</v>
      </c>
      <c r="I420" s="6"/>
      <c r="J420" s="6" t="s">
        <v>1292</v>
      </c>
      <c r="K420" s="16" t="s">
        <v>654</v>
      </c>
      <c r="L420" s="6"/>
      <c r="M420" s="6"/>
      <c r="N420" s="5" t="s">
        <v>1293</v>
      </c>
      <c r="O420" s="6" t="s">
        <v>1953</v>
      </c>
    </row>
    <row r="421" spans="1:15" x14ac:dyDescent="0.2">
      <c r="A421">
        <v>420</v>
      </c>
      <c r="C421" s="6" t="str">
        <f t="shared" si="6"/>
        <v/>
      </c>
      <c r="D421" s="6" t="s">
        <v>113</v>
      </c>
      <c r="E421" s="6" t="s">
        <v>192</v>
      </c>
      <c r="F421" s="6" t="s">
        <v>115</v>
      </c>
      <c r="G421" s="15" t="s">
        <v>657</v>
      </c>
      <c r="H421" s="6" t="s">
        <v>1291</v>
      </c>
      <c r="I421" s="6"/>
      <c r="J421" s="6" t="s">
        <v>1292</v>
      </c>
      <c r="K421" s="16" t="s">
        <v>656</v>
      </c>
      <c r="L421" s="6"/>
      <c r="M421" s="6"/>
      <c r="N421" s="5" t="s">
        <v>1293</v>
      </c>
      <c r="O421" s="6" t="s">
        <v>1953</v>
      </c>
    </row>
    <row r="422" spans="1:15" x14ac:dyDescent="0.2">
      <c r="A422">
        <v>421</v>
      </c>
      <c r="C422" s="6" t="str">
        <f t="shared" si="6"/>
        <v/>
      </c>
      <c r="D422" s="6" t="s">
        <v>113</v>
      </c>
      <c r="E422" s="6" t="s">
        <v>192</v>
      </c>
      <c r="F422" s="6" t="s">
        <v>115</v>
      </c>
      <c r="G422" s="15" t="s">
        <v>659</v>
      </c>
      <c r="H422" s="6" t="s">
        <v>1291</v>
      </c>
      <c r="I422" s="6"/>
      <c r="J422" s="6" t="s">
        <v>1292</v>
      </c>
      <c r="K422" s="16" t="s">
        <v>658</v>
      </c>
      <c r="L422" s="6"/>
      <c r="M422" s="6"/>
      <c r="N422" s="5" t="s">
        <v>1293</v>
      </c>
      <c r="O422" s="6" t="s">
        <v>1953</v>
      </c>
    </row>
    <row r="423" spans="1:15" x14ac:dyDescent="0.2">
      <c r="A423">
        <v>422</v>
      </c>
      <c r="C423" s="6" t="str">
        <f t="shared" si="6"/>
        <v/>
      </c>
      <c r="D423" s="6" t="s">
        <v>113</v>
      </c>
      <c r="E423" s="6" t="s">
        <v>192</v>
      </c>
      <c r="F423" s="6" t="s">
        <v>115</v>
      </c>
      <c r="G423" s="15" t="s">
        <v>661</v>
      </c>
      <c r="H423" s="6" t="s">
        <v>1291</v>
      </c>
      <c r="I423" s="6"/>
      <c r="J423" s="6" t="s">
        <v>1292</v>
      </c>
      <c r="K423" s="16" t="s">
        <v>660</v>
      </c>
      <c r="L423" s="6"/>
      <c r="M423" s="6"/>
      <c r="N423" s="5" t="s">
        <v>1293</v>
      </c>
      <c r="O423" s="6" t="s">
        <v>1953</v>
      </c>
    </row>
    <row r="424" spans="1:15" x14ac:dyDescent="0.2">
      <c r="A424">
        <v>423</v>
      </c>
      <c r="C424" s="6" t="str">
        <f t="shared" si="6"/>
        <v/>
      </c>
      <c r="D424" s="6" t="s">
        <v>113</v>
      </c>
      <c r="E424" s="6" t="s">
        <v>192</v>
      </c>
      <c r="F424" s="6" t="s">
        <v>115</v>
      </c>
      <c r="G424" s="15" t="s">
        <v>663</v>
      </c>
      <c r="H424" s="6" t="s">
        <v>1291</v>
      </c>
      <c r="I424" s="6"/>
      <c r="J424" s="6" t="s">
        <v>1292</v>
      </c>
      <c r="K424" s="16" t="s">
        <v>662</v>
      </c>
      <c r="L424" s="6"/>
      <c r="M424" s="6"/>
      <c r="N424" s="5" t="s">
        <v>1293</v>
      </c>
      <c r="O424" s="6" t="s">
        <v>1953</v>
      </c>
    </row>
    <row r="425" spans="1:15" x14ac:dyDescent="0.2">
      <c r="A425">
        <v>424</v>
      </c>
      <c r="C425" s="6" t="str">
        <f t="shared" si="6"/>
        <v/>
      </c>
      <c r="D425" s="6" t="s">
        <v>113</v>
      </c>
      <c r="E425" s="6" t="s">
        <v>192</v>
      </c>
      <c r="F425" s="6" t="s">
        <v>115</v>
      </c>
      <c r="G425" s="15" t="s">
        <v>664</v>
      </c>
      <c r="H425" s="6" t="s">
        <v>1291</v>
      </c>
      <c r="I425" s="6"/>
      <c r="J425" s="6" t="s">
        <v>1423</v>
      </c>
      <c r="K425" s="20" t="s">
        <v>1565</v>
      </c>
      <c r="L425" s="6"/>
      <c r="M425" s="6" t="s">
        <v>1569</v>
      </c>
      <c r="N425" s="5" t="s">
        <v>1293</v>
      </c>
      <c r="O425" s="6" t="s">
        <v>1953</v>
      </c>
    </row>
    <row r="426" spans="1:15" x14ac:dyDescent="0.2">
      <c r="A426">
        <v>425</v>
      </c>
      <c r="C426" s="6" t="str">
        <f t="shared" si="6"/>
        <v/>
      </c>
      <c r="D426" s="6" t="s">
        <v>113</v>
      </c>
      <c r="E426" s="6" t="s">
        <v>192</v>
      </c>
      <c r="F426" s="6" t="s">
        <v>115</v>
      </c>
      <c r="G426" s="15" t="s">
        <v>666</v>
      </c>
      <c r="H426" s="6" t="s">
        <v>1291</v>
      </c>
      <c r="I426" s="6"/>
      <c r="J426" s="6" t="s">
        <v>1292</v>
      </c>
      <c r="K426" s="16" t="s">
        <v>665</v>
      </c>
      <c r="L426" s="6"/>
      <c r="M426" s="6"/>
      <c r="N426" s="5" t="s">
        <v>1293</v>
      </c>
      <c r="O426" s="6" t="s">
        <v>1953</v>
      </c>
    </row>
    <row r="427" spans="1:15" x14ac:dyDescent="0.2">
      <c r="A427">
        <v>426</v>
      </c>
      <c r="C427" s="6" t="str">
        <f t="shared" si="6"/>
        <v/>
      </c>
      <c r="D427" s="6" t="s">
        <v>113</v>
      </c>
      <c r="E427" s="6" t="s">
        <v>192</v>
      </c>
      <c r="F427" s="6" t="s">
        <v>115</v>
      </c>
      <c r="G427" s="15" t="s">
        <v>668</v>
      </c>
      <c r="H427" s="6" t="s">
        <v>1291</v>
      </c>
      <c r="I427" s="6"/>
      <c r="J427" s="6" t="s">
        <v>1292</v>
      </c>
      <c r="K427" s="16" t="s">
        <v>667</v>
      </c>
      <c r="L427" s="6"/>
      <c r="M427" s="6"/>
      <c r="N427" s="5" t="s">
        <v>1293</v>
      </c>
      <c r="O427" s="6" t="s">
        <v>1953</v>
      </c>
    </row>
    <row r="428" spans="1:15" x14ac:dyDescent="0.2">
      <c r="A428">
        <v>427</v>
      </c>
      <c r="C428" s="6" t="str">
        <f t="shared" si="6"/>
        <v/>
      </c>
      <c r="D428" s="6" t="s">
        <v>113</v>
      </c>
      <c r="E428" s="6" t="s">
        <v>192</v>
      </c>
      <c r="F428" s="6" t="s">
        <v>115</v>
      </c>
      <c r="G428" s="15" t="s">
        <v>670</v>
      </c>
      <c r="H428" s="6" t="s">
        <v>1291</v>
      </c>
      <c r="I428" s="6"/>
      <c r="J428" s="6" t="s">
        <v>1292</v>
      </c>
      <c r="K428" s="16" t="s">
        <v>669</v>
      </c>
      <c r="L428" s="6"/>
      <c r="M428" s="6"/>
      <c r="N428" s="5" t="s">
        <v>1293</v>
      </c>
      <c r="O428" s="6" t="s">
        <v>1953</v>
      </c>
    </row>
    <row r="429" spans="1:15" x14ac:dyDescent="0.2">
      <c r="A429">
        <v>428</v>
      </c>
      <c r="C429" s="6" t="str">
        <f t="shared" si="6"/>
        <v/>
      </c>
      <c r="D429" s="6" t="s">
        <v>113</v>
      </c>
      <c r="E429" s="6" t="s">
        <v>192</v>
      </c>
      <c r="F429" s="6" t="s">
        <v>115</v>
      </c>
      <c r="G429" s="15" t="s">
        <v>672</v>
      </c>
      <c r="H429" s="6" t="s">
        <v>1291</v>
      </c>
      <c r="I429" s="6"/>
      <c r="J429" s="6" t="s">
        <v>1292</v>
      </c>
      <c r="K429" s="16" t="s">
        <v>671</v>
      </c>
      <c r="L429" s="6"/>
      <c r="M429" s="6"/>
      <c r="N429" s="5" t="s">
        <v>1293</v>
      </c>
      <c r="O429" s="6" t="s">
        <v>1953</v>
      </c>
    </row>
    <row r="430" spans="1:15" x14ac:dyDescent="0.2">
      <c r="A430">
        <v>429</v>
      </c>
      <c r="C430" s="6" t="str">
        <f t="shared" si="6"/>
        <v/>
      </c>
      <c r="D430" s="6" t="s">
        <v>113</v>
      </c>
      <c r="E430" s="6" t="s">
        <v>192</v>
      </c>
      <c r="F430" s="6" t="s">
        <v>115</v>
      </c>
      <c r="G430" s="15" t="s">
        <v>673</v>
      </c>
      <c r="H430" s="6" t="s">
        <v>1291</v>
      </c>
      <c r="I430" s="6"/>
      <c r="J430" s="6" t="s">
        <v>1423</v>
      </c>
      <c r="K430" s="20" t="s">
        <v>1566</v>
      </c>
      <c r="L430" s="6"/>
      <c r="M430" s="6" t="s">
        <v>1561</v>
      </c>
      <c r="N430" s="5" t="s">
        <v>1293</v>
      </c>
      <c r="O430" s="6" t="s">
        <v>1953</v>
      </c>
    </row>
    <row r="431" spans="1:15" x14ac:dyDescent="0.2">
      <c r="A431">
        <v>430</v>
      </c>
      <c r="C431" s="6" t="str">
        <f t="shared" si="6"/>
        <v/>
      </c>
      <c r="D431" s="6" t="s">
        <v>113</v>
      </c>
      <c r="E431" s="6" t="s">
        <v>192</v>
      </c>
      <c r="F431" s="6" t="s">
        <v>115</v>
      </c>
      <c r="G431" s="15" t="s">
        <v>675</v>
      </c>
      <c r="H431" s="6" t="s">
        <v>1291</v>
      </c>
      <c r="I431" s="6"/>
      <c r="J431" s="6" t="s">
        <v>1292</v>
      </c>
      <c r="K431" s="16" t="s">
        <v>674</v>
      </c>
      <c r="L431" s="6"/>
      <c r="M431" s="6"/>
      <c r="N431" s="5" t="s">
        <v>1293</v>
      </c>
      <c r="O431" s="6" t="s">
        <v>1953</v>
      </c>
    </row>
    <row r="432" spans="1:15" x14ac:dyDescent="0.2">
      <c r="A432">
        <v>431</v>
      </c>
      <c r="C432" s="6" t="str">
        <f t="shared" si="6"/>
        <v/>
      </c>
      <c r="D432" s="6" t="s">
        <v>113</v>
      </c>
      <c r="E432" s="6" t="s">
        <v>192</v>
      </c>
      <c r="F432" s="6" t="s">
        <v>115</v>
      </c>
      <c r="G432" s="15" t="s">
        <v>677</v>
      </c>
      <c r="H432" s="6" t="s">
        <v>1291</v>
      </c>
      <c r="I432" s="6"/>
      <c r="J432" s="6" t="s">
        <v>1292</v>
      </c>
      <c r="K432" s="16" t="s">
        <v>676</v>
      </c>
      <c r="L432" s="6"/>
      <c r="M432" s="6"/>
      <c r="N432" s="5" t="s">
        <v>1293</v>
      </c>
      <c r="O432" s="6" t="s">
        <v>1953</v>
      </c>
    </row>
    <row r="433" spans="1:15" x14ac:dyDescent="0.2">
      <c r="A433">
        <v>432</v>
      </c>
      <c r="C433" s="6" t="str">
        <f t="shared" si="6"/>
        <v/>
      </c>
      <c r="D433" s="6" t="s">
        <v>113</v>
      </c>
      <c r="E433" s="6" t="s">
        <v>192</v>
      </c>
      <c r="F433" s="6" t="s">
        <v>115</v>
      </c>
      <c r="G433" s="15" t="s">
        <v>679</v>
      </c>
      <c r="H433" s="6" t="s">
        <v>1291</v>
      </c>
      <c r="I433" s="6"/>
      <c r="J433" s="6" t="s">
        <v>1292</v>
      </c>
      <c r="K433" s="16" t="s">
        <v>678</v>
      </c>
      <c r="L433" s="6"/>
      <c r="M433" s="6"/>
      <c r="N433" s="5" t="s">
        <v>1293</v>
      </c>
      <c r="O433" s="6" t="s">
        <v>1953</v>
      </c>
    </row>
    <row r="434" spans="1:15" x14ac:dyDescent="0.2">
      <c r="A434">
        <v>433</v>
      </c>
      <c r="C434" s="6" t="str">
        <f t="shared" si="6"/>
        <v/>
      </c>
      <c r="D434" s="6" t="s">
        <v>113</v>
      </c>
      <c r="E434" s="6" t="s">
        <v>192</v>
      </c>
      <c r="F434" s="6" t="s">
        <v>115</v>
      </c>
      <c r="G434" s="15" t="s">
        <v>681</v>
      </c>
      <c r="H434" s="6" t="s">
        <v>1291</v>
      </c>
      <c r="I434" s="6"/>
      <c r="J434" s="6" t="s">
        <v>1292</v>
      </c>
      <c r="K434" s="16" t="s">
        <v>680</v>
      </c>
      <c r="L434" s="6"/>
      <c r="M434" s="6"/>
      <c r="N434" s="5" t="s">
        <v>1293</v>
      </c>
      <c r="O434" s="6" t="s">
        <v>1953</v>
      </c>
    </row>
    <row r="435" spans="1:15" x14ac:dyDescent="0.2">
      <c r="A435">
        <v>434</v>
      </c>
      <c r="C435" s="6" t="str">
        <f t="shared" si="6"/>
        <v/>
      </c>
      <c r="D435" s="6" t="s">
        <v>113</v>
      </c>
      <c r="E435" s="6" t="s">
        <v>192</v>
      </c>
      <c r="F435" s="6" t="s">
        <v>115</v>
      </c>
      <c r="G435" s="15" t="s">
        <v>683</v>
      </c>
      <c r="H435" s="6" t="s">
        <v>1291</v>
      </c>
      <c r="I435" s="6"/>
      <c r="J435" s="6" t="s">
        <v>1292</v>
      </c>
      <c r="K435" s="16" t="s">
        <v>682</v>
      </c>
      <c r="L435" s="6"/>
      <c r="M435" s="6"/>
      <c r="N435" s="5" t="s">
        <v>1293</v>
      </c>
      <c r="O435" s="6" t="s">
        <v>1953</v>
      </c>
    </row>
    <row r="436" spans="1:15" x14ac:dyDescent="0.2">
      <c r="A436">
        <v>435</v>
      </c>
      <c r="C436" s="6" t="str">
        <f t="shared" si="6"/>
        <v/>
      </c>
      <c r="D436" s="6" t="s">
        <v>113</v>
      </c>
      <c r="E436" s="6" t="s">
        <v>192</v>
      </c>
      <c r="F436" s="6" t="s">
        <v>115</v>
      </c>
      <c r="G436" s="15" t="s">
        <v>685</v>
      </c>
      <c r="H436" s="6" t="s">
        <v>1291</v>
      </c>
      <c r="I436" s="6"/>
      <c r="J436" s="6" t="s">
        <v>1292</v>
      </c>
      <c r="K436" s="16" t="s">
        <v>684</v>
      </c>
      <c r="L436" s="6"/>
      <c r="M436" s="6"/>
      <c r="N436" s="5" t="s">
        <v>1293</v>
      </c>
      <c r="O436" s="6" t="s">
        <v>1953</v>
      </c>
    </row>
    <row r="437" spans="1:15" x14ac:dyDescent="0.2">
      <c r="A437">
        <v>436</v>
      </c>
      <c r="C437" s="6" t="str">
        <f t="shared" si="6"/>
        <v/>
      </c>
      <c r="D437" s="6" t="s">
        <v>113</v>
      </c>
      <c r="E437" s="6" t="s">
        <v>192</v>
      </c>
      <c r="F437" s="6" t="s">
        <v>115</v>
      </c>
      <c r="G437" s="15" t="s">
        <v>687</v>
      </c>
      <c r="H437" s="6" t="s">
        <v>1291</v>
      </c>
      <c r="I437" s="6"/>
      <c r="J437" s="6" t="s">
        <v>1292</v>
      </c>
      <c r="K437" s="16" t="s">
        <v>686</v>
      </c>
      <c r="L437" s="6"/>
      <c r="M437" s="6"/>
      <c r="N437" s="5" t="s">
        <v>1293</v>
      </c>
      <c r="O437" s="6" t="s">
        <v>1953</v>
      </c>
    </row>
    <row r="438" spans="1:15" x14ac:dyDescent="0.2">
      <c r="A438">
        <v>437</v>
      </c>
      <c r="C438" s="6" t="str">
        <f t="shared" si="6"/>
        <v/>
      </c>
      <c r="D438" s="6" t="s">
        <v>113</v>
      </c>
      <c r="E438" s="6" t="s">
        <v>192</v>
      </c>
      <c r="F438" s="6" t="s">
        <v>115</v>
      </c>
      <c r="G438" s="15" t="s">
        <v>689</v>
      </c>
      <c r="H438" s="6" t="s">
        <v>1291</v>
      </c>
      <c r="I438" s="6"/>
      <c r="J438" s="6" t="s">
        <v>1292</v>
      </c>
      <c r="K438" s="16" t="s">
        <v>688</v>
      </c>
      <c r="L438" s="6"/>
      <c r="M438" s="6"/>
      <c r="N438" s="5" t="s">
        <v>1293</v>
      </c>
      <c r="O438" s="6" t="s">
        <v>1953</v>
      </c>
    </row>
    <row r="439" spans="1:15" x14ac:dyDescent="0.2">
      <c r="A439">
        <v>438</v>
      </c>
      <c r="C439" s="6" t="str">
        <f t="shared" si="6"/>
        <v/>
      </c>
      <c r="D439" s="6" t="s">
        <v>113</v>
      </c>
      <c r="E439" s="6" t="s">
        <v>192</v>
      </c>
      <c r="F439" s="6" t="s">
        <v>115</v>
      </c>
      <c r="G439" s="15" t="s">
        <v>691</v>
      </c>
      <c r="H439" s="6" t="s">
        <v>1291</v>
      </c>
      <c r="I439" s="6"/>
      <c r="J439" s="6" t="s">
        <v>1292</v>
      </c>
      <c r="K439" s="16" t="s">
        <v>690</v>
      </c>
      <c r="L439" s="6"/>
      <c r="M439" s="6"/>
      <c r="N439" s="5" t="s">
        <v>1293</v>
      </c>
      <c r="O439" s="6" t="s">
        <v>1953</v>
      </c>
    </row>
    <row r="440" spans="1:15" x14ac:dyDescent="0.2">
      <c r="A440">
        <v>439</v>
      </c>
      <c r="C440" s="6" t="str">
        <f t="shared" si="6"/>
        <v/>
      </c>
      <c r="D440" s="6" t="s">
        <v>113</v>
      </c>
      <c r="E440" s="6" t="s">
        <v>192</v>
      </c>
      <c r="F440" s="6" t="s">
        <v>115</v>
      </c>
      <c r="G440" s="15" t="s">
        <v>693</v>
      </c>
      <c r="H440" s="6" t="s">
        <v>1291</v>
      </c>
      <c r="I440" s="6"/>
      <c r="J440" s="6" t="s">
        <v>1292</v>
      </c>
      <c r="K440" s="16" t="s">
        <v>692</v>
      </c>
      <c r="L440" s="6"/>
      <c r="M440" s="6"/>
      <c r="N440" s="5" t="s">
        <v>1293</v>
      </c>
      <c r="O440" s="6" t="s">
        <v>1953</v>
      </c>
    </row>
    <row r="441" spans="1:15" x14ac:dyDescent="0.2">
      <c r="A441">
        <v>440</v>
      </c>
      <c r="C441" s="6" t="str">
        <f t="shared" si="6"/>
        <v/>
      </c>
      <c r="D441" s="6" t="s">
        <v>113</v>
      </c>
      <c r="E441" s="6" t="s">
        <v>192</v>
      </c>
      <c r="F441" s="6" t="s">
        <v>115</v>
      </c>
      <c r="G441" s="15" t="s">
        <v>695</v>
      </c>
      <c r="H441" s="6" t="s">
        <v>1291</v>
      </c>
      <c r="I441" s="6"/>
      <c r="J441" s="6" t="s">
        <v>1292</v>
      </c>
      <c r="K441" s="16" t="s">
        <v>694</v>
      </c>
      <c r="L441" s="6"/>
      <c r="M441" s="6"/>
      <c r="N441" s="5" t="s">
        <v>1293</v>
      </c>
      <c r="O441" s="6" t="s">
        <v>1953</v>
      </c>
    </row>
    <row r="442" spans="1:15" x14ac:dyDescent="0.2">
      <c r="A442">
        <v>441</v>
      </c>
      <c r="C442" s="6" t="str">
        <f t="shared" si="6"/>
        <v/>
      </c>
      <c r="D442" s="6" t="s">
        <v>113</v>
      </c>
      <c r="E442" s="6" t="s">
        <v>192</v>
      </c>
      <c r="F442" s="6" t="s">
        <v>115</v>
      </c>
      <c r="G442" s="15" t="s">
        <v>697</v>
      </c>
      <c r="H442" s="6" t="s">
        <v>1291</v>
      </c>
      <c r="I442" s="6"/>
      <c r="J442" s="6" t="s">
        <v>1292</v>
      </c>
      <c r="K442" s="16" t="s">
        <v>696</v>
      </c>
      <c r="L442" s="6"/>
      <c r="M442" s="6"/>
      <c r="N442" s="5" t="s">
        <v>1293</v>
      </c>
      <c r="O442" s="6" t="s">
        <v>1953</v>
      </c>
    </row>
    <row r="443" spans="1:15" x14ac:dyDescent="0.2">
      <c r="A443">
        <v>442</v>
      </c>
      <c r="C443" s="6" t="str">
        <f t="shared" si="6"/>
        <v/>
      </c>
      <c r="D443" s="6" t="s">
        <v>113</v>
      </c>
      <c r="E443" s="6" t="s">
        <v>192</v>
      </c>
      <c r="F443" s="6" t="s">
        <v>115</v>
      </c>
      <c r="G443" s="15" t="s">
        <v>699</v>
      </c>
      <c r="H443" s="6" t="s">
        <v>1291</v>
      </c>
      <c r="I443" s="6"/>
      <c r="J443" s="6" t="s">
        <v>1292</v>
      </c>
      <c r="K443" s="16" t="s">
        <v>698</v>
      </c>
      <c r="L443" s="6"/>
      <c r="M443" s="6"/>
      <c r="N443" s="5" t="s">
        <v>1293</v>
      </c>
      <c r="O443" s="6" t="s">
        <v>1953</v>
      </c>
    </row>
    <row r="444" spans="1:15" x14ac:dyDescent="0.2">
      <c r="A444">
        <v>443</v>
      </c>
      <c r="C444" s="6" t="str">
        <f t="shared" si="6"/>
        <v/>
      </c>
      <c r="D444" s="6" t="s">
        <v>113</v>
      </c>
      <c r="E444" s="6" t="s">
        <v>192</v>
      </c>
      <c r="F444" s="6" t="s">
        <v>115</v>
      </c>
      <c r="G444" s="15" t="s">
        <v>701</v>
      </c>
      <c r="H444" s="6" t="s">
        <v>1291</v>
      </c>
      <c r="I444" s="6"/>
      <c r="J444" s="6" t="s">
        <v>1292</v>
      </c>
      <c r="K444" s="16" t="s">
        <v>700</v>
      </c>
      <c r="L444" s="6"/>
      <c r="M444" s="6"/>
      <c r="N444" s="5" t="s">
        <v>1293</v>
      </c>
      <c r="O444" s="6" t="s">
        <v>1953</v>
      </c>
    </row>
    <row r="445" spans="1:15" x14ac:dyDescent="0.2">
      <c r="A445">
        <v>444</v>
      </c>
      <c r="C445" s="6" t="str">
        <f t="shared" si="6"/>
        <v/>
      </c>
      <c r="D445" s="6" t="s">
        <v>113</v>
      </c>
      <c r="E445" s="6" t="s">
        <v>192</v>
      </c>
      <c r="F445" s="6" t="s">
        <v>115</v>
      </c>
      <c r="G445" s="15" t="s">
        <v>702</v>
      </c>
      <c r="H445" s="6" t="s">
        <v>1291</v>
      </c>
      <c r="I445" s="6"/>
      <c r="J445" s="6" t="s">
        <v>1423</v>
      </c>
      <c r="K445" s="20" t="s">
        <v>1567</v>
      </c>
      <c r="L445" s="6"/>
      <c r="M445" s="6" t="s">
        <v>1559</v>
      </c>
      <c r="N445" s="5" t="s">
        <v>1293</v>
      </c>
      <c r="O445" s="6" t="s">
        <v>1953</v>
      </c>
    </row>
    <row r="446" spans="1:15" x14ac:dyDescent="0.2">
      <c r="A446">
        <v>445</v>
      </c>
      <c r="C446" s="6" t="str">
        <f t="shared" si="6"/>
        <v/>
      </c>
      <c r="D446" s="6" t="s">
        <v>113</v>
      </c>
      <c r="E446" s="6" t="s">
        <v>192</v>
      </c>
      <c r="F446" s="6" t="s">
        <v>115</v>
      </c>
      <c r="G446" s="15" t="s">
        <v>704</v>
      </c>
      <c r="H446" s="6" t="s">
        <v>1291</v>
      </c>
      <c r="I446" s="6"/>
      <c r="J446" s="6" t="s">
        <v>1292</v>
      </c>
      <c r="K446" s="16" t="s">
        <v>703</v>
      </c>
      <c r="L446" s="6"/>
      <c r="M446" s="6"/>
      <c r="N446" s="5" t="s">
        <v>1293</v>
      </c>
      <c r="O446" s="6" t="s">
        <v>1953</v>
      </c>
    </row>
    <row r="447" spans="1:15" x14ac:dyDescent="0.2">
      <c r="A447">
        <v>446</v>
      </c>
      <c r="C447" s="6" t="str">
        <f t="shared" si="6"/>
        <v/>
      </c>
      <c r="D447" s="6" t="s">
        <v>113</v>
      </c>
      <c r="E447" s="6" t="s">
        <v>192</v>
      </c>
      <c r="F447" s="6" t="s">
        <v>115</v>
      </c>
      <c r="G447" s="15" t="s">
        <v>706</v>
      </c>
      <c r="H447" s="6" t="s">
        <v>1291</v>
      </c>
      <c r="I447" s="6"/>
      <c r="J447" s="6" t="s">
        <v>1292</v>
      </c>
      <c r="K447" s="16" t="s">
        <v>705</v>
      </c>
      <c r="L447" s="6"/>
      <c r="M447" s="6"/>
      <c r="N447" s="5" t="s">
        <v>1293</v>
      </c>
      <c r="O447" s="6" t="s">
        <v>1953</v>
      </c>
    </row>
    <row r="448" spans="1:15" x14ac:dyDescent="0.2">
      <c r="A448">
        <v>447</v>
      </c>
      <c r="C448" s="6" t="str">
        <f t="shared" si="6"/>
        <v/>
      </c>
      <c r="D448" s="6" t="s">
        <v>113</v>
      </c>
      <c r="E448" s="6" t="s">
        <v>192</v>
      </c>
      <c r="F448" s="6" t="s">
        <v>115</v>
      </c>
      <c r="G448" s="15" t="s">
        <v>708</v>
      </c>
      <c r="H448" s="6" t="s">
        <v>1291</v>
      </c>
      <c r="I448" s="6"/>
      <c r="J448" s="6" t="s">
        <v>1292</v>
      </c>
      <c r="K448" s="16" t="s">
        <v>707</v>
      </c>
      <c r="L448" s="6"/>
      <c r="M448" s="6"/>
      <c r="N448" s="5" t="s">
        <v>1293</v>
      </c>
      <c r="O448" s="6" t="s">
        <v>1953</v>
      </c>
    </row>
    <row r="449" spans="1:15" x14ac:dyDescent="0.2">
      <c r="A449">
        <v>448</v>
      </c>
      <c r="C449" s="6" t="str">
        <f t="shared" si="6"/>
        <v/>
      </c>
      <c r="D449" s="6" t="s">
        <v>113</v>
      </c>
      <c r="E449" s="6" t="s">
        <v>192</v>
      </c>
      <c r="F449" s="6" t="s">
        <v>115</v>
      </c>
      <c r="G449" s="15" t="s">
        <v>710</v>
      </c>
      <c r="H449" s="6" t="s">
        <v>1291</v>
      </c>
      <c r="I449" s="6"/>
      <c r="J449" s="6" t="s">
        <v>1292</v>
      </c>
      <c r="K449" s="16" t="s">
        <v>709</v>
      </c>
      <c r="L449" s="6"/>
      <c r="M449" s="6"/>
      <c r="N449" s="5" t="s">
        <v>1293</v>
      </c>
      <c r="O449" s="6" t="s">
        <v>1953</v>
      </c>
    </row>
    <row r="450" spans="1:15" x14ac:dyDescent="0.2">
      <c r="A450">
        <v>449</v>
      </c>
      <c r="C450" s="6" t="str">
        <f t="shared" si="6"/>
        <v/>
      </c>
      <c r="D450" s="6" t="s">
        <v>113</v>
      </c>
      <c r="E450" s="6" t="s">
        <v>192</v>
      </c>
      <c r="F450" s="6" t="s">
        <v>115</v>
      </c>
      <c r="G450" s="15" t="s">
        <v>712</v>
      </c>
      <c r="H450" s="6" t="s">
        <v>1291</v>
      </c>
      <c r="I450" s="6"/>
      <c r="J450" s="6" t="s">
        <v>1292</v>
      </c>
      <c r="K450" s="16" t="s">
        <v>711</v>
      </c>
      <c r="L450" s="6"/>
      <c r="M450" s="6"/>
      <c r="N450" s="5" t="s">
        <v>1293</v>
      </c>
      <c r="O450" s="6" t="s">
        <v>1953</v>
      </c>
    </row>
    <row r="451" spans="1:15" x14ac:dyDescent="0.2">
      <c r="A451">
        <v>450</v>
      </c>
      <c r="C451" s="6" t="str">
        <f t="shared" ref="C451:C514" si="7">IF(AND(G451="NA",H451&lt;&gt;"wide_value"),TRUE,"")</f>
        <v/>
      </c>
      <c r="D451" s="6" t="s">
        <v>113</v>
      </c>
      <c r="E451" s="6" t="s">
        <v>192</v>
      </c>
      <c r="F451" s="6" t="s">
        <v>115</v>
      </c>
      <c r="G451" s="15" t="s">
        <v>714</v>
      </c>
      <c r="H451" s="6" t="s">
        <v>1291</v>
      </c>
      <c r="I451" s="6"/>
      <c r="J451" s="6" t="s">
        <v>1292</v>
      </c>
      <c r="K451" s="16" t="s">
        <v>713</v>
      </c>
      <c r="L451" s="6"/>
      <c r="M451" s="6"/>
      <c r="N451" s="5" t="s">
        <v>1293</v>
      </c>
      <c r="O451" s="6" t="s">
        <v>1953</v>
      </c>
    </row>
    <row r="452" spans="1:15" x14ac:dyDescent="0.2">
      <c r="A452">
        <v>451</v>
      </c>
      <c r="C452" s="6" t="str">
        <f t="shared" si="7"/>
        <v/>
      </c>
      <c r="D452" s="6" t="s">
        <v>113</v>
      </c>
      <c r="E452" s="6" t="s">
        <v>192</v>
      </c>
      <c r="F452" s="6" t="s">
        <v>115</v>
      </c>
      <c r="G452" s="15" t="s">
        <v>716</v>
      </c>
      <c r="H452" s="6" t="s">
        <v>1291</v>
      </c>
      <c r="I452" s="6"/>
      <c r="J452" s="6" t="s">
        <v>1292</v>
      </c>
      <c r="K452" s="16" t="s">
        <v>715</v>
      </c>
      <c r="L452" s="6"/>
      <c r="M452" s="6"/>
      <c r="N452" s="5" t="s">
        <v>1293</v>
      </c>
      <c r="O452" s="6" t="s">
        <v>1953</v>
      </c>
    </row>
    <row r="453" spans="1:15" x14ac:dyDescent="0.2">
      <c r="A453">
        <v>452</v>
      </c>
      <c r="C453" s="6" t="str">
        <f t="shared" si="7"/>
        <v/>
      </c>
      <c r="D453" s="6" t="s">
        <v>113</v>
      </c>
      <c r="E453" s="6" t="s">
        <v>192</v>
      </c>
      <c r="F453" s="6" t="s">
        <v>115</v>
      </c>
      <c r="G453" s="15" t="s">
        <v>718</v>
      </c>
      <c r="H453" s="6" t="s">
        <v>1291</v>
      </c>
      <c r="I453" s="6"/>
      <c r="J453" s="6" t="s">
        <v>1292</v>
      </c>
      <c r="K453" s="16" t="s">
        <v>717</v>
      </c>
      <c r="L453" s="6"/>
      <c r="M453" s="6"/>
      <c r="N453" s="5" t="s">
        <v>1293</v>
      </c>
      <c r="O453" s="6" t="s">
        <v>1953</v>
      </c>
    </row>
    <row r="454" spans="1:15" x14ac:dyDescent="0.2">
      <c r="A454">
        <v>453</v>
      </c>
      <c r="C454" s="6" t="str">
        <f t="shared" si="7"/>
        <v/>
      </c>
      <c r="D454" s="6" t="s">
        <v>113</v>
      </c>
      <c r="E454" s="6" t="s">
        <v>192</v>
      </c>
      <c r="F454" s="6" t="s">
        <v>115</v>
      </c>
      <c r="G454" s="15" t="s">
        <v>720</v>
      </c>
      <c r="H454" s="6" t="s">
        <v>1291</v>
      </c>
      <c r="I454" s="6"/>
      <c r="J454" s="6" t="s">
        <v>1292</v>
      </c>
      <c r="K454" s="16" t="s">
        <v>719</v>
      </c>
      <c r="L454" s="6"/>
      <c r="M454" s="6"/>
      <c r="N454" s="5" t="s">
        <v>1293</v>
      </c>
      <c r="O454" s="6" t="s">
        <v>1953</v>
      </c>
    </row>
    <row r="455" spans="1:15" x14ac:dyDescent="0.2">
      <c r="A455">
        <v>454</v>
      </c>
      <c r="C455" s="6" t="str">
        <f t="shared" si="7"/>
        <v/>
      </c>
      <c r="D455" s="6" t="s">
        <v>113</v>
      </c>
      <c r="E455" s="6" t="s">
        <v>192</v>
      </c>
      <c r="F455" s="6" t="s">
        <v>115</v>
      </c>
      <c r="G455" s="15" t="s">
        <v>722</v>
      </c>
      <c r="H455" s="6" t="s">
        <v>1291</v>
      </c>
      <c r="I455" s="6"/>
      <c r="J455" s="6" t="s">
        <v>1292</v>
      </c>
      <c r="K455" s="16" t="s">
        <v>721</v>
      </c>
      <c r="L455" s="6"/>
      <c r="M455" s="6"/>
      <c r="N455" s="5" t="s">
        <v>1293</v>
      </c>
      <c r="O455" s="6" t="s">
        <v>1953</v>
      </c>
    </row>
    <row r="456" spans="1:15" x14ac:dyDescent="0.2">
      <c r="A456">
        <v>455</v>
      </c>
      <c r="C456" s="6" t="str">
        <f t="shared" si="7"/>
        <v/>
      </c>
      <c r="D456" s="6" t="s">
        <v>113</v>
      </c>
      <c r="E456" s="6" t="s">
        <v>192</v>
      </c>
      <c r="F456" s="6" t="s">
        <v>115</v>
      </c>
      <c r="G456" s="15" t="s">
        <v>724</v>
      </c>
      <c r="H456" s="6" t="s">
        <v>1291</v>
      </c>
      <c r="I456" s="6"/>
      <c r="J456" s="6" t="s">
        <v>1292</v>
      </c>
      <c r="K456" s="16" t="s">
        <v>723</v>
      </c>
      <c r="L456" s="6"/>
      <c r="M456" s="6"/>
      <c r="N456" s="5" t="s">
        <v>1293</v>
      </c>
      <c r="O456" s="6" t="s">
        <v>1953</v>
      </c>
    </row>
    <row r="457" spans="1:15" x14ac:dyDescent="0.2">
      <c r="A457">
        <v>456</v>
      </c>
      <c r="C457" s="6" t="str">
        <f t="shared" si="7"/>
        <v/>
      </c>
      <c r="D457" s="6" t="s">
        <v>113</v>
      </c>
      <c r="E457" s="6" t="s">
        <v>192</v>
      </c>
      <c r="F457" s="6" t="s">
        <v>115</v>
      </c>
      <c r="G457" s="15" t="s">
        <v>725</v>
      </c>
      <c r="H457" s="6" t="s">
        <v>1291</v>
      </c>
      <c r="I457" s="6"/>
      <c r="J457" s="6" t="s">
        <v>1292</v>
      </c>
      <c r="K457" s="20" t="s">
        <v>941</v>
      </c>
      <c r="L457" s="6"/>
      <c r="M457" s="6"/>
      <c r="N457" s="5" t="s">
        <v>1293</v>
      </c>
      <c r="O457" s="6" t="s">
        <v>1953</v>
      </c>
    </row>
    <row r="458" spans="1:15" x14ac:dyDescent="0.2">
      <c r="A458">
        <v>457</v>
      </c>
      <c r="C458" s="6" t="str">
        <f t="shared" si="7"/>
        <v/>
      </c>
      <c r="D458" s="6" t="s">
        <v>113</v>
      </c>
      <c r="E458" s="6" t="s">
        <v>192</v>
      </c>
      <c r="F458" s="6" t="s">
        <v>115</v>
      </c>
      <c r="G458" s="15" t="s">
        <v>727</v>
      </c>
      <c r="H458" s="6" t="s">
        <v>1291</v>
      </c>
      <c r="I458" s="6"/>
      <c r="J458" s="6" t="s">
        <v>1292</v>
      </c>
      <c r="K458" s="16" t="s">
        <v>726</v>
      </c>
      <c r="L458" s="6"/>
      <c r="M458" s="6"/>
      <c r="N458" s="5" t="s">
        <v>1293</v>
      </c>
      <c r="O458" s="6" t="s">
        <v>1953</v>
      </c>
    </row>
    <row r="459" spans="1:15" x14ac:dyDescent="0.2">
      <c r="A459">
        <v>458</v>
      </c>
      <c r="C459" s="6" t="str">
        <f t="shared" si="7"/>
        <v/>
      </c>
      <c r="D459" s="6" t="s">
        <v>113</v>
      </c>
      <c r="E459" s="6" t="s">
        <v>192</v>
      </c>
      <c r="F459" s="6" t="s">
        <v>115</v>
      </c>
      <c r="G459" s="15" t="s">
        <v>728</v>
      </c>
      <c r="H459" s="6" t="s">
        <v>1291</v>
      </c>
      <c r="I459" s="6"/>
      <c r="J459" s="6" t="s">
        <v>1423</v>
      </c>
      <c r="K459" s="20" t="s">
        <v>1568</v>
      </c>
      <c r="L459" s="6"/>
      <c r="M459" s="6" t="s">
        <v>1559</v>
      </c>
      <c r="N459" s="5" t="s">
        <v>1293</v>
      </c>
      <c r="O459" s="6" t="s">
        <v>1953</v>
      </c>
    </row>
    <row r="460" spans="1:15" x14ac:dyDescent="0.2">
      <c r="A460">
        <v>459</v>
      </c>
      <c r="C460" s="6" t="str">
        <f t="shared" si="7"/>
        <v/>
      </c>
      <c r="D460" s="6" t="s">
        <v>113</v>
      </c>
      <c r="E460" s="6" t="s">
        <v>192</v>
      </c>
      <c r="F460" s="6" t="s">
        <v>115</v>
      </c>
      <c r="G460" s="15" t="s">
        <v>730</v>
      </c>
      <c r="H460" s="6" t="s">
        <v>1291</v>
      </c>
      <c r="I460" s="6"/>
      <c r="J460" s="6" t="s">
        <v>1292</v>
      </c>
      <c r="K460" s="16" t="s">
        <v>729</v>
      </c>
      <c r="L460" s="6"/>
      <c r="M460" s="6"/>
      <c r="N460" s="5" t="s">
        <v>1293</v>
      </c>
      <c r="O460" s="6" t="s">
        <v>1953</v>
      </c>
    </row>
    <row r="461" spans="1:15" x14ac:dyDescent="0.2">
      <c r="A461">
        <v>460</v>
      </c>
      <c r="C461" s="6" t="str">
        <f t="shared" si="7"/>
        <v/>
      </c>
      <c r="D461" s="6" t="s">
        <v>113</v>
      </c>
      <c r="E461" s="6" t="s">
        <v>192</v>
      </c>
      <c r="F461" s="6" t="s">
        <v>115</v>
      </c>
      <c r="G461" s="15" t="s">
        <v>731</v>
      </c>
      <c r="H461" s="6" t="s">
        <v>1291</v>
      </c>
      <c r="I461" s="6"/>
      <c r="J461" s="6" t="s">
        <v>1423</v>
      </c>
      <c r="K461" s="20" t="s">
        <v>1570</v>
      </c>
      <c r="L461" s="6"/>
      <c r="M461" s="6" t="s">
        <v>1559</v>
      </c>
      <c r="N461" s="5" t="s">
        <v>1293</v>
      </c>
      <c r="O461" s="6" t="s">
        <v>1953</v>
      </c>
    </row>
    <row r="462" spans="1:15" x14ac:dyDescent="0.2">
      <c r="A462">
        <v>461</v>
      </c>
      <c r="C462" s="6" t="str">
        <f t="shared" si="7"/>
        <v/>
      </c>
      <c r="D462" s="6" t="s">
        <v>113</v>
      </c>
      <c r="E462" s="6" t="s">
        <v>192</v>
      </c>
      <c r="F462" s="6" t="s">
        <v>115</v>
      </c>
      <c r="G462" s="15" t="s">
        <v>733</v>
      </c>
      <c r="H462" s="6" t="s">
        <v>1291</v>
      </c>
      <c r="I462" s="6"/>
      <c r="J462" s="6" t="s">
        <v>1292</v>
      </c>
      <c r="K462" s="16" t="s">
        <v>732</v>
      </c>
      <c r="L462" s="6"/>
      <c r="M462" s="6"/>
      <c r="N462" s="5" t="s">
        <v>1293</v>
      </c>
      <c r="O462" s="6" t="s">
        <v>1953</v>
      </c>
    </row>
    <row r="463" spans="1:15" x14ac:dyDescent="0.2">
      <c r="A463">
        <v>462</v>
      </c>
      <c r="C463" s="6" t="str">
        <f t="shared" si="7"/>
        <v/>
      </c>
      <c r="D463" s="6" t="s">
        <v>113</v>
      </c>
      <c r="E463" s="6" t="s">
        <v>192</v>
      </c>
      <c r="F463" s="6" t="s">
        <v>115</v>
      </c>
      <c r="G463" s="15" t="s">
        <v>734</v>
      </c>
      <c r="H463" s="6" t="s">
        <v>1291</v>
      </c>
      <c r="I463" s="6"/>
      <c r="J463" s="6" t="s">
        <v>1423</v>
      </c>
      <c r="K463" s="20" t="s">
        <v>1571</v>
      </c>
      <c r="L463" s="6"/>
      <c r="M463" s="6" t="s">
        <v>1561</v>
      </c>
      <c r="N463" s="5" t="s">
        <v>1293</v>
      </c>
      <c r="O463" s="6" t="s">
        <v>1953</v>
      </c>
    </row>
    <row r="464" spans="1:15" x14ac:dyDescent="0.2">
      <c r="A464">
        <v>463</v>
      </c>
      <c r="C464" s="6" t="str">
        <f t="shared" si="7"/>
        <v/>
      </c>
      <c r="D464" s="6" t="s">
        <v>113</v>
      </c>
      <c r="E464" s="6" t="s">
        <v>192</v>
      </c>
      <c r="F464" s="6" t="s">
        <v>115</v>
      </c>
      <c r="G464" s="15" t="s">
        <v>736</v>
      </c>
      <c r="H464" s="6" t="s">
        <v>1291</v>
      </c>
      <c r="I464" s="6"/>
      <c r="J464" s="6" t="s">
        <v>1292</v>
      </c>
      <c r="K464" s="16" t="s">
        <v>735</v>
      </c>
      <c r="L464" s="6"/>
      <c r="M464" s="6"/>
      <c r="N464" s="5" t="s">
        <v>1293</v>
      </c>
      <c r="O464" s="6" t="s">
        <v>1953</v>
      </c>
    </row>
    <row r="465" spans="1:15" x14ac:dyDescent="0.2">
      <c r="A465">
        <v>464</v>
      </c>
      <c r="C465" s="6" t="str">
        <f t="shared" si="7"/>
        <v/>
      </c>
      <c r="D465" s="6" t="s">
        <v>113</v>
      </c>
      <c r="E465" s="6" t="s">
        <v>192</v>
      </c>
      <c r="F465" s="6" t="s">
        <v>115</v>
      </c>
      <c r="G465" s="15" t="s">
        <v>738</v>
      </c>
      <c r="H465" s="6" t="s">
        <v>1291</v>
      </c>
      <c r="I465" s="6"/>
      <c r="J465" s="6" t="s">
        <v>1292</v>
      </c>
      <c r="K465" s="16" t="s">
        <v>737</v>
      </c>
      <c r="L465" s="6"/>
      <c r="M465" s="6"/>
      <c r="N465" s="5" t="s">
        <v>1293</v>
      </c>
      <c r="O465" s="6" t="s">
        <v>1953</v>
      </c>
    </row>
    <row r="466" spans="1:15" x14ac:dyDescent="0.2">
      <c r="A466">
        <v>465</v>
      </c>
      <c r="C466" s="6" t="str">
        <f t="shared" si="7"/>
        <v/>
      </c>
      <c r="D466" s="6" t="s">
        <v>113</v>
      </c>
      <c r="E466" s="6" t="s">
        <v>192</v>
      </c>
      <c r="F466" s="6" t="s">
        <v>115</v>
      </c>
      <c r="G466" s="15" t="s">
        <v>739</v>
      </c>
      <c r="H466" s="6" t="s">
        <v>1291</v>
      </c>
      <c r="I466" s="6"/>
      <c r="J466" s="6" t="s">
        <v>1423</v>
      </c>
      <c r="K466" s="20" t="s">
        <v>1572</v>
      </c>
      <c r="L466" s="6"/>
      <c r="M466" s="6" t="s">
        <v>1561</v>
      </c>
      <c r="N466" s="5" t="s">
        <v>1293</v>
      </c>
      <c r="O466" s="6" t="s">
        <v>1953</v>
      </c>
    </row>
    <row r="467" spans="1:15" x14ac:dyDescent="0.2">
      <c r="A467">
        <v>466</v>
      </c>
      <c r="C467" s="6" t="str">
        <f t="shared" si="7"/>
        <v/>
      </c>
      <c r="D467" s="6" t="s">
        <v>113</v>
      </c>
      <c r="E467" s="6" t="s">
        <v>192</v>
      </c>
      <c r="F467" s="6" t="s">
        <v>115</v>
      </c>
      <c r="G467" s="15" t="s">
        <v>740</v>
      </c>
      <c r="H467" s="6" t="s">
        <v>1291</v>
      </c>
      <c r="I467" s="6"/>
      <c r="J467" s="6" t="s">
        <v>1423</v>
      </c>
      <c r="K467" s="20" t="s">
        <v>1573</v>
      </c>
      <c r="L467" s="6"/>
      <c r="M467" s="6" t="s">
        <v>1559</v>
      </c>
      <c r="N467" s="5" t="s">
        <v>1293</v>
      </c>
      <c r="O467" s="6" t="s">
        <v>1953</v>
      </c>
    </row>
    <row r="468" spans="1:15" x14ac:dyDescent="0.2">
      <c r="A468">
        <v>467</v>
      </c>
      <c r="C468" s="6" t="str">
        <f t="shared" si="7"/>
        <v/>
      </c>
      <c r="D468" s="6" t="s">
        <v>113</v>
      </c>
      <c r="E468" s="6" t="s">
        <v>192</v>
      </c>
      <c r="F468" s="6" t="s">
        <v>115</v>
      </c>
      <c r="G468" s="15" t="s">
        <v>742</v>
      </c>
      <c r="H468" s="6" t="s">
        <v>1291</v>
      </c>
      <c r="I468" s="6"/>
      <c r="J468" s="6" t="s">
        <v>1292</v>
      </c>
      <c r="K468" s="16" t="s">
        <v>741</v>
      </c>
      <c r="L468" s="6"/>
      <c r="M468" s="6"/>
      <c r="N468" s="5" t="s">
        <v>1293</v>
      </c>
      <c r="O468" s="6" t="s">
        <v>1953</v>
      </c>
    </row>
    <row r="469" spans="1:15" x14ac:dyDescent="0.2">
      <c r="A469">
        <v>468</v>
      </c>
      <c r="C469" s="6" t="str">
        <f t="shared" si="7"/>
        <v/>
      </c>
      <c r="D469" s="6" t="s">
        <v>113</v>
      </c>
      <c r="E469" s="6" t="s">
        <v>192</v>
      </c>
      <c r="F469" s="6" t="s">
        <v>115</v>
      </c>
      <c r="G469" s="15" t="s">
        <v>744</v>
      </c>
      <c r="H469" s="6" t="s">
        <v>1291</v>
      </c>
      <c r="I469" s="6"/>
      <c r="J469" s="6" t="s">
        <v>1292</v>
      </c>
      <c r="K469" s="16" t="s">
        <v>743</v>
      </c>
      <c r="L469" s="6"/>
      <c r="M469" s="6"/>
      <c r="N469" s="5" t="s">
        <v>1293</v>
      </c>
      <c r="O469" s="6" t="s">
        <v>1953</v>
      </c>
    </row>
    <row r="470" spans="1:15" x14ac:dyDescent="0.2">
      <c r="A470">
        <v>469</v>
      </c>
      <c r="C470" s="6" t="str">
        <f t="shared" si="7"/>
        <v/>
      </c>
      <c r="D470" s="6" t="s">
        <v>113</v>
      </c>
      <c r="E470" s="6" t="s">
        <v>192</v>
      </c>
      <c r="F470" s="6" t="s">
        <v>115</v>
      </c>
      <c r="G470" s="15" t="s">
        <v>746</v>
      </c>
      <c r="H470" s="6" t="s">
        <v>1291</v>
      </c>
      <c r="I470" s="6"/>
      <c r="J470" s="6" t="s">
        <v>1292</v>
      </c>
      <c r="K470" s="16" t="s">
        <v>745</v>
      </c>
      <c r="L470" s="6"/>
      <c r="M470" s="6"/>
      <c r="N470" s="5" t="s">
        <v>1293</v>
      </c>
      <c r="O470" s="6" t="s">
        <v>1953</v>
      </c>
    </row>
    <row r="471" spans="1:15" x14ac:dyDescent="0.2">
      <c r="A471">
        <v>470</v>
      </c>
      <c r="C471" s="6" t="str">
        <f t="shared" si="7"/>
        <v/>
      </c>
      <c r="D471" s="6" t="s">
        <v>113</v>
      </c>
      <c r="E471" s="6" t="s">
        <v>192</v>
      </c>
      <c r="F471" s="6" t="s">
        <v>115</v>
      </c>
      <c r="G471" s="15" t="s">
        <v>748</v>
      </c>
      <c r="H471" s="6" t="s">
        <v>1291</v>
      </c>
      <c r="I471" s="6"/>
      <c r="J471" s="6" t="s">
        <v>1292</v>
      </c>
      <c r="K471" s="16" t="s">
        <v>747</v>
      </c>
      <c r="L471" s="6"/>
      <c r="M471" s="6"/>
      <c r="N471" s="5" t="s">
        <v>1293</v>
      </c>
      <c r="O471" s="6" t="s">
        <v>1953</v>
      </c>
    </row>
    <row r="472" spans="1:15" x14ac:dyDescent="0.2">
      <c r="A472">
        <v>471</v>
      </c>
      <c r="C472" s="6" t="str">
        <f t="shared" si="7"/>
        <v/>
      </c>
      <c r="D472" s="6" t="s">
        <v>113</v>
      </c>
      <c r="E472" s="6" t="s">
        <v>192</v>
      </c>
      <c r="F472" s="6" t="s">
        <v>115</v>
      </c>
      <c r="G472" s="15" t="s">
        <v>750</v>
      </c>
      <c r="H472" s="6" t="s">
        <v>1291</v>
      </c>
      <c r="I472" s="6"/>
      <c r="J472" s="6" t="s">
        <v>1292</v>
      </c>
      <c r="K472" s="16" t="s">
        <v>749</v>
      </c>
      <c r="L472" s="6"/>
      <c r="M472" s="6"/>
      <c r="N472" s="5" t="s">
        <v>1293</v>
      </c>
      <c r="O472" s="6" t="s">
        <v>1953</v>
      </c>
    </row>
    <row r="473" spans="1:15" x14ac:dyDescent="0.2">
      <c r="A473">
        <v>472</v>
      </c>
      <c r="C473" s="6" t="str">
        <f t="shared" si="7"/>
        <v/>
      </c>
      <c r="D473" s="6" t="s">
        <v>113</v>
      </c>
      <c r="E473" s="6" t="s">
        <v>192</v>
      </c>
      <c r="F473" s="6" t="s">
        <v>115</v>
      </c>
      <c r="G473" s="15" t="s">
        <v>752</v>
      </c>
      <c r="H473" s="6" t="s">
        <v>1291</v>
      </c>
      <c r="I473" s="6"/>
      <c r="J473" s="6" t="s">
        <v>1292</v>
      </c>
      <c r="K473" s="16" t="s">
        <v>751</v>
      </c>
      <c r="L473" s="6"/>
      <c r="M473" s="6"/>
      <c r="N473" s="5" t="s">
        <v>1293</v>
      </c>
      <c r="O473" s="6" t="s">
        <v>1953</v>
      </c>
    </row>
    <row r="474" spans="1:15" x14ac:dyDescent="0.2">
      <c r="A474">
        <v>473</v>
      </c>
      <c r="C474" s="6" t="str">
        <f t="shared" si="7"/>
        <v/>
      </c>
      <c r="D474" s="6" t="s">
        <v>113</v>
      </c>
      <c r="E474" s="6" t="s">
        <v>192</v>
      </c>
      <c r="F474" s="6" t="s">
        <v>115</v>
      </c>
      <c r="G474" s="15" t="s">
        <v>754</v>
      </c>
      <c r="H474" s="6" t="s">
        <v>1291</v>
      </c>
      <c r="I474" s="6"/>
      <c r="J474" s="6" t="s">
        <v>1292</v>
      </c>
      <c r="K474" s="16" t="s">
        <v>753</v>
      </c>
      <c r="L474" s="6"/>
      <c r="M474" s="6"/>
      <c r="N474" s="5" t="s">
        <v>1293</v>
      </c>
      <c r="O474" s="6" t="s">
        <v>1953</v>
      </c>
    </row>
    <row r="475" spans="1:15" x14ac:dyDescent="0.2">
      <c r="A475">
        <v>474</v>
      </c>
      <c r="C475" s="6" t="str">
        <f t="shared" si="7"/>
        <v/>
      </c>
      <c r="D475" s="6" t="s">
        <v>113</v>
      </c>
      <c r="E475" s="6" t="s">
        <v>192</v>
      </c>
      <c r="F475" s="6" t="s">
        <v>115</v>
      </c>
      <c r="G475" s="15" t="s">
        <v>756</v>
      </c>
      <c r="H475" s="6" t="s">
        <v>1291</v>
      </c>
      <c r="I475" s="6"/>
      <c r="J475" s="6" t="s">
        <v>1292</v>
      </c>
      <c r="K475" s="16" t="s">
        <v>755</v>
      </c>
      <c r="L475" s="6"/>
      <c r="M475" s="6"/>
      <c r="N475" s="5" t="s">
        <v>1293</v>
      </c>
      <c r="O475" s="6" t="s">
        <v>1953</v>
      </c>
    </row>
    <row r="476" spans="1:15" x14ac:dyDescent="0.2">
      <c r="A476">
        <v>475</v>
      </c>
      <c r="C476" s="6" t="str">
        <f t="shared" si="7"/>
        <v/>
      </c>
      <c r="D476" s="6" t="s">
        <v>113</v>
      </c>
      <c r="E476" s="6" t="s">
        <v>192</v>
      </c>
      <c r="F476" s="6" t="s">
        <v>115</v>
      </c>
      <c r="G476" s="15" t="s">
        <v>758</v>
      </c>
      <c r="H476" s="6" t="s">
        <v>1291</v>
      </c>
      <c r="I476" s="6"/>
      <c r="J476" s="6" t="s">
        <v>1292</v>
      </c>
      <c r="K476" s="16" t="s">
        <v>757</v>
      </c>
      <c r="L476" s="6"/>
      <c r="M476" s="6"/>
      <c r="N476" s="5" t="s">
        <v>1293</v>
      </c>
      <c r="O476" s="6" t="s">
        <v>1953</v>
      </c>
    </row>
    <row r="477" spans="1:15" x14ac:dyDescent="0.2">
      <c r="A477">
        <v>476</v>
      </c>
      <c r="C477" s="6" t="str">
        <f t="shared" si="7"/>
        <v/>
      </c>
      <c r="D477" s="6" t="s">
        <v>113</v>
      </c>
      <c r="E477" s="6" t="s">
        <v>192</v>
      </c>
      <c r="F477" s="6" t="s">
        <v>115</v>
      </c>
      <c r="G477" s="15" t="s">
        <v>760</v>
      </c>
      <c r="H477" s="6" t="s">
        <v>1291</v>
      </c>
      <c r="I477" s="6"/>
      <c r="J477" s="6" t="s">
        <v>1292</v>
      </c>
      <c r="K477" s="16" t="s">
        <v>759</v>
      </c>
      <c r="L477" s="6"/>
      <c r="M477" s="6"/>
      <c r="N477" s="5" t="s">
        <v>1293</v>
      </c>
      <c r="O477" s="6" t="s">
        <v>1953</v>
      </c>
    </row>
    <row r="478" spans="1:15" x14ac:dyDescent="0.2">
      <c r="A478">
        <v>477</v>
      </c>
      <c r="C478" s="6" t="str">
        <f t="shared" si="7"/>
        <v/>
      </c>
      <c r="D478" s="6" t="s">
        <v>113</v>
      </c>
      <c r="E478" s="6" t="s">
        <v>192</v>
      </c>
      <c r="F478" s="6" t="s">
        <v>115</v>
      </c>
      <c r="G478" s="15" t="s">
        <v>762</v>
      </c>
      <c r="H478" s="6" t="s">
        <v>1291</v>
      </c>
      <c r="I478" s="6"/>
      <c r="J478" s="6" t="s">
        <v>1292</v>
      </c>
      <c r="K478" s="16" t="s">
        <v>761</v>
      </c>
      <c r="L478" s="6"/>
      <c r="M478" s="6"/>
      <c r="N478" s="5" t="s">
        <v>1293</v>
      </c>
      <c r="O478" s="6" t="s">
        <v>1953</v>
      </c>
    </row>
    <row r="479" spans="1:15" x14ac:dyDescent="0.2">
      <c r="A479">
        <v>478</v>
      </c>
      <c r="C479" s="6" t="str">
        <f t="shared" si="7"/>
        <v/>
      </c>
      <c r="D479" s="6" t="s">
        <v>113</v>
      </c>
      <c r="E479" s="6" t="s">
        <v>192</v>
      </c>
      <c r="F479" s="6" t="s">
        <v>115</v>
      </c>
      <c r="G479" s="15" t="s">
        <v>763</v>
      </c>
      <c r="H479" s="6" t="s">
        <v>1291</v>
      </c>
      <c r="I479" s="6"/>
      <c r="J479" s="6" t="s">
        <v>1423</v>
      </c>
      <c r="K479" s="20" t="s">
        <v>1574</v>
      </c>
      <c r="L479" s="6"/>
      <c r="M479" s="6" t="s">
        <v>1581</v>
      </c>
      <c r="N479" s="5" t="s">
        <v>1293</v>
      </c>
      <c r="O479" s="6" t="s">
        <v>1953</v>
      </c>
    </row>
    <row r="480" spans="1:15" x14ac:dyDescent="0.2">
      <c r="A480">
        <v>479</v>
      </c>
      <c r="C480" s="6" t="str">
        <f t="shared" si="7"/>
        <v/>
      </c>
      <c r="D480" s="6" t="s">
        <v>113</v>
      </c>
      <c r="E480" s="6" t="s">
        <v>192</v>
      </c>
      <c r="F480" s="6" t="s">
        <v>115</v>
      </c>
      <c r="G480" s="15" t="s">
        <v>765</v>
      </c>
      <c r="H480" s="6" t="s">
        <v>1291</v>
      </c>
      <c r="I480" s="6"/>
      <c r="J480" s="6" t="s">
        <v>1292</v>
      </c>
      <c r="K480" s="16" t="s">
        <v>764</v>
      </c>
      <c r="L480" s="6"/>
      <c r="M480" s="6"/>
      <c r="N480" s="5" t="s">
        <v>1293</v>
      </c>
      <c r="O480" s="6" t="s">
        <v>1953</v>
      </c>
    </row>
    <row r="481" spans="1:15" x14ac:dyDescent="0.2">
      <c r="A481">
        <v>480</v>
      </c>
      <c r="C481" s="6" t="str">
        <f t="shared" si="7"/>
        <v/>
      </c>
      <c r="D481" s="6" t="s">
        <v>113</v>
      </c>
      <c r="E481" s="6" t="s">
        <v>192</v>
      </c>
      <c r="F481" s="6" t="s">
        <v>115</v>
      </c>
      <c r="G481" s="15" t="s">
        <v>767</v>
      </c>
      <c r="H481" s="6" t="s">
        <v>1291</v>
      </c>
      <c r="I481" s="6"/>
      <c r="J481" s="6" t="s">
        <v>1292</v>
      </c>
      <c r="K481" s="16" t="s">
        <v>766</v>
      </c>
      <c r="L481" s="6"/>
      <c r="M481" s="6"/>
      <c r="N481" s="5" t="s">
        <v>1293</v>
      </c>
      <c r="O481" s="6" t="s">
        <v>1953</v>
      </c>
    </row>
    <row r="482" spans="1:15" x14ac:dyDescent="0.2">
      <c r="A482">
        <v>481</v>
      </c>
      <c r="C482" s="6" t="str">
        <f t="shared" si="7"/>
        <v/>
      </c>
      <c r="D482" s="6" t="s">
        <v>113</v>
      </c>
      <c r="E482" s="6" t="s">
        <v>192</v>
      </c>
      <c r="F482" s="6" t="s">
        <v>115</v>
      </c>
      <c r="G482" s="15" t="s">
        <v>769</v>
      </c>
      <c r="H482" s="6" t="s">
        <v>1291</v>
      </c>
      <c r="I482" s="6"/>
      <c r="J482" s="6" t="s">
        <v>1292</v>
      </c>
      <c r="K482" s="16" t="s">
        <v>768</v>
      </c>
      <c r="L482" s="6"/>
      <c r="M482" s="6"/>
      <c r="N482" s="5" t="s">
        <v>1293</v>
      </c>
      <c r="O482" s="6" t="s">
        <v>1953</v>
      </c>
    </row>
    <row r="483" spans="1:15" x14ac:dyDescent="0.2">
      <c r="A483">
        <v>482</v>
      </c>
      <c r="C483" s="6" t="str">
        <f t="shared" si="7"/>
        <v/>
      </c>
      <c r="D483" s="6" t="s">
        <v>113</v>
      </c>
      <c r="E483" s="6" t="s">
        <v>192</v>
      </c>
      <c r="F483" s="6" t="s">
        <v>115</v>
      </c>
      <c r="G483" s="15" t="s">
        <v>771</v>
      </c>
      <c r="H483" s="6" t="s">
        <v>1291</v>
      </c>
      <c r="I483" s="6"/>
      <c r="J483" s="6" t="s">
        <v>1292</v>
      </c>
      <c r="K483" s="16" t="s">
        <v>770</v>
      </c>
      <c r="L483" s="6"/>
      <c r="M483" s="6"/>
      <c r="N483" s="5" t="s">
        <v>1293</v>
      </c>
      <c r="O483" s="6" t="s">
        <v>1953</v>
      </c>
    </row>
    <row r="484" spans="1:15" x14ac:dyDescent="0.2">
      <c r="A484">
        <v>483</v>
      </c>
      <c r="C484" s="6" t="str">
        <f t="shared" si="7"/>
        <v/>
      </c>
      <c r="D484" s="6" t="s">
        <v>113</v>
      </c>
      <c r="E484" s="6" t="s">
        <v>192</v>
      </c>
      <c r="F484" s="6" t="s">
        <v>115</v>
      </c>
      <c r="G484" s="15" t="s">
        <v>773</v>
      </c>
      <c r="H484" s="6" t="s">
        <v>1291</v>
      </c>
      <c r="I484" s="6"/>
      <c r="J484" s="6" t="s">
        <v>1292</v>
      </c>
      <c r="K484" s="16" t="s">
        <v>772</v>
      </c>
      <c r="L484" s="6"/>
      <c r="M484" s="6"/>
      <c r="N484" s="5" t="s">
        <v>1293</v>
      </c>
      <c r="O484" s="6" t="s">
        <v>1953</v>
      </c>
    </row>
    <row r="485" spans="1:15" x14ac:dyDescent="0.2">
      <c r="A485">
        <v>484</v>
      </c>
      <c r="C485" s="6" t="str">
        <f t="shared" si="7"/>
        <v/>
      </c>
      <c r="D485" s="6" t="s">
        <v>113</v>
      </c>
      <c r="E485" s="6" t="s">
        <v>192</v>
      </c>
      <c r="F485" s="6" t="s">
        <v>115</v>
      </c>
      <c r="G485" s="15" t="s">
        <v>775</v>
      </c>
      <c r="H485" s="6" t="s">
        <v>1291</v>
      </c>
      <c r="I485" s="6"/>
      <c r="J485" s="6" t="s">
        <v>1292</v>
      </c>
      <c r="K485" s="16" t="s">
        <v>774</v>
      </c>
      <c r="L485" s="6"/>
      <c r="M485" s="6"/>
      <c r="N485" s="5" t="s">
        <v>1293</v>
      </c>
      <c r="O485" s="6" t="s">
        <v>1953</v>
      </c>
    </row>
    <row r="486" spans="1:15" x14ac:dyDescent="0.2">
      <c r="A486">
        <v>485</v>
      </c>
      <c r="C486" s="6" t="str">
        <f t="shared" si="7"/>
        <v/>
      </c>
      <c r="D486" s="6" t="s">
        <v>113</v>
      </c>
      <c r="E486" s="6" t="s">
        <v>192</v>
      </c>
      <c r="F486" s="6" t="s">
        <v>115</v>
      </c>
      <c r="G486" s="15" t="s">
        <v>777</v>
      </c>
      <c r="H486" s="6" t="s">
        <v>1291</v>
      </c>
      <c r="I486" s="6"/>
      <c r="J486" s="6" t="s">
        <v>1292</v>
      </c>
      <c r="K486" s="16" t="s">
        <v>776</v>
      </c>
      <c r="L486" s="6"/>
      <c r="M486" s="6"/>
      <c r="N486" s="5" t="s">
        <v>1293</v>
      </c>
      <c r="O486" s="6" t="s">
        <v>1953</v>
      </c>
    </row>
    <row r="487" spans="1:15" x14ac:dyDescent="0.2">
      <c r="A487">
        <v>486</v>
      </c>
      <c r="C487" s="6" t="str">
        <f t="shared" si="7"/>
        <v/>
      </c>
      <c r="D487" s="6" t="s">
        <v>113</v>
      </c>
      <c r="E487" s="6" t="s">
        <v>192</v>
      </c>
      <c r="F487" s="6" t="s">
        <v>115</v>
      </c>
      <c r="G487" s="15" t="s">
        <v>779</v>
      </c>
      <c r="H487" s="6" t="s">
        <v>1291</v>
      </c>
      <c r="I487" s="6"/>
      <c r="J487" s="6" t="s">
        <v>1292</v>
      </c>
      <c r="K487" s="16" t="s">
        <v>778</v>
      </c>
      <c r="L487" s="6"/>
      <c r="M487" s="6"/>
      <c r="N487" s="5" t="s">
        <v>1293</v>
      </c>
      <c r="O487" s="6" t="s">
        <v>1953</v>
      </c>
    </row>
    <row r="488" spans="1:15" x14ac:dyDescent="0.2">
      <c r="A488">
        <v>487</v>
      </c>
      <c r="C488" s="6" t="str">
        <f t="shared" si="7"/>
        <v/>
      </c>
      <c r="D488" s="6" t="s">
        <v>113</v>
      </c>
      <c r="E488" s="6" t="s">
        <v>192</v>
      </c>
      <c r="F488" s="6" t="s">
        <v>115</v>
      </c>
      <c r="G488" s="15" t="s">
        <v>781</v>
      </c>
      <c r="H488" s="6" t="s">
        <v>1291</v>
      </c>
      <c r="I488" s="6"/>
      <c r="J488" s="6" t="s">
        <v>1292</v>
      </c>
      <c r="K488" s="16" t="s">
        <v>780</v>
      </c>
      <c r="L488" s="6"/>
      <c r="M488" s="6"/>
      <c r="N488" s="5" t="s">
        <v>1293</v>
      </c>
      <c r="O488" s="6" t="s">
        <v>1953</v>
      </c>
    </row>
    <row r="489" spans="1:15" x14ac:dyDescent="0.2">
      <c r="A489">
        <v>488</v>
      </c>
      <c r="C489" s="6" t="str">
        <f t="shared" si="7"/>
        <v/>
      </c>
      <c r="D489" s="6" t="s">
        <v>113</v>
      </c>
      <c r="E489" s="6" t="s">
        <v>192</v>
      </c>
      <c r="F489" s="6" t="s">
        <v>115</v>
      </c>
      <c r="G489" s="15" t="s">
        <v>783</v>
      </c>
      <c r="H489" s="6" t="s">
        <v>1291</v>
      </c>
      <c r="I489" s="6"/>
      <c r="J489" s="6" t="s">
        <v>1292</v>
      </c>
      <c r="K489" s="16" t="s">
        <v>782</v>
      </c>
      <c r="L489" s="6"/>
      <c r="M489" s="6"/>
      <c r="N489" s="5" t="s">
        <v>1293</v>
      </c>
      <c r="O489" s="6" t="s">
        <v>1953</v>
      </c>
    </row>
    <row r="490" spans="1:15" x14ac:dyDescent="0.2">
      <c r="A490">
        <v>489</v>
      </c>
      <c r="C490" s="6" t="str">
        <f t="shared" si="7"/>
        <v/>
      </c>
      <c r="D490" s="6" t="s">
        <v>113</v>
      </c>
      <c r="E490" s="6" t="s">
        <v>192</v>
      </c>
      <c r="F490" s="6" t="s">
        <v>115</v>
      </c>
      <c r="G490" s="15" t="s">
        <v>785</v>
      </c>
      <c r="H490" s="6" t="s">
        <v>1291</v>
      </c>
      <c r="I490" s="6"/>
      <c r="J490" s="6" t="s">
        <v>1292</v>
      </c>
      <c r="K490" s="16" t="s">
        <v>784</v>
      </c>
      <c r="L490" s="6"/>
      <c r="M490" s="6"/>
      <c r="N490" s="5" t="s">
        <v>1293</v>
      </c>
      <c r="O490" s="6" t="s">
        <v>1953</v>
      </c>
    </row>
    <row r="491" spans="1:15" x14ac:dyDescent="0.2">
      <c r="A491">
        <v>490</v>
      </c>
      <c r="C491" s="6" t="str">
        <f t="shared" si="7"/>
        <v/>
      </c>
      <c r="D491" s="6" t="s">
        <v>113</v>
      </c>
      <c r="E491" s="6" t="s">
        <v>192</v>
      </c>
      <c r="F491" s="6" t="s">
        <v>115</v>
      </c>
      <c r="G491" s="15" t="s">
        <v>787</v>
      </c>
      <c r="H491" s="6" t="s">
        <v>1291</v>
      </c>
      <c r="I491" s="6"/>
      <c r="J491" s="6" t="s">
        <v>1292</v>
      </c>
      <c r="K491" s="16" t="s">
        <v>786</v>
      </c>
      <c r="L491" s="6"/>
      <c r="M491" s="6"/>
      <c r="N491" s="5" t="s">
        <v>1293</v>
      </c>
      <c r="O491" s="6" t="s">
        <v>1953</v>
      </c>
    </row>
    <row r="492" spans="1:15" x14ac:dyDescent="0.2">
      <c r="A492">
        <v>491</v>
      </c>
      <c r="C492" s="6" t="str">
        <f t="shared" si="7"/>
        <v/>
      </c>
      <c r="D492" s="6" t="s">
        <v>113</v>
      </c>
      <c r="E492" s="6" t="s">
        <v>192</v>
      </c>
      <c r="F492" s="6" t="s">
        <v>115</v>
      </c>
      <c r="G492" s="15" t="s">
        <v>789</v>
      </c>
      <c r="H492" s="6" t="s">
        <v>1291</v>
      </c>
      <c r="I492" s="6"/>
      <c r="J492" s="6" t="s">
        <v>1292</v>
      </c>
      <c r="K492" s="16" t="s">
        <v>788</v>
      </c>
      <c r="L492" s="6"/>
      <c r="M492" s="6"/>
      <c r="N492" s="5" t="s">
        <v>1293</v>
      </c>
      <c r="O492" s="6" t="s">
        <v>1953</v>
      </c>
    </row>
    <row r="493" spans="1:15" x14ac:dyDescent="0.2">
      <c r="A493">
        <v>492</v>
      </c>
      <c r="C493" s="6" t="str">
        <f t="shared" si="7"/>
        <v/>
      </c>
      <c r="D493" s="6" t="s">
        <v>113</v>
      </c>
      <c r="E493" s="6" t="s">
        <v>192</v>
      </c>
      <c r="F493" s="6" t="s">
        <v>115</v>
      </c>
      <c r="G493" s="15" t="s">
        <v>791</v>
      </c>
      <c r="H493" s="6" t="s">
        <v>1291</v>
      </c>
      <c r="I493" s="6"/>
      <c r="J493" s="6" t="s">
        <v>1292</v>
      </c>
      <c r="K493" s="16" t="s">
        <v>790</v>
      </c>
      <c r="L493" s="6"/>
      <c r="M493" s="6"/>
      <c r="N493" s="5" t="s">
        <v>1293</v>
      </c>
      <c r="O493" s="6" t="s">
        <v>1953</v>
      </c>
    </row>
    <row r="494" spans="1:15" x14ac:dyDescent="0.2">
      <c r="A494">
        <v>493</v>
      </c>
      <c r="C494" s="6" t="str">
        <f t="shared" si="7"/>
        <v/>
      </c>
      <c r="D494" s="6" t="s">
        <v>113</v>
      </c>
      <c r="E494" s="6" t="s">
        <v>192</v>
      </c>
      <c r="F494" s="6" t="s">
        <v>115</v>
      </c>
      <c r="G494" s="15" t="s">
        <v>793</v>
      </c>
      <c r="H494" s="6" t="s">
        <v>1291</v>
      </c>
      <c r="I494" s="6"/>
      <c r="J494" s="6" t="s">
        <v>1292</v>
      </c>
      <c r="K494" s="16" t="s">
        <v>792</v>
      </c>
      <c r="L494" s="6"/>
      <c r="M494" s="6"/>
      <c r="N494" s="5" t="s">
        <v>1293</v>
      </c>
      <c r="O494" s="6" t="s">
        <v>1953</v>
      </c>
    </row>
    <row r="495" spans="1:15" x14ac:dyDescent="0.2">
      <c r="A495">
        <v>494</v>
      </c>
      <c r="C495" s="6" t="str">
        <f t="shared" si="7"/>
        <v/>
      </c>
      <c r="D495" s="6" t="s">
        <v>113</v>
      </c>
      <c r="E495" s="6" t="s">
        <v>192</v>
      </c>
      <c r="F495" s="6" t="s">
        <v>115</v>
      </c>
      <c r="G495" s="15" t="s">
        <v>795</v>
      </c>
      <c r="H495" s="6" t="s">
        <v>1291</v>
      </c>
      <c r="I495" s="6"/>
      <c r="J495" s="6" t="s">
        <v>1292</v>
      </c>
      <c r="K495" s="16" t="s">
        <v>794</v>
      </c>
      <c r="L495" s="6"/>
      <c r="M495" s="6"/>
      <c r="N495" s="5" t="s">
        <v>1293</v>
      </c>
      <c r="O495" s="6" t="s">
        <v>1953</v>
      </c>
    </row>
    <row r="496" spans="1:15" x14ac:dyDescent="0.2">
      <c r="A496">
        <v>495</v>
      </c>
      <c r="C496" s="6" t="str">
        <f t="shared" si="7"/>
        <v/>
      </c>
      <c r="D496" s="6" t="s">
        <v>113</v>
      </c>
      <c r="E496" s="6" t="s">
        <v>192</v>
      </c>
      <c r="F496" s="6" t="s">
        <v>115</v>
      </c>
      <c r="G496" s="15" t="s">
        <v>796</v>
      </c>
      <c r="H496" s="6" t="s">
        <v>1291</v>
      </c>
      <c r="I496" s="6"/>
      <c r="J496" s="6" t="s">
        <v>1423</v>
      </c>
      <c r="K496" s="20" t="s">
        <v>1575</v>
      </c>
      <c r="L496" s="6"/>
      <c r="M496" s="6" t="s">
        <v>1559</v>
      </c>
      <c r="N496" s="5" t="s">
        <v>1293</v>
      </c>
      <c r="O496" s="6" t="s">
        <v>1953</v>
      </c>
    </row>
    <row r="497" spans="1:15" x14ac:dyDescent="0.2">
      <c r="A497">
        <v>496</v>
      </c>
      <c r="C497" s="6" t="str">
        <f t="shared" si="7"/>
        <v/>
      </c>
      <c r="D497" s="6" t="s">
        <v>113</v>
      </c>
      <c r="E497" s="6" t="s">
        <v>192</v>
      </c>
      <c r="F497" s="6" t="s">
        <v>115</v>
      </c>
      <c r="G497" s="15" t="s">
        <v>798</v>
      </c>
      <c r="H497" s="6" t="s">
        <v>1291</v>
      </c>
      <c r="I497" s="6"/>
      <c r="J497" s="6" t="s">
        <v>1292</v>
      </c>
      <c r="K497" s="16" t="s">
        <v>797</v>
      </c>
      <c r="L497" s="6"/>
      <c r="M497" s="6"/>
      <c r="N497" s="5" t="s">
        <v>1293</v>
      </c>
      <c r="O497" s="6" t="s">
        <v>1953</v>
      </c>
    </row>
    <row r="498" spans="1:15" x14ac:dyDescent="0.2">
      <c r="A498">
        <v>497</v>
      </c>
      <c r="C498" s="6" t="str">
        <f t="shared" si="7"/>
        <v/>
      </c>
      <c r="D498" s="6" t="s">
        <v>113</v>
      </c>
      <c r="E498" s="6" t="s">
        <v>192</v>
      </c>
      <c r="F498" s="6" t="s">
        <v>115</v>
      </c>
      <c r="G498" s="15" t="s">
        <v>800</v>
      </c>
      <c r="H498" s="6" t="s">
        <v>1291</v>
      </c>
      <c r="I498" s="6"/>
      <c r="J498" s="6" t="s">
        <v>1292</v>
      </c>
      <c r="K498" s="16" t="s">
        <v>799</v>
      </c>
      <c r="L498" s="6"/>
      <c r="M498" s="6"/>
      <c r="N498" s="5" t="s">
        <v>1293</v>
      </c>
      <c r="O498" s="6" t="s">
        <v>1953</v>
      </c>
    </row>
    <row r="499" spans="1:15" x14ac:dyDescent="0.2">
      <c r="A499">
        <v>498</v>
      </c>
      <c r="C499" s="6" t="str">
        <f t="shared" si="7"/>
        <v/>
      </c>
      <c r="D499" s="6" t="s">
        <v>113</v>
      </c>
      <c r="E499" s="6" t="s">
        <v>192</v>
      </c>
      <c r="F499" s="6" t="s">
        <v>115</v>
      </c>
      <c r="G499" s="15" t="s">
        <v>802</v>
      </c>
      <c r="H499" s="6" t="s">
        <v>1291</v>
      </c>
      <c r="I499" s="6"/>
      <c r="J499" s="6" t="s">
        <v>1292</v>
      </c>
      <c r="K499" s="16" t="s">
        <v>801</v>
      </c>
      <c r="L499" s="6"/>
      <c r="M499" s="6"/>
      <c r="N499" s="5" t="s">
        <v>1293</v>
      </c>
      <c r="O499" s="6" t="s">
        <v>1953</v>
      </c>
    </row>
    <row r="500" spans="1:15" x14ac:dyDescent="0.2">
      <c r="A500">
        <v>499</v>
      </c>
      <c r="C500" s="6" t="str">
        <f t="shared" si="7"/>
        <v/>
      </c>
      <c r="D500" s="6" t="s">
        <v>113</v>
      </c>
      <c r="E500" s="6" t="s">
        <v>192</v>
      </c>
      <c r="F500" s="6" t="s">
        <v>115</v>
      </c>
      <c r="G500" s="15" t="s">
        <v>804</v>
      </c>
      <c r="H500" s="6" t="s">
        <v>1291</v>
      </c>
      <c r="I500" s="6"/>
      <c r="J500" s="6" t="s">
        <v>1292</v>
      </c>
      <c r="K500" s="16" t="s">
        <v>803</v>
      </c>
      <c r="L500" s="6"/>
      <c r="M500" s="6"/>
      <c r="N500" s="5" t="s">
        <v>1293</v>
      </c>
      <c r="O500" s="6" t="s">
        <v>1953</v>
      </c>
    </row>
    <row r="501" spans="1:15" x14ac:dyDescent="0.2">
      <c r="A501">
        <v>500</v>
      </c>
      <c r="C501" s="6" t="str">
        <f t="shared" si="7"/>
        <v/>
      </c>
      <c r="D501" s="6" t="s">
        <v>113</v>
      </c>
      <c r="E501" s="6" t="s">
        <v>192</v>
      </c>
      <c r="F501" s="6" t="s">
        <v>115</v>
      </c>
      <c r="G501" s="15" t="s">
        <v>806</v>
      </c>
      <c r="H501" s="6" t="s">
        <v>1291</v>
      </c>
      <c r="I501" s="6"/>
      <c r="J501" s="6" t="s">
        <v>1292</v>
      </c>
      <c r="K501" s="16" t="s">
        <v>805</v>
      </c>
      <c r="L501" s="6"/>
      <c r="M501" s="6"/>
      <c r="N501" s="5" t="s">
        <v>1293</v>
      </c>
      <c r="O501" s="6" t="s">
        <v>1953</v>
      </c>
    </row>
    <row r="502" spans="1:15" x14ac:dyDescent="0.2">
      <c r="A502">
        <v>501</v>
      </c>
      <c r="C502" s="6" t="str">
        <f t="shared" si="7"/>
        <v/>
      </c>
      <c r="D502" s="6" t="s">
        <v>113</v>
      </c>
      <c r="E502" s="6" t="s">
        <v>192</v>
      </c>
      <c r="F502" s="6" t="s">
        <v>115</v>
      </c>
      <c r="G502" s="15" t="s">
        <v>808</v>
      </c>
      <c r="H502" s="6" t="s">
        <v>1291</v>
      </c>
      <c r="I502" s="6"/>
      <c r="J502" s="6" t="s">
        <v>1292</v>
      </c>
      <c r="K502" s="16" t="s">
        <v>807</v>
      </c>
      <c r="L502" s="6"/>
      <c r="M502" s="6"/>
      <c r="N502" s="5" t="s">
        <v>1293</v>
      </c>
      <c r="O502" s="6" t="s">
        <v>1953</v>
      </c>
    </row>
    <row r="503" spans="1:15" x14ac:dyDescent="0.2">
      <c r="A503">
        <v>502</v>
      </c>
      <c r="C503" s="6" t="str">
        <f t="shared" si="7"/>
        <v/>
      </c>
      <c r="D503" s="6" t="s">
        <v>113</v>
      </c>
      <c r="E503" s="6" t="s">
        <v>192</v>
      </c>
      <c r="F503" s="6" t="s">
        <v>115</v>
      </c>
      <c r="G503" s="15" t="s">
        <v>810</v>
      </c>
      <c r="H503" s="6" t="s">
        <v>1291</v>
      </c>
      <c r="I503" s="6"/>
      <c r="J503" s="6" t="s">
        <v>1292</v>
      </c>
      <c r="K503" s="16" t="s">
        <v>809</v>
      </c>
      <c r="L503" s="6"/>
      <c r="M503" s="6"/>
      <c r="N503" s="5" t="s">
        <v>1293</v>
      </c>
      <c r="O503" s="6" t="s">
        <v>1953</v>
      </c>
    </row>
    <row r="504" spans="1:15" x14ac:dyDescent="0.2">
      <c r="A504">
        <v>503</v>
      </c>
      <c r="C504" s="6" t="str">
        <f t="shared" si="7"/>
        <v/>
      </c>
      <c r="D504" s="6" t="s">
        <v>113</v>
      </c>
      <c r="E504" s="6" t="s">
        <v>192</v>
      </c>
      <c r="F504" s="6" t="s">
        <v>115</v>
      </c>
      <c r="G504" s="15" t="s">
        <v>812</v>
      </c>
      <c r="H504" s="6" t="s">
        <v>1291</v>
      </c>
      <c r="I504" s="6"/>
      <c r="J504" s="6" t="s">
        <v>1292</v>
      </c>
      <c r="K504" s="16" t="s">
        <v>811</v>
      </c>
      <c r="L504" s="6"/>
      <c r="M504" s="6"/>
      <c r="N504" s="5" t="s">
        <v>1293</v>
      </c>
      <c r="O504" s="6" t="s">
        <v>1953</v>
      </c>
    </row>
    <row r="505" spans="1:15" x14ac:dyDescent="0.2">
      <c r="A505">
        <v>504</v>
      </c>
      <c r="C505" s="6" t="str">
        <f t="shared" si="7"/>
        <v/>
      </c>
      <c r="D505" s="6" t="s">
        <v>113</v>
      </c>
      <c r="E505" s="6" t="s">
        <v>192</v>
      </c>
      <c r="F505" s="6" t="s">
        <v>115</v>
      </c>
      <c r="G505" s="15" t="s">
        <v>813</v>
      </c>
      <c r="H505" s="6" t="s">
        <v>1291</v>
      </c>
      <c r="I505" s="6"/>
      <c r="J505" s="6" t="s">
        <v>1292</v>
      </c>
      <c r="K505" s="16" t="s">
        <v>497</v>
      </c>
      <c r="L505" s="6"/>
      <c r="M505" s="6"/>
      <c r="N505" s="5" t="s">
        <v>1293</v>
      </c>
      <c r="O505" s="6" t="s">
        <v>1953</v>
      </c>
    </row>
    <row r="506" spans="1:15" x14ac:dyDescent="0.2">
      <c r="A506">
        <v>505</v>
      </c>
      <c r="C506" s="6" t="str">
        <f t="shared" si="7"/>
        <v/>
      </c>
      <c r="D506" s="6" t="s">
        <v>113</v>
      </c>
      <c r="E506" s="6" t="s">
        <v>192</v>
      </c>
      <c r="F506" s="6" t="s">
        <v>115</v>
      </c>
      <c r="G506" s="15" t="s">
        <v>815</v>
      </c>
      <c r="H506" s="6" t="s">
        <v>1291</v>
      </c>
      <c r="I506" s="6"/>
      <c r="J506" s="6" t="s">
        <v>1292</v>
      </c>
      <c r="K506" s="16" t="s">
        <v>814</v>
      </c>
      <c r="L506" s="6"/>
      <c r="M506" s="6"/>
      <c r="N506" s="5" t="s">
        <v>1293</v>
      </c>
      <c r="O506" s="6" t="s">
        <v>1953</v>
      </c>
    </row>
    <row r="507" spans="1:15" x14ac:dyDescent="0.2">
      <c r="A507">
        <v>506</v>
      </c>
      <c r="C507" s="6" t="str">
        <f t="shared" si="7"/>
        <v/>
      </c>
      <c r="D507" s="6" t="s">
        <v>113</v>
      </c>
      <c r="E507" s="6" t="s">
        <v>192</v>
      </c>
      <c r="F507" s="6" t="s">
        <v>115</v>
      </c>
      <c r="G507" s="15" t="s">
        <v>816</v>
      </c>
      <c r="H507" s="6" t="s">
        <v>1291</v>
      </c>
      <c r="I507" s="6"/>
      <c r="J507" s="6" t="s">
        <v>1423</v>
      </c>
      <c r="K507" s="20" t="s">
        <v>1555</v>
      </c>
      <c r="L507" s="6"/>
      <c r="M507" s="6" t="s">
        <v>1559</v>
      </c>
      <c r="N507" s="5" t="s">
        <v>1293</v>
      </c>
      <c r="O507" s="6" t="s">
        <v>1953</v>
      </c>
    </row>
    <row r="508" spans="1:15" x14ac:dyDescent="0.2">
      <c r="A508">
        <v>507</v>
      </c>
      <c r="C508" s="6" t="str">
        <f t="shared" si="7"/>
        <v/>
      </c>
      <c r="D508" s="6" t="s">
        <v>113</v>
      </c>
      <c r="E508" s="6" t="s">
        <v>192</v>
      </c>
      <c r="F508" s="6" t="s">
        <v>115</v>
      </c>
      <c r="G508" s="15" t="s">
        <v>818</v>
      </c>
      <c r="H508" s="6" t="s">
        <v>1291</v>
      </c>
      <c r="I508" s="6"/>
      <c r="J508" s="6" t="s">
        <v>1292</v>
      </c>
      <c r="K508" s="16" t="s">
        <v>817</v>
      </c>
      <c r="L508" s="6"/>
      <c r="M508" s="6"/>
      <c r="N508" s="5" t="s">
        <v>1293</v>
      </c>
      <c r="O508" s="6" t="s">
        <v>1953</v>
      </c>
    </row>
    <row r="509" spans="1:15" x14ac:dyDescent="0.2">
      <c r="A509">
        <v>508</v>
      </c>
      <c r="C509" s="6" t="str">
        <f t="shared" si="7"/>
        <v/>
      </c>
      <c r="D509" s="6" t="s">
        <v>113</v>
      </c>
      <c r="E509" s="6" t="s">
        <v>192</v>
      </c>
      <c r="F509" s="6" t="s">
        <v>115</v>
      </c>
      <c r="G509" s="15" t="s">
        <v>820</v>
      </c>
      <c r="H509" s="6" t="s">
        <v>1291</v>
      </c>
      <c r="I509" s="6"/>
      <c r="J509" s="6" t="s">
        <v>1292</v>
      </c>
      <c r="K509" s="16" t="s">
        <v>819</v>
      </c>
      <c r="L509" s="6"/>
      <c r="M509" s="6"/>
      <c r="N509" s="5" t="s">
        <v>1293</v>
      </c>
      <c r="O509" s="6" t="s">
        <v>1953</v>
      </c>
    </row>
    <row r="510" spans="1:15" x14ac:dyDescent="0.2">
      <c r="A510">
        <v>509</v>
      </c>
      <c r="C510" s="6" t="str">
        <f t="shared" si="7"/>
        <v/>
      </c>
      <c r="D510" s="6" t="s">
        <v>113</v>
      </c>
      <c r="E510" s="6" t="s">
        <v>192</v>
      </c>
      <c r="F510" s="6" t="s">
        <v>115</v>
      </c>
      <c r="G510" s="15" t="s">
        <v>822</v>
      </c>
      <c r="H510" s="6" t="s">
        <v>1291</v>
      </c>
      <c r="I510" s="6"/>
      <c r="J510" s="6" t="s">
        <v>1292</v>
      </c>
      <c r="K510" s="16" t="s">
        <v>821</v>
      </c>
      <c r="L510" s="6"/>
      <c r="M510" s="6"/>
      <c r="N510" s="5" t="s">
        <v>1293</v>
      </c>
      <c r="O510" s="6" t="s">
        <v>1953</v>
      </c>
    </row>
    <row r="511" spans="1:15" x14ac:dyDescent="0.2">
      <c r="A511">
        <v>510</v>
      </c>
      <c r="C511" s="6" t="str">
        <f t="shared" si="7"/>
        <v/>
      </c>
      <c r="D511" s="6" t="s">
        <v>113</v>
      </c>
      <c r="E511" s="6" t="s">
        <v>192</v>
      </c>
      <c r="F511" s="6" t="s">
        <v>115</v>
      </c>
      <c r="G511" s="15" t="s">
        <v>824</v>
      </c>
      <c r="H511" s="6" t="s">
        <v>1291</v>
      </c>
      <c r="I511" s="6"/>
      <c r="J511" s="6" t="s">
        <v>1292</v>
      </c>
      <c r="K511" s="16" t="s">
        <v>823</v>
      </c>
      <c r="L511" s="6"/>
      <c r="M511" s="6"/>
      <c r="N511" s="5" t="s">
        <v>1293</v>
      </c>
      <c r="O511" s="6" t="s">
        <v>1953</v>
      </c>
    </row>
    <row r="512" spans="1:15" x14ac:dyDescent="0.2">
      <c r="A512">
        <v>511</v>
      </c>
      <c r="C512" s="6" t="str">
        <f t="shared" si="7"/>
        <v/>
      </c>
      <c r="D512" s="6" t="s">
        <v>113</v>
      </c>
      <c r="E512" s="6" t="s">
        <v>192</v>
      </c>
      <c r="F512" s="6" t="s">
        <v>115</v>
      </c>
      <c r="G512" s="15" t="s">
        <v>826</v>
      </c>
      <c r="H512" s="6" t="s">
        <v>1291</v>
      </c>
      <c r="I512" s="6"/>
      <c r="J512" s="6" t="s">
        <v>1292</v>
      </c>
      <c r="K512" s="16" t="s">
        <v>825</v>
      </c>
      <c r="L512" s="6"/>
      <c r="M512" s="6"/>
      <c r="N512" s="5" t="s">
        <v>1293</v>
      </c>
      <c r="O512" s="6" t="s">
        <v>1953</v>
      </c>
    </row>
    <row r="513" spans="1:15" x14ac:dyDescent="0.2">
      <c r="A513">
        <v>512</v>
      </c>
      <c r="C513" s="6" t="str">
        <f t="shared" si="7"/>
        <v/>
      </c>
      <c r="D513" s="6" t="s">
        <v>113</v>
      </c>
      <c r="E513" s="6" t="s">
        <v>192</v>
      </c>
      <c r="F513" s="6" t="s">
        <v>115</v>
      </c>
      <c r="G513" s="15" t="s">
        <v>828</v>
      </c>
      <c r="H513" s="6" t="s">
        <v>1291</v>
      </c>
      <c r="I513" s="6"/>
      <c r="J513" s="6" t="s">
        <v>1292</v>
      </c>
      <c r="K513" s="16" t="s">
        <v>827</v>
      </c>
      <c r="L513" s="6"/>
      <c r="M513" s="6"/>
      <c r="N513" s="5" t="s">
        <v>1293</v>
      </c>
      <c r="O513" s="6" t="s">
        <v>1953</v>
      </c>
    </row>
    <row r="514" spans="1:15" x14ac:dyDescent="0.2">
      <c r="A514">
        <v>513</v>
      </c>
      <c r="C514" s="6" t="str">
        <f t="shared" si="7"/>
        <v/>
      </c>
      <c r="D514" s="6" t="s">
        <v>113</v>
      </c>
      <c r="E514" s="6" t="s">
        <v>192</v>
      </c>
      <c r="F514" s="6" t="s">
        <v>115</v>
      </c>
      <c r="G514" s="15" t="s">
        <v>830</v>
      </c>
      <c r="H514" s="6" t="s">
        <v>1291</v>
      </c>
      <c r="I514" s="6"/>
      <c r="J514" s="6" t="s">
        <v>1292</v>
      </c>
      <c r="K514" s="16" t="s">
        <v>829</v>
      </c>
      <c r="L514" s="6"/>
      <c r="M514" s="6"/>
      <c r="N514" s="5" t="s">
        <v>1293</v>
      </c>
      <c r="O514" s="6" t="s">
        <v>1953</v>
      </c>
    </row>
    <row r="515" spans="1:15" x14ac:dyDescent="0.2">
      <c r="A515">
        <v>514</v>
      </c>
      <c r="C515" s="6" t="str">
        <f t="shared" ref="C515:C578" si="8">IF(AND(G515="NA",H515&lt;&gt;"wide_value"),TRUE,"")</f>
        <v/>
      </c>
      <c r="D515" s="6" t="s">
        <v>113</v>
      </c>
      <c r="E515" s="6" t="s">
        <v>192</v>
      </c>
      <c r="F515" s="6" t="s">
        <v>115</v>
      </c>
      <c r="G515" s="15" t="s">
        <v>832</v>
      </c>
      <c r="H515" s="6" t="s">
        <v>1291</v>
      </c>
      <c r="I515" s="6"/>
      <c r="J515" s="6" t="s">
        <v>1292</v>
      </c>
      <c r="K515" s="16" t="s">
        <v>831</v>
      </c>
      <c r="L515" s="6"/>
      <c r="M515" s="6"/>
      <c r="N515" s="5" t="s">
        <v>1293</v>
      </c>
      <c r="O515" s="6" t="s">
        <v>1953</v>
      </c>
    </row>
    <row r="516" spans="1:15" x14ac:dyDescent="0.2">
      <c r="A516">
        <v>515</v>
      </c>
      <c r="C516" s="6" t="str">
        <f t="shared" si="8"/>
        <v/>
      </c>
      <c r="D516" s="6" t="s">
        <v>113</v>
      </c>
      <c r="E516" s="6" t="s">
        <v>192</v>
      </c>
      <c r="F516" s="6" t="s">
        <v>115</v>
      </c>
      <c r="G516" s="15" t="s">
        <v>834</v>
      </c>
      <c r="H516" s="6" t="s">
        <v>1291</v>
      </c>
      <c r="I516" s="6"/>
      <c r="J516" s="6" t="s">
        <v>1292</v>
      </c>
      <c r="K516" s="16" t="s">
        <v>833</v>
      </c>
      <c r="L516" s="6"/>
      <c r="M516" s="6"/>
      <c r="N516" s="5" t="s">
        <v>1293</v>
      </c>
      <c r="O516" s="6" t="s">
        <v>1953</v>
      </c>
    </row>
    <row r="517" spans="1:15" x14ac:dyDescent="0.2">
      <c r="A517">
        <v>516</v>
      </c>
      <c r="C517" s="6" t="str">
        <f t="shared" si="8"/>
        <v/>
      </c>
      <c r="D517" s="6" t="s">
        <v>113</v>
      </c>
      <c r="E517" s="6" t="s">
        <v>192</v>
      </c>
      <c r="F517" s="6" t="s">
        <v>115</v>
      </c>
      <c r="G517" s="15" t="s">
        <v>836</v>
      </c>
      <c r="H517" s="6" t="s">
        <v>1291</v>
      </c>
      <c r="I517" s="6"/>
      <c r="J517" s="6" t="s">
        <v>1292</v>
      </c>
      <c r="K517" s="16" t="s">
        <v>835</v>
      </c>
      <c r="L517" s="6"/>
      <c r="M517" s="6"/>
      <c r="N517" s="5" t="s">
        <v>1293</v>
      </c>
      <c r="O517" s="6" t="s">
        <v>1953</v>
      </c>
    </row>
    <row r="518" spans="1:15" x14ac:dyDescent="0.2">
      <c r="A518">
        <v>517</v>
      </c>
      <c r="C518" s="6" t="str">
        <f t="shared" si="8"/>
        <v/>
      </c>
      <c r="D518" s="6" t="s">
        <v>113</v>
      </c>
      <c r="E518" s="6" t="s">
        <v>192</v>
      </c>
      <c r="F518" s="6" t="s">
        <v>115</v>
      </c>
      <c r="G518" s="15" t="s">
        <v>838</v>
      </c>
      <c r="H518" s="6" t="s">
        <v>1291</v>
      </c>
      <c r="I518" s="6"/>
      <c r="J518" s="6" t="s">
        <v>1292</v>
      </c>
      <c r="K518" s="16" t="s">
        <v>837</v>
      </c>
      <c r="L518" s="6"/>
      <c r="M518" s="6"/>
      <c r="N518" s="5" t="s">
        <v>1293</v>
      </c>
      <c r="O518" s="6" t="s">
        <v>1953</v>
      </c>
    </row>
    <row r="519" spans="1:15" x14ac:dyDescent="0.2">
      <c r="A519">
        <v>518</v>
      </c>
      <c r="C519" s="6" t="str">
        <f t="shared" si="8"/>
        <v/>
      </c>
      <c r="D519" s="6" t="s">
        <v>113</v>
      </c>
      <c r="E519" s="6" t="s">
        <v>192</v>
      </c>
      <c r="F519" s="6" t="s">
        <v>115</v>
      </c>
      <c r="G519" s="15" t="s">
        <v>839</v>
      </c>
      <c r="H519" s="6" t="s">
        <v>1282</v>
      </c>
      <c r="I519" s="6"/>
      <c r="J519" s="6" t="s">
        <v>1247</v>
      </c>
      <c r="K519" s="20" t="s">
        <v>1585</v>
      </c>
      <c r="L519" s="6"/>
      <c r="M519" s="6"/>
      <c r="N519" s="5" t="s">
        <v>1586</v>
      </c>
      <c r="O519" s="6" t="s">
        <v>1953</v>
      </c>
    </row>
    <row r="520" spans="1:15" x14ac:dyDescent="0.2">
      <c r="A520">
        <v>519</v>
      </c>
      <c r="C520" s="6" t="str">
        <f t="shared" si="8"/>
        <v/>
      </c>
      <c r="D520" s="6" t="s">
        <v>113</v>
      </c>
      <c r="E520" s="6" t="s">
        <v>192</v>
      </c>
      <c r="F520" s="6" t="s">
        <v>115</v>
      </c>
      <c r="G520" s="15" t="s">
        <v>841</v>
      </c>
      <c r="H520" s="6" t="s">
        <v>1291</v>
      </c>
      <c r="I520" s="6"/>
      <c r="J520" s="6" t="s">
        <v>1292</v>
      </c>
      <c r="K520" s="16" t="s">
        <v>840</v>
      </c>
      <c r="L520" s="6"/>
      <c r="M520" s="6"/>
      <c r="N520" s="5" t="s">
        <v>1293</v>
      </c>
      <c r="O520" s="6" t="s">
        <v>1953</v>
      </c>
    </row>
    <row r="521" spans="1:15" x14ac:dyDescent="0.2">
      <c r="A521">
        <v>520</v>
      </c>
      <c r="C521" s="6" t="str">
        <f t="shared" si="8"/>
        <v/>
      </c>
      <c r="D521" s="6" t="s">
        <v>113</v>
      </c>
      <c r="E521" s="6" t="s">
        <v>192</v>
      </c>
      <c r="F521" s="6" t="s">
        <v>115</v>
      </c>
      <c r="G521" s="15" t="s">
        <v>843</v>
      </c>
      <c r="H521" s="6" t="s">
        <v>1291</v>
      </c>
      <c r="I521" s="6"/>
      <c r="J521" s="6" t="s">
        <v>1292</v>
      </c>
      <c r="K521" s="16" t="s">
        <v>842</v>
      </c>
      <c r="L521" s="6"/>
      <c r="M521" s="6"/>
      <c r="N521" s="5" t="s">
        <v>1293</v>
      </c>
      <c r="O521" s="6" t="s">
        <v>1953</v>
      </c>
    </row>
    <row r="522" spans="1:15" x14ac:dyDescent="0.2">
      <c r="A522">
        <v>521</v>
      </c>
      <c r="C522" s="6" t="str">
        <f t="shared" si="8"/>
        <v/>
      </c>
      <c r="D522" s="6" t="s">
        <v>113</v>
      </c>
      <c r="E522" s="6" t="s">
        <v>192</v>
      </c>
      <c r="F522" s="6" t="s">
        <v>115</v>
      </c>
      <c r="G522" s="15" t="s">
        <v>845</v>
      </c>
      <c r="H522" s="6" t="s">
        <v>1291</v>
      </c>
      <c r="I522" s="6"/>
      <c r="J522" s="6" t="s">
        <v>1292</v>
      </c>
      <c r="K522" s="16" t="s">
        <v>844</v>
      </c>
      <c r="L522" s="6"/>
      <c r="M522" s="6"/>
      <c r="N522" s="5" t="s">
        <v>1293</v>
      </c>
      <c r="O522" s="6" t="s">
        <v>1953</v>
      </c>
    </row>
    <row r="523" spans="1:15" x14ac:dyDescent="0.2">
      <c r="A523">
        <v>522</v>
      </c>
      <c r="C523" s="6" t="str">
        <f t="shared" si="8"/>
        <v/>
      </c>
      <c r="D523" s="6" t="s">
        <v>113</v>
      </c>
      <c r="E523" s="6" t="s">
        <v>192</v>
      </c>
      <c r="F523" s="6" t="s">
        <v>115</v>
      </c>
      <c r="G523" s="15" t="s">
        <v>847</v>
      </c>
      <c r="H523" s="6" t="s">
        <v>1291</v>
      </c>
      <c r="I523" s="6"/>
      <c r="J523" s="6" t="s">
        <v>1292</v>
      </c>
      <c r="K523" s="16" t="s">
        <v>846</v>
      </c>
      <c r="L523" s="6"/>
      <c r="M523" s="6"/>
      <c r="N523" s="5" t="s">
        <v>1293</v>
      </c>
      <c r="O523" s="6" t="s">
        <v>1953</v>
      </c>
    </row>
    <row r="524" spans="1:15" x14ac:dyDescent="0.2">
      <c r="A524">
        <v>523</v>
      </c>
      <c r="C524" s="6" t="str">
        <f t="shared" si="8"/>
        <v/>
      </c>
      <c r="D524" s="6" t="s">
        <v>113</v>
      </c>
      <c r="E524" s="6" t="s">
        <v>192</v>
      </c>
      <c r="F524" s="6" t="s">
        <v>115</v>
      </c>
      <c r="G524" s="15" t="s">
        <v>849</v>
      </c>
      <c r="H524" s="6" t="s">
        <v>1291</v>
      </c>
      <c r="I524" s="6"/>
      <c r="J524" s="6" t="s">
        <v>1292</v>
      </c>
      <c r="K524" s="16" t="s">
        <v>848</v>
      </c>
      <c r="L524" s="6"/>
      <c r="M524" s="6"/>
      <c r="N524" s="5" t="s">
        <v>1293</v>
      </c>
      <c r="O524" s="6" t="s">
        <v>1953</v>
      </c>
    </row>
    <row r="525" spans="1:15" x14ac:dyDescent="0.2">
      <c r="A525">
        <v>524</v>
      </c>
      <c r="C525" s="6" t="str">
        <f t="shared" si="8"/>
        <v/>
      </c>
      <c r="D525" s="6" t="s">
        <v>113</v>
      </c>
      <c r="E525" s="6" t="s">
        <v>192</v>
      </c>
      <c r="F525" s="6" t="s">
        <v>115</v>
      </c>
      <c r="G525" s="15" t="s">
        <v>851</v>
      </c>
      <c r="H525" s="6" t="s">
        <v>1291</v>
      </c>
      <c r="I525" s="6"/>
      <c r="J525" s="6" t="s">
        <v>1292</v>
      </c>
      <c r="K525" s="16" t="s">
        <v>850</v>
      </c>
      <c r="L525" s="6"/>
      <c r="M525" s="6"/>
      <c r="N525" s="5" t="s">
        <v>1293</v>
      </c>
      <c r="O525" s="6" t="s">
        <v>1953</v>
      </c>
    </row>
    <row r="526" spans="1:15" x14ac:dyDescent="0.2">
      <c r="A526">
        <v>525</v>
      </c>
      <c r="C526" s="6" t="str">
        <f t="shared" si="8"/>
        <v/>
      </c>
      <c r="D526" s="6" t="s">
        <v>113</v>
      </c>
      <c r="E526" s="6" t="s">
        <v>192</v>
      </c>
      <c r="F526" s="6" t="s">
        <v>115</v>
      </c>
      <c r="G526" s="15" t="s">
        <v>853</v>
      </c>
      <c r="H526" s="6" t="s">
        <v>1291</v>
      </c>
      <c r="I526" s="6"/>
      <c r="J526" s="6" t="s">
        <v>1292</v>
      </c>
      <c r="K526" s="16" t="s">
        <v>852</v>
      </c>
      <c r="L526" s="6"/>
      <c r="M526" s="6"/>
      <c r="N526" s="5" t="s">
        <v>1293</v>
      </c>
      <c r="O526" s="6" t="s">
        <v>1953</v>
      </c>
    </row>
    <row r="527" spans="1:15" x14ac:dyDescent="0.2">
      <c r="A527">
        <v>526</v>
      </c>
      <c r="C527" s="6" t="str">
        <f t="shared" si="8"/>
        <v/>
      </c>
      <c r="D527" s="6" t="s">
        <v>113</v>
      </c>
      <c r="E527" s="6" t="s">
        <v>192</v>
      </c>
      <c r="F527" s="6" t="s">
        <v>115</v>
      </c>
      <c r="G527" s="15" t="s">
        <v>854</v>
      </c>
      <c r="H527" s="6" t="s">
        <v>1291</v>
      </c>
      <c r="I527" s="6"/>
      <c r="J527" s="6" t="s">
        <v>1423</v>
      </c>
      <c r="K527" s="20" t="s">
        <v>1576</v>
      </c>
      <c r="L527" s="6"/>
      <c r="M527" s="6" t="s">
        <v>1582</v>
      </c>
      <c r="N527" s="5" t="s">
        <v>1293</v>
      </c>
      <c r="O527" s="6" t="s">
        <v>1953</v>
      </c>
    </row>
    <row r="528" spans="1:15" x14ac:dyDescent="0.2">
      <c r="A528">
        <v>527</v>
      </c>
      <c r="C528" s="6" t="str">
        <f t="shared" si="8"/>
        <v/>
      </c>
      <c r="D528" s="6" t="s">
        <v>113</v>
      </c>
      <c r="E528" s="6" t="s">
        <v>192</v>
      </c>
      <c r="F528" s="6" t="s">
        <v>115</v>
      </c>
      <c r="G528" s="15" t="s">
        <v>856</v>
      </c>
      <c r="H528" s="6" t="s">
        <v>1291</v>
      </c>
      <c r="I528" s="6"/>
      <c r="J528" s="6" t="s">
        <v>1292</v>
      </c>
      <c r="K528" s="16" t="s">
        <v>855</v>
      </c>
      <c r="L528" s="6"/>
      <c r="M528" s="6"/>
      <c r="N528" s="5" t="s">
        <v>1293</v>
      </c>
      <c r="O528" s="6" t="s">
        <v>1953</v>
      </c>
    </row>
    <row r="529" spans="1:15" x14ac:dyDescent="0.2">
      <c r="A529">
        <v>528</v>
      </c>
      <c r="C529" s="6" t="str">
        <f t="shared" si="8"/>
        <v/>
      </c>
      <c r="D529" s="6" t="s">
        <v>113</v>
      </c>
      <c r="E529" s="6" t="s">
        <v>192</v>
      </c>
      <c r="F529" s="6" t="s">
        <v>115</v>
      </c>
      <c r="G529" s="15" t="s">
        <v>858</v>
      </c>
      <c r="H529" s="6" t="s">
        <v>1291</v>
      </c>
      <c r="I529" s="6"/>
      <c r="J529" s="6" t="s">
        <v>1292</v>
      </c>
      <c r="K529" s="16" t="s">
        <v>857</v>
      </c>
      <c r="L529" s="6"/>
      <c r="M529" s="6"/>
      <c r="N529" s="5" t="s">
        <v>1293</v>
      </c>
      <c r="O529" s="6" t="s">
        <v>1953</v>
      </c>
    </row>
    <row r="530" spans="1:15" x14ac:dyDescent="0.2">
      <c r="A530">
        <v>529</v>
      </c>
      <c r="C530" s="6" t="str">
        <f t="shared" si="8"/>
        <v/>
      </c>
      <c r="D530" s="6" t="s">
        <v>113</v>
      </c>
      <c r="E530" s="6" t="s">
        <v>192</v>
      </c>
      <c r="F530" s="6" t="s">
        <v>115</v>
      </c>
      <c r="G530" s="15" t="s">
        <v>860</v>
      </c>
      <c r="H530" s="6" t="s">
        <v>1291</v>
      </c>
      <c r="I530" s="6"/>
      <c r="J530" s="6" t="s">
        <v>1292</v>
      </c>
      <c r="K530" s="16" t="s">
        <v>859</v>
      </c>
      <c r="L530" s="6"/>
      <c r="M530" s="6"/>
      <c r="N530" s="5" t="s">
        <v>1293</v>
      </c>
      <c r="O530" s="6" t="s">
        <v>1953</v>
      </c>
    </row>
    <row r="531" spans="1:15" x14ac:dyDescent="0.2">
      <c r="A531">
        <v>530</v>
      </c>
      <c r="C531" s="6" t="str">
        <f t="shared" si="8"/>
        <v/>
      </c>
      <c r="D531" s="6" t="s">
        <v>113</v>
      </c>
      <c r="E531" s="6" t="s">
        <v>192</v>
      </c>
      <c r="F531" s="6" t="s">
        <v>115</v>
      </c>
      <c r="G531" s="15" t="s">
        <v>862</v>
      </c>
      <c r="H531" s="6" t="s">
        <v>1291</v>
      </c>
      <c r="I531" s="6"/>
      <c r="J531" s="6" t="s">
        <v>1292</v>
      </c>
      <c r="K531" s="16" t="s">
        <v>861</v>
      </c>
      <c r="L531" s="6"/>
      <c r="M531" s="6"/>
      <c r="N531" s="5" t="s">
        <v>1293</v>
      </c>
      <c r="O531" s="6" t="s">
        <v>1953</v>
      </c>
    </row>
    <row r="532" spans="1:15" x14ac:dyDescent="0.2">
      <c r="A532">
        <v>531</v>
      </c>
      <c r="C532" s="6" t="str">
        <f t="shared" si="8"/>
        <v/>
      </c>
      <c r="D532" s="6" t="s">
        <v>113</v>
      </c>
      <c r="E532" s="6" t="s">
        <v>192</v>
      </c>
      <c r="F532" s="6" t="s">
        <v>115</v>
      </c>
      <c r="G532" s="15" t="s">
        <v>864</v>
      </c>
      <c r="H532" s="6" t="s">
        <v>1291</v>
      </c>
      <c r="I532" s="6"/>
      <c r="J532" s="6" t="s">
        <v>1292</v>
      </c>
      <c r="K532" s="16" t="s">
        <v>863</v>
      </c>
      <c r="L532" s="6"/>
      <c r="M532" s="6"/>
      <c r="N532" s="5" t="s">
        <v>1293</v>
      </c>
      <c r="O532" s="6" t="s">
        <v>1953</v>
      </c>
    </row>
    <row r="533" spans="1:15" x14ac:dyDescent="0.2">
      <c r="A533">
        <v>532</v>
      </c>
      <c r="C533" s="6" t="str">
        <f t="shared" si="8"/>
        <v/>
      </c>
      <c r="D533" s="6" t="s">
        <v>113</v>
      </c>
      <c r="E533" s="6" t="s">
        <v>192</v>
      </c>
      <c r="F533" s="6" t="s">
        <v>115</v>
      </c>
      <c r="G533" s="15" t="s">
        <v>866</v>
      </c>
      <c r="H533" s="6" t="s">
        <v>1291</v>
      </c>
      <c r="I533" s="6"/>
      <c r="J533" s="6" t="s">
        <v>1292</v>
      </c>
      <c r="K533" s="16" t="s">
        <v>865</v>
      </c>
      <c r="L533" s="6"/>
      <c r="M533" s="6"/>
      <c r="N533" s="5" t="s">
        <v>1293</v>
      </c>
      <c r="O533" s="6" t="s">
        <v>1953</v>
      </c>
    </row>
    <row r="534" spans="1:15" x14ac:dyDescent="0.2">
      <c r="A534">
        <v>533</v>
      </c>
      <c r="C534" s="6" t="str">
        <f t="shared" si="8"/>
        <v/>
      </c>
      <c r="D534" s="6" t="s">
        <v>113</v>
      </c>
      <c r="E534" s="6" t="s">
        <v>192</v>
      </c>
      <c r="F534" s="6" t="s">
        <v>115</v>
      </c>
      <c r="G534" s="15" t="s">
        <v>868</v>
      </c>
      <c r="H534" s="6" t="s">
        <v>1291</v>
      </c>
      <c r="I534" s="6"/>
      <c r="J534" s="6" t="s">
        <v>1292</v>
      </c>
      <c r="K534" s="16" t="s">
        <v>867</v>
      </c>
      <c r="L534" s="6"/>
      <c r="M534" s="6"/>
      <c r="N534" s="5" t="s">
        <v>1293</v>
      </c>
      <c r="O534" s="6" t="s">
        <v>1953</v>
      </c>
    </row>
    <row r="535" spans="1:15" x14ac:dyDescent="0.2">
      <c r="A535">
        <v>534</v>
      </c>
      <c r="C535" s="6" t="str">
        <f t="shared" si="8"/>
        <v/>
      </c>
      <c r="D535" s="6" t="s">
        <v>113</v>
      </c>
      <c r="E535" s="6" t="s">
        <v>192</v>
      </c>
      <c r="F535" s="6" t="s">
        <v>115</v>
      </c>
      <c r="G535" s="15" t="s">
        <v>870</v>
      </c>
      <c r="H535" s="6" t="s">
        <v>1291</v>
      </c>
      <c r="I535" s="6"/>
      <c r="J535" s="6" t="s">
        <v>1292</v>
      </c>
      <c r="K535" s="16" t="s">
        <v>869</v>
      </c>
      <c r="L535" s="6"/>
      <c r="M535" s="6"/>
      <c r="N535" s="5" t="s">
        <v>1293</v>
      </c>
      <c r="O535" s="6" t="s">
        <v>1953</v>
      </c>
    </row>
    <row r="536" spans="1:15" x14ac:dyDescent="0.2">
      <c r="A536">
        <v>535</v>
      </c>
      <c r="C536" s="6" t="str">
        <f t="shared" si="8"/>
        <v/>
      </c>
      <c r="D536" s="6" t="s">
        <v>113</v>
      </c>
      <c r="E536" s="6" t="s">
        <v>192</v>
      </c>
      <c r="F536" s="6" t="s">
        <v>115</v>
      </c>
      <c r="G536" s="15" t="s">
        <v>872</v>
      </c>
      <c r="H536" s="6" t="s">
        <v>1291</v>
      </c>
      <c r="I536" s="6"/>
      <c r="J536" s="6" t="s">
        <v>1292</v>
      </c>
      <c r="K536" s="16" t="s">
        <v>871</v>
      </c>
      <c r="L536" s="6"/>
      <c r="M536" s="6"/>
      <c r="N536" s="5" t="s">
        <v>1293</v>
      </c>
      <c r="O536" s="6" t="s">
        <v>1953</v>
      </c>
    </row>
    <row r="537" spans="1:15" x14ac:dyDescent="0.2">
      <c r="A537">
        <v>536</v>
      </c>
      <c r="C537" s="6" t="str">
        <f t="shared" si="8"/>
        <v/>
      </c>
      <c r="D537" s="6" t="s">
        <v>113</v>
      </c>
      <c r="E537" s="6" t="s">
        <v>192</v>
      </c>
      <c r="F537" s="6" t="s">
        <v>115</v>
      </c>
      <c r="G537" s="15" t="s">
        <v>874</v>
      </c>
      <c r="H537" s="6" t="s">
        <v>1291</v>
      </c>
      <c r="I537" s="6"/>
      <c r="J537" s="6" t="s">
        <v>1292</v>
      </c>
      <c r="K537" s="16" t="s">
        <v>873</v>
      </c>
      <c r="L537" s="6"/>
      <c r="M537" s="6"/>
      <c r="N537" s="5" t="s">
        <v>1293</v>
      </c>
      <c r="O537" s="6" t="s">
        <v>1953</v>
      </c>
    </row>
    <row r="538" spans="1:15" x14ac:dyDescent="0.2">
      <c r="A538">
        <v>537</v>
      </c>
      <c r="C538" s="6" t="str">
        <f t="shared" si="8"/>
        <v/>
      </c>
      <c r="D538" s="6" t="s">
        <v>113</v>
      </c>
      <c r="E538" s="6" t="s">
        <v>192</v>
      </c>
      <c r="F538" s="6" t="s">
        <v>115</v>
      </c>
      <c r="G538" s="15" t="s">
        <v>876</v>
      </c>
      <c r="H538" s="6" t="s">
        <v>1291</v>
      </c>
      <c r="I538" s="6"/>
      <c r="J538" s="6" t="s">
        <v>1292</v>
      </c>
      <c r="K538" s="16" t="s">
        <v>875</v>
      </c>
      <c r="L538" s="6"/>
      <c r="M538" s="6"/>
      <c r="N538" s="5" t="s">
        <v>1293</v>
      </c>
      <c r="O538" s="6" t="s">
        <v>1953</v>
      </c>
    </row>
    <row r="539" spans="1:15" x14ac:dyDescent="0.2">
      <c r="A539">
        <v>538</v>
      </c>
      <c r="C539" s="6" t="str">
        <f t="shared" si="8"/>
        <v/>
      </c>
      <c r="D539" s="6" t="s">
        <v>113</v>
      </c>
      <c r="E539" s="6" t="s">
        <v>192</v>
      </c>
      <c r="F539" s="6" t="s">
        <v>115</v>
      </c>
      <c r="G539" s="15" t="s">
        <v>877</v>
      </c>
      <c r="H539" s="6" t="s">
        <v>1291</v>
      </c>
      <c r="I539" s="6"/>
      <c r="J539" s="6" t="s">
        <v>1423</v>
      </c>
      <c r="K539" s="20" t="s">
        <v>1577</v>
      </c>
      <c r="L539" s="6"/>
      <c r="M539" s="6" t="s">
        <v>1583</v>
      </c>
      <c r="N539" s="5" t="s">
        <v>1293</v>
      </c>
      <c r="O539" s="6" t="s">
        <v>1953</v>
      </c>
    </row>
    <row r="540" spans="1:15" x14ac:dyDescent="0.2">
      <c r="A540">
        <v>539</v>
      </c>
      <c r="C540" s="6" t="str">
        <f t="shared" si="8"/>
        <v/>
      </c>
      <c r="D540" s="6" t="s">
        <v>113</v>
      </c>
      <c r="E540" s="6" t="s">
        <v>192</v>
      </c>
      <c r="F540" s="6" t="s">
        <v>115</v>
      </c>
      <c r="G540" s="15" t="s">
        <v>879</v>
      </c>
      <c r="H540" s="6" t="s">
        <v>1291</v>
      </c>
      <c r="I540" s="6"/>
      <c r="J540" s="6" t="s">
        <v>1292</v>
      </c>
      <c r="K540" s="16" t="s">
        <v>878</v>
      </c>
      <c r="L540" s="6"/>
      <c r="M540" s="6"/>
      <c r="N540" s="5" t="s">
        <v>1293</v>
      </c>
      <c r="O540" s="6" t="s">
        <v>1953</v>
      </c>
    </row>
    <row r="541" spans="1:15" x14ac:dyDescent="0.2">
      <c r="A541">
        <v>540</v>
      </c>
      <c r="C541" s="6" t="str">
        <f t="shared" si="8"/>
        <v/>
      </c>
      <c r="D541" s="6" t="s">
        <v>113</v>
      </c>
      <c r="E541" s="6" t="s">
        <v>192</v>
      </c>
      <c r="F541" s="6" t="s">
        <v>115</v>
      </c>
      <c r="G541" s="15" t="s">
        <v>881</v>
      </c>
      <c r="H541" s="6" t="s">
        <v>1291</v>
      </c>
      <c r="I541" s="6"/>
      <c r="J541" s="6" t="s">
        <v>1292</v>
      </c>
      <c r="K541" s="16" t="s">
        <v>880</v>
      </c>
      <c r="L541" s="6"/>
      <c r="M541" s="6"/>
      <c r="N541" s="5" t="s">
        <v>1293</v>
      </c>
      <c r="O541" s="6" t="s">
        <v>1953</v>
      </c>
    </row>
    <row r="542" spans="1:15" x14ac:dyDescent="0.2">
      <c r="A542">
        <v>541</v>
      </c>
      <c r="C542" s="6" t="str">
        <f t="shared" si="8"/>
        <v/>
      </c>
      <c r="D542" s="6" t="s">
        <v>113</v>
      </c>
      <c r="E542" s="6" t="s">
        <v>192</v>
      </c>
      <c r="F542" s="6" t="s">
        <v>115</v>
      </c>
      <c r="G542" s="15" t="s">
        <v>883</v>
      </c>
      <c r="H542" s="6" t="s">
        <v>1291</v>
      </c>
      <c r="I542" s="6"/>
      <c r="J542" s="6" t="s">
        <v>1292</v>
      </c>
      <c r="K542" s="16" t="s">
        <v>882</v>
      </c>
      <c r="L542" s="6"/>
      <c r="M542" s="6"/>
      <c r="N542" s="5" t="s">
        <v>1293</v>
      </c>
      <c r="O542" s="6" t="s">
        <v>1953</v>
      </c>
    </row>
    <row r="543" spans="1:15" x14ac:dyDescent="0.2">
      <c r="A543">
        <v>542</v>
      </c>
      <c r="C543" s="6" t="str">
        <f t="shared" si="8"/>
        <v/>
      </c>
      <c r="D543" s="6" t="s">
        <v>113</v>
      </c>
      <c r="E543" s="6" t="s">
        <v>192</v>
      </c>
      <c r="F543" s="6" t="s">
        <v>115</v>
      </c>
      <c r="G543" s="15" t="s">
        <v>885</v>
      </c>
      <c r="H543" s="6" t="s">
        <v>1291</v>
      </c>
      <c r="I543" s="6"/>
      <c r="J543" s="6" t="s">
        <v>1292</v>
      </c>
      <c r="K543" s="16" t="s">
        <v>884</v>
      </c>
      <c r="L543" s="6"/>
      <c r="M543" s="6"/>
      <c r="N543" s="5" t="s">
        <v>1293</v>
      </c>
      <c r="O543" s="6" t="s">
        <v>1953</v>
      </c>
    </row>
    <row r="544" spans="1:15" x14ac:dyDescent="0.2">
      <c r="A544">
        <v>543</v>
      </c>
      <c r="C544" s="6" t="str">
        <f t="shared" si="8"/>
        <v/>
      </c>
      <c r="D544" s="6" t="s">
        <v>113</v>
      </c>
      <c r="E544" s="6" t="s">
        <v>192</v>
      </c>
      <c r="F544" s="6" t="s">
        <v>115</v>
      </c>
      <c r="G544" s="15" t="s">
        <v>887</v>
      </c>
      <c r="H544" s="6" t="s">
        <v>1291</v>
      </c>
      <c r="I544" s="6"/>
      <c r="J544" s="6" t="s">
        <v>1292</v>
      </c>
      <c r="K544" s="16" t="s">
        <v>886</v>
      </c>
      <c r="L544" s="6"/>
      <c r="M544" s="6"/>
      <c r="N544" s="5" t="s">
        <v>1293</v>
      </c>
      <c r="O544" s="6" t="s">
        <v>1953</v>
      </c>
    </row>
    <row r="545" spans="1:15" x14ac:dyDescent="0.2">
      <c r="A545">
        <v>544</v>
      </c>
      <c r="C545" s="6" t="str">
        <f t="shared" si="8"/>
        <v/>
      </c>
      <c r="D545" s="6" t="s">
        <v>113</v>
      </c>
      <c r="E545" s="6" t="s">
        <v>192</v>
      </c>
      <c r="F545" s="6" t="s">
        <v>115</v>
      </c>
      <c r="G545" s="15" t="s">
        <v>889</v>
      </c>
      <c r="H545" s="6" t="s">
        <v>1291</v>
      </c>
      <c r="I545" s="6"/>
      <c r="J545" s="6" t="s">
        <v>1292</v>
      </c>
      <c r="K545" s="16" t="s">
        <v>888</v>
      </c>
      <c r="L545" s="6"/>
      <c r="M545" s="6"/>
      <c r="N545" s="5" t="s">
        <v>1293</v>
      </c>
      <c r="O545" s="6" t="s">
        <v>1953</v>
      </c>
    </row>
    <row r="546" spans="1:15" x14ac:dyDescent="0.2">
      <c r="A546">
        <v>545</v>
      </c>
      <c r="C546" s="6" t="str">
        <f t="shared" si="8"/>
        <v/>
      </c>
      <c r="D546" s="6" t="s">
        <v>113</v>
      </c>
      <c r="E546" s="6" t="s">
        <v>192</v>
      </c>
      <c r="F546" s="6" t="s">
        <v>115</v>
      </c>
      <c r="G546" s="15" t="s">
        <v>891</v>
      </c>
      <c r="H546" s="6" t="s">
        <v>1291</v>
      </c>
      <c r="I546" s="6"/>
      <c r="J546" s="6" t="s">
        <v>1292</v>
      </c>
      <c r="K546" s="16" t="s">
        <v>890</v>
      </c>
      <c r="L546" s="6"/>
      <c r="M546" s="6"/>
      <c r="N546" s="5" t="s">
        <v>1293</v>
      </c>
      <c r="O546" s="6" t="s">
        <v>1953</v>
      </c>
    </row>
    <row r="547" spans="1:15" x14ac:dyDescent="0.2">
      <c r="A547">
        <v>546</v>
      </c>
      <c r="C547" s="6" t="str">
        <f t="shared" si="8"/>
        <v/>
      </c>
      <c r="D547" s="6" t="s">
        <v>113</v>
      </c>
      <c r="E547" s="6" t="s">
        <v>192</v>
      </c>
      <c r="F547" s="6" t="s">
        <v>115</v>
      </c>
      <c r="G547" s="15" t="s">
        <v>893</v>
      </c>
      <c r="H547" s="6" t="s">
        <v>1291</v>
      </c>
      <c r="I547" s="6"/>
      <c r="J547" s="6" t="s">
        <v>1292</v>
      </c>
      <c r="K547" s="16" t="s">
        <v>892</v>
      </c>
      <c r="L547" s="6"/>
      <c r="M547" s="6"/>
      <c r="N547" s="5" t="s">
        <v>1293</v>
      </c>
      <c r="O547" s="6" t="s">
        <v>1953</v>
      </c>
    </row>
    <row r="548" spans="1:15" x14ac:dyDescent="0.2">
      <c r="A548">
        <v>547</v>
      </c>
      <c r="C548" s="6" t="str">
        <f t="shared" si="8"/>
        <v/>
      </c>
      <c r="D548" s="6" t="s">
        <v>113</v>
      </c>
      <c r="E548" s="6" t="s">
        <v>192</v>
      </c>
      <c r="F548" s="6" t="s">
        <v>115</v>
      </c>
      <c r="G548" s="15" t="s">
        <v>895</v>
      </c>
      <c r="H548" s="6" t="s">
        <v>1291</v>
      </c>
      <c r="I548" s="6"/>
      <c r="J548" s="6" t="s">
        <v>1292</v>
      </c>
      <c r="K548" s="16" t="s">
        <v>894</v>
      </c>
      <c r="L548" s="6"/>
      <c r="M548" s="6"/>
      <c r="N548" s="5" t="s">
        <v>1293</v>
      </c>
      <c r="O548" s="6" t="s">
        <v>1953</v>
      </c>
    </row>
    <row r="549" spans="1:15" x14ac:dyDescent="0.2">
      <c r="A549">
        <v>548</v>
      </c>
      <c r="C549" s="6" t="str">
        <f t="shared" si="8"/>
        <v/>
      </c>
      <c r="D549" s="6" t="s">
        <v>113</v>
      </c>
      <c r="E549" s="6" t="s">
        <v>192</v>
      </c>
      <c r="F549" s="6" t="s">
        <v>115</v>
      </c>
      <c r="G549" s="15" t="s">
        <v>897</v>
      </c>
      <c r="H549" s="6" t="s">
        <v>1291</v>
      </c>
      <c r="I549" s="6"/>
      <c r="J549" s="6" t="s">
        <v>1292</v>
      </c>
      <c r="K549" s="16" t="s">
        <v>896</v>
      </c>
      <c r="L549" s="6"/>
      <c r="M549" s="6"/>
      <c r="N549" s="5" t="s">
        <v>1293</v>
      </c>
      <c r="O549" s="6" t="s">
        <v>1953</v>
      </c>
    </row>
    <row r="550" spans="1:15" x14ac:dyDescent="0.2">
      <c r="A550">
        <v>549</v>
      </c>
      <c r="C550" s="6" t="str">
        <f t="shared" si="8"/>
        <v/>
      </c>
      <c r="D550" s="6" t="s">
        <v>113</v>
      </c>
      <c r="E550" s="6" t="s">
        <v>192</v>
      </c>
      <c r="F550" s="6" t="s">
        <v>115</v>
      </c>
      <c r="G550" s="15" t="s">
        <v>899</v>
      </c>
      <c r="H550" s="6" t="s">
        <v>1291</v>
      </c>
      <c r="I550" s="6"/>
      <c r="J550" s="6" t="s">
        <v>1292</v>
      </c>
      <c r="K550" s="16" t="s">
        <v>898</v>
      </c>
      <c r="L550" s="6"/>
      <c r="M550" s="6"/>
      <c r="N550" s="5" t="s">
        <v>1293</v>
      </c>
      <c r="O550" s="6" t="s">
        <v>1953</v>
      </c>
    </row>
    <row r="551" spans="1:15" x14ac:dyDescent="0.2">
      <c r="A551">
        <v>550</v>
      </c>
      <c r="C551" s="6" t="str">
        <f t="shared" si="8"/>
        <v/>
      </c>
      <c r="D551" s="6" t="s">
        <v>113</v>
      </c>
      <c r="E551" s="6" t="s">
        <v>192</v>
      </c>
      <c r="F551" s="6" t="s">
        <v>115</v>
      </c>
      <c r="G551" s="15" t="s">
        <v>901</v>
      </c>
      <c r="H551" s="6" t="s">
        <v>1291</v>
      </c>
      <c r="I551" s="6"/>
      <c r="J551" s="6" t="s">
        <v>1292</v>
      </c>
      <c r="K551" s="16" t="s">
        <v>900</v>
      </c>
      <c r="L551" s="6"/>
      <c r="M551" s="6"/>
      <c r="N551" s="5" t="s">
        <v>1293</v>
      </c>
      <c r="O551" s="6" t="s">
        <v>1953</v>
      </c>
    </row>
    <row r="552" spans="1:15" x14ac:dyDescent="0.2">
      <c r="A552">
        <v>551</v>
      </c>
      <c r="C552" s="6" t="str">
        <f t="shared" si="8"/>
        <v/>
      </c>
      <c r="D552" s="6" t="s">
        <v>113</v>
      </c>
      <c r="E552" s="6" t="s">
        <v>192</v>
      </c>
      <c r="F552" s="6" t="s">
        <v>115</v>
      </c>
      <c r="G552" s="15" t="s">
        <v>903</v>
      </c>
      <c r="H552" s="6" t="s">
        <v>1291</v>
      </c>
      <c r="I552" s="6"/>
      <c r="J552" s="6" t="s">
        <v>1292</v>
      </c>
      <c r="K552" s="16" t="s">
        <v>902</v>
      </c>
      <c r="L552" s="6"/>
      <c r="M552" s="6"/>
      <c r="N552" s="5" t="s">
        <v>1293</v>
      </c>
      <c r="O552" s="6" t="s">
        <v>1953</v>
      </c>
    </row>
    <row r="553" spans="1:15" x14ac:dyDescent="0.2">
      <c r="A553">
        <v>552</v>
      </c>
      <c r="C553" s="6" t="str">
        <f t="shared" si="8"/>
        <v/>
      </c>
      <c r="D553" s="6" t="s">
        <v>113</v>
      </c>
      <c r="E553" s="6" t="s">
        <v>192</v>
      </c>
      <c r="F553" s="6" t="s">
        <v>115</v>
      </c>
      <c r="G553" s="15" t="s">
        <v>905</v>
      </c>
      <c r="H553" s="6" t="s">
        <v>1291</v>
      </c>
      <c r="I553" s="6"/>
      <c r="J553" s="6" t="s">
        <v>1292</v>
      </c>
      <c r="K553" s="16" t="s">
        <v>904</v>
      </c>
      <c r="L553" s="6"/>
      <c r="M553" s="6"/>
      <c r="N553" s="5" t="s">
        <v>1293</v>
      </c>
      <c r="O553" s="6" t="s">
        <v>1953</v>
      </c>
    </row>
    <row r="554" spans="1:15" x14ac:dyDescent="0.2">
      <c r="A554">
        <v>553</v>
      </c>
      <c r="C554" s="6" t="str">
        <f t="shared" si="8"/>
        <v/>
      </c>
      <c r="D554" s="6" t="s">
        <v>113</v>
      </c>
      <c r="E554" s="6" t="s">
        <v>192</v>
      </c>
      <c r="F554" s="6" t="s">
        <v>115</v>
      </c>
      <c r="G554" s="15" t="s">
        <v>907</v>
      </c>
      <c r="H554" s="6" t="s">
        <v>1291</v>
      </c>
      <c r="I554" s="6"/>
      <c r="J554" s="6" t="s">
        <v>1292</v>
      </c>
      <c r="K554" s="16" t="s">
        <v>906</v>
      </c>
      <c r="L554" s="6"/>
      <c r="M554" s="6"/>
      <c r="N554" s="5" t="s">
        <v>1293</v>
      </c>
      <c r="O554" s="6" t="s">
        <v>1953</v>
      </c>
    </row>
    <row r="555" spans="1:15" x14ac:dyDescent="0.2">
      <c r="A555">
        <v>554</v>
      </c>
      <c r="C555" s="6" t="str">
        <f t="shared" si="8"/>
        <v/>
      </c>
      <c r="D555" s="6" t="s">
        <v>113</v>
      </c>
      <c r="E555" s="6" t="s">
        <v>192</v>
      </c>
      <c r="F555" s="6" t="s">
        <v>115</v>
      </c>
      <c r="G555" s="15" t="s">
        <v>909</v>
      </c>
      <c r="H555" s="6" t="s">
        <v>1291</v>
      </c>
      <c r="I555" s="6"/>
      <c r="J555" s="6" t="s">
        <v>1292</v>
      </c>
      <c r="K555" s="16" t="s">
        <v>908</v>
      </c>
      <c r="L555" s="6"/>
      <c r="M555" s="6"/>
      <c r="N555" s="5" t="s">
        <v>1293</v>
      </c>
      <c r="O555" s="6" t="s">
        <v>1953</v>
      </c>
    </row>
    <row r="556" spans="1:15" x14ac:dyDescent="0.2">
      <c r="A556">
        <v>555</v>
      </c>
      <c r="C556" s="6" t="str">
        <f t="shared" si="8"/>
        <v/>
      </c>
      <c r="D556" s="6" t="s">
        <v>113</v>
      </c>
      <c r="E556" s="6" t="s">
        <v>192</v>
      </c>
      <c r="F556" s="6" t="s">
        <v>115</v>
      </c>
      <c r="G556" s="15" t="s">
        <v>911</v>
      </c>
      <c r="H556" s="6" t="s">
        <v>1291</v>
      </c>
      <c r="I556" s="6"/>
      <c r="J556" s="6" t="s">
        <v>1292</v>
      </c>
      <c r="K556" s="16" t="s">
        <v>910</v>
      </c>
      <c r="L556" s="6"/>
      <c r="M556" s="6"/>
      <c r="N556" s="5" t="s">
        <v>1293</v>
      </c>
      <c r="O556" s="6" t="s">
        <v>1953</v>
      </c>
    </row>
    <row r="557" spans="1:15" x14ac:dyDescent="0.2">
      <c r="A557">
        <v>556</v>
      </c>
      <c r="C557" s="6" t="str">
        <f t="shared" si="8"/>
        <v/>
      </c>
      <c r="D557" s="6" t="s">
        <v>113</v>
      </c>
      <c r="E557" s="6" t="s">
        <v>192</v>
      </c>
      <c r="F557" s="6" t="s">
        <v>115</v>
      </c>
      <c r="G557" s="15" t="s">
        <v>913</v>
      </c>
      <c r="H557" s="6" t="s">
        <v>1291</v>
      </c>
      <c r="I557" s="6"/>
      <c r="J557" s="6" t="s">
        <v>1292</v>
      </c>
      <c r="K557" s="16" t="s">
        <v>912</v>
      </c>
      <c r="L557" s="6"/>
      <c r="M557" s="6"/>
      <c r="N557" s="5" t="s">
        <v>1293</v>
      </c>
      <c r="O557" s="6" t="s">
        <v>1953</v>
      </c>
    </row>
    <row r="558" spans="1:15" x14ac:dyDescent="0.2">
      <c r="A558">
        <v>557</v>
      </c>
      <c r="C558" s="6" t="str">
        <f t="shared" si="8"/>
        <v/>
      </c>
      <c r="D558" s="6" t="s">
        <v>113</v>
      </c>
      <c r="E558" s="6" t="s">
        <v>192</v>
      </c>
      <c r="F558" s="6" t="s">
        <v>115</v>
      </c>
      <c r="G558" s="15" t="s">
        <v>915</v>
      </c>
      <c r="H558" s="6" t="s">
        <v>1291</v>
      </c>
      <c r="I558" s="6"/>
      <c r="J558" s="6" t="s">
        <v>1292</v>
      </c>
      <c r="K558" s="16" t="s">
        <v>914</v>
      </c>
      <c r="L558" s="6"/>
      <c r="M558" s="6"/>
      <c r="N558" s="5" t="s">
        <v>1293</v>
      </c>
      <c r="O558" s="6" t="s">
        <v>1953</v>
      </c>
    </row>
    <row r="559" spans="1:15" x14ac:dyDescent="0.2">
      <c r="A559">
        <v>558</v>
      </c>
      <c r="C559" s="6" t="str">
        <f t="shared" si="8"/>
        <v/>
      </c>
      <c r="D559" s="6" t="s">
        <v>113</v>
      </c>
      <c r="E559" s="6" t="s">
        <v>192</v>
      </c>
      <c r="F559" s="6" t="s">
        <v>115</v>
      </c>
      <c r="G559" s="15" t="s">
        <v>917</v>
      </c>
      <c r="H559" s="6" t="s">
        <v>1291</v>
      </c>
      <c r="I559" s="6"/>
      <c r="J559" s="6" t="s">
        <v>1292</v>
      </c>
      <c r="K559" s="16" t="s">
        <v>916</v>
      </c>
      <c r="L559" s="6"/>
      <c r="M559" s="6"/>
      <c r="N559" s="5" t="s">
        <v>1293</v>
      </c>
      <c r="O559" s="6" t="s">
        <v>1953</v>
      </c>
    </row>
    <row r="560" spans="1:15" x14ac:dyDescent="0.2">
      <c r="A560">
        <v>559</v>
      </c>
      <c r="C560" s="6" t="str">
        <f t="shared" si="8"/>
        <v/>
      </c>
      <c r="D560" s="6" t="s">
        <v>113</v>
      </c>
      <c r="E560" s="6" t="s">
        <v>192</v>
      </c>
      <c r="F560" s="6" t="s">
        <v>115</v>
      </c>
      <c r="G560" s="15" t="s">
        <v>919</v>
      </c>
      <c r="H560" s="6" t="s">
        <v>1291</v>
      </c>
      <c r="I560" s="6"/>
      <c r="J560" s="6" t="s">
        <v>1292</v>
      </c>
      <c r="K560" s="16" t="s">
        <v>918</v>
      </c>
      <c r="L560" s="6"/>
      <c r="M560" s="6"/>
      <c r="N560" s="5" t="s">
        <v>1293</v>
      </c>
      <c r="O560" s="6" t="s">
        <v>1953</v>
      </c>
    </row>
    <row r="561" spans="1:15" x14ac:dyDescent="0.2">
      <c r="A561">
        <v>560</v>
      </c>
      <c r="C561" s="6" t="str">
        <f t="shared" si="8"/>
        <v/>
      </c>
      <c r="D561" s="6" t="s">
        <v>113</v>
      </c>
      <c r="E561" s="6" t="s">
        <v>192</v>
      </c>
      <c r="F561" s="6" t="s">
        <v>115</v>
      </c>
      <c r="G561" s="15" t="s">
        <v>921</v>
      </c>
      <c r="H561" s="6" t="s">
        <v>1291</v>
      </c>
      <c r="I561" s="6"/>
      <c r="J561" s="6" t="s">
        <v>1292</v>
      </c>
      <c r="K561" s="16" t="s">
        <v>920</v>
      </c>
      <c r="L561" s="6"/>
      <c r="M561" s="6"/>
      <c r="N561" s="5" t="s">
        <v>1293</v>
      </c>
      <c r="O561" s="6" t="s">
        <v>1953</v>
      </c>
    </row>
    <row r="562" spans="1:15" x14ac:dyDescent="0.2">
      <c r="A562">
        <v>561</v>
      </c>
      <c r="C562" s="6" t="str">
        <f t="shared" si="8"/>
        <v/>
      </c>
      <c r="D562" s="6" t="s">
        <v>113</v>
      </c>
      <c r="E562" s="6" t="s">
        <v>192</v>
      </c>
      <c r="F562" s="6" t="s">
        <v>115</v>
      </c>
      <c r="G562" s="15" t="s">
        <v>923</v>
      </c>
      <c r="H562" s="6" t="s">
        <v>1291</v>
      </c>
      <c r="I562" s="6"/>
      <c r="J562" s="6" t="s">
        <v>1292</v>
      </c>
      <c r="K562" s="16" t="s">
        <v>922</v>
      </c>
      <c r="L562" s="6"/>
      <c r="M562" s="6"/>
      <c r="N562" s="5" t="s">
        <v>1293</v>
      </c>
      <c r="O562" s="6" t="s">
        <v>1953</v>
      </c>
    </row>
    <row r="563" spans="1:15" x14ac:dyDescent="0.2">
      <c r="A563">
        <v>562</v>
      </c>
      <c r="C563" s="6" t="str">
        <f t="shared" si="8"/>
        <v/>
      </c>
      <c r="D563" s="6" t="s">
        <v>113</v>
      </c>
      <c r="E563" s="6" t="s">
        <v>192</v>
      </c>
      <c r="F563" s="6" t="s">
        <v>115</v>
      </c>
      <c r="G563" s="15" t="s">
        <v>925</v>
      </c>
      <c r="H563" s="6" t="s">
        <v>1291</v>
      </c>
      <c r="I563" s="6"/>
      <c r="J563" s="6" t="s">
        <v>1292</v>
      </c>
      <c r="K563" s="16" t="s">
        <v>924</v>
      </c>
      <c r="L563" s="6"/>
      <c r="M563" s="6"/>
      <c r="N563" s="5" t="s">
        <v>1293</v>
      </c>
      <c r="O563" s="6" t="s">
        <v>1953</v>
      </c>
    </row>
    <row r="564" spans="1:15" x14ac:dyDescent="0.2">
      <c r="A564">
        <v>563</v>
      </c>
      <c r="C564" s="6" t="str">
        <f t="shared" si="8"/>
        <v/>
      </c>
      <c r="D564" s="6" t="s">
        <v>113</v>
      </c>
      <c r="E564" s="6" t="s">
        <v>192</v>
      </c>
      <c r="F564" s="6" t="s">
        <v>115</v>
      </c>
      <c r="G564" s="15" t="s">
        <v>927</v>
      </c>
      <c r="H564" s="6" t="s">
        <v>1291</v>
      </c>
      <c r="I564" s="6"/>
      <c r="J564" s="6" t="s">
        <v>1292</v>
      </c>
      <c r="K564" s="16" t="s">
        <v>926</v>
      </c>
      <c r="L564" s="6"/>
      <c r="M564" s="6"/>
      <c r="N564" s="5" t="s">
        <v>1293</v>
      </c>
      <c r="O564" s="6" t="s">
        <v>1953</v>
      </c>
    </row>
    <row r="565" spans="1:15" x14ac:dyDescent="0.2">
      <c r="A565">
        <v>564</v>
      </c>
      <c r="C565" s="6" t="str">
        <f t="shared" si="8"/>
        <v/>
      </c>
      <c r="D565" s="6" t="s">
        <v>113</v>
      </c>
      <c r="E565" s="6" t="s">
        <v>192</v>
      </c>
      <c r="F565" s="6" t="s">
        <v>115</v>
      </c>
      <c r="G565" s="15" t="s">
        <v>929</v>
      </c>
      <c r="H565" s="6" t="s">
        <v>1291</v>
      </c>
      <c r="I565" s="6"/>
      <c r="J565" s="6" t="s">
        <v>1292</v>
      </c>
      <c r="K565" s="16" t="s">
        <v>928</v>
      </c>
      <c r="L565" s="6"/>
      <c r="M565" s="6"/>
      <c r="N565" s="5" t="s">
        <v>1293</v>
      </c>
      <c r="O565" s="6" t="s">
        <v>1953</v>
      </c>
    </row>
    <row r="566" spans="1:15" x14ac:dyDescent="0.2">
      <c r="A566">
        <v>565</v>
      </c>
      <c r="C566" s="6" t="str">
        <f t="shared" si="8"/>
        <v/>
      </c>
      <c r="D566" s="6" t="s">
        <v>113</v>
      </c>
      <c r="E566" s="6" t="s">
        <v>192</v>
      </c>
      <c r="F566" s="6" t="s">
        <v>115</v>
      </c>
      <c r="G566" s="15" t="s">
        <v>931</v>
      </c>
      <c r="H566" s="6" t="s">
        <v>1291</v>
      </c>
      <c r="I566" s="6"/>
      <c r="J566" s="6" t="s">
        <v>1292</v>
      </c>
      <c r="K566" s="16" t="s">
        <v>930</v>
      </c>
      <c r="L566" s="6"/>
      <c r="M566" s="6"/>
      <c r="N566" s="5" t="s">
        <v>1293</v>
      </c>
      <c r="O566" s="6" t="s">
        <v>1953</v>
      </c>
    </row>
    <row r="567" spans="1:15" x14ac:dyDescent="0.2">
      <c r="A567">
        <v>566</v>
      </c>
      <c r="C567" s="6" t="str">
        <f t="shared" si="8"/>
        <v/>
      </c>
      <c r="D567" s="6" t="s">
        <v>113</v>
      </c>
      <c r="E567" s="6" t="s">
        <v>192</v>
      </c>
      <c r="F567" s="6" t="s">
        <v>115</v>
      </c>
      <c r="G567" s="15" t="s">
        <v>932</v>
      </c>
      <c r="H567" s="6" t="s">
        <v>1291</v>
      </c>
      <c r="I567" s="6"/>
      <c r="J567" s="6" t="s">
        <v>1292</v>
      </c>
      <c r="K567" s="20" t="s">
        <v>1584</v>
      </c>
      <c r="L567" s="6"/>
      <c r="M567" s="6"/>
      <c r="N567" s="5" t="s">
        <v>1293</v>
      </c>
      <c r="O567" s="6" t="s">
        <v>1953</v>
      </c>
    </row>
    <row r="568" spans="1:15" x14ac:dyDescent="0.2">
      <c r="A568">
        <v>567</v>
      </c>
      <c r="C568" s="6" t="str">
        <f t="shared" si="8"/>
        <v/>
      </c>
      <c r="D568" s="6" t="s">
        <v>113</v>
      </c>
      <c r="E568" s="6" t="s">
        <v>192</v>
      </c>
      <c r="F568" s="6" t="s">
        <v>115</v>
      </c>
      <c r="G568" s="15" t="s">
        <v>934</v>
      </c>
      <c r="H568" s="6" t="s">
        <v>1291</v>
      </c>
      <c r="I568" s="6"/>
      <c r="J568" s="6" t="s">
        <v>1292</v>
      </c>
      <c r="K568" s="16" t="s">
        <v>933</v>
      </c>
      <c r="L568" s="6"/>
      <c r="M568" s="6"/>
      <c r="N568" s="5" t="s">
        <v>1293</v>
      </c>
      <c r="O568" s="6" t="s">
        <v>1953</v>
      </c>
    </row>
    <row r="569" spans="1:15" x14ac:dyDescent="0.2">
      <c r="A569">
        <v>568</v>
      </c>
      <c r="C569" s="6" t="str">
        <f t="shared" si="8"/>
        <v/>
      </c>
      <c r="D569" s="6" t="s">
        <v>113</v>
      </c>
      <c r="E569" s="6" t="s">
        <v>192</v>
      </c>
      <c r="F569" s="6" t="s">
        <v>115</v>
      </c>
      <c r="G569" s="15" t="s">
        <v>936</v>
      </c>
      <c r="H569" s="6" t="s">
        <v>1291</v>
      </c>
      <c r="I569" s="6"/>
      <c r="J569" s="6" t="s">
        <v>1292</v>
      </c>
      <c r="K569" s="16" t="s">
        <v>935</v>
      </c>
      <c r="L569" s="6"/>
      <c r="M569" s="6"/>
      <c r="N569" s="5" t="s">
        <v>1293</v>
      </c>
      <c r="O569" s="6" t="s">
        <v>1953</v>
      </c>
    </row>
    <row r="570" spans="1:15" x14ac:dyDescent="0.2">
      <c r="A570">
        <v>569</v>
      </c>
      <c r="C570" s="6" t="str">
        <f t="shared" si="8"/>
        <v/>
      </c>
      <c r="D570" s="6" t="s">
        <v>113</v>
      </c>
      <c r="E570" s="6" t="s">
        <v>192</v>
      </c>
      <c r="F570" s="6" t="s">
        <v>115</v>
      </c>
      <c r="G570" s="15" t="s">
        <v>938</v>
      </c>
      <c r="H570" s="6" t="s">
        <v>1291</v>
      </c>
      <c r="I570" s="6"/>
      <c r="J570" s="6" t="s">
        <v>1292</v>
      </c>
      <c r="K570" s="16" t="s">
        <v>937</v>
      </c>
      <c r="L570" s="6"/>
      <c r="M570" s="6"/>
      <c r="N570" s="5" t="s">
        <v>1293</v>
      </c>
      <c r="O570" s="6" t="s">
        <v>1953</v>
      </c>
    </row>
    <row r="571" spans="1:15" x14ac:dyDescent="0.2">
      <c r="A571">
        <v>570</v>
      </c>
      <c r="C571" s="6" t="str">
        <f t="shared" si="8"/>
        <v/>
      </c>
      <c r="D571" s="6" t="s">
        <v>113</v>
      </c>
      <c r="E571" s="6" t="s">
        <v>192</v>
      </c>
      <c r="F571" s="6" t="s">
        <v>115</v>
      </c>
      <c r="G571" s="15" t="s">
        <v>940</v>
      </c>
      <c r="H571" s="6" t="s">
        <v>1291</v>
      </c>
      <c r="I571" s="6"/>
      <c r="J571" s="6" t="s">
        <v>1292</v>
      </c>
      <c r="K571" s="16" t="s">
        <v>939</v>
      </c>
      <c r="L571" s="6"/>
      <c r="M571" s="6"/>
      <c r="N571" s="5" t="s">
        <v>1293</v>
      </c>
      <c r="O571" s="6" t="s">
        <v>1953</v>
      </c>
    </row>
    <row r="572" spans="1:15" x14ac:dyDescent="0.2">
      <c r="A572">
        <v>571</v>
      </c>
      <c r="C572" s="6" t="str">
        <f t="shared" si="8"/>
        <v/>
      </c>
      <c r="D572" s="6" t="s">
        <v>113</v>
      </c>
      <c r="E572" s="6" t="s">
        <v>192</v>
      </c>
      <c r="F572" s="6" t="s">
        <v>115</v>
      </c>
      <c r="G572" s="15" t="s">
        <v>942</v>
      </c>
      <c r="H572" s="6" t="s">
        <v>1291</v>
      </c>
      <c r="I572" s="6"/>
      <c r="J572" s="6" t="s">
        <v>1292</v>
      </c>
      <c r="K572" s="16" t="s">
        <v>941</v>
      </c>
      <c r="L572" s="6"/>
      <c r="M572" s="6"/>
      <c r="N572" s="5" t="s">
        <v>1293</v>
      </c>
      <c r="O572" s="6" t="s">
        <v>1953</v>
      </c>
    </row>
    <row r="573" spans="1:15" x14ac:dyDescent="0.2">
      <c r="A573">
        <v>572</v>
      </c>
      <c r="C573" s="6" t="str">
        <f t="shared" si="8"/>
        <v/>
      </c>
      <c r="D573" s="6" t="s">
        <v>113</v>
      </c>
      <c r="E573" s="6" t="s">
        <v>192</v>
      </c>
      <c r="F573" s="6" t="s">
        <v>115</v>
      </c>
      <c r="G573" s="15" t="s">
        <v>943</v>
      </c>
      <c r="H573" s="6" t="s">
        <v>1291</v>
      </c>
      <c r="I573" s="6"/>
      <c r="J573" s="6" t="s">
        <v>1292</v>
      </c>
      <c r="K573" s="20" t="s">
        <v>639</v>
      </c>
      <c r="L573" s="6"/>
      <c r="M573" s="6"/>
      <c r="N573" s="5" t="s">
        <v>1293</v>
      </c>
      <c r="O573" s="6" t="s">
        <v>1953</v>
      </c>
    </row>
    <row r="574" spans="1:15" x14ac:dyDescent="0.2">
      <c r="A574">
        <v>573</v>
      </c>
      <c r="C574" s="6" t="str">
        <f t="shared" si="8"/>
        <v/>
      </c>
      <c r="D574" s="6" t="s">
        <v>113</v>
      </c>
      <c r="E574" s="6" t="s">
        <v>192</v>
      </c>
      <c r="F574" s="6" t="s">
        <v>115</v>
      </c>
      <c r="G574" s="15" t="s">
        <v>945</v>
      </c>
      <c r="H574" s="6" t="s">
        <v>1291</v>
      </c>
      <c r="I574" s="6"/>
      <c r="J574" s="6" t="s">
        <v>1292</v>
      </c>
      <c r="K574" s="16" t="s">
        <v>944</v>
      </c>
      <c r="L574" s="6"/>
      <c r="M574" s="6"/>
      <c r="N574" s="5" t="s">
        <v>1293</v>
      </c>
      <c r="O574" s="6" t="s">
        <v>1953</v>
      </c>
    </row>
    <row r="575" spans="1:15" x14ac:dyDescent="0.2">
      <c r="A575">
        <v>574</v>
      </c>
      <c r="C575" s="6" t="str">
        <f t="shared" si="8"/>
        <v/>
      </c>
      <c r="D575" s="6" t="s">
        <v>113</v>
      </c>
      <c r="E575" s="6" t="s">
        <v>192</v>
      </c>
      <c r="F575" s="6" t="s">
        <v>115</v>
      </c>
      <c r="G575" s="15" t="s">
        <v>947</v>
      </c>
      <c r="H575" s="6" t="s">
        <v>1291</v>
      </c>
      <c r="I575" s="6"/>
      <c r="J575" s="6" t="s">
        <v>1292</v>
      </c>
      <c r="K575" s="16" t="s">
        <v>946</v>
      </c>
      <c r="L575" s="6"/>
      <c r="M575" s="6"/>
      <c r="N575" s="5" t="s">
        <v>1293</v>
      </c>
      <c r="O575" s="6" t="s">
        <v>1953</v>
      </c>
    </row>
    <row r="576" spans="1:15" x14ac:dyDescent="0.2">
      <c r="A576">
        <v>575</v>
      </c>
      <c r="C576" s="6" t="str">
        <f t="shared" si="8"/>
        <v/>
      </c>
      <c r="D576" s="6" t="s">
        <v>113</v>
      </c>
      <c r="E576" s="6" t="s">
        <v>192</v>
      </c>
      <c r="F576" s="6" t="s">
        <v>115</v>
      </c>
      <c r="G576" s="15" t="s">
        <v>949</v>
      </c>
      <c r="H576" s="6" t="s">
        <v>1291</v>
      </c>
      <c r="I576" s="6"/>
      <c r="J576" s="6" t="s">
        <v>1292</v>
      </c>
      <c r="K576" s="16" t="s">
        <v>948</v>
      </c>
      <c r="L576" s="6"/>
      <c r="M576" s="6"/>
      <c r="N576" s="5" t="s">
        <v>1293</v>
      </c>
      <c r="O576" s="6" t="s">
        <v>1953</v>
      </c>
    </row>
    <row r="577" spans="1:15" x14ac:dyDescent="0.2">
      <c r="A577">
        <v>576</v>
      </c>
      <c r="C577" s="6" t="str">
        <f t="shared" si="8"/>
        <v/>
      </c>
      <c r="D577" s="6" t="s">
        <v>113</v>
      </c>
      <c r="E577" s="6" t="s">
        <v>192</v>
      </c>
      <c r="F577" s="6" t="s">
        <v>115</v>
      </c>
      <c r="G577" s="15" t="s">
        <v>951</v>
      </c>
      <c r="H577" s="6" t="s">
        <v>1291</v>
      </c>
      <c r="I577" s="6"/>
      <c r="J577" s="6" t="s">
        <v>1292</v>
      </c>
      <c r="K577" s="16" t="s">
        <v>950</v>
      </c>
      <c r="L577" s="6"/>
      <c r="M577" s="6"/>
      <c r="N577" s="5" t="s">
        <v>1293</v>
      </c>
      <c r="O577" s="6" t="s">
        <v>1953</v>
      </c>
    </row>
    <row r="578" spans="1:15" x14ac:dyDescent="0.2">
      <c r="A578">
        <v>577</v>
      </c>
      <c r="C578" s="6" t="str">
        <f t="shared" si="8"/>
        <v/>
      </c>
      <c r="D578" s="6" t="s">
        <v>113</v>
      </c>
      <c r="E578" s="6" t="s">
        <v>192</v>
      </c>
      <c r="F578" s="6" t="s">
        <v>115</v>
      </c>
      <c r="G578" s="15" t="s">
        <v>953</v>
      </c>
      <c r="H578" s="6" t="s">
        <v>1291</v>
      </c>
      <c r="I578" s="6"/>
      <c r="J578" s="6" t="s">
        <v>1292</v>
      </c>
      <c r="K578" s="16" t="s">
        <v>952</v>
      </c>
      <c r="L578" s="6"/>
      <c r="M578" s="6"/>
      <c r="N578" s="5" t="s">
        <v>1293</v>
      </c>
      <c r="O578" s="6" t="s">
        <v>1953</v>
      </c>
    </row>
    <row r="579" spans="1:15" x14ac:dyDescent="0.2">
      <c r="A579">
        <v>578</v>
      </c>
      <c r="C579" s="6" t="str">
        <f t="shared" ref="C579:C644" si="9">IF(AND(G579="NA",H579&lt;&gt;"wide_value"),TRUE,"")</f>
        <v/>
      </c>
      <c r="D579" s="6" t="s">
        <v>113</v>
      </c>
      <c r="E579" s="6" t="s">
        <v>192</v>
      </c>
      <c r="F579" s="6" t="s">
        <v>115</v>
      </c>
      <c r="G579" s="15" t="s">
        <v>955</v>
      </c>
      <c r="H579" s="6" t="s">
        <v>1291</v>
      </c>
      <c r="I579" s="6"/>
      <c r="J579" s="6" t="s">
        <v>1292</v>
      </c>
      <c r="K579" s="16" t="s">
        <v>954</v>
      </c>
      <c r="L579" s="6"/>
      <c r="M579" s="6"/>
      <c r="N579" s="5" t="s">
        <v>1293</v>
      </c>
      <c r="O579" s="6" t="s">
        <v>1953</v>
      </c>
    </row>
    <row r="580" spans="1:15" x14ac:dyDescent="0.2">
      <c r="A580">
        <v>579</v>
      </c>
      <c r="C580" s="6" t="str">
        <f t="shared" si="9"/>
        <v/>
      </c>
      <c r="D580" s="6" t="s">
        <v>113</v>
      </c>
      <c r="E580" s="6" t="s">
        <v>192</v>
      </c>
      <c r="F580" s="6" t="s">
        <v>115</v>
      </c>
      <c r="G580" s="15" t="s">
        <v>957</v>
      </c>
      <c r="H580" s="6" t="s">
        <v>1291</v>
      </c>
      <c r="I580" s="6"/>
      <c r="J580" s="6" t="s">
        <v>1292</v>
      </c>
      <c r="K580" s="16" t="s">
        <v>956</v>
      </c>
      <c r="L580" s="6"/>
      <c r="M580" s="6"/>
      <c r="N580" s="5" t="s">
        <v>1293</v>
      </c>
      <c r="O580" s="6" t="s">
        <v>1953</v>
      </c>
    </row>
    <row r="581" spans="1:15" x14ac:dyDescent="0.2">
      <c r="A581">
        <v>580</v>
      </c>
      <c r="C581" s="6" t="str">
        <f t="shared" si="9"/>
        <v/>
      </c>
      <c r="D581" s="6" t="s">
        <v>113</v>
      </c>
      <c r="E581" s="6" t="s">
        <v>192</v>
      </c>
      <c r="F581" s="6" t="s">
        <v>115</v>
      </c>
      <c r="G581" s="15" t="s">
        <v>959</v>
      </c>
      <c r="H581" s="6" t="s">
        <v>1291</v>
      </c>
      <c r="I581" s="6"/>
      <c r="J581" s="6" t="s">
        <v>1292</v>
      </c>
      <c r="K581" s="16" t="s">
        <v>958</v>
      </c>
      <c r="L581" s="6"/>
      <c r="M581" s="6"/>
      <c r="N581" s="5" t="s">
        <v>1293</v>
      </c>
      <c r="O581" s="6" t="s">
        <v>1953</v>
      </c>
    </row>
    <row r="582" spans="1:15" x14ac:dyDescent="0.2">
      <c r="A582">
        <v>581</v>
      </c>
      <c r="C582" s="6" t="str">
        <f t="shared" si="9"/>
        <v/>
      </c>
      <c r="D582" s="6" t="s">
        <v>113</v>
      </c>
      <c r="E582" s="6" t="s">
        <v>192</v>
      </c>
      <c r="F582" s="6" t="s">
        <v>115</v>
      </c>
      <c r="G582" s="15" t="s">
        <v>961</v>
      </c>
      <c r="H582" s="6" t="s">
        <v>1291</v>
      </c>
      <c r="I582" s="6"/>
      <c r="J582" s="6" t="s">
        <v>1292</v>
      </c>
      <c r="K582" s="16" t="s">
        <v>960</v>
      </c>
      <c r="L582" s="6"/>
      <c r="M582" s="6"/>
      <c r="N582" s="5" t="s">
        <v>1293</v>
      </c>
      <c r="O582" s="6" t="s">
        <v>1953</v>
      </c>
    </row>
    <row r="583" spans="1:15" x14ac:dyDescent="0.2">
      <c r="A583">
        <v>582</v>
      </c>
      <c r="C583" s="6" t="str">
        <f t="shared" si="9"/>
        <v/>
      </c>
      <c r="D583" s="6" t="s">
        <v>113</v>
      </c>
      <c r="E583" s="6" t="s">
        <v>192</v>
      </c>
      <c r="F583" s="6" t="s">
        <v>115</v>
      </c>
      <c r="G583" s="15" t="s">
        <v>963</v>
      </c>
      <c r="H583" s="6" t="s">
        <v>1291</v>
      </c>
      <c r="I583" s="6"/>
      <c r="J583" s="6" t="s">
        <v>1292</v>
      </c>
      <c r="K583" s="16" t="s">
        <v>962</v>
      </c>
      <c r="L583" s="6"/>
      <c r="M583" s="6"/>
      <c r="N583" s="5" t="s">
        <v>1293</v>
      </c>
      <c r="O583" s="6" t="s">
        <v>1953</v>
      </c>
    </row>
    <row r="584" spans="1:15" x14ac:dyDescent="0.2">
      <c r="A584">
        <v>583</v>
      </c>
      <c r="C584" s="6" t="str">
        <f t="shared" si="9"/>
        <v/>
      </c>
      <c r="D584" s="6" t="s">
        <v>113</v>
      </c>
      <c r="E584" s="6" t="s">
        <v>192</v>
      </c>
      <c r="F584" s="6" t="s">
        <v>115</v>
      </c>
      <c r="G584" s="15" t="s">
        <v>965</v>
      </c>
      <c r="H584" s="6" t="s">
        <v>1291</v>
      </c>
      <c r="I584" s="6"/>
      <c r="J584" s="6" t="s">
        <v>1292</v>
      </c>
      <c r="K584" s="16" t="s">
        <v>964</v>
      </c>
      <c r="L584" s="6"/>
      <c r="M584" s="6"/>
      <c r="N584" s="5" t="s">
        <v>1293</v>
      </c>
      <c r="O584" s="6" t="s">
        <v>1953</v>
      </c>
    </row>
    <row r="585" spans="1:15" x14ac:dyDescent="0.2">
      <c r="A585">
        <v>584</v>
      </c>
      <c r="C585" s="6" t="str">
        <f t="shared" si="9"/>
        <v/>
      </c>
      <c r="D585" s="6" t="s">
        <v>113</v>
      </c>
      <c r="E585" s="6" t="s">
        <v>192</v>
      </c>
      <c r="F585" s="6" t="s">
        <v>115</v>
      </c>
      <c r="G585" s="15" t="s">
        <v>967</v>
      </c>
      <c r="H585" s="6" t="s">
        <v>1291</v>
      </c>
      <c r="I585" s="6"/>
      <c r="J585" s="6" t="s">
        <v>1292</v>
      </c>
      <c r="K585" s="16" t="s">
        <v>966</v>
      </c>
      <c r="L585" s="6"/>
      <c r="M585" s="6"/>
      <c r="N585" s="5" t="s">
        <v>1293</v>
      </c>
      <c r="O585" s="6" t="s">
        <v>1953</v>
      </c>
    </row>
    <row r="586" spans="1:15" x14ac:dyDescent="0.2">
      <c r="A586">
        <v>585</v>
      </c>
      <c r="C586" s="6" t="str">
        <f t="shared" si="9"/>
        <v/>
      </c>
      <c r="D586" s="6" t="s">
        <v>113</v>
      </c>
      <c r="E586" s="6" t="s">
        <v>192</v>
      </c>
      <c r="F586" s="6" t="s">
        <v>115</v>
      </c>
      <c r="G586" s="15" t="s">
        <v>968</v>
      </c>
      <c r="H586" s="6" t="s">
        <v>1291</v>
      </c>
      <c r="I586" s="6"/>
      <c r="J586" s="6" t="s">
        <v>1423</v>
      </c>
      <c r="K586" s="20" t="s">
        <v>1578</v>
      </c>
      <c r="L586" s="6"/>
      <c r="M586" s="6" t="s">
        <v>1561</v>
      </c>
      <c r="N586" s="5" t="s">
        <v>1293</v>
      </c>
      <c r="O586" s="6" t="s">
        <v>1953</v>
      </c>
    </row>
    <row r="587" spans="1:15" x14ac:dyDescent="0.2">
      <c r="A587">
        <v>586</v>
      </c>
      <c r="C587" s="6" t="str">
        <f t="shared" si="9"/>
        <v/>
      </c>
      <c r="D587" s="6" t="s">
        <v>113</v>
      </c>
      <c r="E587" s="6" t="s">
        <v>192</v>
      </c>
      <c r="F587" s="6" t="s">
        <v>115</v>
      </c>
      <c r="G587" s="15" t="s">
        <v>970</v>
      </c>
      <c r="H587" s="6" t="s">
        <v>1291</v>
      </c>
      <c r="I587" s="6"/>
      <c r="J587" s="6" t="s">
        <v>1292</v>
      </c>
      <c r="K587" s="16" t="s">
        <v>969</v>
      </c>
      <c r="L587" s="6"/>
      <c r="M587" s="6"/>
      <c r="N587" s="5" t="s">
        <v>1293</v>
      </c>
      <c r="O587" s="6" t="s">
        <v>1953</v>
      </c>
    </row>
    <row r="588" spans="1:15" x14ac:dyDescent="0.2">
      <c r="A588">
        <v>587</v>
      </c>
      <c r="C588" s="6" t="str">
        <f t="shared" si="9"/>
        <v/>
      </c>
      <c r="D588" s="6" t="s">
        <v>113</v>
      </c>
      <c r="E588" s="6" t="s">
        <v>192</v>
      </c>
      <c r="F588" s="6" t="s">
        <v>115</v>
      </c>
      <c r="G588" s="15" t="s">
        <v>972</v>
      </c>
      <c r="H588" s="6" t="s">
        <v>1291</v>
      </c>
      <c r="I588" s="6"/>
      <c r="J588" s="6" t="s">
        <v>1292</v>
      </c>
      <c r="K588" s="16" t="s">
        <v>971</v>
      </c>
      <c r="L588" s="6"/>
      <c r="M588" s="6"/>
      <c r="N588" s="5" t="s">
        <v>1293</v>
      </c>
      <c r="O588" s="6" t="s">
        <v>1953</v>
      </c>
    </row>
    <row r="589" spans="1:15" x14ac:dyDescent="0.2">
      <c r="A589">
        <v>588</v>
      </c>
      <c r="C589" s="6" t="str">
        <f t="shared" si="9"/>
        <v/>
      </c>
      <c r="D589" s="6" t="s">
        <v>113</v>
      </c>
      <c r="E589" s="6" t="s">
        <v>192</v>
      </c>
      <c r="F589" s="6" t="s">
        <v>115</v>
      </c>
      <c r="G589" s="15" t="s">
        <v>974</v>
      </c>
      <c r="H589" s="6" t="s">
        <v>1291</v>
      </c>
      <c r="I589" s="6"/>
      <c r="J589" s="6" t="s">
        <v>1292</v>
      </c>
      <c r="K589" s="16" t="s">
        <v>973</v>
      </c>
      <c r="L589" s="6"/>
      <c r="M589" s="6"/>
      <c r="N589" s="5" t="s">
        <v>1293</v>
      </c>
      <c r="O589" s="6" t="s">
        <v>1953</v>
      </c>
    </row>
    <row r="590" spans="1:15" x14ac:dyDescent="0.2">
      <c r="A590">
        <v>589</v>
      </c>
      <c r="C590" s="6" t="str">
        <f t="shared" si="9"/>
        <v/>
      </c>
      <c r="D590" s="6" t="s">
        <v>113</v>
      </c>
      <c r="E590" s="6" t="s">
        <v>192</v>
      </c>
      <c r="F590" s="6" t="s">
        <v>115</v>
      </c>
      <c r="G590" s="15" t="s">
        <v>976</v>
      </c>
      <c r="H590" s="6" t="s">
        <v>1291</v>
      </c>
      <c r="I590" s="6"/>
      <c r="J590" s="6" t="s">
        <v>1292</v>
      </c>
      <c r="K590" s="16" t="s">
        <v>975</v>
      </c>
      <c r="L590" s="6"/>
      <c r="M590" s="6"/>
      <c r="N590" s="5" t="s">
        <v>1293</v>
      </c>
      <c r="O590" s="6" t="s">
        <v>1953</v>
      </c>
    </row>
    <row r="591" spans="1:15" x14ac:dyDescent="0.2">
      <c r="A591">
        <v>590</v>
      </c>
      <c r="C591" s="6" t="str">
        <f t="shared" si="9"/>
        <v/>
      </c>
      <c r="D591" s="6" t="s">
        <v>113</v>
      </c>
      <c r="E591" s="6" t="s">
        <v>192</v>
      </c>
      <c r="F591" s="6" t="s">
        <v>115</v>
      </c>
      <c r="G591" s="15" t="s">
        <v>978</v>
      </c>
      <c r="H591" s="6" t="s">
        <v>1291</v>
      </c>
      <c r="I591" s="6"/>
      <c r="J591" s="6" t="s">
        <v>1292</v>
      </c>
      <c r="K591" s="16" t="s">
        <v>977</v>
      </c>
      <c r="L591" s="6"/>
      <c r="M591" s="6"/>
      <c r="N591" s="5" t="s">
        <v>1293</v>
      </c>
      <c r="O591" s="6" t="s">
        <v>1953</v>
      </c>
    </row>
    <row r="592" spans="1:15" x14ac:dyDescent="0.2">
      <c r="A592">
        <v>591</v>
      </c>
      <c r="C592" s="6" t="str">
        <f t="shared" si="9"/>
        <v/>
      </c>
      <c r="D592" s="6" t="s">
        <v>113</v>
      </c>
      <c r="E592" s="6" t="s">
        <v>192</v>
      </c>
      <c r="F592" s="6" t="s">
        <v>115</v>
      </c>
      <c r="G592" s="15" t="s">
        <v>980</v>
      </c>
      <c r="H592" s="6" t="s">
        <v>1291</v>
      </c>
      <c r="I592" s="6"/>
      <c r="J592" s="6" t="s">
        <v>1292</v>
      </c>
      <c r="K592" s="16" t="s">
        <v>979</v>
      </c>
      <c r="L592" s="6"/>
      <c r="M592" s="6"/>
      <c r="N592" s="5" t="s">
        <v>1293</v>
      </c>
      <c r="O592" s="6" t="s">
        <v>1953</v>
      </c>
    </row>
    <row r="593" spans="1:15" x14ac:dyDescent="0.2">
      <c r="A593">
        <v>592</v>
      </c>
      <c r="C593" s="6" t="str">
        <f t="shared" si="9"/>
        <v/>
      </c>
      <c r="D593" s="6" t="s">
        <v>113</v>
      </c>
      <c r="E593" s="6" t="s">
        <v>192</v>
      </c>
      <c r="F593" s="6" t="s">
        <v>115</v>
      </c>
      <c r="G593" s="15" t="s">
        <v>982</v>
      </c>
      <c r="H593" s="6" t="s">
        <v>1291</v>
      </c>
      <c r="I593" s="6"/>
      <c r="J593" s="6" t="s">
        <v>1292</v>
      </c>
      <c r="K593" s="16" t="s">
        <v>981</v>
      </c>
      <c r="L593" s="6"/>
      <c r="M593" s="6"/>
      <c r="N593" s="5" t="s">
        <v>1293</v>
      </c>
      <c r="O593" s="6" t="s">
        <v>1953</v>
      </c>
    </row>
    <row r="594" spans="1:15" x14ac:dyDescent="0.2">
      <c r="A594">
        <v>593</v>
      </c>
      <c r="C594" s="6" t="str">
        <f t="shared" si="9"/>
        <v/>
      </c>
      <c r="D594" s="6" t="s">
        <v>113</v>
      </c>
      <c r="E594" s="6" t="s">
        <v>192</v>
      </c>
      <c r="F594" s="6" t="s">
        <v>115</v>
      </c>
      <c r="G594" s="15" t="s">
        <v>984</v>
      </c>
      <c r="H594" s="6" t="s">
        <v>1291</v>
      </c>
      <c r="I594" s="6"/>
      <c r="J594" s="6" t="s">
        <v>1292</v>
      </c>
      <c r="K594" s="16" t="s">
        <v>983</v>
      </c>
      <c r="L594" s="6"/>
      <c r="M594" s="6"/>
      <c r="N594" s="5" t="s">
        <v>1293</v>
      </c>
      <c r="O594" s="6" t="s">
        <v>1953</v>
      </c>
    </row>
    <row r="595" spans="1:15" x14ac:dyDescent="0.2">
      <c r="A595">
        <v>594</v>
      </c>
      <c r="C595" s="6" t="str">
        <f t="shared" si="9"/>
        <v/>
      </c>
      <c r="D595" s="6" t="s">
        <v>113</v>
      </c>
      <c r="E595" s="6" t="s">
        <v>192</v>
      </c>
      <c r="F595" s="6" t="s">
        <v>115</v>
      </c>
      <c r="G595" s="15" t="s">
        <v>986</v>
      </c>
      <c r="H595" s="6" t="s">
        <v>1291</v>
      </c>
      <c r="I595" s="6"/>
      <c r="J595" s="6" t="s">
        <v>1292</v>
      </c>
      <c r="K595" s="16" t="s">
        <v>985</v>
      </c>
      <c r="L595" s="6"/>
      <c r="M595" s="6"/>
      <c r="N595" s="5" t="s">
        <v>1293</v>
      </c>
      <c r="O595" s="6" t="s">
        <v>1953</v>
      </c>
    </row>
    <row r="596" spans="1:15" x14ac:dyDescent="0.2">
      <c r="A596">
        <v>595</v>
      </c>
      <c r="C596" s="6" t="str">
        <f t="shared" si="9"/>
        <v/>
      </c>
      <c r="D596" s="6" t="s">
        <v>113</v>
      </c>
      <c r="E596" s="6" t="s">
        <v>192</v>
      </c>
      <c r="F596" s="6" t="s">
        <v>115</v>
      </c>
      <c r="G596" s="15" t="s">
        <v>988</v>
      </c>
      <c r="H596" s="6" t="s">
        <v>1291</v>
      </c>
      <c r="I596" s="6"/>
      <c r="J596" s="6" t="s">
        <v>1292</v>
      </c>
      <c r="K596" s="16" t="s">
        <v>987</v>
      </c>
      <c r="L596" s="6"/>
      <c r="M596" s="6"/>
      <c r="N596" s="5" t="s">
        <v>1293</v>
      </c>
      <c r="O596" s="6" t="s">
        <v>1953</v>
      </c>
    </row>
    <row r="597" spans="1:15" x14ac:dyDescent="0.2">
      <c r="A597">
        <v>596</v>
      </c>
      <c r="C597" s="6" t="str">
        <f t="shared" si="9"/>
        <v/>
      </c>
      <c r="D597" s="6" t="s">
        <v>113</v>
      </c>
      <c r="E597" s="6" t="s">
        <v>192</v>
      </c>
      <c r="F597" s="6" t="s">
        <v>115</v>
      </c>
      <c r="G597" s="15" t="s">
        <v>990</v>
      </c>
      <c r="H597" s="6" t="s">
        <v>1291</v>
      </c>
      <c r="I597" s="6"/>
      <c r="J597" s="6" t="s">
        <v>1292</v>
      </c>
      <c r="K597" s="16" t="s">
        <v>989</v>
      </c>
      <c r="L597" s="6"/>
      <c r="M597" s="6"/>
      <c r="N597" s="5" t="s">
        <v>1293</v>
      </c>
      <c r="O597" s="6" t="s">
        <v>1953</v>
      </c>
    </row>
    <row r="598" spans="1:15" x14ac:dyDescent="0.2">
      <c r="A598">
        <v>597</v>
      </c>
      <c r="C598" s="6" t="str">
        <f t="shared" si="9"/>
        <v/>
      </c>
      <c r="D598" s="6" t="s">
        <v>113</v>
      </c>
      <c r="E598" s="6" t="s">
        <v>192</v>
      </c>
      <c r="F598" s="6" t="s">
        <v>115</v>
      </c>
      <c r="G598" s="15" t="s">
        <v>992</v>
      </c>
      <c r="H598" s="6" t="s">
        <v>1291</v>
      </c>
      <c r="I598" s="6"/>
      <c r="J598" s="6" t="s">
        <v>1292</v>
      </c>
      <c r="K598" s="16" t="s">
        <v>991</v>
      </c>
      <c r="L598" s="6"/>
      <c r="M598" s="6"/>
      <c r="N598" s="5" t="s">
        <v>1293</v>
      </c>
      <c r="O598" s="6" t="s">
        <v>1953</v>
      </c>
    </row>
    <row r="599" spans="1:15" x14ac:dyDescent="0.2">
      <c r="A599">
        <v>598</v>
      </c>
      <c r="C599" s="6" t="str">
        <f t="shared" si="9"/>
        <v/>
      </c>
      <c r="D599" s="6" t="s">
        <v>113</v>
      </c>
      <c r="E599" s="6" t="s">
        <v>192</v>
      </c>
      <c r="F599" s="6" t="s">
        <v>115</v>
      </c>
      <c r="G599" s="15" t="s">
        <v>994</v>
      </c>
      <c r="H599" s="6" t="s">
        <v>1291</v>
      </c>
      <c r="I599" s="6"/>
      <c r="J599" s="6" t="s">
        <v>1292</v>
      </c>
      <c r="K599" s="16" t="s">
        <v>993</v>
      </c>
      <c r="L599" s="6"/>
      <c r="M599" s="6"/>
      <c r="N599" s="5" t="s">
        <v>1293</v>
      </c>
      <c r="O599" s="6" t="s">
        <v>1953</v>
      </c>
    </row>
    <row r="600" spans="1:15" x14ac:dyDescent="0.2">
      <c r="A600">
        <v>599</v>
      </c>
      <c r="C600" s="6" t="str">
        <f t="shared" si="9"/>
        <v/>
      </c>
      <c r="D600" s="6" t="s">
        <v>113</v>
      </c>
      <c r="E600" s="6" t="s">
        <v>192</v>
      </c>
      <c r="F600" s="6" t="s">
        <v>115</v>
      </c>
      <c r="G600" s="15" t="s">
        <v>996</v>
      </c>
      <c r="H600" s="6" t="s">
        <v>1291</v>
      </c>
      <c r="I600" s="6"/>
      <c r="J600" s="6" t="s">
        <v>1292</v>
      </c>
      <c r="K600" s="16" t="s">
        <v>995</v>
      </c>
      <c r="L600" s="6"/>
      <c r="M600" s="6"/>
      <c r="N600" s="5" t="s">
        <v>1293</v>
      </c>
      <c r="O600" s="6" t="s">
        <v>1953</v>
      </c>
    </row>
    <row r="601" spans="1:15" x14ac:dyDescent="0.2">
      <c r="A601">
        <v>600</v>
      </c>
      <c r="C601" s="6" t="str">
        <f t="shared" si="9"/>
        <v/>
      </c>
      <c r="D601" s="6" t="s">
        <v>113</v>
      </c>
      <c r="E601" s="6" t="s">
        <v>192</v>
      </c>
      <c r="F601" s="6" t="s">
        <v>115</v>
      </c>
      <c r="G601" s="15" t="s">
        <v>998</v>
      </c>
      <c r="H601" s="6" t="s">
        <v>1291</v>
      </c>
      <c r="I601" s="6"/>
      <c r="J601" s="6" t="s">
        <v>1292</v>
      </c>
      <c r="K601" s="16" t="s">
        <v>997</v>
      </c>
      <c r="L601" s="6"/>
      <c r="M601" s="6"/>
      <c r="N601" s="5" t="s">
        <v>1293</v>
      </c>
      <c r="O601" s="6" t="s">
        <v>1953</v>
      </c>
    </row>
    <row r="602" spans="1:15" x14ac:dyDescent="0.2">
      <c r="A602">
        <v>601</v>
      </c>
      <c r="C602" s="6" t="str">
        <f t="shared" si="9"/>
        <v/>
      </c>
      <c r="D602" s="6" t="s">
        <v>113</v>
      </c>
      <c r="E602" s="6" t="s">
        <v>192</v>
      </c>
      <c r="F602" s="6" t="s">
        <v>115</v>
      </c>
      <c r="G602" s="15" t="s">
        <v>1000</v>
      </c>
      <c r="H602" s="6" t="s">
        <v>1291</v>
      </c>
      <c r="I602" s="6"/>
      <c r="J602" s="6" t="s">
        <v>1292</v>
      </c>
      <c r="K602" s="16" t="s">
        <v>999</v>
      </c>
      <c r="L602" s="6"/>
      <c r="M602" s="6"/>
      <c r="N602" s="5" t="s">
        <v>1293</v>
      </c>
      <c r="O602" s="6" t="s">
        <v>1953</v>
      </c>
    </row>
    <row r="603" spans="1:15" x14ac:dyDescent="0.2">
      <c r="A603">
        <v>602</v>
      </c>
      <c r="C603" s="6" t="str">
        <f t="shared" si="9"/>
        <v/>
      </c>
      <c r="D603" s="6" t="s">
        <v>113</v>
      </c>
      <c r="E603" s="6" t="s">
        <v>192</v>
      </c>
      <c r="F603" s="6" t="s">
        <v>115</v>
      </c>
      <c r="G603" s="15" t="s">
        <v>1001</v>
      </c>
      <c r="H603" s="6" t="s">
        <v>1291</v>
      </c>
      <c r="I603" s="6"/>
      <c r="J603" s="6" t="s">
        <v>1423</v>
      </c>
      <c r="K603" s="20" t="s">
        <v>1579</v>
      </c>
      <c r="L603" s="6"/>
      <c r="M603" s="6" t="s">
        <v>1559</v>
      </c>
      <c r="N603" s="5" t="s">
        <v>1293</v>
      </c>
      <c r="O603" s="6" t="s">
        <v>1953</v>
      </c>
    </row>
    <row r="604" spans="1:15" x14ac:dyDescent="0.2">
      <c r="A604">
        <v>603</v>
      </c>
      <c r="C604" s="6" t="str">
        <f t="shared" si="9"/>
        <v/>
      </c>
      <c r="D604" s="6" t="s">
        <v>113</v>
      </c>
      <c r="E604" s="6" t="s">
        <v>192</v>
      </c>
      <c r="F604" s="6" t="s">
        <v>115</v>
      </c>
      <c r="G604" s="15" t="s">
        <v>1003</v>
      </c>
      <c r="H604" s="6" t="s">
        <v>1291</v>
      </c>
      <c r="I604" s="6"/>
      <c r="J604" s="6" t="s">
        <v>1292</v>
      </c>
      <c r="K604" s="16" t="s">
        <v>1002</v>
      </c>
      <c r="L604" s="6"/>
      <c r="M604" s="6"/>
      <c r="N604" s="5" t="s">
        <v>1293</v>
      </c>
      <c r="O604" s="6" t="s">
        <v>1953</v>
      </c>
    </row>
    <row r="605" spans="1:15" x14ac:dyDescent="0.2">
      <c r="A605">
        <v>604</v>
      </c>
      <c r="C605" s="6" t="str">
        <f t="shared" si="9"/>
        <v/>
      </c>
      <c r="D605" s="6" t="s">
        <v>113</v>
      </c>
      <c r="E605" s="6" t="s">
        <v>192</v>
      </c>
      <c r="F605" s="6" t="s">
        <v>115</v>
      </c>
      <c r="G605" s="15" t="s">
        <v>1004</v>
      </c>
      <c r="H605" s="6" t="s">
        <v>1291</v>
      </c>
      <c r="I605" s="6"/>
      <c r="J605" s="6" t="s">
        <v>1423</v>
      </c>
      <c r="K605" s="20" t="s">
        <v>1580</v>
      </c>
      <c r="L605" s="6"/>
      <c r="M605" s="6" t="s">
        <v>1569</v>
      </c>
      <c r="N605" s="5" t="s">
        <v>1293</v>
      </c>
      <c r="O605" s="6" t="s">
        <v>1953</v>
      </c>
    </row>
    <row r="606" spans="1:15" x14ac:dyDescent="0.2">
      <c r="A606">
        <v>605</v>
      </c>
      <c r="C606" s="6" t="str">
        <f t="shared" si="9"/>
        <v/>
      </c>
      <c r="D606" s="6" t="s">
        <v>113</v>
      </c>
      <c r="E606" s="6" t="s">
        <v>192</v>
      </c>
      <c r="F606" s="6" t="s">
        <v>115</v>
      </c>
      <c r="G606" s="15" t="s">
        <v>1006</v>
      </c>
      <c r="H606" s="6" t="s">
        <v>1291</v>
      </c>
      <c r="I606" s="6"/>
      <c r="J606" s="6" t="s">
        <v>1292</v>
      </c>
      <c r="K606" s="16" t="s">
        <v>1005</v>
      </c>
      <c r="L606" s="6"/>
      <c r="M606" s="6"/>
      <c r="N606" s="5" t="s">
        <v>1293</v>
      </c>
      <c r="O606" s="6" t="s">
        <v>1953</v>
      </c>
    </row>
    <row r="607" spans="1:15" x14ac:dyDescent="0.2">
      <c r="A607">
        <v>606</v>
      </c>
      <c r="C607" s="6" t="str">
        <f t="shared" si="9"/>
        <v/>
      </c>
      <c r="D607" s="6" t="s">
        <v>113</v>
      </c>
      <c r="E607" s="6" t="s">
        <v>192</v>
      </c>
      <c r="F607" s="6" t="s">
        <v>115</v>
      </c>
      <c r="G607" s="15" t="s">
        <v>1008</v>
      </c>
      <c r="H607" s="6" t="s">
        <v>1291</v>
      </c>
      <c r="I607" s="6"/>
      <c r="J607" s="6" t="s">
        <v>1292</v>
      </c>
      <c r="K607" s="16" t="s">
        <v>1007</v>
      </c>
      <c r="L607" s="6"/>
      <c r="M607" s="6"/>
      <c r="N607" s="5" t="s">
        <v>1293</v>
      </c>
      <c r="O607" s="6" t="s">
        <v>1953</v>
      </c>
    </row>
    <row r="608" spans="1:15" x14ac:dyDescent="0.2">
      <c r="A608">
        <v>607</v>
      </c>
      <c r="C608" s="6" t="str">
        <f t="shared" si="9"/>
        <v/>
      </c>
      <c r="D608" s="6" t="s">
        <v>113</v>
      </c>
      <c r="E608" s="6" t="s">
        <v>192</v>
      </c>
      <c r="F608" s="6" t="s">
        <v>115</v>
      </c>
      <c r="G608" s="15" t="s">
        <v>1010</v>
      </c>
      <c r="H608" s="6" t="s">
        <v>1291</v>
      </c>
      <c r="I608" s="6"/>
      <c r="J608" s="6" t="s">
        <v>1292</v>
      </c>
      <c r="K608" s="16" t="s">
        <v>1009</v>
      </c>
      <c r="L608" s="6"/>
      <c r="M608" s="6"/>
      <c r="N608" s="5" t="s">
        <v>1293</v>
      </c>
      <c r="O608" s="6" t="s">
        <v>1953</v>
      </c>
    </row>
    <row r="609" spans="1:15" x14ac:dyDescent="0.2">
      <c r="A609">
        <v>608</v>
      </c>
      <c r="C609" s="6" t="str">
        <f t="shared" si="9"/>
        <v/>
      </c>
      <c r="D609" s="6" t="s">
        <v>113</v>
      </c>
      <c r="E609" s="6" t="s">
        <v>192</v>
      </c>
      <c r="F609" s="6" t="s">
        <v>115</v>
      </c>
      <c r="G609" s="15" t="s">
        <v>1012</v>
      </c>
      <c r="H609" s="6" t="s">
        <v>1291</v>
      </c>
      <c r="I609" s="6"/>
      <c r="J609" s="6" t="s">
        <v>1292</v>
      </c>
      <c r="K609" s="16" t="s">
        <v>1011</v>
      </c>
      <c r="L609" s="6"/>
      <c r="M609" s="6"/>
      <c r="N609" s="5" t="s">
        <v>1293</v>
      </c>
      <c r="O609" s="6" t="s">
        <v>1953</v>
      </c>
    </row>
    <row r="610" spans="1:15" x14ac:dyDescent="0.2">
      <c r="A610">
        <v>609</v>
      </c>
      <c r="C610" s="6" t="b">
        <f t="shared" si="9"/>
        <v>1</v>
      </c>
      <c r="D610" s="6" t="s">
        <v>113</v>
      </c>
      <c r="E610" s="6" t="s">
        <v>192</v>
      </c>
      <c r="F610" s="6" t="s">
        <v>116</v>
      </c>
      <c r="G610" s="15" t="s">
        <v>497</v>
      </c>
      <c r="H610" s="6" t="s">
        <v>1291</v>
      </c>
      <c r="I610" s="6"/>
      <c r="J610" s="6" t="s">
        <v>1423</v>
      </c>
      <c r="K610" s="6" t="s">
        <v>1424</v>
      </c>
      <c r="L610" s="6"/>
      <c r="M610" s="6"/>
      <c r="N610" s="5" t="s">
        <v>1425</v>
      </c>
      <c r="O610" s="6" t="s">
        <v>1954</v>
      </c>
    </row>
    <row r="611" spans="1:15" x14ac:dyDescent="0.2">
      <c r="A611">
        <v>610</v>
      </c>
      <c r="B611" t="b">
        <v>1</v>
      </c>
      <c r="C611" s="6" t="b">
        <f t="shared" si="9"/>
        <v>1</v>
      </c>
      <c r="D611" s="6" t="s">
        <v>113</v>
      </c>
      <c r="E611" s="6" t="s">
        <v>192</v>
      </c>
      <c r="F611" s="6" t="s">
        <v>122</v>
      </c>
      <c r="G611" s="15" t="s">
        <v>497</v>
      </c>
      <c r="H611" s="6" t="s">
        <v>1013</v>
      </c>
      <c r="I611" s="6"/>
      <c r="J611" s="6" t="s">
        <v>1297</v>
      </c>
      <c r="K611" s="6" t="s">
        <v>1429</v>
      </c>
      <c r="L611" s="6"/>
      <c r="M611" s="6"/>
      <c r="N611" s="5" t="s">
        <v>1432</v>
      </c>
      <c r="O611" s="6" t="s">
        <v>1956</v>
      </c>
    </row>
    <row r="612" spans="1:15" x14ac:dyDescent="0.2">
      <c r="A612">
        <v>611</v>
      </c>
      <c r="B612" t="b">
        <v>1</v>
      </c>
      <c r="C612" s="6" t="str">
        <f t="shared" ca="1" si="9"/>
        <v/>
      </c>
      <c r="D612" s="6" t="s">
        <v>113</v>
      </c>
      <c r="E612" s="6" t="s">
        <v>192</v>
      </c>
      <c r="F612" s="6" t="s">
        <v>136</v>
      </c>
      <c r="G612" s="6" t="s">
        <v>214</v>
      </c>
      <c r="H612" s="9" t="str" cm="1">
        <f t="array" aca="1" ref="H612" ca="1">IF(COUNTIF(wide_measures!D:D,INDIRECT("maps!F$"&amp;ROW()))&gt;0,"measures",IF(COUNTIF(wide_protocolSteps!C:C,INDIRECT("maps!F$"&amp;ROW()))&gt;0,"protocolSteps",IF(COUNTIF(wide_repositories!C:C,INDIRECT("maps!F$"&amp;ROW()))&gt;0,"repositories",IF(COUNTIF(wide_protocols!C:C,INDIRECT("maps!F$"&amp;ROW()))&gt;0,"protocols",""))))</f>
        <v>measures</v>
      </c>
      <c r="I612" s="9" t="s">
        <v>1113</v>
      </c>
      <c r="J612" s="6"/>
      <c r="K612" s="6"/>
      <c r="L612" s="6"/>
      <c r="M612" s="6"/>
      <c r="N612" s="5" t="s">
        <v>1673</v>
      </c>
      <c r="O612" s="6" t="s">
        <v>1957</v>
      </c>
    </row>
    <row r="613" spans="1:15" x14ac:dyDescent="0.2">
      <c r="A613">
        <v>612</v>
      </c>
      <c r="B613" t="b">
        <v>1</v>
      </c>
      <c r="C613" s="6" t="str">
        <f t="shared" ca="1" si="9"/>
        <v/>
      </c>
      <c r="D613" s="6" t="s">
        <v>113</v>
      </c>
      <c r="E613" s="6" t="s">
        <v>192</v>
      </c>
      <c r="F613" s="6" t="s">
        <v>136</v>
      </c>
      <c r="G613" s="6" t="s">
        <v>215</v>
      </c>
      <c r="H613" s="9" t="str" cm="1">
        <f t="array" aca="1" ref="H613" ca="1">IF(COUNTIF(wide_measures!D:D,INDIRECT("maps!F$"&amp;ROW()))&gt;0,"measures",IF(COUNTIF(wide_protocolSteps!C:C,INDIRECT("maps!F$"&amp;ROW()))&gt;0,"protocolSteps",IF(COUNTIF(wide_repositories!C:C,INDIRECT("maps!F$"&amp;ROW()))&gt;0,"repositories",IF(COUNTIF(wide_protocols!C:C,INDIRECT("maps!F$"&amp;ROW()))&gt;0,"protocols",""))))</f>
        <v>measures</v>
      </c>
      <c r="I613" s="9" t="s">
        <v>1113</v>
      </c>
      <c r="J613" s="6"/>
      <c r="K613" s="6"/>
      <c r="L613" s="6"/>
      <c r="M613" s="6"/>
      <c r="N613" s="5" t="s">
        <v>1673</v>
      </c>
      <c r="O613" s="6" t="s">
        <v>1957</v>
      </c>
    </row>
    <row r="614" spans="1:15" x14ac:dyDescent="0.2">
      <c r="A614">
        <v>613</v>
      </c>
      <c r="B614" t="b">
        <v>1</v>
      </c>
      <c r="C614" s="6" t="str">
        <f t="shared" ca="1" si="9"/>
        <v/>
      </c>
      <c r="D614" s="6" t="s">
        <v>113</v>
      </c>
      <c r="E614" s="6" t="s">
        <v>192</v>
      </c>
      <c r="F614" s="6" t="s">
        <v>136</v>
      </c>
      <c r="G614" s="6" t="s">
        <v>216</v>
      </c>
      <c r="H614" s="9" t="str" cm="1">
        <f t="array" aca="1" ref="H614" ca="1">IF(COUNTIF(wide_measures!D:D,INDIRECT("maps!F$"&amp;ROW()))&gt;0,"measures",IF(COUNTIF(wide_protocolSteps!C:C,INDIRECT("maps!F$"&amp;ROW()))&gt;0,"protocolSteps",IF(COUNTIF(wide_repositories!C:C,INDIRECT("maps!F$"&amp;ROW()))&gt;0,"repositories",IF(COUNTIF(wide_protocols!C:C,INDIRECT("maps!F$"&amp;ROW()))&gt;0,"protocols",""))))</f>
        <v>measures</v>
      </c>
      <c r="I614" s="9" t="s">
        <v>1113</v>
      </c>
      <c r="J614" s="6"/>
      <c r="K614" s="6"/>
      <c r="L614" s="6"/>
      <c r="M614" s="6"/>
      <c r="N614" s="5" t="s">
        <v>1673</v>
      </c>
      <c r="O614" s="6" t="s">
        <v>1957</v>
      </c>
    </row>
    <row r="615" spans="1:15" x14ac:dyDescent="0.2">
      <c r="A615">
        <v>614</v>
      </c>
      <c r="B615" t="b">
        <v>1</v>
      </c>
      <c r="C615" s="6" t="str">
        <f t="shared" ca="1" si="9"/>
        <v/>
      </c>
      <c r="D615" s="6" t="s">
        <v>113</v>
      </c>
      <c r="E615" s="6" t="s">
        <v>192</v>
      </c>
      <c r="F615" s="6" t="s">
        <v>136</v>
      </c>
      <c r="G615" s="6" t="s">
        <v>217</v>
      </c>
      <c r="H615" s="9" t="str" cm="1">
        <f t="array" aca="1" ref="H615" ca="1">IF(COUNTIF(wide_measures!D:D,INDIRECT("maps!F$"&amp;ROW()))&gt;0,"measures",IF(COUNTIF(wide_protocolSteps!C:C,INDIRECT("maps!F$"&amp;ROW()))&gt;0,"protocolSteps",IF(COUNTIF(wide_repositories!C:C,INDIRECT("maps!F$"&amp;ROW()))&gt;0,"repositories",IF(COUNTIF(wide_protocols!C:C,INDIRECT("maps!F$"&amp;ROW()))&gt;0,"protocols",""))))</f>
        <v>measures</v>
      </c>
      <c r="I615" s="9" t="s">
        <v>1113</v>
      </c>
      <c r="J615" s="6"/>
      <c r="K615" s="6"/>
      <c r="L615" s="6"/>
      <c r="M615" s="6"/>
      <c r="N615" s="5" t="s">
        <v>1673</v>
      </c>
      <c r="O615" s="6" t="s">
        <v>1957</v>
      </c>
    </row>
    <row r="616" spans="1:15" x14ac:dyDescent="0.2">
      <c r="A616">
        <v>615</v>
      </c>
      <c r="B616" t="b">
        <v>1</v>
      </c>
      <c r="C616" s="6" t="str">
        <f t="shared" ca="1" si="9"/>
        <v/>
      </c>
      <c r="D616" s="6" t="s">
        <v>113</v>
      </c>
      <c r="E616" s="6" t="s">
        <v>192</v>
      </c>
      <c r="F616" s="6" t="s">
        <v>136</v>
      </c>
      <c r="G616" s="6" t="s">
        <v>218</v>
      </c>
      <c r="H616" s="9" t="str" cm="1">
        <f t="array" aca="1" ref="H616" ca="1">IF(COUNTIF(wide_measures!D:D,INDIRECT("maps!F$"&amp;ROW()))&gt;0,"measures",IF(COUNTIF(wide_protocolSteps!C:C,INDIRECT("maps!F$"&amp;ROW()))&gt;0,"protocolSteps",IF(COUNTIF(wide_repositories!C:C,INDIRECT("maps!F$"&amp;ROW()))&gt;0,"repositories",IF(COUNTIF(wide_protocols!C:C,INDIRECT("maps!F$"&amp;ROW()))&gt;0,"protocols",""))))</f>
        <v>measures</v>
      </c>
      <c r="I616" s="9" t="s">
        <v>1113</v>
      </c>
      <c r="J616" s="6"/>
      <c r="K616" s="6"/>
      <c r="L616" s="6"/>
      <c r="M616" s="6"/>
      <c r="N616" s="5" t="s">
        <v>1673</v>
      </c>
      <c r="O616" s="6" t="s">
        <v>1957</v>
      </c>
    </row>
    <row r="617" spans="1:15" x14ac:dyDescent="0.2">
      <c r="A617">
        <v>616</v>
      </c>
      <c r="B617" t="b">
        <v>1</v>
      </c>
      <c r="C617" s="6" t="str">
        <f t="shared" ca="1" si="9"/>
        <v/>
      </c>
      <c r="D617" s="6" t="s">
        <v>113</v>
      </c>
      <c r="E617" s="6" t="s">
        <v>192</v>
      </c>
      <c r="F617" s="6" t="s">
        <v>136</v>
      </c>
      <c r="G617" s="6" t="s">
        <v>219</v>
      </c>
      <c r="H617" s="9" t="str" cm="1">
        <f t="array" aca="1" ref="H617" ca="1">IF(COUNTIF(wide_measures!D:D,INDIRECT("maps!F$"&amp;ROW()))&gt;0,"measures",IF(COUNTIF(wide_protocolSteps!C:C,INDIRECT("maps!F$"&amp;ROW()))&gt;0,"protocolSteps",IF(COUNTIF(wide_repositories!C:C,INDIRECT("maps!F$"&amp;ROW()))&gt;0,"repositories",IF(COUNTIF(wide_protocols!C:C,INDIRECT("maps!F$"&amp;ROW()))&gt;0,"protocols",""))))</f>
        <v>measures</v>
      </c>
      <c r="I617" s="9" t="s">
        <v>1113</v>
      </c>
      <c r="J617" s="6"/>
      <c r="K617" s="6"/>
      <c r="L617" s="6"/>
      <c r="M617" s="6"/>
      <c r="N617" s="5" t="s">
        <v>1673</v>
      </c>
      <c r="O617" s="6" t="s">
        <v>1957</v>
      </c>
    </row>
    <row r="618" spans="1:15" x14ac:dyDescent="0.2">
      <c r="A618">
        <v>617</v>
      </c>
      <c r="B618" t="b">
        <v>1</v>
      </c>
      <c r="C618" s="6" t="str">
        <f t="shared" ca="1" si="9"/>
        <v/>
      </c>
      <c r="D618" s="6" t="s">
        <v>113</v>
      </c>
      <c r="E618" s="6" t="s">
        <v>192</v>
      </c>
      <c r="F618" s="6" t="s">
        <v>136</v>
      </c>
      <c r="G618" s="6" t="s">
        <v>220</v>
      </c>
      <c r="H618" s="9" t="str" cm="1">
        <f t="array" aca="1" ref="H618" ca="1">IF(COUNTIF(wide_measures!D:D,INDIRECT("maps!F$"&amp;ROW()))&gt;0,"measures",IF(COUNTIF(wide_protocolSteps!C:C,INDIRECT("maps!F$"&amp;ROW()))&gt;0,"protocolSteps",IF(COUNTIF(wide_repositories!C:C,INDIRECT("maps!F$"&amp;ROW()))&gt;0,"repositories",IF(COUNTIF(wide_protocols!C:C,INDIRECT("maps!F$"&amp;ROW()))&gt;0,"protocols",""))))</f>
        <v>measures</v>
      </c>
      <c r="I618" s="9" t="s">
        <v>1113</v>
      </c>
      <c r="J618" s="6"/>
      <c r="K618" s="6"/>
      <c r="L618" s="6"/>
      <c r="M618" s="6"/>
      <c r="N618" s="5" t="s">
        <v>1673</v>
      </c>
      <c r="O618" s="6" t="s">
        <v>1957</v>
      </c>
    </row>
    <row r="619" spans="1:15" x14ac:dyDescent="0.2">
      <c r="A619">
        <v>618</v>
      </c>
      <c r="B619" t="b">
        <v>1</v>
      </c>
      <c r="C619" s="6" t="str">
        <f t="shared" ca="1" si="9"/>
        <v/>
      </c>
      <c r="D619" s="6" t="s">
        <v>113</v>
      </c>
      <c r="E619" s="6" t="s">
        <v>192</v>
      </c>
      <c r="F619" s="6" t="s">
        <v>136</v>
      </c>
      <c r="G619" s="6" t="s">
        <v>1206</v>
      </c>
      <c r="H619" s="9" t="str" cm="1">
        <f t="array" aca="1" ref="H619" ca="1">IF(COUNTIF(wide_measures!D:D,INDIRECT("maps!F$"&amp;ROW()))&gt;0,"measures",IF(COUNTIF(wide_protocolSteps!C:C,INDIRECT("maps!F$"&amp;ROW()))&gt;0,"protocolSteps",IF(COUNTIF(wide_repositories!C:C,INDIRECT("maps!F$"&amp;ROW()))&gt;0,"repositories",IF(COUNTIF(wide_protocols!C:C,INDIRECT("maps!F$"&amp;ROW()))&gt;0,"protocols",""))))</f>
        <v>measures</v>
      </c>
      <c r="I619" s="9" t="s">
        <v>1113</v>
      </c>
      <c r="J619" s="6"/>
      <c r="K619" s="6"/>
      <c r="L619" s="6"/>
      <c r="M619" s="6"/>
      <c r="N619" s="5" t="s">
        <v>1673</v>
      </c>
      <c r="O619" s="6" t="s">
        <v>1957</v>
      </c>
    </row>
    <row r="620" spans="1:15" x14ac:dyDescent="0.2">
      <c r="A620">
        <v>619</v>
      </c>
      <c r="B620" t="b">
        <v>1</v>
      </c>
      <c r="C620" s="6" t="str">
        <f t="shared" ca="1" si="9"/>
        <v/>
      </c>
      <c r="D620" s="6" t="s">
        <v>113</v>
      </c>
      <c r="E620" s="6" t="s">
        <v>192</v>
      </c>
      <c r="F620" s="6" t="s">
        <v>136</v>
      </c>
      <c r="G620" s="6" t="s">
        <v>221</v>
      </c>
      <c r="H620" s="9" t="str" cm="1">
        <f t="array" aca="1" ref="H620" ca="1">IF(COUNTIF(wide_measures!D:D,INDIRECT("maps!F$"&amp;ROW()))&gt;0,"measures",IF(COUNTIF(wide_protocolSteps!C:C,INDIRECT("maps!F$"&amp;ROW()))&gt;0,"protocolSteps",IF(COUNTIF(wide_repositories!C:C,INDIRECT("maps!F$"&amp;ROW()))&gt;0,"repositories",IF(COUNTIF(wide_protocols!C:C,INDIRECT("maps!F$"&amp;ROW()))&gt;0,"protocols",""))))</f>
        <v>measures</v>
      </c>
      <c r="I620" s="9" t="s">
        <v>1113</v>
      </c>
      <c r="J620" s="6"/>
      <c r="K620" s="6"/>
      <c r="L620" s="6"/>
      <c r="M620" s="6"/>
      <c r="N620" s="5" t="s">
        <v>1673</v>
      </c>
      <c r="O620" s="6" t="s">
        <v>1957</v>
      </c>
    </row>
    <row r="621" spans="1:15" x14ac:dyDescent="0.2">
      <c r="A621">
        <v>620</v>
      </c>
      <c r="B621" t="b">
        <v>1</v>
      </c>
      <c r="C621" s="6" t="str">
        <f t="shared" ca="1" si="9"/>
        <v/>
      </c>
      <c r="D621" s="6" t="s">
        <v>113</v>
      </c>
      <c r="E621" s="6" t="s">
        <v>192</v>
      </c>
      <c r="F621" s="6" t="s">
        <v>136</v>
      </c>
      <c r="G621" s="6" t="s">
        <v>222</v>
      </c>
      <c r="H621" s="9" t="str" cm="1">
        <f t="array" aca="1" ref="H621" ca="1">IF(COUNTIF(wide_measures!D:D,INDIRECT("maps!F$"&amp;ROW()))&gt;0,"measures",IF(COUNTIF(wide_protocolSteps!C:C,INDIRECT("maps!F$"&amp;ROW()))&gt;0,"protocolSteps",IF(COUNTIF(wide_repositories!C:C,INDIRECT("maps!F$"&amp;ROW()))&gt;0,"repositories",IF(COUNTIF(wide_protocols!C:C,INDIRECT("maps!F$"&amp;ROW()))&gt;0,"protocols",""))))</f>
        <v>measures</v>
      </c>
      <c r="I621" s="9" t="s">
        <v>1113</v>
      </c>
      <c r="J621" s="6"/>
      <c r="K621" s="6"/>
      <c r="L621" s="6"/>
      <c r="M621" s="6"/>
      <c r="N621" s="5" t="s">
        <v>1673</v>
      </c>
      <c r="O621" s="6" t="s">
        <v>1957</v>
      </c>
    </row>
    <row r="622" spans="1:15" x14ac:dyDescent="0.2">
      <c r="A622">
        <v>621</v>
      </c>
      <c r="B622" t="b">
        <v>1</v>
      </c>
      <c r="C622" s="6"/>
      <c r="D622" s="6" t="s">
        <v>113</v>
      </c>
      <c r="E622" s="6" t="s">
        <v>192</v>
      </c>
      <c r="F622" s="6" t="s">
        <v>137</v>
      </c>
      <c r="G622" s="6" t="s">
        <v>497</v>
      </c>
      <c r="H622" s="6" t="s">
        <v>1013</v>
      </c>
      <c r="I622" s="6"/>
      <c r="J622" s="6" t="s">
        <v>9</v>
      </c>
      <c r="K622" s="6" t="s">
        <v>1691</v>
      </c>
      <c r="L622" s="6"/>
      <c r="M622" s="6"/>
      <c r="N622" s="5" t="s">
        <v>1693</v>
      </c>
      <c r="O622" s="6" t="s">
        <v>1958</v>
      </c>
    </row>
    <row r="623" spans="1:15" x14ac:dyDescent="0.2">
      <c r="A623">
        <v>622</v>
      </c>
      <c r="B623" t="b">
        <v>1</v>
      </c>
      <c r="C623" s="6" t="str">
        <f t="shared" si="9"/>
        <v/>
      </c>
      <c r="D623" s="6" t="s">
        <v>113</v>
      </c>
      <c r="E623" s="6" t="s">
        <v>192</v>
      </c>
      <c r="F623" s="6" t="s">
        <v>172</v>
      </c>
      <c r="G623" s="6" t="s">
        <v>193</v>
      </c>
      <c r="H623" s="6" t="s">
        <v>1276</v>
      </c>
      <c r="I623" s="6"/>
      <c r="J623" s="6" t="s">
        <v>1397</v>
      </c>
      <c r="K623" s="6" t="s">
        <v>1403</v>
      </c>
      <c r="L623" s="6"/>
      <c r="M623" s="6"/>
      <c r="N623" s="5" t="s">
        <v>1401</v>
      </c>
      <c r="O623" s="6" t="s">
        <v>1959</v>
      </c>
    </row>
    <row r="624" spans="1:15" x14ac:dyDescent="0.2">
      <c r="A624">
        <v>623</v>
      </c>
      <c r="B624" t="b">
        <v>1</v>
      </c>
      <c r="C624" s="6" t="str">
        <f t="shared" si="9"/>
        <v/>
      </c>
      <c r="D624" s="6" t="s">
        <v>113</v>
      </c>
      <c r="E624" s="6" t="s">
        <v>192</v>
      </c>
      <c r="F624" s="6" t="s">
        <v>172</v>
      </c>
      <c r="G624" s="6" t="s">
        <v>194</v>
      </c>
      <c r="H624" s="6" t="s">
        <v>1276</v>
      </c>
      <c r="I624" s="6"/>
      <c r="J624" s="6" t="s">
        <v>1397</v>
      </c>
      <c r="K624" s="6" t="s">
        <v>1404</v>
      </c>
      <c r="L624" s="6"/>
      <c r="M624" s="6"/>
      <c r="N624" s="5" t="s">
        <v>1401</v>
      </c>
      <c r="O624" s="6" t="s">
        <v>1959</v>
      </c>
    </row>
    <row r="625" spans="1:15" x14ac:dyDescent="0.2">
      <c r="A625">
        <v>624</v>
      </c>
      <c r="B625" t="b">
        <v>1</v>
      </c>
      <c r="C625" s="6" t="str">
        <f t="shared" si="9"/>
        <v/>
      </c>
      <c r="D625" s="6" t="s">
        <v>113</v>
      </c>
      <c r="E625" s="6" t="s">
        <v>192</v>
      </c>
      <c r="F625" s="6" t="s">
        <v>172</v>
      </c>
      <c r="G625" s="6" t="s">
        <v>195</v>
      </c>
      <c r="H625" s="6" t="s">
        <v>1276</v>
      </c>
      <c r="I625" s="6"/>
      <c r="J625" s="6" t="s">
        <v>1397</v>
      </c>
      <c r="K625" s="6" t="s">
        <v>1405</v>
      </c>
      <c r="L625" s="6"/>
      <c r="M625" s="6"/>
      <c r="N625" s="5" t="s">
        <v>1401</v>
      </c>
      <c r="O625" s="6" t="s">
        <v>1959</v>
      </c>
    </row>
    <row r="626" spans="1:15" x14ac:dyDescent="0.2">
      <c r="A626">
        <v>625</v>
      </c>
      <c r="B626" t="b">
        <v>1</v>
      </c>
      <c r="C626" s="6" t="str">
        <f t="shared" si="9"/>
        <v/>
      </c>
      <c r="D626" s="6" t="s">
        <v>113</v>
      </c>
      <c r="E626" s="6" t="s">
        <v>192</v>
      </c>
      <c r="F626" s="6" t="s">
        <v>172</v>
      </c>
      <c r="G626" s="6" t="s">
        <v>196</v>
      </c>
      <c r="H626" s="6" t="s">
        <v>1276</v>
      </c>
      <c r="I626" s="6"/>
      <c r="J626" s="6" t="s">
        <v>1397</v>
      </c>
      <c r="K626" s="6" t="s">
        <v>1400</v>
      </c>
      <c r="L626" s="6"/>
      <c r="M626" s="6"/>
      <c r="N626" s="5" t="s">
        <v>1401</v>
      </c>
      <c r="O626" s="6" t="s">
        <v>1959</v>
      </c>
    </row>
    <row r="627" spans="1:15" x14ac:dyDescent="0.2">
      <c r="A627">
        <v>626</v>
      </c>
      <c r="B627" t="b">
        <v>1</v>
      </c>
      <c r="C627" s="6" t="str">
        <f t="shared" si="9"/>
        <v/>
      </c>
      <c r="D627" s="6" t="s">
        <v>113</v>
      </c>
      <c r="E627" s="6" t="s">
        <v>192</v>
      </c>
      <c r="F627" s="6" t="s">
        <v>172</v>
      </c>
      <c r="G627" s="6" t="s">
        <v>197</v>
      </c>
      <c r="H627" s="6" t="s">
        <v>1276</v>
      </c>
      <c r="I627" s="6"/>
      <c r="J627" s="6" t="s">
        <v>1397</v>
      </c>
      <c r="K627" s="6" t="s">
        <v>1406</v>
      </c>
      <c r="L627" s="6"/>
      <c r="M627" s="6"/>
      <c r="N627" s="5" t="s">
        <v>1398</v>
      </c>
      <c r="O627" s="6" t="s">
        <v>1959</v>
      </c>
    </row>
    <row r="628" spans="1:15" x14ac:dyDescent="0.2">
      <c r="A628">
        <v>627</v>
      </c>
      <c r="B628" t="b">
        <v>1</v>
      </c>
      <c r="C628" s="6" t="str">
        <f t="shared" si="9"/>
        <v/>
      </c>
      <c r="D628" s="6" t="s">
        <v>113</v>
      </c>
      <c r="E628" s="6" t="s">
        <v>192</v>
      </c>
      <c r="F628" s="6" t="s">
        <v>172</v>
      </c>
      <c r="G628" s="6" t="s">
        <v>198</v>
      </c>
      <c r="H628" s="6" t="s">
        <v>1276</v>
      </c>
      <c r="I628" s="6"/>
      <c r="J628" s="6" t="s">
        <v>1397</v>
      </c>
      <c r="K628" s="6" t="s">
        <v>1407</v>
      </c>
      <c r="L628" s="6"/>
      <c r="M628" s="6"/>
      <c r="N628" s="5" t="s">
        <v>1398</v>
      </c>
      <c r="O628" s="6" t="s">
        <v>1959</v>
      </c>
    </row>
    <row r="629" spans="1:15" x14ac:dyDescent="0.2">
      <c r="A629">
        <v>628</v>
      </c>
      <c r="B629" t="b">
        <v>1</v>
      </c>
      <c r="C629" s="6" t="str">
        <f t="shared" si="9"/>
        <v/>
      </c>
      <c r="D629" s="6" t="s">
        <v>113</v>
      </c>
      <c r="E629" s="6" t="s">
        <v>192</v>
      </c>
      <c r="F629" s="6" t="s">
        <v>172</v>
      </c>
      <c r="G629" s="6" t="s">
        <v>199</v>
      </c>
      <c r="H629" s="6" t="s">
        <v>1276</v>
      </c>
      <c r="I629" s="6"/>
      <c r="J629" s="6" t="s">
        <v>1397</v>
      </c>
      <c r="K629" s="6" t="s">
        <v>1402</v>
      </c>
      <c r="L629" s="6"/>
      <c r="M629" s="6"/>
      <c r="N629" s="5" t="s">
        <v>1398</v>
      </c>
      <c r="O629" s="6" t="s">
        <v>1959</v>
      </c>
    </row>
    <row r="630" spans="1:15" s="30" customFormat="1" x14ac:dyDescent="0.2">
      <c r="A630" s="30">
        <v>629</v>
      </c>
      <c r="B630" s="30" t="b">
        <v>1</v>
      </c>
      <c r="C630" s="26" t="b">
        <f t="shared" si="9"/>
        <v>1</v>
      </c>
      <c r="D630" s="26" t="s">
        <v>113</v>
      </c>
      <c r="E630" s="26" t="s">
        <v>192</v>
      </c>
      <c r="F630" s="26" t="s">
        <v>142</v>
      </c>
      <c r="G630" s="26" t="s">
        <v>497</v>
      </c>
      <c r="H630" s="26" t="s">
        <v>1276</v>
      </c>
      <c r="I630" s="26"/>
      <c r="J630" s="26" t="s">
        <v>1336</v>
      </c>
      <c r="K630" s="26" t="s">
        <v>1337</v>
      </c>
      <c r="L630" s="26"/>
      <c r="M630" s="26"/>
      <c r="N630" s="29" t="s">
        <v>1614</v>
      </c>
    </row>
    <row r="631" spans="1:15" x14ac:dyDescent="0.2">
      <c r="A631">
        <v>630</v>
      </c>
      <c r="B631" t="b">
        <v>1</v>
      </c>
      <c r="C631" s="6" t="b">
        <f t="shared" si="9"/>
        <v>1</v>
      </c>
      <c r="D631" s="6" t="s">
        <v>113</v>
      </c>
      <c r="E631" s="6" t="s">
        <v>192</v>
      </c>
      <c r="F631" s="6" t="s">
        <v>119</v>
      </c>
      <c r="G631" s="15" t="s">
        <v>497</v>
      </c>
      <c r="H631" s="6" t="s">
        <v>1294</v>
      </c>
      <c r="I631" s="6"/>
      <c r="J631" s="6" t="s">
        <v>1615</v>
      </c>
      <c r="K631" s="6" t="s">
        <v>1427</v>
      </c>
      <c r="L631" s="6"/>
      <c r="M631" s="6"/>
      <c r="N631" s="5" t="s">
        <v>1431</v>
      </c>
      <c r="O631" s="6" t="s">
        <v>1963</v>
      </c>
    </row>
    <row r="632" spans="1:15" x14ac:dyDescent="0.2">
      <c r="A632">
        <v>630</v>
      </c>
      <c r="B632" t="b">
        <v>1</v>
      </c>
      <c r="C632" s="6" t="b">
        <f t="shared" ref="C632" si="10">IF(AND(G632="NA",H632&lt;&gt;"wide_value"),TRUE,"")</f>
        <v>1</v>
      </c>
      <c r="D632" s="6" t="s">
        <v>113</v>
      </c>
      <c r="E632" s="6" t="s">
        <v>192</v>
      </c>
      <c r="F632" s="6" t="s">
        <v>119</v>
      </c>
      <c r="G632" s="15" t="s">
        <v>497</v>
      </c>
      <c r="H632" s="6" t="s">
        <v>1294</v>
      </c>
      <c r="I632" s="6"/>
      <c r="J632" s="6" t="s">
        <v>1960</v>
      </c>
      <c r="K632" s="6" t="s">
        <v>1427</v>
      </c>
      <c r="L632" s="6"/>
      <c r="M632" s="6"/>
      <c r="N632" s="5" t="s">
        <v>1431</v>
      </c>
      <c r="O632" s="6" t="s">
        <v>1963</v>
      </c>
    </row>
    <row r="633" spans="1:15" x14ac:dyDescent="0.2">
      <c r="A633">
        <v>631</v>
      </c>
      <c r="B633" t="b">
        <v>1</v>
      </c>
      <c r="C633" s="6" t="b">
        <f t="shared" si="9"/>
        <v>1</v>
      </c>
      <c r="D633" s="6" t="s">
        <v>113</v>
      </c>
      <c r="E633" s="6" t="s">
        <v>192</v>
      </c>
      <c r="F633" s="6" t="s">
        <v>168</v>
      </c>
      <c r="G633" s="6" t="s">
        <v>497</v>
      </c>
      <c r="H633" s="6" t="s">
        <v>1276</v>
      </c>
      <c r="I633" s="6"/>
      <c r="J633" s="6" t="s">
        <v>1359</v>
      </c>
      <c r="K633" s="6" t="s">
        <v>1363</v>
      </c>
      <c r="L633" s="6"/>
      <c r="M633" s="6"/>
      <c r="N633" s="5" t="s">
        <v>1884</v>
      </c>
      <c r="O633" s="6" t="s">
        <v>1964</v>
      </c>
    </row>
    <row r="634" spans="1:15" ht="18" x14ac:dyDescent="0.25">
      <c r="A634">
        <v>634</v>
      </c>
      <c r="B634" t="b">
        <v>1</v>
      </c>
      <c r="C634" s="6" t="b">
        <f t="shared" ref="C634" si="11">IF(AND(G634="NA",H634&lt;&gt;"wide_value"),TRUE,"")</f>
        <v>1</v>
      </c>
      <c r="D634" s="6" t="s">
        <v>113</v>
      </c>
      <c r="E634" s="6" t="s">
        <v>192</v>
      </c>
      <c r="F634" s="6" t="s">
        <v>1163</v>
      </c>
      <c r="G634" s="6" t="s">
        <v>497</v>
      </c>
      <c r="H634" s="6" t="s">
        <v>1276</v>
      </c>
      <c r="I634" s="6"/>
      <c r="J634" s="19" t="s">
        <v>1359</v>
      </c>
      <c r="K634" s="6" t="s">
        <v>1366</v>
      </c>
      <c r="L634" s="6"/>
      <c r="M634" s="6"/>
      <c r="N634" s="5" t="s">
        <v>1368</v>
      </c>
      <c r="O634" s="6" t="s">
        <v>1964</v>
      </c>
    </row>
    <row r="635" spans="1:15" ht="18" x14ac:dyDescent="0.25">
      <c r="A635">
        <v>632</v>
      </c>
      <c r="B635" t="b">
        <v>1</v>
      </c>
      <c r="C635" s="6" t="b">
        <f t="shared" si="9"/>
        <v>1</v>
      </c>
      <c r="D635" s="6" t="s">
        <v>113</v>
      </c>
      <c r="E635" s="6" t="s">
        <v>192</v>
      </c>
      <c r="F635" s="6" t="s">
        <v>1162</v>
      </c>
      <c r="G635" s="6" t="s">
        <v>497</v>
      </c>
      <c r="H635" s="6" t="s">
        <v>1276</v>
      </c>
      <c r="I635" s="6"/>
      <c r="J635" s="19" t="s">
        <v>1360</v>
      </c>
      <c r="K635" s="6" t="s">
        <v>1364</v>
      </c>
      <c r="L635" s="6"/>
      <c r="M635" s="6"/>
      <c r="N635" s="5" t="s">
        <v>1368</v>
      </c>
      <c r="O635" s="6" t="s">
        <v>1962</v>
      </c>
    </row>
    <row r="636" spans="1:15" ht="18" x14ac:dyDescent="0.25">
      <c r="A636">
        <v>633</v>
      </c>
      <c r="B636" t="b">
        <v>1</v>
      </c>
      <c r="C636" s="6" t="b">
        <f t="shared" si="9"/>
        <v>1</v>
      </c>
      <c r="D636" s="6" t="s">
        <v>113</v>
      </c>
      <c r="E636" s="6" t="s">
        <v>192</v>
      </c>
      <c r="F636" s="6" t="s">
        <v>1164</v>
      </c>
      <c r="G636" s="6" t="s">
        <v>497</v>
      </c>
      <c r="H636" s="6" t="s">
        <v>1276</v>
      </c>
      <c r="I636" s="6"/>
      <c r="J636" s="19" t="s">
        <v>1360</v>
      </c>
      <c r="K636" s="6" t="s">
        <v>1365</v>
      </c>
      <c r="L636" s="6"/>
      <c r="M636" s="6"/>
      <c r="N636" s="5" t="s">
        <v>1368</v>
      </c>
      <c r="O636" s="6" t="s">
        <v>1962</v>
      </c>
    </row>
    <row r="637" spans="1:15" ht="18" x14ac:dyDescent="0.25">
      <c r="A637">
        <v>634</v>
      </c>
      <c r="B637" t="b">
        <v>1</v>
      </c>
      <c r="C637" s="6" t="b">
        <f t="shared" si="9"/>
        <v>1</v>
      </c>
      <c r="D637" s="6" t="s">
        <v>113</v>
      </c>
      <c r="E637" s="6" t="s">
        <v>192</v>
      </c>
      <c r="F637" s="6" t="s">
        <v>1163</v>
      </c>
      <c r="G637" s="6" t="s">
        <v>497</v>
      </c>
      <c r="H637" s="6" t="s">
        <v>1276</v>
      </c>
      <c r="I637" s="6"/>
      <c r="J637" s="19" t="s">
        <v>1961</v>
      </c>
      <c r="K637" s="6" t="s">
        <v>1366</v>
      </c>
      <c r="L637" s="6"/>
      <c r="M637" s="6"/>
      <c r="N637" s="5" t="s">
        <v>1368</v>
      </c>
      <c r="O637" s="6" t="s">
        <v>1965</v>
      </c>
    </row>
    <row r="638" spans="1:15" x14ac:dyDescent="0.2">
      <c r="A638">
        <v>635</v>
      </c>
      <c r="C638" s="6" t="str">
        <f t="shared" si="9"/>
        <v/>
      </c>
      <c r="D638" s="6" t="s">
        <v>113</v>
      </c>
      <c r="E638" s="6" t="s">
        <v>192</v>
      </c>
      <c r="F638" s="6" t="s">
        <v>157</v>
      </c>
      <c r="G638" s="6" t="s">
        <v>207</v>
      </c>
      <c r="H638" s="6" t="s">
        <v>1276</v>
      </c>
      <c r="I638" s="6"/>
      <c r="J638" s="6" t="s">
        <v>1362</v>
      </c>
      <c r="K638" s="9" t="s">
        <v>1371</v>
      </c>
      <c r="L638" s="6"/>
      <c r="M638" s="6"/>
      <c r="N638" s="5" t="s">
        <v>1370</v>
      </c>
      <c r="O638" s="6" t="s">
        <v>1966</v>
      </c>
    </row>
    <row r="639" spans="1:15" x14ac:dyDescent="0.2">
      <c r="A639">
        <v>636</v>
      </c>
      <c r="C639" s="6" t="str">
        <f t="shared" si="9"/>
        <v/>
      </c>
      <c r="D639" s="6" t="s">
        <v>113</v>
      </c>
      <c r="E639" s="6" t="s">
        <v>192</v>
      </c>
      <c r="F639" s="6" t="s">
        <v>157</v>
      </c>
      <c r="G639" s="6" t="s">
        <v>208</v>
      </c>
      <c r="H639" s="6" t="s">
        <v>1276</v>
      </c>
      <c r="I639" s="6"/>
      <c r="J639" s="6" t="s">
        <v>1362</v>
      </c>
      <c r="K639" s="9" t="s">
        <v>1371</v>
      </c>
      <c r="L639" s="6"/>
      <c r="M639" s="6"/>
      <c r="N639" s="5" t="s">
        <v>1370</v>
      </c>
      <c r="O639" s="6" t="s">
        <v>1966</v>
      </c>
    </row>
    <row r="640" spans="1:15" x14ac:dyDescent="0.2">
      <c r="A640">
        <v>637</v>
      </c>
      <c r="C640" s="6" t="str">
        <f t="shared" si="9"/>
        <v/>
      </c>
      <c r="D640" s="6" t="s">
        <v>113</v>
      </c>
      <c r="E640" s="6" t="s">
        <v>192</v>
      </c>
      <c r="F640" s="6" t="s">
        <v>157</v>
      </c>
      <c r="G640" s="6" t="s">
        <v>209</v>
      </c>
      <c r="H640" s="6" t="s">
        <v>1276</v>
      </c>
      <c r="I640" s="6"/>
      <c r="J640" s="6" t="s">
        <v>1362</v>
      </c>
      <c r="K640" s="9" t="s">
        <v>1371</v>
      </c>
      <c r="L640" s="6"/>
      <c r="M640" s="6"/>
      <c r="N640" s="5" t="s">
        <v>1370</v>
      </c>
      <c r="O640" s="6" t="s">
        <v>1966</v>
      </c>
    </row>
    <row r="641" spans="1:15" x14ac:dyDescent="0.2">
      <c r="A641">
        <v>638</v>
      </c>
      <c r="C641" s="6" t="str">
        <f t="shared" si="9"/>
        <v/>
      </c>
      <c r="D641" s="6" t="s">
        <v>113</v>
      </c>
      <c r="E641" s="6" t="s">
        <v>192</v>
      </c>
      <c r="F641" s="6" t="s">
        <v>157</v>
      </c>
      <c r="G641" s="6" t="s">
        <v>210</v>
      </c>
      <c r="H641" s="6" t="s">
        <v>1276</v>
      </c>
      <c r="I641" s="6"/>
      <c r="J641" s="6" t="s">
        <v>1362</v>
      </c>
      <c r="K641" s="9" t="s">
        <v>1371</v>
      </c>
      <c r="L641" s="6"/>
      <c r="M641" s="6"/>
      <c r="N641" s="5" t="s">
        <v>1370</v>
      </c>
      <c r="O641" s="6" t="s">
        <v>1966</v>
      </c>
    </row>
    <row r="642" spans="1:15" x14ac:dyDescent="0.2">
      <c r="A642">
        <v>639</v>
      </c>
      <c r="C642" s="6" t="str">
        <f t="shared" si="9"/>
        <v/>
      </c>
      <c r="D642" s="6" t="s">
        <v>113</v>
      </c>
      <c r="E642" s="6" t="s">
        <v>192</v>
      </c>
      <c r="F642" s="6" t="s">
        <v>157</v>
      </c>
      <c r="G642" s="6" t="s">
        <v>211</v>
      </c>
      <c r="H642" s="6" t="s">
        <v>1276</v>
      </c>
      <c r="I642" s="6"/>
      <c r="J642" s="6" t="s">
        <v>1362</v>
      </c>
      <c r="K642" s="9" t="s">
        <v>1371</v>
      </c>
      <c r="L642" s="6"/>
      <c r="M642" s="6"/>
      <c r="N642" s="5" t="s">
        <v>1370</v>
      </c>
      <c r="O642" s="6" t="s">
        <v>1966</v>
      </c>
    </row>
    <row r="643" spans="1:15" x14ac:dyDescent="0.2">
      <c r="A643">
        <v>640</v>
      </c>
      <c r="C643" s="6" t="str">
        <f t="shared" si="9"/>
        <v/>
      </c>
      <c r="D643" s="6" t="s">
        <v>113</v>
      </c>
      <c r="E643" s="6" t="s">
        <v>192</v>
      </c>
      <c r="F643" s="6" t="s">
        <v>157</v>
      </c>
      <c r="G643" s="6" t="s">
        <v>212</v>
      </c>
      <c r="H643" s="6" t="s">
        <v>1276</v>
      </c>
      <c r="I643" s="6"/>
      <c r="J643" s="6" t="s">
        <v>1362</v>
      </c>
      <c r="K643" s="9" t="s">
        <v>1371</v>
      </c>
      <c r="L643" s="6"/>
      <c r="M643" s="6"/>
      <c r="N643" s="5" t="s">
        <v>1370</v>
      </c>
      <c r="O643" s="6" t="s">
        <v>1966</v>
      </c>
    </row>
    <row r="644" spans="1:15" x14ac:dyDescent="0.2">
      <c r="A644">
        <v>641</v>
      </c>
      <c r="C644" s="6" t="str">
        <f t="shared" si="9"/>
        <v/>
      </c>
      <c r="D644" s="6" t="s">
        <v>113</v>
      </c>
      <c r="E644" s="6" t="s">
        <v>192</v>
      </c>
      <c r="F644" s="6" t="s">
        <v>157</v>
      </c>
      <c r="G644" s="6" t="s">
        <v>213</v>
      </c>
      <c r="H644" s="6" t="s">
        <v>1276</v>
      </c>
      <c r="I644" s="6"/>
      <c r="J644" s="6" t="s">
        <v>1362</v>
      </c>
      <c r="K644" s="9" t="s">
        <v>1371</v>
      </c>
      <c r="L644" s="6"/>
      <c r="M644" s="6"/>
      <c r="N644" s="5" t="s">
        <v>1370</v>
      </c>
      <c r="O644" s="6" t="s">
        <v>1966</v>
      </c>
    </row>
    <row r="645" spans="1:15" ht="18" x14ac:dyDescent="0.25">
      <c r="A645">
        <v>642</v>
      </c>
      <c r="C645" s="6" t="b">
        <f t="shared" ref="C645:C708" si="12">IF(AND(G645="NA",H645&lt;&gt;"wide_value"),TRUE,"")</f>
        <v>1</v>
      </c>
      <c r="D645" s="6" t="s">
        <v>113</v>
      </c>
      <c r="E645" s="6" t="s">
        <v>192</v>
      </c>
      <c r="F645" s="6" t="s">
        <v>169</v>
      </c>
      <c r="G645" s="6" t="s">
        <v>497</v>
      </c>
      <c r="H645" s="6" t="s">
        <v>1276</v>
      </c>
      <c r="I645" s="6"/>
      <c r="J645" s="19" t="s">
        <v>1362</v>
      </c>
      <c r="K645" s="6" t="s">
        <v>1367</v>
      </c>
      <c r="L645" s="6"/>
      <c r="M645" s="6"/>
      <c r="N645" s="5" t="s">
        <v>1369</v>
      </c>
      <c r="O645" s="6" t="s">
        <v>1966</v>
      </c>
    </row>
    <row r="646" spans="1:15" x14ac:dyDescent="0.2">
      <c r="A646">
        <v>643</v>
      </c>
      <c r="C646" s="6" t="str">
        <f t="shared" si="12"/>
        <v/>
      </c>
      <c r="D646" s="6" t="s">
        <v>113</v>
      </c>
      <c r="E646" s="6" t="s">
        <v>192</v>
      </c>
      <c r="F646" s="6" t="s">
        <v>138</v>
      </c>
      <c r="G646" s="6" t="s">
        <v>203</v>
      </c>
      <c r="H646" s="6" t="s">
        <v>1276</v>
      </c>
      <c r="I646" s="6"/>
      <c r="J646" s="6" t="s">
        <v>1883</v>
      </c>
      <c r="K646" s="6" t="s">
        <v>1781</v>
      </c>
      <c r="L646" s="6"/>
      <c r="M646" s="6"/>
      <c r="N646" s="5" t="s">
        <v>1785</v>
      </c>
      <c r="O646" s="6" t="s">
        <v>1927</v>
      </c>
    </row>
    <row r="647" spans="1:15" x14ac:dyDescent="0.2">
      <c r="A647">
        <v>644</v>
      </c>
      <c r="C647" s="6" t="str">
        <f t="shared" si="12"/>
        <v/>
      </c>
      <c r="D647" s="6" t="s">
        <v>113</v>
      </c>
      <c r="E647" s="6" t="s">
        <v>192</v>
      </c>
      <c r="F647" s="6" t="s">
        <v>138</v>
      </c>
      <c r="G647" s="6" t="s">
        <v>204</v>
      </c>
      <c r="H647" s="6" t="s">
        <v>1276</v>
      </c>
      <c r="I647" s="6"/>
      <c r="J647" s="6" t="s">
        <v>1883</v>
      </c>
      <c r="K647" s="6" t="s">
        <v>1782</v>
      </c>
      <c r="L647" s="6"/>
      <c r="M647" s="6"/>
      <c r="N647" s="5" t="s">
        <v>1785</v>
      </c>
      <c r="O647" s="6" t="s">
        <v>1927</v>
      </c>
    </row>
    <row r="648" spans="1:15" x14ac:dyDescent="0.2">
      <c r="A648">
        <v>645</v>
      </c>
      <c r="C648" s="6" t="str">
        <f t="shared" si="12"/>
        <v/>
      </c>
      <c r="D648" s="6" t="s">
        <v>113</v>
      </c>
      <c r="E648" s="6" t="s">
        <v>192</v>
      </c>
      <c r="F648" s="6" t="s">
        <v>138</v>
      </c>
      <c r="G648" s="6" t="s">
        <v>205</v>
      </c>
      <c r="H648" s="6" t="s">
        <v>1276</v>
      </c>
      <c r="I648" s="6"/>
      <c r="J648" s="6" t="s">
        <v>1883</v>
      </c>
      <c r="K648" s="6" t="s">
        <v>1783</v>
      </c>
      <c r="L648" s="6"/>
      <c r="M648" s="6"/>
      <c r="N648" s="5" t="s">
        <v>1785</v>
      </c>
      <c r="O648" s="6" t="s">
        <v>1927</v>
      </c>
    </row>
    <row r="649" spans="1:15" x14ac:dyDescent="0.2">
      <c r="A649">
        <v>646</v>
      </c>
      <c r="C649" s="6" t="str">
        <f t="shared" si="12"/>
        <v/>
      </c>
      <c r="D649" s="6" t="s">
        <v>113</v>
      </c>
      <c r="E649" s="6" t="s">
        <v>192</v>
      </c>
      <c r="F649" s="6" t="s">
        <v>138</v>
      </c>
      <c r="G649" s="6" t="s">
        <v>206</v>
      </c>
      <c r="H649" s="6" t="s">
        <v>1276</v>
      </c>
      <c r="I649" s="6"/>
      <c r="J649" s="6" t="s">
        <v>1883</v>
      </c>
      <c r="K649" s="6" t="s">
        <v>1784</v>
      </c>
      <c r="L649" s="6"/>
      <c r="M649" s="6"/>
      <c r="N649" s="5" t="s">
        <v>1785</v>
      </c>
      <c r="O649" s="6" t="s">
        <v>1927</v>
      </c>
    </row>
    <row r="650" spans="1:15" x14ac:dyDescent="0.2">
      <c r="A650">
        <v>647</v>
      </c>
      <c r="B650" t="b">
        <v>1</v>
      </c>
      <c r="C650" s="6" t="b">
        <f t="shared" si="12"/>
        <v>1</v>
      </c>
      <c r="D650" s="6" t="s">
        <v>113</v>
      </c>
      <c r="E650" s="6" t="s">
        <v>192</v>
      </c>
      <c r="F650" s="6" t="s">
        <v>117</v>
      </c>
      <c r="G650" s="15" t="s">
        <v>497</v>
      </c>
      <c r="H650" s="6" t="s">
        <v>1294</v>
      </c>
      <c r="I650" s="6"/>
      <c r="J650" s="6" t="s">
        <v>1295</v>
      </c>
      <c r="K650" s="6" t="s">
        <v>1426</v>
      </c>
      <c r="L650" s="6"/>
      <c r="M650" s="6"/>
      <c r="N650" s="5" t="s">
        <v>1614</v>
      </c>
    </row>
    <row r="651" spans="1:15" x14ac:dyDescent="0.2">
      <c r="A651">
        <v>648</v>
      </c>
      <c r="B651" t="b">
        <v>1</v>
      </c>
      <c r="C651" s="6" t="b">
        <f t="shared" si="12"/>
        <v>1</v>
      </c>
      <c r="D651" s="17" t="s">
        <v>113</v>
      </c>
      <c r="E651" s="17" t="s">
        <v>192</v>
      </c>
      <c r="F651" s="17" t="s">
        <v>120</v>
      </c>
      <c r="G651" s="18" t="s">
        <v>497</v>
      </c>
      <c r="H651" s="6" t="s">
        <v>1013</v>
      </c>
      <c r="I651" s="6"/>
      <c r="J651" s="6" t="s">
        <v>1623</v>
      </c>
      <c r="K651" s="17" t="s">
        <v>1428</v>
      </c>
      <c r="L651" s="6"/>
      <c r="M651" s="6"/>
      <c r="N651" s="17" t="s">
        <v>1786</v>
      </c>
    </row>
    <row r="652" spans="1:15" x14ac:dyDescent="0.2">
      <c r="A652">
        <v>649</v>
      </c>
      <c r="B652" t="b">
        <v>1</v>
      </c>
      <c r="C652" s="6" t="b">
        <f t="shared" si="12"/>
        <v>1</v>
      </c>
      <c r="D652" s="6" t="s">
        <v>113</v>
      </c>
      <c r="E652" s="6" t="s">
        <v>192</v>
      </c>
      <c r="F652" s="6" t="s">
        <v>173</v>
      </c>
      <c r="G652" s="6" t="s">
        <v>497</v>
      </c>
      <c r="H652" s="6" t="s">
        <v>1276</v>
      </c>
      <c r="I652" s="6"/>
      <c r="J652" s="6" t="s">
        <v>1434</v>
      </c>
      <c r="K652" s="6" t="s">
        <v>1435</v>
      </c>
      <c r="L652" s="6"/>
      <c r="M652" s="6"/>
      <c r="N652" s="6"/>
    </row>
    <row r="653" spans="1:15" x14ac:dyDescent="0.2">
      <c r="A653">
        <v>650</v>
      </c>
      <c r="B653" t="b">
        <v>1</v>
      </c>
      <c r="C653" s="6" t="str">
        <f t="shared" si="12"/>
        <v/>
      </c>
      <c r="D653" s="6" t="s">
        <v>113</v>
      </c>
      <c r="E653" s="6" t="s">
        <v>192</v>
      </c>
      <c r="F653" s="6" t="s">
        <v>124</v>
      </c>
      <c r="G653" s="6" t="s">
        <v>207</v>
      </c>
      <c r="H653" s="6" t="s">
        <v>1013</v>
      </c>
      <c r="I653" s="6"/>
      <c r="J653" s="6" t="s">
        <v>1036</v>
      </c>
      <c r="K653" s="6" t="s">
        <v>1298</v>
      </c>
      <c r="L653" s="6"/>
      <c r="M653" s="6"/>
      <c r="N653" s="5" t="s">
        <v>1045</v>
      </c>
    </row>
    <row r="654" spans="1:15" x14ac:dyDescent="0.2">
      <c r="A654">
        <v>651</v>
      </c>
      <c r="B654" t="b">
        <v>1</v>
      </c>
      <c r="C654" s="6" t="str">
        <f t="shared" si="12"/>
        <v/>
      </c>
      <c r="D654" s="6" t="s">
        <v>113</v>
      </c>
      <c r="E654" s="6" t="s">
        <v>192</v>
      </c>
      <c r="F654" s="6" t="s">
        <v>124</v>
      </c>
      <c r="G654" s="6" t="s">
        <v>208</v>
      </c>
      <c r="H654" s="6" t="s">
        <v>1013</v>
      </c>
      <c r="I654" s="6"/>
      <c r="J654" s="6" t="s">
        <v>1036</v>
      </c>
      <c r="K654" s="6" t="s">
        <v>1299</v>
      </c>
      <c r="L654" s="6"/>
      <c r="M654" s="6"/>
      <c r="N654" s="5" t="s">
        <v>1045</v>
      </c>
    </row>
    <row r="655" spans="1:15" x14ac:dyDescent="0.2">
      <c r="A655">
        <v>652</v>
      </c>
      <c r="B655" t="b">
        <v>1</v>
      </c>
      <c r="C655" s="6" t="str">
        <f t="shared" si="12"/>
        <v/>
      </c>
      <c r="D655" s="6" t="s">
        <v>113</v>
      </c>
      <c r="E655" s="6" t="s">
        <v>192</v>
      </c>
      <c r="F655" s="6" t="s">
        <v>124</v>
      </c>
      <c r="G655" s="6" t="s">
        <v>209</v>
      </c>
      <c r="H655" s="6" t="s">
        <v>1013</v>
      </c>
      <c r="I655" s="6"/>
      <c r="J655" s="6" t="s">
        <v>1036</v>
      </c>
      <c r="K655" s="6" t="s">
        <v>1300</v>
      </c>
      <c r="L655" s="6"/>
      <c r="M655" s="6"/>
      <c r="N655" s="5" t="s">
        <v>1045</v>
      </c>
    </row>
    <row r="656" spans="1:15" x14ac:dyDescent="0.2">
      <c r="A656">
        <v>653</v>
      </c>
      <c r="B656" t="b">
        <v>1</v>
      </c>
      <c r="C656" s="6" t="str">
        <f t="shared" si="12"/>
        <v/>
      </c>
      <c r="D656" s="6" t="s">
        <v>113</v>
      </c>
      <c r="E656" s="6" t="s">
        <v>192</v>
      </c>
      <c r="F656" s="6" t="s">
        <v>124</v>
      </c>
      <c r="G656" s="6" t="s">
        <v>210</v>
      </c>
      <c r="H656" s="6" t="s">
        <v>1013</v>
      </c>
      <c r="I656" s="6"/>
      <c r="J656" s="6" t="s">
        <v>1036</v>
      </c>
      <c r="K656" s="6" t="s">
        <v>1301</v>
      </c>
      <c r="L656" s="6"/>
      <c r="M656" s="6"/>
      <c r="N656" s="5" t="s">
        <v>1045</v>
      </c>
    </row>
    <row r="657" spans="1:15" x14ac:dyDescent="0.2">
      <c r="A657">
        <v>654</v>
      </c>
      <c r="B657" t="b">
        <v>1</v>
      </c>
      <c r="C657" s="6" t="str">
        <f t="shared" si="12"/>
        <v/>
      </c>
      <c r="D657" s="6" t="s">
        <v>113</v>
      </c>
      <c r="E657" s="6" t="s">
        <v>192</v>
      </c>
      <c r="F657" s="6" t="s">
        <v>124</v>
      </c>
      <c r="G657" s="6" t="s">
        <v>211</v>
      </c>
      <c r="H657" s="6" t="s">
        <v>1013</v>
      </c>
      <c r="I657" s="6"/>
      <c r="J657" s="6" t="s">
        <v>1036</v>
      </c>
      <c r="K657" s="6" t="s">
        <v>1304</v>
      </c>
      <c r="L657" s="6"/>
      <c r="M657" s="6"/>
      <c r="N657" s="5" t="s">
        <v>1045</v>
      </c>
    </row>
    <row r="658" spans="1:15" x14ac:dyDescent="0.2">
      <c r="A658">
        <v>655</v>
      </c>
      <c r="B658" t="b">
        <v>1</v>
      </c>
      <c r="C658" s="6" t="str">
        <f t="shared" si="12"/>
        <v/>
      </c>
      <c r="D658" s="6" t="s">
        <v>113</v>
      </c>
      <c r="E658" s="6" t="s">
        <v>192</v>
      </c>
      <c r="F658" s="6" t="s">
        <v>124</v>
      </c>
      <c r="G658" s="6" t="s">
        <v>212</v>
      </c>
      <c r="H658" s="6" t="s">
        <v>1013</v>
      </c>
      <c r="I658" s="6"/>
      <c r="J658" s="6" t="s">
        <v>1036</v>
      </c>
      <c r="K658" s="6" t="s">
        <v>1302</v>
      </c>
      <c r="L658" s="6"/>
      <c r="M658" s="6"/>
      <c r="N658" s="5" t="s">
        <v>1045</v>
      </c>
    </row>
    <row r="659" spans="1:15" x14ac:dyDescent="0.2">
      <c r="A659">
        <v>656</v>
      </c>
      <c r="B659" t="b">
        <v>1</v>
      </c>
      <c r="C659" s="6" t="str">
        <f t="shared" si="12"/>
        <v/>
      </c>
      <c r="D659" s="6" t="s">
        <v>113</v>
      </c>
      <c r="E659" s="6" t="s">
        <v>192</v>
      </c>
      <c r="F659" s="6" t="s">
        <v>124</v>
      </c>
      <c r="G659" s="6" t="s">
        <v>213</v>
      </c>
      <c r="H659" s="6" t="s">
        <v>1013</v>
      </c>
      <c r="I659" s="6"/>
      <c r="J659" s="6" t="s">
        <v>1036</v>
      </c>
      <c r="K659" s="6" t="s">
        <v>1303</v>
      </c>
      <c r="L659" s="6"/>
      <c r="M659" s="6"/>
      <c r="N659" s="5" t="s">
        <v>1045</v>
      </c>
    </row>
    <row r="660" spans="1:15" x14ac:dyDescent="0.2">
      <c r="A660">
        <v>657</v>
      </c>
      <c r="B660" t="b">
        <v>1</v>
      </c>
      <c r="C660" s="6" t="b">
        <f t="shared" ca="1" si="12"/>
        <v>1</v>
      </c>
      <c r="D660" s="6" t="s">
        <v>113</v>
      </c>
      <c r="E660" s="6" t="s">
        <v>192</v>
      </c>
      <c r="F660" s="6" t="s">
        <v>179</v>
      </c>
      <c r="G660" s="6" t="s">
        <v>497</v>
      </c>
      <c r="H660" s="9" t="str" cm="1">
        <f t="array" aca="1" ref="H660" ca="1">IF(COUNTIF(wide_measures!D:D,INDIRECT("maps!F$"&amp;ROW()))&gt;0,"measures",IF(COUNTIF(wide_protocolSteps!C:C,INDIRECT("maps!F$"&amp;ROW()))&gt;0,"protocolSteps",IF(COUNTIF(wide_repositories!C:C,INDIRECT("maps!F$"&amp;ROW()))&gt;0,"repositories",IF(COUNTIF(wide_protocols!C:C,INDIRECT("maps!F$"&amp;ROW()))&gt;0,"protocols",""))))</f>
        <v>measures</v>
      </c>
      <c r="I660" s="9" t="s">
        <v>1113</v>
      </c>
      <c r="J660" s="6"/>
      <c r="K660" s="6"/>
      <c r="L660" s="6"/>
      <c r="M660" s="6"/>
      <c r="N660" s="5" t="s">
        <v>1398</v>
      </c>
    </row>
    <row r="661" spans="1:15" x14ac:dyDescent="0.2">
      <c r="A661">
        <v>658</v>
      </c>
      <c r="B661" t="b">
        <v>1</v>
      </c>
      <c r="C661" s="6" t="b">
        <f t="shared" ca="1" si="12"/>
        <v>1</v>
      </c>
      <c r="D661" s="6" t="s">
        <v>113</v>
      </c>
      <c r="E661" s="6" t="s">
        <v>192</v>
      </c>
      <c r="F661" s="6" t="s">
        <v>140</v>
      </c>
      <c r="G661" s="6" t="s">
        <v>497</v>
      </c>
      <c r="H661" s="9" t="str" cm="1">
        <f t="array" aca="1" ref="H661" ca="1">IF(COUNTIF(wide_measures!D:D,INDIRECT("maps!F$"&amp;ROW()))&gt;0,"measures",IF(COUNTIF(wide_protocolSteps!C:C,INDIRECT("maps!F$"&amp;ROW()))&gt;0,"protocolSteps",IF(COUNTIF(wide_repositories!C:C,INDIRECT("maps!F$"&amp;ROW()))&gt;0,"repositories",IF(COUNTIF(wide_protocols!C:C,INDIRECT("maps!F$"&amp;ROW()))&gt;0,"protocols",""))))</f>
        <v>protocolSteps</v>
      </c>
      <c r="I661" s="9" t="s">
        <v>1113</v>
      </c>
      <c r="J661" s="6"/>
      <c r="K661" s="6"/>
      <c r="L661" s="6"/>
      <c r="M661" s="6"/>
      <c r="N661" s="5" t="s">
        <v>1789</v>
      </c>
    </row>
    <row r="662" spans="1:15" x14ac:dyDescent="0.2">
      <c r="A662">
        <v>659</v>
      </c>
      <c r="B662" t="b">
        <v>1</v>
      </c>
      <c r="C662" s="6" t="b">
        <f t="shared" si="12"/>
        <v>1</v>
      </c>
      <c r="D662" s="6" t="s">
        <v>113</v>
      </c>
      <c r="E662" s="6" t="s">
        <v>192</v>
      </c>
      <c r="F662" s="6" t="s">
        <v>123</v>
      </c>
      <c r="G662" s="15" t="s">
        <v>497</v>
      </c>
      <c r="H662" s="6" t="s">
        <v>1331</v>
      </c>
      <c r="I662" s="6"/>
      <c r="J662" s="6" t="s">
        <v>1632</v>
      </c>
      <c r="K662" s="6" t="s">
        <v>1430</v>
      </c>
      <c r="L662" s="6"/>
      <c r="M662" s="6"/>
      <c r="N662" s="5" t="s">
        <v>1788</v>
      </c>
    </row>
    <row r="663" spans="1:15" x14ac:dyDescent="0.2">
      <c r="A663">
        <v>660</v>
      </c>
      <c r="B663" t="b">
        <v>1</v>
      </c>
      <c r="C663" s="6" t="str">
        <f t="shared" si="12"/>
        <v/>
      </c>
      <c r="D663" s="6" t="s">
        <v>113</v>
      </c>
      <c r="E663" s="6" t="s">
        <v>192</v>
      </c>
      <c r="F663" s="6" t="s">
        <v>127</v>
      </c>
      <c r="G663" s="6" t="s">
        <v>223</v>
      </c>
      <c r="H663" s="6" t="s">
        <v>1013</v>
      </c>
      <c r="I663" s="6"/>
      <c r="J663" s="6" t="s">
        <v>1036</v>
      </c>
      <c r="K663" s="6" t="s">
        <v>1307</v>
      </c>
      <c r="L663" s="6"/>
      <c r="M663" s="6"/>
      <c r="N663" s="5" t="s">
        <v>1045</v>
      </c>
    </row>
    <row r="664" spans="1:15" x14ac:dyDescent="0.2">
      <c r="A664">
        <v>661</v>
      </c>
      <c r="B664" t="b">
        <v>1</v>
      </c>
      <c r="C664" s="6" t="str">
        <f t="shared" si="12"/>
        <v/>
      </c>
      <c r="D664" s="6" t="s">
        <v>113</v>
      </c>
      <c r="E664" s="6" t="s">
        <v>192</v>
      </c>
      <c r="F664" s="6" t="s">
        <v>127</v>
      </c>
      <c r="G664" s="6" t="s">
        <v>224</v>
      </c>
      <c r="H664" s="6" t="s">
        <v>1013</v>
      </c>
      <c r="I664" s="6"/>
      <c r="J664" s="6" t="s">
        <v>1036</v>
      </c>
      <c r="K664" s="6" t="s">
        <v>1306</v>
      </c>
      <c r="L664" s="6"/>
      <c r="M664" s="6"/>
      <c r="N664" s="5" t="s">
        <v>1045</v>
      </c>
    </row>
    <row r="665" spans="1:15" x14ac:dyDescent="0.2">
      <c r="A665">
        <v>662</v>
      </c>
      <c r="B665" t="b">
        <v>1</v>
      </c>
      <c r="C665" s="6" t="str">
        <f t="shared" si="12"/>
        <v/>
      </c>
      <c r="D665" s="6" t="s">
        <v>113</v>
      </c>
      <c r="E665" s="6" t="s">
        <v>192</v>
      </c>
      <c r="F665" s="6" t="s">
        <v>127</v>
      </c>
      <c r="G665" s="6" t="s">
        <v>225</v>
      </c>
      <c r="H665" s="6" t="s">
        <v>1013</v>
      </c>
      <c r="I665" s="6"/>
      <c r="J665" s="6" t="s">
        <v>1036</v>
      </c>
      <c r="K665" s="6" t="s">
        <v>1305</v>
      </c>
      <c r="L665" s="6"/>
      <c r="M665" s="6"/>
      <c r="N665" s="5" t="s">
        <v>1045</v>
      </c>
    </row>
    <row r="666" spans="1:15" x14ac:dyDescent="0.2">
      <c r="A666">
        <v>663</v>
      </c>
      <c r="B666" t="b">
        <v>1</v>
      </c>
      <c r="C666" s="6" t="b">
        <f t="shared" ca="1" si="12"/>
        <v>1</v>
      </c>
      <c r="D666" s="6" t="s">
        <v>113</v>
      </c>
      <c r="E666" s="6" t="s">
        <v>192</v>
      </c>
      <c r="F666" s="6" t="s">
        <v>178</v>
      </c>
      <c r="G666" s="6" t="s">
        <v>497</v>
      </c>
      <c r="H666" s="9" t="str" cm="1">
        <f t="array" aca="1" ref="H666" ca="1">IF(COUNTIF(wide_measures!D:D,INDIRECT("maps!F$"&amp;ROW()))&gt;0,"measures",IF(COUNTIF(wide_protocolSteps!C:C,INDIRECT("maps!F$"&amp;ROW()))&gt;0,"protocolSteps",IF(COUNTIF(wide_repositories!C:C,INDIRECT("maps!F$"&amp;ROW()))&gt;0,"repositories",IF(COUNTIF(wide_protocols!C:C,INDIRECT("maps!F$"&amp;ROW()))&gt;0,"protocols",""))))</f>
        <v>measures</v>
      </c>
      <c r="I666" s="9" t="s">
        <v>1113</v>
      </c>
      <c r="J666" s="6"/>
      <c r="K666" s="6"/>
      <c r="L666" s="6"/>
      <c r="M666" s="6"/>
      <c r="N666" s="5" t="s">
        <v>1398</v>
      </c>
    </row>
    <row r="667" spans="1:15" x14ac:dyDescent="0.2">
      <c r="A667">
        <v>664</v>
      </c>
      <c r="B667" t="b">
        <v>1</v>
      </c>
      <c r="C667" s="6" t="str">
        <f t="shared" ca="1" si="12"/>
        <v/>
      </c>
      <c r="D667" s="6" t="s">
        <v>113</v>
      </c>
      <c r="E667" s="6" t="s">
        <v>192</v>
      </c>
      <c r="F667" s="6" t="s">
        <v>1161</v>
      </c>
      <c r="G667" s="6" t="s">
        <v>200</v>
      </c>
      <c r="H667" s="9" t="str" cm="1">
        <f t="array" aca="1" ref="H667" ca="1">IF(COUNTIF(wide_measures!D:D,INDIRECT("maps!F$"&amp;ROW()))&gt;0,"measures",IF(COUNTIF(wide_protocolSteps!C:C,INDIRECT("maps!F$"&amp;ROW()))&gt;0,"protocolSteps",IF(COUNTIF(wide_repositories!C:C,INDIRECT("maps!F$"&amp;ROW()))&gt;0,"repositories",IF(COUNTIF(wide_protocols!C:C,INDIRECT("maps!F$"&amp;ROW()))&gt;0,"protocols",""))))</f>
        <v>measures</v>
      </c>
      <c r="I667" s="9" t="s">
        <v>1113</v>
      </c>
      <c r="J667" s="6"/>
      <c r="K667" s="6"/>
      <c r="L667" s="6"/>
      <c r="M667" s="6"/>
      <c r="N667" s="5" t="s">
        <v>1793</v>
      </c>
      <c r="O667" t="s">
        <v>1926</v>
      </c>
    </row>
    <row r="668" spans="1:15" x14ac:dyDescent="0.2">
      <c r="A668">
        <v>665</v>
      </c>
      <c r="B668" t="b">
        <v>1</v>
      </c>
      <c r="C668" s="6" t="str">
        <f t="shared" ca="1" si="12"/>
        <v/>
      </c>
      <c r="D668" s="6" t="s">
        <v>113</v>
      </c>
      <c r="E668" s="6" t="s">
        <v>192</v>
      </c>
      <c r="F668" s="6" t="s">
        <v>1161</v>
      </c>
      <c r="G668" s="6" t="s">
        <v>201</v>
      </c>
      <c r="H668" s="9" t="str" cm="1">
        <f t="array" aca="1" ref="H668" ca="1">IF(COUNTIF(wide_measures!D:D,INDIRECT("maps!F$"&amp;ROW()))&gt;0,"measures",IF(COUNTIF(wide_protocolSteps!C:C,INDIRECT("maps!F$"&amp;ROW()))&gt;0,"protocolSteps",IF(COUNTIF(wide_repositories!C:C,INDIRECT("maps!F$"&amp;ROW()))&gt;0,"repositories",IF(COUNTIF(wide_protocols!C:C,INDIRECT("maps!F$"&amp;ROW()))&gt;0,"protocols",""))))</f>
        <v>measures</v>
      </c>
      <c r="I668" s="9" t="s">
        <v>1113</v>
      </c>
      <c r="J668" s="6"/>
      <c r="K668" s="6"/>
      <c r="L668" s="6"/>
      <c r="M668" s="6"/>
      <c r="N668" s="5" t="s">
        <v>1793</v>
      </c>
      <c r="O668" t="s">
        <v>1926</v>
      </c>
    </row>
    <row r="669" spans="1:15" x14ac:dyDescent="0.2">
      <c r="A669">
        <v>666</v>
      </c>
      <c r="B669" t="b">
        <v>1</v>
      </c>
      <c r="C669" s="6" t="str">
        <f t="shared" ca="1" si="12"/>
        <v/>
      </c>
      <c r="D669" s="6" t="s">
        <v>113</v>
      </c>
      <c r="E669" s="6" t="s">
        <v>192</v>
      </c>
      <c r="F669" s="6" t="s">
        <v>1161</v>
      </c>
      <c r="G669" s="6" t="s">
        <v>202</v>
      </c>
      <c r="H669" s="9" t="str" cm="1">
        <f t="array" aca="1" ref="H669" ca="1">IF(COUNTIF(wide_measures!D:D,INDIRECT("maps!F$"&amp;ROW()))&gt;0,"measures",IF(COUNTIF(wide_protocolSteps!C:C,INDIRECT("maps!F$"&amp;ROW()))&gt;0,"protocolSteps",IF(COUNTIF(wide_repositories!C:C,INDIRECT("maps!F$"&amp;ROW()))&gt;0,"repositories",IF(COUNTIF(wide_protocols!C:C,INDIRECT("maps!F$"&amp;ROW()))&gt;0,"protocols",""))))</f>
        <v>measures</v>
      </c>
      <c r="I669" s="9" t="s">
        <v>1113</v>
      </c>
      <c r="J669" s="6"/>
      <c r="K669" s="6"/>
      <c r="L669" s="6"/>
      <c r="M669" s="6"/>
      <c r="N669" s="5" t="s">
        <v>1793</v>
      </c>
      <c r="O669" t="s">
        <v>1926</v>
      </c>
    </row>
    <row r="670" spans="1:15" x14ac:dyDescent="0.2">
      <c r="A670">
        <v>667</v>
      </c>
      <c r="B670" t="b">
        <v>1</v>
      </c>
      <c r="C670" s="6" t="str">
        <f t="shared" ca="1" si="12"/>
        <v/>
      </c>
      <c r="D670" s="6" t="s">
        <v>113</v>
      </c>
      <c r="E670" s="6" t="s">
        <v>192</v>
      </c>
      <c r="F670" s="6" t="s">
        <v>143</v>
      </c>
      <c r="G670" s="6" t="s">
        <v>226</v>
      </c>
      <c r="H670" s="9" t="str" cm="1">
        <f t="array" aca="1" ref="H670" ca="1">IF(COUNTIF(wide_measures!D:D,INDIRECT("maps!F$"&amp;ROW()))&gt;0,"measures",IF(COUNTIF(wide_protocolSteps!C:C,INDIRECT("maps!F$"&amp;ROW()))&gt;0,"protocolSteps",IF(COUNTIF(wide_repositories!C:C,INDIRECT("maps!F$"&amp;ROW()))&gt;0,"repositories",IF(COUNTIF(wide_protocols!C:C,INDIRECT("maps!F$"&amp;ROW()))&gt;0,"protocols",""))))</f>
        <v>protocolSteps</v>
      </c>
      <c r="I670" s="9" t="s">
        <v>1113</v>
      </c>
      <c r="J670" s="6"/>
      <c r="K670" s="6"/>
      <c r="L670" s="6"/>
      <c r="M670" s="6"/>
      <c r="N670" t="s">
        <v>1709</v>
      </c>
      <c r="O670" t="s">
        <v>1968</v>
      </c>
    </row>
    <row r="671" spans="1:15" x14ac:dyDescent="0.2">
      <c r="A671">
        <v>668</v>
      </c>
      <c r="B671" t="b">
        <v>1</v>
      </c>
      <c r="C671" s="6" t="str">
        <f t="shared" ca="1" si="12"/>
        <v/>
      </c>
      <c r="D671" s="6" t="s">
        <v>113</v>
      </c>
      <c r="E671" s="6" t="s">
        <v>192</v>
      </c>
      <c r="F671" s="6" t="s">
        <v>143</v>
      </c>
      <c r="G671" s="6" t="s">
        <v>227</v>
      </c>
      <c r="H671" s="9" t="str" cm="1">
        <f t="array" aca="1" ref="H671" ca="1">IF(COUNTIF(wide_measures!D:D,INDIRECT("maps!F$"&amp;ROW()))&gt;0,"measures",IF(COUNTIF(wide_protocolSteps!C:C,INDIRECT("maps!F$"&amp;ROW()))&gt;0,"protocolSteps",IF(COUNTIF(wide_repositories!C:C,INDIRECT("maps!F$"&amp;ROW()))&gt;0,"repositories",IF(COUNTIF(wide_protocols!C:C,INDIRECT("maps!F$"&amp;ROW()))&gt;0,"protocols",""))))</f>
        <v>protocolSteps</v>
      </c>
      <c r="I671" s="9" t="s">
        <v>1113</v>
      </c>
      <c r="J671" s="6"/>
      <c r="K671" s="6"/>
      <c r="L671" s="6"/>
      <c r="M671" s="6"/>
    </row>
    <row r="672" spans="1:15" x14ac:dyDescent="0.2">
      <c r="A672">
        <v>669</v>
      </c>
      <c r="B672" t="b">
        <v>1</v>
      </c>
      <c r="C672" s="6" t="str">
        <f t="shared" ca="1" si="12"/>
        <v/>
      </c>
      <c r="D672" s="6" t="s">
        <v>113</v>
      </c>
      <c r="E672" s="6" t="s">
        <v>192</v>
      </c>
      <c r="F672" s="6" t="s">
        <v>143</v>
      </c>
      <c r="G672" s="6" t="s">
        <v>228</v>
      </c>
      <c r="H672" s="9" t="str" cm="1">
        <f t="array" aca="1" ref="H672" ca="1">IF(COUNTIF(wide_measures!D:D,INDIRECT("maps!F$"&amp;ROW()))&gt;0,"measures",IF(COUNTIF(wide_protocolSteps!C:C,INDIRECT("maps!F$"&amp;ROW()))&gt;0,"protocolSteps",IF(COUNTIF(wide_repositories!C:C,INDIRECT("maps!F$"&amp;ROW()))&gt;0,"repositories",IF(COUNTIF(wide_protocols!C:C,INDIRECT("maps!F$"&amp;ROW()))&gt;0,"protocols",""))))</f>
        <v>protocolSteps</v>
      </c>
      <c r="I672" s="9" t="s">
        <v>1113</v>
      </c>
      <c r="J672" s="6"/>
      <c r="K672" s="6"/>
      <c r="L672" s="6"/>
      <c r="M672" s="6"/>
    </row>
    <row r="673" spans="1:15" x14ac:dyDescent="0.2">
      <c r="A673">
        <v>670</v>
      </c>
      <c r="B673" t="b">
        <v>1</v>
      </c>
      <c r="C673" s="6" t="str">
        <f t="shared" ca="1" si="12"/>
        <v/>
      </c>
      <c r="D673" s="6" t="s">
        <v>113</v>
      </c>
      <c r="E673" s="6" t="s">
        <v>192</v>
      </c>
      <c r="F673" s="6" t="s">
        <v>143</v>
      </c>
      <c r="G673" s="6" t="s">
        <v>229</v>
      </c>
      <c r="H673" s="9" t="str" cm="1">
        <f t="array" aca="1" ref="H673" ca="1">IF(COUNTIF(wide_measures!D:D,INDIRECT("maps!F$"&amp;ROW()))&gt;0,"measures",IF(COUNTIF(wide_protocolSteps!C:C,INDIRECT("maps!F$"&amp;ROW()))&gt;0,"protocolSteps",IF(COUNTIF(wide_repositories!C:C,INDIRECT("maps!F$"&amp;ROW()))&gt;0,"repositories",IF(COUNTIF(wide_protocols!C:C,INDIRECT("maps!F$"&amp;ROW()))&gt;0,"protocols",""))))</f>
        <v>protocolSteps</v>
      </c>
      <c r="I673" s="9" t="s">
        <v>1113</v>
      </c>
      <c r="J673" s="6"/>
      <c r="K673" s="6"/>
      <c r="L673" s="6"/>
      <c r="M673" s="6"/>
    </row>
    <row r="674" spans="1:15" x14ac:dyDescent="0.2">
      <c r="A674">
        <v>671</v>
      </c>
      <c r="B674" t="b">
        <v>1</v>
      </c>
      <c r="C674" s="6" t="str">
        <f t="shared" ca="1" si="12"/>
        <v/>
      </c>
      <c r="D674" s="6" t="s">
        <v>113</v>
      </c>
      <c r="E674" s="6" t="s">
        <v>192</v>
      </c>
      <c r="F674" s="6" t="s">
        <v>143</v>
      </c>
      <c r="G674" s="6" t="s">
        <v>230</v>
      </c>
      <c r="H674" s="9" t="str" cm="1">
        <f t="array" aca="1" ref="H674" ca="1">IF(COUNTIF(wide_measures!D:D,INDIRECT("maps!F$"&amp;ROW()))&gt;0,"measures",IF(COUNTIF(wide_protocolSteps!C:C,INDIRECT("maps!F$"&amp;ROW()))&gt;0,"protocolSteps",IF(COUNTIF(wide_repositories!C:C,INDIRECT("maps!F$"&amp;ROW()))&gt;0,"repositories",IF(COUNTIF(wide_protocols!C:C,INDIRECT("maps!F$"&amp;ROW()))&gt;0,"protocols",""))))</f>
        <v>protocolSteps</v>
      </c>
      <c r="I674" s="9" t="s">
        <v>1113</v>
      </c>
      <c r="J674" s="6"/>
      <c r="K674" s="6"/>
      <c r="L674" s="6"/>
      <c r="M674" s="6"/>
    </row>
    <row r="675" spans="1:15" x14ac:dyDescent="0.2">
      <c r="A675">
        <v>672</v>
      </c>
      <c r="B675" t="b">
        <v>1</v>
      </c>
      <c r="C675" s="6" t="str">
        <f t="shared" ca="1" si="12"/>
        <v/>
      </c>
      <c r="D675" s="6" t="s">
        <v>113</v>
      </c>
      <c r="E675" s="6" t="s">
        <v>192</v>
      </c>
      <c r="F675" s="6" t="s">
        <v>143</v>
      </c>
      <c r="G675" s="6" t="s">
        <v>231</v>
      </c>
      <c r="H675" s="9" t="str" cm="1">
        <f t="array" aca="1" ref="H675" ca="1">IF(COUNTIF(wide_measures!D:D,INDIRECT("maps!F$"&amp;ROW()))&gt;0,"measures",IF(COUNTIF(wide_protocolSteps!C:C,INDIRECT("maps!F$"&amp;ROW()))&gt;0,"protocolSteps",IF(COUNTIF(wide_repositories!C:C,INDIRECT("maps!F$"&amp;ROW()))&gt;0,"repositories",IF(COUNTIF(wide_protocols!C:C,INDIRECT("maps!F$"&amp;ROW()))&gt;0,"protocols",""))))</f>
        <v>protocolSteps</v>
      </c>
      <c r="I675" s="9" t="s">
        <v>1113</v>
      </c>
      <c r="J675" s="6"/>
      <c r="K675" s="6"/>
      <c r="L675" s="6"/>
      <c r="M675" s="6"/>
    </row>
    <row r="676" spans="1:15" x14ac:dyDescent="0.2">
      <c r="A676">
        <v>673</v>
      </c>
      <c r="B676" t="b">
        <v>1</v>
      </c>
      <c r="C676" s="6" t="str">
        <f t="shared" ca="1" si="12"/>
        <v/>
      </c>
      <c r="D676" s="6" t="s">
        <v>113</v>
      </c>
      <c r="E676" s="6" t="s">
        <v>192</v>
      </c>
      <c r="F676" s="6" t="s">
        <v>143</v>
      </c>
      <c r="G676" s="6" t="s">
        <v>232</v>
      </c>
      <c r="H676" s="9" t="str" cm="1">
        <f t="array" aca="1" ref="H676" ca="1">IF(COUNTIF(wide_measures!D:D,INDIRECT("maps!F$"&amp;ROW()))&gt;0,"measures",IF(COUNTIF(wide_protocolSteps!C:C,INDIRECT("maps!F$"&amp;ROW()))&gt;0,"protocolSteps",IF(COUNTIF(wide_repositories!C:C,INDIRECT("maps!F$"&amp;ROW()))&gt;0,"repositories",IF(COUNTIF(wide_protocols!C:C,INDIRECT("maps!F$"&amp;ROW()))&gt;0,"protocols",""))))</f>
        <v>protocolSteps</v>
      </c>
      <c r="I676" s="9" t="s">
        <v>1113</v>
      </c>
      <c r="J676" s="6"/>
      <c r="K676" s="6"/>
      <c r="L676" s="6"/>
      <c r="M676" s="6"/>
    </row>
    <row r="677" spans="1:15" x14ac:dyDescent="0.2">
      <c r="A677">
        <v>674</v>
      </c>
      <c r="B677" t="b">
        <v>1</v>
      </c>
      <c r="C677" s="6" t="str">
        <f t="shared" ca="1" si="12"/>
        <v/>
      </c>
      <c r="D677" s="6" t="s">
        <v>113</v>
      </c>
      <c r="E677" s="6" t="s">
        <v>192</v>
      </c>
      <c r="F677" s="6" t="s">
        <v>143</v>
      </c>
      <c r="G677" s="6" t="s">
        <v>1207</v>
      </c>
      <c r="H677" s="9" t="str" cm="1">
        <f t="array" aca="1" ref="H677" ca="1">IF(COUNTIF(wide_measures!D:D,INDIRECT("maps!F$"&amp;ROW()))&gt;0,"measures",IF(COUNTIF(wide_protocolSteps!C:C,INDIRECT("maps!F$"&amp;ROW()))&gt;0,"protocolSteps",IF(COUNTIF(wide_repositories!C:C,INDIRECT("maps!F$"&amp;ROW()))&gt;0,"repositories",IF(COUNTIF(wide_protocols!C:C,INDIRECT("maps!F$"&amp;ROW()))&gt;0,"protocols",""))))</f>
        <v>protocolSteps</v>
      </c>
      <c r="I677" s="9" t="s">
        <v>1113</v>
      </c>
      <c r="J677" s="6"/>
      <c r="K677" s="6"/>
      <c r="L677" s="6"/>
      <c r="M677" s="6"/>
    </row>
    <row r="678" spans="1:15" x14ac:dyDescent="0.2">
      <c r="A678">
        <v>675</v>
      </c>
      <c r="B678" t="b">
        <v>1</v>
      </c>
      <c r="C678" s="6" t="str">
        <f t="shared" ca="1" si="12"/>
        <v/>
      </c>
      <c r="D678" s="6" t="s">
        <v>113</v>
      </c>
      <c r="E678" s="6" t="s">
        <v>192</v>
      </c>
      <c r="F678" s="6" t="s">
        <v>143</v>
      </c>
      <c r="G678" s="6" t="s">
        <v>233</v>
      </c>
      <c r="H678" s="9" t="str" cm="1">
        <f t="array" aca="1" ref="H678" ca="1">IF(COUNTIF(wide_measures!D:D,INDIRECT("maps!F$"&amp;ROW()))&gt;0,"measures",IF(COUNTIF(wide_protocolSteps!C:C,INDIRECT("maps!F$"&amp;ROW()))&gt;0,"protocolSteps",IF(COUNTIF(wide_repositories!C:C,INDIRECT("maps!F$"&amp;ROW()))&gt;0,"repositories",IF(COUNTIF(wide_protocols!C:C,INDIRECT("maps!F$"&amp;ROW()))&gt;0,"protocols",""))))</f>
        <v>protocolSteps</v>
      </c>
      <c r="I678" s="9" t="s">
        <v>1113</v>
      </c>
      <c r="J678" s="6"/>
      <c r="K678" s="6"/>
      <c r="L678" s="6"/>
      <c r="M678" s="6"/>
      <c r="N678" s="5" t="s">
        <v>1711</v>
      </c>
    </row>
    <row r="679" spans="1:15" x14ac:dyDescent="0.2">
      <c r="A679">
        <v>676</v>
      </c>
      <c r="C679" s="6" t="str">
        <f t="shared" si="12"/>
        <v/>
      </c>
      <c r="D679" s="6" t="s">
        <v>113</v>
      </c>
      <c r="E679" s="6" t="s">
        <v>192</v>
      </c>
      <c r="F679" s="6" t="s">
        <v>143</v>
      </c>
      <c r="G679" s="6" t="s">
        <v>1208</v>
      </c>
      <c r="H679" s="9" t="s">
        <v>1870</v>
      </c>
      <c r="I679" s="9"/>
      <c r="J679" s="6"/>
      <c r="K679" s="6"/>
      <c r="L679" s="6"/>
      <c r="M679" s="6"/>
      <c r="N679" s="5" t="s">
        <v>1870</v>
      </c>
      <c r="O679" t="s">
        <v>1926</v>
      </c>
    </row>
    <row r="680" spans="1:15" x14ac:dyDescent="0.2">
      <c r="A680">
        <v>677</v>
      </c>
      <c r="C680" s="6" t="str">
        <f t="shared" si="12"/>
        <v/>
      </c>
      <c r="D680" s="6" t="s">
        <v>113</v>
      </c>
      <c r="E680" s="6" t="s">
        <v>192</v>
      </c>
      <c r="F680" s="6" t="s">
        <v>143</v>
      </c>
      <c r="G680" s="6" t="s">
        <v>1209</v>
      </c>
      <c r="H680" s="6" t="s">
        <v>1276</v>
      </c>
      <c r="I680" s="6"/>
      <c r="J680" s="6" t="s">
        <v>1277</v>
      </c>
      <c r="K680" s="6" t="s">
        <v>1871</v>
      </c>
      <c r="L680" s="6"/>
      <c r="M680" s="6"/>
      <c r="N680" s="5" t="s">
        <v>1873</v>
      </c>
      <c r="O680" s="6" t="s">
        <v>1926</v>
      </c>
    </row>
    <row r="681" spans="1:15" x14ac:dyDescent="0.2">
      <c r="A681">
        <v>678</v>
      </c>
      <c r="C681" s="6" t="str">
        <f t="shared" si="12"/>
        <v/>
      </c>
      <c r="D681" s="6" t="s">
        <v>113</v>
      </c>
      <c r="E681" s="6" t="s">
        <v>192</v>
      </c>
      <c r="F681" s="6" t="s">
        <v>143</v>
      </c>
      <c r="G681" s="6" t="s">
        <v>1210</v>
      </c>
      <c r="H681" s="6" t="s">
        <v>1276</v>
      </c>
      <c r="I681" s="6"/>
      <c r="J681" s="6" t="s">
        <v>1277</v>
      </c>
      <c r="K681" s="6" t="s">
        <v>1872</v>
      </c>
      <c r="L681" s="6"/>
      <c r="M681" s="6"/>
      <c r="N681" s="5" t="s">
        <v>1874</v>
      </c>
      <c r="O681" s="6" t="s">
        <v>1926</v>
      </c>
    </row>
    <row r="682" spans="1:15" x14ac:dyDescent="0.2">
      <c r="A682">
        <v>679</v>
      </c>
      <c r="C682" s="6" t="b">
        <f t="shared" si="12"/>
        <v>1</v>
      </c>
      <c r="D682" s="6" t="s">
        <v>113</v>
      </c>
      <c r="E682" s="6" t="s">
        <v>192</v>
      </c>
      <c r="F682" s="6" t="s">
        <v>144</v>
      </c>
      <c r="G682" s="6" t="s">
        <v>497</v>
      </c>
      <c r="H682" s="6" t="s">
        <v>1536</v>
      </c>
      <c r="I682" s="6"/>
      <c r="J682" s="6" t="s">
        <v>1632</v>
      </c>
      <c r="K682" s="6" t="s">
        <v>1706</v>
      </c>
      <c r="L682" s="6"/>
      <c r="M682" s="6"/>
      <c r="N682" s="5" t="s">
        <v>1707</v>
      </c>
      <c r="O682" s="6" t="s">
        <v>1927</v>
      </c>
    </row>
    <row r="683" spans="1:15" s="36" customFormat="1" x14ac:dyDescent="0.2">
      <c r="A683" s="36">
        <v>680</v>
      </c>
      <c r="C683" s="37" t="str">
        <f t="shared" si="12"/>
        <v/>
      </c>
      <c r="D683" s="37" t="s">
        <v>113</v>
      </c>
      <c r="E683" s="37" t="s">
        <v>192</v>
      </c>
      <c r="F683" s="37" t="s">
        <v>167</v>
      </c>
      <c r="G683" s="37" t="s">
        <v>1722</v>
      </c>
      <c r="H683" s="37" t="s">
        <v>1282</v>
      </c>
      <c r="I683" s="37"/>
      <c r="J683" s="37" t="s">
        <v>1355</v>
      </c>
      <c r="K683" s="37" t="s">
        <v>1356</v>
      </c>
      <c r="L683" s="37"/>
      <c r="M683" s="37"/>
      <c r="N683" s="38" t="s">
        <v>1732</v>
      </c>
      <c r="O683" s="36" t="s">
        <v>1969</v>
      </c>
    </row>
    <row r="684" spans="1:15" x14ac:dyDescent="0.2">
      <c r="A684">
        <v>681</v>
      </c>
      <c r="C684" s="6" t="str">
        <f t="shared" si="12"/>
        <v/>
      </c>
      <c r="D684" s="6" t="s">
        <v>113</v>
      </c>
      <c r="E684" s="6" t="s">
        <v>192</v>
      </c>
      <c r="F684" s="6" t="s">
        <v>167</v>
      </c>
      <c r="G684" s="6" t="s">
        <v>1723</v>
      </c>
      <c r="H684" s="6" t="s">
        <v>1282</v>
      </c>
      <c r="I684" s="6"/>
      <c r="J684" s="6" t="s">
        <v>1355</v>
      </c>
      <c r="K684" s="6" t="s">
        <v>1357</v>
      </c>
      <c r="L684" s="6"/>
      <c r="M684" s="6"/>
      <c r="N684" s="5" t="s">
        <v>1732</v>
      </c>
      <c r="O684" s="36" t="s">
        <v>1969</v>
      </c>
    </row>
    <row r="685" spans="1:15" x14ac:dyDescent="0.2">
      <c r="A685">
        <v>682</v>
      </c>
      <c r="C685" s="6" t="str">
        <f t="shared" si="12"/>
        <v/>
      </c>
      <c r="D685" s="6" t="s">
        <v>113</v>
      </c>
      <c r="E685" s="6" t="s">
        <v>192</v>
      </c>
      <c r="F685" s="6" t="s">
        <v>167</v>
      </c>
      <c r="G685" s="6" t="s">
        <v>1217</v>
      </c>
      <c r="H685" s="6" t="s">
        <v>1282</v>
      </c>
      <c r="I685" s="6"/>
      <c r="J685" s="6" t="s">
        <v>1355</v>
      </c>
      <c r="K685" s="6" t="s">
        <v>1728</v>
      </c>
      <c r="L685" s="6"/>
      <c r="M685" s="6"/>
      <c r="N685" s="5" t="s">
        <v>1732</v>
      </c>
      <c r="O685" s="36" t="s">
        <v>1969</v>
      </c>
    </row>
    <row r="686" spans="1:15" x14ac:dyDescent="0.2">
      <c r="A686">
        <v>683</v>
      </c>
      <c r="C686" s="6" t="str">
        <f t="shared" si="12"/>
        <v/>
      </c>
      <c r="D686" s="6" t="s">
        <v>113</v>
      </c>
      <c r="E686" s="6" t="s">
        <v>192</v>
      </c>
      <c r="F686" s="6" t="s">
        <v>167</v>
      </c>
      <c r="G686" s="6" t="s">
        <v>1211</v>
      </c>
      <c r="H686" s="6" t="s">
        <v>1282</v>
      </c>
      <c r="I686" s="6"/>
      <c r="J686" s="6" t="s">
        <v>1355</v>
      </c>
      <c r="K686" s="6" t="s">
        <v>1344</v>
      </c>
      <c r="L686" s="6"/>
      <c r="M686" s="6"/>
      <c r="N686" s="5" t="s">
        <v>1732</v>
      </c>
      <c r="O686" s="36" t="s">
        <v>1969</v>
      </c>
    </row>
    <row r="687" spans="1:15" x14ac:dyDescent="0.2">
      <c r="A687">
        <v>684</v>
      </c>
      <c r="C687" s="6" t="str">
        <f t="shared" si="12"/>
        <v/>
      </c>
      <c r="D687" s="6" t="s">
        <v>113</v>
      </c>
      <c r="E687" s="6" t="s">
        <v>192</v>
      </c>
      <c r="F687" s="6" t="s">
        <v>167</v>
      </c>
      <c r="G687" s="6" t="s">
        <v>1724</v>
      </c>
      <c r="H687" s="6" t="s">
        <v>1282</v>
      </c>
      <c r="I687" s="6"/>
      <c r="J687" s="6" t="s">
        <v>1355</v>
      </c>
      <c r="K687" s="6" t="s">
        <v>1729</v>
      </c>
      <c r="L687" s="6"/>
      <c r="M687" s="6"/>
      <c r="N687" s="5" t="s">
        <v>1732</v>
      </c>
      <c r="O687" s="36" t="s">
        <v>1969</v>
      </c>
    </row>
    <row r="688" spans="1:15" x14ac:dyDescent="0.2">
      <c r="A688">
        <v>685</v>
      </c>
      <c r="C688" s="6" t="str">
        <f t="shared" si="12"/>
        <v/>
      </c>
      <c r="D688" s="6" t="s">
        <v>113</v>
      </c>
      <c r="E688" s="6" t="s">
        <v>192</v>
      </c>
      <c r="F688" s="6" t="s">
        <v>167</v>
      </c>
      <c r="G688" s="6" t="s">
        <v>1725</v>
      </c>
      <c r="H688" s="6" t="s">
        <v>1282</v>
      </c>
      <c r="I688" s="6"/>
      <c r="J688" s="6" t="s">
        <v>1355</v>
      </c>
      <c r="K688" s="6" t="s">
        <v>1358</v>
      </c>
      <c r="L688" s="6"/>
      <c r="M688" s="6"/>
      <c r="N688" s="5" t="s">
        <v>1732</v>
      </c>
      <c r="O688" s="36" t="s">
        <v>1969</v>
      </c>
    </row>
    <row r="689" spans="1:15" x14ac:dyDescent="0.2">
      <c r="A689">
        <v>686</v>
      </c>
      <c r="C689" s="6" t="str">
        <f t="shared" si="12"/>
        <v/>
      </c>
      <c r="D689" s="6" t="s">
        <v>113</v>
      </c>
      <c r="E689" s="6" t="s">
        <v>192</v>
      </c>
      <c r="F689" s="6" t="s">
        <v>167</v>
      </c>
      <c r="G689" s="6" t="s">
        <v>1726</v>
      </c>
      <c r="H689" s="6" t="s">
        <v>1282</v>
      </c>
      <c r="I689" s="6"/>
      <c r="J689" s="6" t="s">
        <v>1355</v>
      </c>
      <c r="K689" s="6" t="s">
        <v>1730</v>
      </c>
      <c r="L689" s="6"/>
      <c r="M689" s="6"/>
      <c r="N689" s="5" t="s">
        <v>1732</v>
      </c>
      <c r="O689" s="36" t="s">
        <v>1969</v>
      </c>
    </row>
    <row r="690" spans="1:15" x14ac:dyDescent="0.2">
      <c r="A690">
        <v>687</v>
      </c>
      <c r="C690" s="6" t="str">
        <f t="shared" si="12"/>
        <v/>
      </c>
      <c r="D690" s="6" t="s">
        <v>113</v>
      </c>
      <c r="E690" s="6" t="s">
        <v>192</v>
      </c>
      <c r="F690" s="6" t="s">
        <v>167</v>
      </c>
      <c r="G690" s="6" t="s">
        <v>1727</v>
      </c>
      <c r="H690" s="6" t="s">
        <v>1282</v>
      </c>
      <c r="I690" s="6"/>
      <c r="J690" s="6" t="s">
        <v>1355</v>
      </c>
      <c r="K690" s="6" t="s">
        <v>1731</v>
      </c>
      <c r="L690" s="6"/>
      <c r="M690" s="6"/>
      <c r="N690" s="5" t="s">
        <v>1732</v>
      </c>
      <c r="O690" s="36" t="s">
        <v>1969</v>
      </c>
    </row>
    <row r="691" spans="1:15" x14ac:dyDescent="0.2">
      <c r="A691">
        <v>688</v>
      </c>
      <c r="B691" t="b">
        <v>1</v>
      </c>
      <c r="C691" s="6" t="str">
        <f t="shared" si="12"/>
        <v/>
      </c>
      <c r="D691" s="6" t="s">
        <v>113</v>
      </c>
      <c r="E691" s="6" t="s">
        <v>192</v>
      </c>
      <c r="F691" s="6" t="s">
        <v>1159</v>
      </c>
      <c r="G691" s="6" t="s">
        <v>1204</v>
      </c>
      <c r="H691" s="6" t="s">
        <v>1601</v>
      </c>
      <c r="I691" s="6"/>
      <c r="J691" s="6" t="s">
        <v>1610</v>
      </c>
      <c r="K691" s="6" t="s">
        <v>1611</v>
      </c>
      <c r="L691" s="6"/>
      <c r="M691" s="6"/>
      <c r="N691" s="5" t="s">
        <v>1612</v>
      </c>
      <c r="O691" s="41" t="s">
        <v>1926</v>
      </c>
    </row>
    <row r="692" spans="1:15" x14ac:dyDescent="0.2">
      <c r="A692">
        <v>689</v>
      </c>
      <c r="B692" t="b">
        <v>1</v>
      </c>
      <c r="C692" s="6" t="str">
        <f t="shared" si="12"/>
        <v/>
      </c>
      <c r="D692" s="6" t="s">
        <v>113</v>
      </c>
      <c r="E692" s="6" t="s">
        <v>192</v>
      </c>
      <c r="F692" s="6" t="s">
        <v>1159</v>
      </c>
      <c r="G692" s="6" t="s">
        <v>1205</v>
      </c>
      <c r="H692" s="6" t="s">
        <v>1601</v>
      </c>
      <c r="I692" s="6"/>
      <c r="J692" s="6" t="s">
        <v>1610</v>
      </c>
      <c r="K692" s="6" t="s">
        <v>814</v>
      </c>
      <c r="L692" s="6"/>
      <c r="M692" s="6"/>
      <c r="N692" s="5" t="s">
        <v>1612</v>
      </c>
      <c r="O692" s="41" t="s">
        <v>1926</v>
      </c>
    </row>
    <row r="693" spans="1:15" x14ac:dyDescent="0.2">
      <c r="A693">
        <v>690</v>
      </c>
      <c r="B693" t="b">
        <v>1</v>
      </c>
      <c r="C693" s="6" t="b">
        <f t="shared" si="12"/>
        <v>1</v>
      </c>
      <c r="D693" s="6" t="s">
        <v>113</v>
      </c>
      <c r="E693" s="6" t="s">
        <v>192</v>
      </c>
      <c r="F693" s="6" t="s">
        <v>1160</v>
      </c>
      <c r="G693" s="6" t="s">
        <v>497</v>
      </c>
      <c r="H693" s="6" t="s">
        <v>1601</v>
      </c>
      <c r="I693" s="6"/>
      <c r="J693" s="6" t="s">
        <v>1247</v>
      </c>
      <c r="K693" s="6" t="s">
        <v>1602</v>
      </c>
      <c r="L693" s="6"/>
      <c r="M693" s="6"/>
      <c r="N693" s="5" t="s">
        <v>1612</v>
      </c>
      <c r="O693" s="41" t="s">
        <v>1926</v>
      </c>
    </row>
    <row r="694" spans="1:15" x14ac:dyDescent="0.2">
      <c r="A694">
        <v>691</v>
      </c>
      <c r="B694" t="b">
        <v>1</v>
      </c>
      <c r="C694" s="6" t="str">
        <f t="shared" ca="1" si="12"/>
        <v/>
      </c>
      <c r="D694" s="6" t="s">
        <v>16</v>
      </c>
      <c r="E694" s="6" t="s">
        <v>192</v>
      </c>
      <c r="F694" s="6" t="s">
        <v>139</v>
      </c>
      <c r="G694" s="6" t="s">
        <v>455</v>
      </c>
      <c r="H694" s="9" t="str" cm="1">
        <f t="array" aca="1" ref="H694" ca="1">IF(COUNTIF(wide_measures!D:D,INDIRECT("maps!F$"&amp;ROW()))&gt;0,"measures",IF(COUNTIF(wide_protocolSteps!C:C,INDIRECT("maps!F$"&amp;ROW()))&gt;0,"protocolSteps",IF(COUNTIF(wide_repositories!C:C,INDIRECT("maps!F$"&amp;ROW()))&gt;0,"repositories",IF(COUNTIF(wide_protocols!C:C,INDIRECT("maps!F$"&amp;ROW()))&gt;0,"protocols",""))))</f>
        <v>protocolSteps</v>
      </c>
      <c r="I694" s="9" t="s">
        <v>1113</v>
      </c>
      <c r="J694" s="6"/>
      <c r="K694" s="6"/>
      <c r="L694" s="6"/>
      <c r="M694" s="6"/>
      <c r="N694" s="6"/>
    </row>
    <row r="695" spans="1:15" x14ac:dyDescent="0.2">
      <c r="A695">
        <v>692</v>
      </c>
      <c r="B695" t="b">
        <v>1</v>
      </c>
      <c r="C695" s="6" t="str">
        <f t="shared" ca="1" si="12"/>
        <v/>
      </c>
      <c r="D695" s="6" t="s">
        <v>16</v>
      </c>
      <c r="E695" s="6" t="s">
        <v>192</v>
      </c>
      <c r="F695" s="6" t="s">
        <v>139</v>
      </c>
      <c r="G695" s="6" t="s">
        <v>456</v>
      </c>
      <c r="H695" s="9" t="str" cm="1">
        <f t="array" aca="1" ref="H695" ca="1">IF(COUNTIF(wide_measures!D:D,INDIRECT("maps!F$"&amp;ROW()))&gt;0,"measures",IF(COUNTIF(wide_protocolSteps!C:C,INDIRECT("maps!F$"&amp;ROW()))&gt;0,"protocolSteps",IF(COUNTIF(wide_repositories!C:C,INDIRECT("maps!F$"&amp;ROW()))&gt;0,"repositories",IF(COUNTIF(wide_protocols!C:C,INDIRECT("maps!F$"&amp;ROW()))&gt;0,"protocols",""))))</f>
        <v>protocolSteps</v>
      </c>
      <c r="I695" s="9" t="s">
        <v>1113</v>
      </c>
      <c r="J695" s="6"/>
      <c r="K695" s="6"/>
      <c r="L695" s="6"/>
      <c r="M695" s="6"/>
      <c r="N695" s="6"/>
    </row>
    <row r="696" spans="1:15" x14ac:dyDescent="0.2">
      <c r="A696">
        <v>693</v>
      </c>
      <c r="B696" t="b">
        <v>1</v>
      </c>
      <c r="C696" s="6" t="str">
        <f t="shared" ca="1" si="12"/>
        <v/>
      </c>
      <c r="D696" s="6" t="s">
        <v>16</v>
      </c>
      <c r="E696" s="6" t="s">
        <v>192</v>
      </c>
      <c r="F696" s="6" t="s">
        <v>139</v>
      </c>
      <c r="G696" s="6" t="s">
        <v>457</v>
      </c>
      <c r="H696" s="9" t="str" cm="1">
        <f t="array" aca="1" ref="H696" ca="1">IF(COUNTIF(wide_measures!D:D,INDIRECT("maps!F$"&amp;ROW()))&gt;0,"measures",IF(COUNTIF(wide_protocolSteps!C:C,INDIRECT("maps!F$"&amp;ROW()))&gt;0,"protocolSteps",IF(COUNTIF(wide_repositories!C:C,INDIRECT("maps!F$"&amp;ROW()))&gt;0,"repositories",IF(COUNTIF(wide_protocols!C:C,INDIRECT("maps!F$"&amp;ROW()))&gt;0,"protocols",""))))</f>
        <v>protocolSteps</v>
      </c>
      <c r="I696" s="9" t="s">
        <v>1113</v>
      </c>
      <c r="J696" s="6"/>
      <c r="K696" s="6"/>
      <c r="L696" s="6"/>
      <c r="M696" s="6"/>
      <c r="N696" s="6"/>
    </row>
    <row r="697" spans="1:15" x14ac:dyDescent="0.2">
      <c r="A697">
        <v>694</v>
      </c>
      <c r="B697" t="b">
        <v>1</v>
      </c>
      <c r="C697" s="6" t="str">
        <f t="shared" ca="1" si="12"/>
        <v/>
      </c>
      <c r="D697" s="6" t="s">
        <v>16</v>
      </c>
      <c r="E697" s="6" t="s">
        <v>192</v>
      </c>
      <c r="F697" s="6" t="s">
        <v>139</v>
      </c>
      <c r="G697" s="6" t="s">
        <v>458</v>
      </c>
      <c r="H697" s="9" t="str" cm="1">
        <f t="array" aca="1" ref="H697" ca="1">IF(COUNTIF(wide_measures!D:D,INDIRECT("maps!F$"&amp;ROW()))&gt;0,"measures",IF(COUNTIF(wide_protocolSteps!C:C,INDIRECT("maps!F$"&amp;ROW()))&gt;0,"protocolSteps",IF(COUNTIF(wide_repositories!C:C,INDIRECT("maps!F$"&amp;ROW()))&gt;0,"repositories",IF(COUNTIF(wide_protocols!C:C,INDIRECT("maps!F$"&amp;ROW()))&gt;0,"protocols",""))))</f>
        <v>protocolSteps</v>
      </c>
      <c r="I697" s="9" t="s">
        <v>1113</v>
      </c>
      <c r="J697" s="6"/>
      <c r="K697" s="6"/>
      <c r="L697" s="6"/>
      <c r="M697" s="6"/>
      <c r="N697" s="6"/>
    </row>
    <row r="698" spans="1:15" x14ac:dyDescent="0.2">
      <c r="A698">
        <v>695</v>
      </c>
      <c r="B698" t="b">
        <v>1</v>
      </c>
      <c r="C698" s="6" t="str">
        <f t="shared" ca="1" si="12"/>
        <v/>
      </c>
      <c r="D698" s="6" t="s">
        <v>16</v>
      </c>
      <c r="E698" s="6" t="s">
        <v>192</v>
      </c>
      <c r="F698" s="6" t="s">
        <v>139</v>
      </c>
      <c r="G698" s="6" t="s">
        <v>459</v>
      </c>
      <c r="H698" s="9" t="str" cm="1">
        <f t="array" aca="1" ref="H698" ca="1">IF(COUNTIF(wide_measures!D:D,INDIRECT("maps!F$"&amp;ROW()))&gt;0,"measures",IF(COUNTIF(wide_protocolSteps!C:C,INDIRECT("maps!F$"&amp;ROW()))&gt;0,"protocolSteps",IF(COUNTIF(wide_repositories!C:C,INDIRECT("maps!F$"&amp;ROW()))&gt;0,"repositories",IF(COUNTIF(wide_protocols!C:C,INDIRECT("maps!F$"&amp;ROW()))&gt;0,"protocols",""))))</f>
        <v>protocolSteps</v>
      </c>
      <c r="I698" s="9" t="s">
        <v>1113</v>
      </c>
      <c r="J698" s="6"/>
      <c r="K698" s="6"/>
      <c r="L698" s="6"/>
      <c r="M698" s="6"/>
      <c r="N698" s="6"/>
    </row>
    <row r="699" spans="1:15" x14ac:dyDescent="0.2">
      <c r="A699">
        <v>696</v>
      </c>
      <c r="B699" t="b">
        <v>1</v>
      </c>
      <c r="C699" s="6" t="str">
        <f t="shared" ca="1" si="12"/>
        <v/>
      </c>
      <c r="D699" s="6" t="s">
        <v>16</v>
      </c>
      <c r="E699" s="6" t="s">
        <v>192</v>
      </c>
      <c r="F699" s="6" t="s">
        <v>139</v>
      </c>
      <c r="G699" s="6" t="s">
        <v>460</v>
      </c>
      <c r="H699" s="9" t="str" cm="1">
        <f t="array" aca="1" ref="H699" ca="1">IF(COUNTIF(wide_measures!D:D,INDIRECT("maps!F$"&amp;ROW()))&gt;0,"measures",IF(COUNTIF(wide_protocolSteps!C:C,INDIRECT("maps!F$"&amp;ROW()))&gt;0,"protocolSteps",IF(COUNTIF(wide_repositories!C:C,INDIRECT("maps!F$"&amp;ROW()))&gt;0,"repositories",IF(COUNTIF(wide_protocols!C:C,INDIRECT("maps!F$"&amp;ROW()))&gt;0,"protocols",""))))</f>
        <v>protocolSteps</v>
      </c>
      <c r="I699" s="9" t="s">
        <v>1113</v>
      </c>
      <c r="J699" s="6"/>
      <c r="K699" s="6"/>
      <c r="L699" s="6"/>
      <c r="M699" s="6"/>
      <c r="N699" s="6"/>
    </row>
    <row r="700" spans="1:15" x14ac:dyDescent="0.2">
      <c r="A700">
        <v>697</v>
      </c>
      <c r="B700" t="b">
        <v>1</v>
      </c>
      <c r="C700" s="6" t="str">
        <f t="shared" ca="1" si="12"/>
        <v/>
      </c>
      <c r="D700" s="6" t="s">
        <v>16</v>
      </c>
      <c r="E700" s="6" t="s">
        <v>192</v>
      </c>
      <c r="F700" s="6" t="s">
        <v>139</v>
      </c>
      <c r="G700" s="6" t="s">
        <v>461</v>
      </c>
      <c r="H700" s="9" t="str" cm="1">
        <f t="array" aca="1" ref="H700" ca="1">IF(COUNTIF(wide_measures!D:D,INDIRECT("maps!F$"&amp;ROW()))&gt;0,"measures",IF(COUNTIF(wide_protocolSteps!C:C,INDIRECT("maps!F$"&amp;ROW()))&gt;0,"protocolSteps",IF(COUNTIF(wide_repositories!C:C,INDIRECT("maps!F$"&amp;ROW()))&gt;0,"repositories",IF(COUNTIF(wide_protocols!C:C,INDIRECT("maps!F$"&amp;ROW()))&gt;0,"protocols",""))))</f>
        <v>protocolSteps</v>
      </c>
      <c r="I700" s="9" t="s">
        <v>1113</v>
      </c>
      <c r="J700" s="6"/>
      <c r="K700" s="6"/>
      <c r="L700" s="6"/>
      <c r="M700" s="6"/>
      <c r="N700" s="6"/>
    </row>
    <row r="701" spans="1:15" x14ac:dyDescent="0.2">
      <c r="A701">
        <v>698</v>
      </c>
      <c r="B701" t="b">
        <v>1</v>
      </c>
      <c r="C701" s="6" t="str">
        <f t="shared" ca="1" si="12"/>
        <v/>
      </c>
      <c r="D701" s="6" t="s">
        <v>16</v>
      </c>
      <c r="E701" s="6" t="s">
        <v>192</v>
      </c>
      <c r="F701" s="6" t="s">
        <v>139</v>
      </c>
      <c r="G701" s="6" t="s">
        <v>462</v>
      </c>
      <c r="H701" s="9" t="str" cm="1">
        <f t="array" aca="1" ref="H701" ca="1">IF(COUNTIF(wide_measures!D:D,INDIRECT("maps!F$"&amp;ROW()))&gt;0,"measures",IF(COUNTIF(wide_protocolSteps!C:C,INDIRECT("maps!F$"&amp;ROW()))&gt;0,"protocolSteps",IF(COUNTIF(wide_repositories!C:C,INDIRECT("maps!F$"&amp;ROW()))&gt;0,"repositories",IF(COUNTIF(wide_protocols!C:C,INDIRECT("maps!F$"&amp;ROW()))&gt;0,"protocols",""))))</f>
        <v>protocolSteps</v>
      </c>
      <c r="I701" s="9" t="s">
        <v>1113</v>
      </c>
      <c r="J701" s="6"/>
      <c r="K701" s="6"/>
      <c r="L701" s="6"/>
      <c r="M701" s="6"/>
      <c r="N701" s="6"/>
    </row>
    <row r="702" spans="1:15" x14ac:dyDescent="0.2">
      <c r="A702">
        <v>699</v>
      </c>
      <c r="B702" t="b">
        <v>1</v>
      </c>
      <c r="C702" s="6" t="str">
        <f t="shared" ca="1" si="12"/>
        <v/>
      </c>
      <c r="D702" s="6" t="s">
        <v>16</v>
      </c>
      <c r="E702" s="6" t="s">
        <v>192</v>
      </c>
      <c r="F702" s="6" t="s">
        <v>139</v>
      </c>
      <c r="G702" s="6" t="s">
        <v>463</v>
      </c>
      <c r="H702" s="9" t="str" cm="1">
        <f t="array" aca="1" ref="H702" ca="1">IF(COUNTIF(wide_measures!D:D,INDIRECT("maps!F$"&amp;ROW()))&gt;0,"measures",IF(COUNTIF(wide_protocolSteps!C:C,INDIRECT("maps!F$"&amp;ROW()))&gt;0,"protocolSteps",IF(COUNTIF(wide_repositories!C:C,INDIRECT("maps!F$"&amp;ROW()))&gt;0,"repositories",IF(COUNTIF(wide_protocols!C:C,INDIRECT("maps!F$"&amp;ROW()))&gt;0,"protocols",""))))</f>
        <v>protocolSteps</v>
      </c>
      <c r="I702" s="9" t="s">
        <v>1113</v>
      </c>
      <c r="J702" s="6"/>
      <c r="K702" s="6"/>
      <c r="L702" s="6"/>
      <c r="M702" s="6"/>
      <c r="N702" s="6"/>
    </row>
    <row r="703" spans="1:15" x14ac:dyDescent="0.2">
      <c r="A703">
        <v>700</v>
      </c>
      <c r="B703" t="b">
        <v>1</v>
      </c>
      <c r="C703" s="6" t="str">
        <f t="shared" ca="1" si="12"/>
        <v/>
      </c>
      <c r="D703" s="6" t="s">
        <v>16</v>
      </c>
      <c r="E703" s="6" t="s">
        <v>192</v>
      </c>
      <c r="F703" s="6" t="s">
        <v>139</v>
      </c>
      <c r="G703" s="6" t="s">
        <v>464</v>
      </c>
      <c r="H703" s="9" t="str" cm="1">
        <f t="array" aca="1" ref="H703" ca="1">IF(COUNTIF(wide_measures!D:D,INDIRECT("maps!F$"&amp;ROW()))&gt;0,"measures",IF(COUNTIF(wide_protocolSteps!C:C,INDIRECT("maps!F$"&amp;ROW()))&gt;0,"protocolSteps",IF(COUNTIF(wide_repositories!C:C,INDIRECT("maps!F$"&amp;ROW()))&gt;0,"repositories",IF(COUNTIF(wide_protocols!C:C,INDIRECT("maps!F$"&amp;ROW()))&gt;0,"protocols",""))))</f>
        <v>protocolSteps</v>
      </c>
      <c r="I703" s="9" t="s">
        <v>1113</v>
      </c>
      <c r="J703" s="6"/>
      <c r="K703" s="6"/>
      <c r="L703" s="6"/>
      <c r="M703" s="6"/>
      <c r="N703" s="6"/>
    </row>
    <row r="704" spans="1:15" x14ac:dyDescent="0.2">
      <c r="A704">
        <v>701</v>
      </c>
      <c r="B704" t="b">
        <v>1</v>
      </c>
      <c r="C704" s="6" t="str">
        <f t="shared" ca="1" si="12"/>
        <v/>
      </c>
      <c r="D704" s="6" t="s">
        <v>16</v>
      </c>
      <c r="E704" s="6" t="s">
        <v>192</v>
      </c>
      <c r="F704" s="6" t="s">
        <v>139</v>
      </c>
      <c r="G704" s="6" t="s">
        <v>465</v>
      </c>
      <c r="H704" s="9" t="str" cm="1">
        <f t="array" aca="1" ref="H704" ca="1">IF(COUNTIF(wide_measures!D:D,INDIRECT("maps!F$"&amp;ROW()))&gt;0,"measures",IF(COUNTIF(wide_protocolSteps!C:C,INDIRECT("maps!F$"&amp;ROW()))&gt;0,"protocolSteps",IF(COUNTIF(wide_repositories!C:C,INDIRECT("maps!F$"&amp;ROW()))&gt;0,"repositories",IF(COUNTIF(wide_protocols!C:C,INDIRECT("maps!F$"&amp;ROW()))&gt;0,"protocols",""))))</f>
        <v>protocolSteps</v>
      </c>
      <c r="I704" s="9" t="s">
        <v>1113</v>
      </c>
      <c r="J704" s="6"/>
      <c r="K704" s="6"/>
      <c r="L704" s="6"/>
      <c r="M704" s="6"/>
      <c r="N704" s="6"/>
    </row>
    <row r="705" spans="1:15" x14ac:dyDescent="0.2">
      <c r="A705">
        <v>702</v>
      </c>
      <c r="B705" t="b">
        <v>1</v>
      </c>
      <c r="C705" s="6" t="str">
        <f t="shared" ca="1" si="12"/>
        <v/>
      </c>
      <c r="D705" s="6" t="s">
        <v>16</v>
      </c>
      <c r="E705" s="6" t="s">
        <v>192</v>
      </c>
      <c r="F705" s="6" t="s">
        <v>139</v>
      </c>
      <c r="G705" s="6" t="s">
        <v>466</v>
      </c>
      <c r="H705" s="9" t="str" cm="1">
        <f t="array" aca="1" ref="H705" ca="1">IF(COUNTIF(wide_measures!D:D,INDIRECT("maps!F$"&amp;ROW()))&gt;0,"measures",IF(COUNTIF(wide_protocolSteps!C:C,INDIRECT("maps!F$"&amp;ROW()))&gt;0,"protocolSteps",IF(COUNTIF(wide_repositories!C:C,INDIRECT("maps!F$"&amp;ROW()))&gt;0,"repositories",IF(COUNTIF(wide_protocols!C:C,INDIRECT("maps!F$"&amp;ROW()))&gt;0,"protocols",""))))</f>
        <v>protocolSteps</v>
      </c>
      <c r="I705" s="9" t="s">
        <v>1113</v>
      </c>
      <c r="J705" s="6"/>
      <c r="K705" s="6"/>
      <c r="L705" s="6"/>
      <c r="M705" s="6"/>
      <c r="N705" s="6"/>
    </row>
    <row r="706" spans="1:15" x14ac:dyDescent="0.2">
      <c r="A706">
        <v>703</v>
      </c>
      <c r="B706" t="b">
        <v>1</v>
      </c>
      <c r="C706" s="6" t="str">
        <f t="shared" ca="1" si="12"/>
        <v/>
      </c>
      <c r="D706" s="6" t="s">
        <v>16</v>
      </c>
      <c r="E706" s="6" t="s">
        <v>192</v>
      </c>
      <c r="F706" s="6" t="s">
        <v>139</v>
      </c>
      <c r="G706" s="6" t="s">
        <v>467</v>
      </c>
      <c r="H706" s="9" t="str" cm="1">
        <f t="array" aca="1" ref="H706" ca="1">IF(COUNTIF(wide_measures!D:D,INDIRECT("maps!F$"&amp;ROW()))&gt;0,"measures",IF(COUNTIF(wide_protocolSteps!C:C,INDIRECT("maps!F$"&amp;ROW()))&gt;0,"protocolSteps",IF(COUNTIF(wide_repositories!C:C,INDIRECT("maps!F$"&amp;ROW()))&gt;0,"repositories",IF(COUNTIF(wide_protocols!C:C,INDIRECT("maps!F$"&amp;ROW()))&gt;0,"protocols",""))))</f>
        <v>protocolSteps</v>
      </c>
      <c r="I706" s="9" t="s">
        <v>1113</v>
      </c>
      <c r="J706" s="6"/>
      <c r="K706" s="6"/>
      <c r="L706" s="6"/>
      <c r="M706" s="6"/>
      <c r="N706" s="6"/>
    </row>
    <row r="707" spans="1:15" x14ac:dyDescent="0.2">
      <c r="A707">
        <v>704</v>
      </c>
      <c r="B707" t="b">
        <v>1</v>
      </c>
      <c r="C707" s="6" t="str">
        <f t="shared" ca="1" si="12"/>
        <v/>
      </c>
      <c r="D707" s="6" t="s">
        <v>16</v>
      </c>
      <c r="E707" s="6" t="s">
        <v>192</v>
      </c>
      <c r="F707" s="6" t="s">
        <v>139</v>
      </c>
      <c r="G707" s="6" t="s">
        <v>468</v>
      </c>
      <c r="H707" s="9" t="str" cm="1">
        <f t="array" aca="1" ref="H707" ca="1">IF(COUNTIF(wide_measures!D:D,INDIRECT("maps!F$"&amp;ROW()))&gt;0,"measures",IF(COUNTIF(wide_protocolSteps!C:C,INDIRECT("maps!F$"&amp;ROW()))&gt;0,"protocolSteps",IF(COUNTIF(wide_repositories!C:C,INDIRECT("maps!F$"&amp;ROW()))&gt;0,"repositories",IF(COUNTIF(wide_protocols!C:C,INDIRECT("maps!F$"&amp;ROW()))&gt;0,"protocols",""))))</f>
        <v>protocolSteps</v>
      </c>
      <c r="I707" s="9" t="s">
        <v>1113</v>
      </c>
      <c r="J707" s="6"/>
      <c r="K707" s="6"/>
      <c r="L707" s="6"/>
      <c r="M707" s="6"/>
      <c r="N707" s="6"/>
    </row>
    <row r="708" spans="1:15" x14ac:dyDescent="0.2">
      <c r="A708">
        <v>705</v>
      </c>
      <c r="B708" t="b">
        <v>1</v>
      </c>
      <c r="C708" s="6" t="str">
        <f t="shared" ca="1" si="12"/>
        <v/>
      </c>
      <c r="D708" s="6" t="s">
        <v>16</v>
      </c>
      <c r="E708" s="6" t="s">
        <v>192</v>
      </c>
      <c r="F708" s="6" t="s">
        <v>139</v>
      </c>
      <c r="G708" s="6" t="s">
        <v>469</v>
      </c>
      <c r="H708" s="9" t="str" cm="1">
        <f t="array" aca="1" ref="H708" ca="1">IF(COUNTIF(wide_measures!D:D,INDIRECT("maps!F$"&amp;ROW()))&gt;0,"measures",IF(COUNTIF(wide_protocolSteps!C:C,INDIRECT("maps!F$"&amp;ROW()))&gt;0,"protocolSteps",IF(COUNTIF(wide_repositories!C:C,INDIRECT("maps!F$"&amp;ROW()))&gt;0,"repositories",IF(COUNTIF(wide_protocols!C:C,INDIRECT("maps!F$"&amp;ROW()))&gt;0,"protocols",""))))</f>
        <v>protocolSteps</v>
      </c>
      <c r="I708" s="9" t="s">
        <v>1113</v>
      </c>
      <c r="J708" s="6"/>
      <c r="K708" s="6"/>
      <c r="L708" s="6"/>
      <c r="M708" s="6"/>
      <c r="N708" s="6"/>
    </row>
    <row r="709" spans="1:15" x14ac:dyDescent="0.2">
      <c r="A709">
        <v>706</v>
      </c>
      <c r="B709" t="b">
        <v>1</v>
      </c>
      <c r="C709" s="6" t="str">
        <f t="shared" ref="C709:C772" ca="1" si="13">IF(AND(G709="NA",H709&lt;&gt;"wide_value"),TRUE,"")</f>
        <v/>
      </c>
      <c r="D709" s="6" t="s">
        <v>16</v>
      </c>
      <c r="E709" s="6" t="s">
        <v>192</v>
      </c>
      <c r="F709" s="6" t="s">
        <v>139</v>
      </c>
      <c r="G709" s="6" t="s">
        <v>470</v>
      </c>
      <c r="H709" s="9" t="str" cm="1">
        <f t="array" aca="1" ref="H709" ca="1">IF(COUNTIF(wide_measures!D:D,INDIRECT("maps!F$"&amp;ROW()))&gt;0,"measures",IF(COUNTIF(wide_protocolSteps!C:C,INDIRECT("maps!F$"&amp;ROW()))&gt;0,"protocolSteps",IF(COUNTIF(wide_repositories!C:C,INDIRECT("maps!F$"&amp;ROW()))&gt;0,"repositories",IF(COUNTIF(wide_protocols!C:C,INDIRECT("maps!F$"&amp;ROW()))&gt;0,"protocols",""))))</f>
        <v>protocolSteps</v>
      </c>
      <c r="I709" s="9" t="s">
        <v>1113</v>
      </c>
      <c r="J709" s="6"/>
      <c r="K709" s="6"/>
      <c r="L709" s="6"/>
      <c r="M709" s="6"/>
      <c r="N709" s="6"/>
    </row>
    <row r="710" spans="1:15" x14ac:dyDescent="0.2">
      <c r="A710">
        <v>707</v>
      </c>
      <c r="B710" t="b">
        <v>1</v>
      </c>
      <c r="C710" s="6" t="str">
        <f t="shared" ca="1" si="13"/>
        <v/>
      </c>
      <c r="D710" s="6" t="s">
        <v>16</v>
      </c>
      <c r="E710" s="6" t="s">
        <v>192</v>
      </c>
      <c r="F710" s="6" t="s">
        <v>139</v>
      </c>
      <c r="G710" s="6" t="s">
        <v>471</v>
      </c>
      <c r="H710" s="9" t="str" cm="1">
        <f t="array" aca="1" ref="H710" ca="1">IF(COUNTIF(wide_measures!D:D,INDIRECT("maps!F$"&amp;ROW()))&gt;0,"measures",IF(COUNTIF(wide_protocolSteps!C:C,INDIRECT("maps!F$"&amp;ROW()))&gt;0,"protocolSteps",IF(COUNTIF(wide_repositories!C:C,INDIRECT("maps!F$"&amp;ROW()))&gt;0,"repositories",IF(COUNTIF(wide_protocols!C:C,INDIRECT("maps!F$"&amp;ROW()))&gt;0,"protocols",""))))</f>
        <v>protocolSteps</v>
      </c>
      <c r="I710" s="9" t="s">
        <v>1113</v>
      </c>
      <c r="J710" s="6"/>
      <c r="K710" s="6"/>
      <c r="L710" s="6"/>
      <c r="M710" s="6"/>
      <c r="N710" s="6"/>
    </row>
    <row r="711" spans="1:15" x14ac:dyDescent="0.2">
      <c r="A711">
        <v>708</v>
      </c>
      <c r="B711" t="b">
        <v>1</v>
      </c>
      <c r="C711" s="6" t="str">
        <f t="shared" ca="1" si="13"/>
        <v/>
      </c>
      <c r="D711" s="6" t="s">
        <v>16</v>
      </c>
      <c r="E711" s="6" t="s">
        <v>192</v>
      </c>
      <c r="F711" s="6" t="s">
        <v>139</v>
      </c>
      <c r="G711" s="6" t="s">
        <v>472</v>
      </c>
      <c r="H711" s="9" t="str" cm="1">
        <f t="array" aca="1" ref="H711" ca="1">IF(COUNTIF(wide_measures!D:D,INDIRECT("maps!F$"&amp;ROW()))&gt;0,"measures",IF(COUNTIF(wide_protocolSteps!C:C,INDIRECT("maps!F$"&amp;ROW()))&gt;0,"protocolSteps",IF(COUNTIF(wide_repositories!C:C,INDIRECT("maps!F$"&amp;ROW()))&gt;0,"repositories",IF(COUNTIF(wide_protocols!C:C,INDIRECT("maps!F$"&amp;ROW()))&gt;0,"protocols",""))))</f>
        <v>protocolSteps</v>
      </c>
      <c r="I711" s="9" t="s">
        <v>1113</v>
      </c>
      <c r="J711" s="6"/>
      <c r="K711" s="6"/>
      <c r="L711" s="6"/>
      <c r="M711" s="6"/>
      <c r="N711" s="6"/>
    </row>
    <row r="712" spans="1:15" x14ac:dyDescent="0.2">
      <c r="A712">
        <v>709</v>
      </c>
      <c r="B712" t="b">
        <v>1</v>
      </c>
      <c r="C712" s="6" t="str">
        <f t="shared" ca="1" si="13"/>
        <v/>
      </c>
      <c r="D712" s="6" t="s">
        <v>16</v>
      </c>
      <c r="E712" s="6" t="s">
        <v>192</v>
      </c>
      <c r="F712" s="6" t="s">
        <v>139</v>
      </c>
      <c r="G712" s="6" t="s">
        <v>473</v>
      </c>
      <c r="H712" s="9" t="str" cm="1">
        <f t="array" aca="1" ref="H712" ca="1">IF(COUNTIF(wide_measures!D:D,INDIRECT("maps!F$"&amp;ROW()))&gt;0,"measures",IF(COUNTIF(wide_protocolSteps!C:C,INDIRECT("maps!F$"&amp;ROW()))&gt;0,"protocolSteps",IF(COUNTIF(wide_repositories!C:C,INDIRECT("maps!F$"&amp;ROW()))&gt;0,"repositories",IF(COUNTIF(wide_protocols!C:C,INDIRECT("maps!F$"&amp;ROW()))&gt;0,"protocols",""))))</f>
        <v>protocolSteps</v>
      </c>
      <c r="I712" s="9" t="s">
        <v>1113</v>
      </c>
      <c r="J712" s="6"/>
      <c r="K712" s="6"/>
      <c r="L712" s="6"/>
      <c r="M712" s="6"/>
      <c r="N712" s="6"/>
    </row>
    <row r="713" spans="1:15" x14ac:dyDescent="0.2">
      <c r="A713">
        <v>710</v>
      </c>
      <c r="B713" t="b">
        <v>1</v>
      </c>
      <c r="C713" s="6" t="str">
        <f t="shared" ca="1" si="13"/>
        <v/>
      </c>
      <c r="D713" s="6" t="s">
        <v>16</v>
      </c>
      <c r="E713" s="6" t="s">
        <v>192</v>
      </c>
      <c r="F713" s="6" t="s">
        <v>139</v>
      </c>
      <c r="G713" s="6" t="s">
        <v>474</v>
      </c>
      <c r="H713" s="9" t="str" cm="1">
        <f t="array" aca="1" ref="H713" ca="1">IF(COUNTIF(wide_measures!D:D,INDIRECT("maps!F$"&amp;ROW()))&gt;0,"measures",IF(COUNTIF(wide_protocolSteps!C:C,INDIRECT("maps!F$"&amp;ROW()))&gt;0,"protocolSteps",IF(COUNTIF(wide_repositories!C:C,INDIRECT("maps!F$"&amp;ROW()))&gt;0,"repositories",IF(COUNTIF(wide_protocols!C:C,INDIRECT("maps!F$"&amp;ROW()))&gt;0,"protocols",""))))</f>
        <v>protocolSteps</v>
      </c>
      <c r="I713" s="9" t="s">
        <v>1113</v>
      </c>
      <c r="J713" s="6"/>
      <c r="K713" s="6"/>
      <c r="L713" s="6"/>
      <c r="M713" s="6"/>
      <c r="N713" s="6"/>
    </row>
    <row r="714" spans="1:15" x14ac:dyDescent="0.2">
      <c r="A714">
        <v>711</v>
      </c>
      <c r="B714" t="b">
        <v>1</v>
      </c>
      <c r="C714" s="6" t="str">
        <f t="shared" ca="1" si="13"/>
        <v/>
      </c>
      <c r="D714" s="6" t="s">
        <v>16</v>
      </c>
      <c r="E714" s="6" t="s">
        <v>192</v>
      </c>
      <c r="F714" s="6" t="s">
        <v>139</v>
      </c>
      <c r="G714" s="6" t="s">
        <v>475</v>
      </c>
      <c r="H714" s="9" t="str" cm="1">
        <f t="array" aca="1" ref="H714" ca="1">IF(COUNTIF(wide_measures!D:D,INDIRECT("maps!F$"&amp;ROW()))&gt;0,"measures",IF(COUNTIF(wide_protocolSteps!C:C,INDIRECT("maps!F$"&amp;ROW()))&gt;0,"protocolSteps",IF(COUNTIF(wide_repositories!C:C,INDIRECT("maps!F$"&amp;ROW()))&gt;0,"repositories",IF(COUNTIF(wide_protocols!C:C,INDIRECT("maps!F$"&amp;ROW()))&gt;0,"protocols",""))))</f>
        <v>protocolSteps</v>
      </c>
      <c r="I714" s="9" t="s">
        <v>1113</v>
      </c>
      <c r="J714" s="6"/>
      <c r="K714" s="6"/>
      <c r="L714" s="6"/>
      <c r="M714" s="6"/>
      <c r="N714" s="6"/>
    </row>
    <row r="715" spans="1:15" x14ac:dyDescent="0.2">
      <c r="A715">
        <v>712</v>
      </c>
      <c r="B715" t="b">
        <v>1</v>
      </c>
      <c r="C715" s="6" t="str">
        <f t="shared" ca="1" si="13"/>
        <v/>
      </c>
      <c r="D715" s="6" t="s">
        <v>16</v>
      </c>
      <c r="E715" s="6" t="s">
        <v>192</v>
      </c>
      <c r="F715" s="6" t="s">
        <v>139</v>
      </c>
      <c r="G715" s="6" t="s">
        <v>476</v>
      </c>
      <c r="H715" s="9" t="str" cm="1">
        <f t="array" aca="1" ref="H715" ca="1">IF(COUNTIF(wide_measures!D:D,INDIRECT("maps!F$"&amp;ROW()))&gt;0,"measures",IF(COUNTIF(wide_protocolSteps!C:C,INDIRECT("maps!F$"&amp;ROW()))&gt;0,"protocolSteps",IF(COUNTIF(wide_repositories!C:C,INDIRECT("maps!F$"&amp;ROW()))&gt;0,"repositories",IF(COUNTIF(wide_protocols!C:C,INDIRECT("maps!F$"&amp;ROW()))&gt;0,"protocols",""))))</f>
        <v>protocolSteps</v>
      </c>
      <c r="I715" s="9" t="s">
        <v>1113</v>
      </c>
      <c r="J715" s="6"/>
      <c r="K715" s="6"/>
      <c r="L715" s="6"/>
      <c r="M715" s="6"/>
      <c r="N715" s="6"/>
    </row>
    <row r="716" spans="1:15" x14ac:dyDescent="0.2">
      <c r="A716">
        <v>713</v>
      </c>
      <c r="B716" t="b">
        <v>1</v>
      </c>
      <c r="C716" s="6" t="b">
        <f t="shared" ca="1" si="13"/>
        <v>1</v>
      </c>
      <c r="D716" s="6" t="s">
        <v>16</v>
      </c>
      <c r="E716" s="6" t="s">
        <v>192</v>
      </c>
      <c r="F716" s="6" t="s">
        <v>67</v>
      </c>
      <c r="G716" s="6" t="s">
        <v>497</v>
      </c>
      <c r="H716" s="9" t="str" cm="1">
        <f t="array" aca="1" ref="H716" ca="1">IF(COUNTIF(wide_measures!D:D,INDIRECT("maps!F$"&amp;ROW()))&gt;0,"measures",IF(COUNTIF(wide_protocolSteps!C:C,INDIRECT("maps!F$"&amp;ROW()))&gt;0,"protocolSteps",IF(COUNTIF(wide_repositories!C:C,INDIRECT("maps!F$"&amp;ROW()))&gt;0,"repositories",IF(COUNTIF(wide_protocols!C:C,INDIRECT("maps!F$"&amp;ROW()))&gt;0,"protocols",""))))</f>
        <v>measures</v>
      </c>
      <c r="I716" s="9" t="s">
        <v>1113</v>
      </c>
      <c r="J716" s="6"/>
      <c r="K716" s="6"/>
      <c r="L716" s="6"/>
      <c r="M716" s="6"/>
      <c r="N716" s="5" t="s">
        <v>1798</v>
      </c>
      <c r="O716" t="s">
        <v>1927</v>
      </c>
    </row>
    <row r="717" spans="1:15" x14ac:dyDescent="0.2">
      <c r="A717">
        <v>714</v>
      </c>
      <c r="B717" t="b">
        <v>1</v>
      </c>
      <c r="C717" s="6" t="b">
        <f t="shared" ca="1" si="13"/>
        <v>1</v>
      </c>
      <c r="D717" s="6" t="s">
        <v>16</v>
      </c>
      <c r="E717" s="6" t="s">
        <v>192</v>
      </c>
      <c r="F717" s="6" t="s">
        <v>80</v>
      </c>
      <c r="G717" s="6" t="s">
        <v>497</v>
      </c>
      <c r="H717" s="9" t="str" cm="1">
        <f t="array" aca="1" ref="H717" ca="1">IF(COUNTIF(wide_measures!D:D,INDIRECT("maps!F$"&amp;ROW()))&gt;0,"measures",IF(COUNTIF(wide_protocolSteps!C:C,INDIRECT("maps!F$"&amp;ROW()))&gt;0,"protocolSteps",IF(COUNTIF(wide_repositories!C:C,INDIRECT("maps!F$"&amp;ROW()))&gt;0,"repositories",IF(COUNTIF(wide_protocols!C:C,INDIRECT("maps!F$"&amp;ROW()))&gt;0,"protocols",""))))</f>
        <v>measures</v>
      </c>
      <c r="I717" s="9" t="s">
        <v>1113</v>
      </c>
      <c r="J717" s="6"/>
      <c r="K717" s="6"/>
      <c r="L717" s="6"/>
      <c r="M717" s="6"/>
      <c r="N717" s="5" t="s">
        <v>1798</v>
      </c>
      <c r="O717" t="s">
        <v>1927</v>
      </c>
    </row>
    <row r="718" spans="1:15" x14ac:dyDescent="0.2">
      <c r="A718">
        <v>715</v>
      </c>
      <c r="B718" t="b">
        <v>1</v>
      </c>
      <c r="C718" s="6" t="str">
        <f t="shared" ca="1" si="13"/>
        <v/>
      </c>
      <c r="D718" s="6" t="s">
        <v>16</v>
      </c>
      <c r="E718" s="6" t="s">
        <v>192</v>
      </c>
      <c r="F718" s="6" t="s">
        <v>88</v>
      </c>
      <c r="G718" s="6" t="s">
        <v>1237</v>
      </c>
      <c r="H718" s="9" t="str" cm="1">
        <f t="array" aca="1" ref="H718" ca="1">IF(COUNTIF(wide_measures!D:D,INDIRECT("maps!F$"&amp;ROW()))&gt;0,"measures",IF(COUNTIF(wide_protocolSteps!C:C,INDIRECT("maps!F$"&amp;ROW()))&gt;0,"protocolSteps",IF(COUNTIF(wide_repositories!C:C,INDIRECT("maps!F$"&amp;ROW()))&gt;0,"repositories",IF(COUNTIF(wide_protocols!C:C,INDIRECT("maps!F$"&amp;ROW()))&gt;0,"protocols",""))))</f>
        <v>protocolSteps</v>
      </c>
      <c r="I718" s="9" t="s">
        <v>1113</v>
      </c>
      <c r="J718" s="6"/>
      <c r="K718" s="6"/>
      <c r="L718" s="6"/>
      <c r="M718" s="6"/>
      <c r="N718" s="5" t="s">
        <v>1629</v>
      </c>
    </row>
    <row r="719" spans="1:15" x14ac:dyDescent="0.2">
      <c r="A719">
        <v>716</v>
      </c>
      <c r="B719" t="b">
        <v>1</v>
      </c>
      <c r="C719" s="6" t="str">
        <f t="shared" ca="1" si="13"/>
        <v/>
      </c>
      <c r="D719" s="6" t="s">
        <v>16</v>
      </c>
      <c r="E719" s="6" t="s">
        <v>192</v>
      </c>
      <c r="F719" s="6" t="s">
        <v>88</v>
      </c>
      <c r="G719" s="6" t="s">
        <v>1238</v>
      </c>
      <c r="H719" s="9" t="str" cm="1">
        <f t="array" aca="1" ref="H719" ca="1">IF(COUNTIF(wide_measures!D:D,INDIRECT("maps!F$"&amp;ROW()))&gt;0,"measures",IF(COUNTIF(wide_protocolSteps!C:C,INDIRECT("maps!F$"&amp;ROW()))&gt;0,"protocolSteps",IF(COUNTIF(wide_repositories!C:C,INDIRECT("maps!F$"&amp;ROW()))&gt;0,"repositories",IF(COUNTIF(wide_protocols!C:C,INDIRECT("maps!F$"&amp;ROW()))&gt;0,"protocols",""))))</f>
        <v>protocolSteps</v>
      </c>
      <c r="I719" s="9" t="s">
        <v>1113</v>
      </c>
      <c r="J719" s="6"/>
      <c r="K719" s="6"/>
      <c r="L719" s="6"/>
      <c r="M719" s="6"/>
      <c r="N719" s="5" t="s">
        <v>1629</v>
      </c>
    </row>
    <row r="720" spans="1:15" x14ac:dyDescent="0.2">
      <c r="A720">
        <v>717</v>
      </c>
      <c r="B720" t="b">
        <v>1</v>
      </c>
      <c r="C720" s="6" t="b">
        <f t="shared" si="13"/>
        <v>1</v>
      </c>
      <c r="D720" s="6" t="s">
        <v>16</v>
      </c>
      <c r="E720" s="6" t="s">
        <v>192</v>
      </c>
      <c r="F720" s="6" t="s">
        <v>141</v>
      </c>
      <c r="G720" s="6" t="s">
        <v>497</v>
      </c>
      <c r="H720" s="6" t="s">
        <v>1331</v>
      </c>
      <c r="I720" s="6"/>
      <c r="J720" s="6" t="s">
        <v>1632</v>
      </c>
      <c r="K720" s="6" t="s">
        <v>1631</v>
      </c>
      <c r="L720" s="6"/>
      <c r="M720" s="6"/>
      <c r="N720" s="5" t="s">
        <v>1630</v>
      </c>
    </row>
    <row r="721" spans="1:15" x14ac:dyDescent="0.2">
      <c r="A721">
        <v>718</v>
      </c>
      <c r="B721" t="b">
        <v>1</v>
      </c>
      <c r="C721" s="6" t="b">
        <f t="shared" si="13"/>
        <v>1</v>
      </c>
      <c r="D721" s="6" t="s">
        <v>16</v>
      </c>
      <c r="E721" s="6" t="s">
        <v>192</v>
      </c>
      <c r="F721" s="6" t="s">
        <v>93</v>
      </c>
      <c r="G721" s="6" t="s">
        <v>497</v>
      </c>
      <c r="H721" s="9" t="s">
        <v>1331</v>
      </c>
      <c r="I721" s="9"/>
      <c r="J721" s="6" t="s">
        <v>1806</v>
      </c>
      <c r="K721" s="6" t="s">
        <v>1807</v>
      </c>
      <c r="L721" s="6"/>
      <c r="M721" s="6"/>
      <c r="N721" s="5" t="s">
        <v>1809</v>
      </c>
    </row>
    <row r="722" spans="1:15" x14ac:dyDescent="0.2">
      <c r="A722">
        <v>719</v>
      </c>
      <c r="B722" t="b">
        <v>1</v>
      </c>
      <c r="C722" s="6" t="b">
        <f t="shared" ca="1" si="13"/>
        <v>1</v>
      </c>
      <c r="D722" s="6" t="s">
        <v>16</v>
      </c>
      <c r="E722" s="6" t="s">
        <v>192</v>
      </c>
      <c r="F722" s="6" t="s">
        <v>94</v>
      </c>
      <c r="G722" s="6" t="s">
        <v>497</v>
      </c>
      <c r="H722" s="9" t="str" cm="1">
        <f t="array" aca="1" ref="H722" ca="1">IF(COUNTIF(wide_measures!D:D,INDIRECT("maps!F$"&amp;ROW()))&gt;0,"measures",IF(COUNTIF(wide_protocolSteps!C:C,INDIRECT("maps!F$"&amp;ROW()))&gt;0,"protocolSteps",IF(COUNTIF(wide_repositories!C:C,INDIRECT("maps!F$"&amp;ROW()))&gt;0,"repositories",IF(COUNTIF(wide_protocols!C:C,INDIRECT("maps!F$"&amp;ROW()))&gt;0,"protocols",""))))</f>
        <v>protocolSteps</v>
      </c>
      <c r="I722" s="9" t="s">
        <v>1113</v>
      </c>
      <c r="J722" s="6"/>
      <c r="K722" s="6"/>
      <c r="L722" s="6"/>
      <c r="M722" s="6"/>
      <c r="N722" s="5" t="s">
        <v>1808</v>
      </c>
    </row>
    <row r="723" spans="1:15" x14ac:dyDescent="0.2">
      <c r="A723">
        <v>720</v>
      </c>
      <c r="C723" s="6" t="str">
        <f t="shared" si="13"/>
        <v/>
      </c>
      <c r="D723" s="6" t="s">
        <v>16</v>
      </c>
      <c r="E723" s="6" t="s">
        <v>192</v>
      </c>
      <c r="F723" s="6" t="s">
        <v>42</v>
      </c>
      <c r="G723" s="6" t="s">
        <v>374</v>
      </c>
      <c r="H723" s="6" t="s">
        <v>1013</v>
      </c>
      <c r="I723" s="6"/>
      <c r="J723" s="6" t="s">
        <v>1397</v>
      </c>
      <c r="K723" s="6" t="s">
        <v>1408</v>
      </c>
      <c r="L723" s="6"/>
      <c r="M723" s="6"/>
      <c r="N723" s="5" t="s">
        <v>1399</v>
      </c>
      <c r="O723" s="6" t="s">
        <v>1927</v>
      </c>
    </row>
    <row r="724" spans="1:15" x14ac:dyDescent="0.2">
      <c r="A724">
        <v>721</v>
      </c>
      <c r="C724" s="6" t="str">
        <f t="shared" si="13"/>
        <v/>
      </c>
      <c r="D724" s="6" t="s">
        <v>16</v>
      </c>
      <c r="E724" s="6" t="s">
        <v>192</v>
      </c>
      <c r="F724" s="6" t="s">
        <v>42</v>
      </c>
      <c r="G724" s="6" t="s">
        <v>375</v>
      </c>
      <c r="H724" s="6" t="s">
        <v>1013</v>
      </c>
      <c r="I724" s="6"/>
      <c r="J724" s="6" t="s">
        <v>1397</v>
      </c>
      <c r="K724" s="6" t="s">
        <v>1409</v>
      </c>
      <c r="L724" s="6"/>
      <c r="M724" s="6"/>
      <c r="N724" s="5" t="s">
        <v>1399</v>
      </c>
      <c r="O724" s="6" t="s">
        <v>1927</v>
      </c>
    </row>
    <row r="725" spans="1:15" x14ac:dyDescent="0.2">
      <c r="A725">
        <v>722</v>
      </c>
      <c r="C725" s="6" t="str">
        <f t="shared" si="13"/>
        <v/>
      </c>
      <c r="D725" s="6" t="s">
        <v>16</v>
      </c>
      <c r="E725" s="6" t="s">
        <v>192</v>
      </c>
      <c r="F725" s="6" t="s">
        <v>42</v>
      </c>
      <c r="G725" s="6" t="s">
        <v>376</v>
      </c>
      <c r="H725" s="6" t="s">
        <v>1013</v>
      </c>
      <c r="I725" s="6"/>
      <c r="J725" s="6" t="s">
        <v>1397</v>
      </c>
      <c r="K725" s="6" t="s">
        <v>1410</v>
      </c>
      <c r="L725" s="6"/>
      <c r="M725" s="6"/>
      <c r="N725" s="5" t="s">
        <v>1399</v>
      </c>
      <c r="O725" s="6" t="s">
        <v>1927</v>
      </c>
    </row>
    <row r="726" spans="1:15" x14ac:dyDescent="0.2">
      <c r="A726">
        <v>723</v>
      </c>
      <c r="C726" s="6" t="str">
        <f t="shared" si="13"/>
        <v/>
      </c>
      <c r="D726" s="6" t="s">
        <v>16</v>
      </c>
      <c r="E726" s="6" t="s">
        <v>192</v>
      </c>
      <c r="F726" s="6" t="s">
        <v>42</v>
      </c>
      <c r="G726" s="6" t="s">
        <v>377</v>
      </c>
      <c r="H726" s="6" t="s">
        <v>1013</v>
      </c>
      <c r="I726" s="6"/>
      <c r="J726" s="6" t="s">
        <v>1397</v>
      </c>
      <c r="K726" s="6" t="s">
        <v>1411</v>
      </c>
      <c r="L726" s="6"/>
      <c r="M726" s="6"/>
      <c r="N726" s="5" t="s">
        <v>1399</v>
      </c>
      <c r="O726" s="6" t="s">
        <v>1927</v>
      </c>
    </row>
    <row r="727" spans="1:15" x14ac:dyDescent="0.2">
      <c r="A727">
        <v>724</v>
      </c>
      <c r="C727" s="6" t="str">
        <f t="shared" si="13"/>
        <v/>
      </c>
      <c r="D727" s="6" t="s">
        <v>16</v>
      </c>
      <c r="E727" s="6" t="s">
        <v>192</v>
      </c>
      <c r="F727" s="6" t="s">
        <v>42</v>
      </c>
      <c r="G727" s="6" t="s">
        <v>378</v>
      </c>
      <c r="H727" s="6" t="s">
        <v>1013</v>
      </c>
      <c r="I727" s="6"/>
      <c r="J727" s="6" t="s">
        <v>1397</v>
      </c>
      <c r="K727" s="6" t="s">
        <v>1412</v>
      </c>
      <c r="L727" s="6"/>
      <c r="M727" s="6"/>
      <c r="N727" s="5" t="s">
        <v>1399</v>
      </c>
      <c r="O727" s="6" t="s">
        <v>1927</v>
      </c>
    </row>
    <row r="728" spans="1:15" x14ac:dyDescent="0.2">
      <c r="A728">
        <v>725</v>
      </c>
      <c r="C728" s="6" t="str">
        <f t="shared" si="13"/>
        <v/>
      </c>
      <c r="D728" s="6" t="s">
        <v>16</v>
      </c>
      <c r="E728" s="6" t="s">
        <v>192</v>
      </c>
      <c r="F728" s="6" t="s">
        <v>42</v>
      </c>
      <c r="G728" s="6" t="s">
        <v>379</v>
      </c>
      <c r="H728" s="6" t="s">
        <v>1013</v>
      </c>
      <c r="I728" s="6"/>
      <c r="J728" s="6" t="s">
        <v>1397</v>
      </c>
      <c r="K728" s="6" t="s">
        <v>1413</v>
      </c>
      <c r="L728" s="6"/>
      <c r="M728" s="6"/>
      <c r="N728" s="5" t="s">
        <v>1399</v>
      </c>
      <c r="O728" s="6" t="s">
        <v>1927</v>
      </c>
    </row>
    <row r="729" spans="1:15" x14ac:dyDescent="0.2">
      <c r="A729">
        <v>726</v>
      </c>
      <c r="C729" s="6" t="str">
        <f t="shared" si="13"/>
        <v/>
      </c>
      <c r="D729" s="6" t="s">
        <v>16</v>
      </c>
      <c r="E729" s="6" t="s">
        <v>192</v>
      </c>
      <c r="F729" s="6" t="s">
        <v>42</v>
      </c>
      <c r="G729" s="6" t="s">
        <v>380</v>
      </c>
      <c r="H729" s="6" t="s">
        <v>1013</v>
      </c>
      <c r="I729" s="6"/>
      <c r="J729" s="6" t="s">
        <v>1397</v>
      </c>
      <c r="K729" s="6" t="s">
        <v>1414</v>
      </c>
      <c r="L729" s="6"/>
      <c r="M729" s="6"/>
      <c r="N729" s="5" t="s">
        <v>1399</v>
      </c>
      <c r="O729" s="6" t="s">
        <v>1927</v>
      </c>
    </row>
    <row r="730" spans="1:15" x14ac:dyDescent="0.2">
      <c r="A730">
        <v>727</v>
      </c>
      <c r="C730" s="6" t="str">
        <f t="shared" si="13"/>
        <v/>
      </c>
      <c r="D730" s="6" t="s">
        <v>16</v>
      </c>
      <c r="E730" s="6" t="s">
        <v>192</v>
      </c>
      <c r="F730" s="6" t="s">
        <v>42</v>
      </c>
      <c r="G730" s="6" t="s">
        <v>197</v>
      </c>
      <c r="H730" s="6" t="s">
        <v>1013</v>
      </c>
      <c r="I730" s="6"/>
      <c r="J730" s="6" t="s">
        <v>1397</v>
      </c>
      <c r="K730" s="6" t="s">
        <v>1406</v>
      </c>
      <c r="L730" s="6"/>
      <c r="M730" s="6"/>
      <c r="N730" s="5" t="s">
        <v>1399</v>
      </c>
      <c r="O730" s="6" t="s">
        <v>1927</v>
      </c>
    </row>
    <row r="731" spans="1:15" x14ac:dyDescent="0.2">
      <c r="A731">
        <v>728</v>
      </c>
      <c r="C731" s="6" t="str">
        <f t="shared" si="13"/>
        <v/>
      </c>
      <c r="D731" s="6" t="s">
        <v>16</v>
      </c>
      <c r="E731" s="6" t="s">
        <v>192</v>
      </c>
      <c r="F731" s="6" t="s">
        <v>42</v>
      </c>
      <c r="G731" s="6" t="s">
        <v>381</v>
      </c>
      <c r="H731" s="6" t="s">
        <v>1013</v>
      </c>
      <c r="I731" s="6"/>
      <c r="J731" s="6" t="s">
        <v>1397</v>
      </c>
      <c r="K731" s="6" t="s">
        <v>1415</v>
      </c>
      <c r="L731" s="6"/>
      <c r="M731" s="6"/>
      <c r="N731" s="5" t="s">
        <v>1399</v>
      </c>
      <c r="O731" s="6" t="s">
        <v>1927</v>
      </c>
    </row>
    <row r="732" spans="1:15" x14ac:dyDescent="0.2">
      <c r="A732">
        <v>729</v>
      </c>
      <c r="C732" s="6" t="str">
        <f t="shared" si="13"/>
        <v/>
      </c>
      <c r="D732" s="6" t="s">
        <v>16</v>
      </c>
      <c r="E732" s="6" t="s">
        <v>192</v>
      </c>
      <c r="F732" s="6" t="s">
        <v>42</v>
      </c>
      <c r="G732" s="6" t="s">
        <v>382</v>
      </c>
      <c r="H732" s="6" t="s">
        <v>1013</v>
      </c>
      <c r="I732" s="6"/>
      <c r="J732" s="6" t="s">
        <v>1397</v>
      </c>
      <c r="K732" s="6" t="s">
        <v>1402</v>
      </c>
      <c r="L732" s="6"/>
      <c r="M732" s="6"/>
      <c r="N732" s="5" t="s">
        <v>1399</v>
      </c>
      <c r="O732" s="6" t="s">
        <v>1927</v>
      </c>
    </row>
    <row r="733" spans="1:15" x14ac:dyDescent="0.2">
      <c r="A733">
        <v>730</v>
      </c>
      <c r="C733" s="6" t="str">
        <f t="shared" si="13"/>
        <v/>
      </c>
      <c r="D733" s="6" t="s">
        <v>16</v>
      </c>
      <c r="E733" s="6" t="s">
        <v>192</v>
      </c>
      <c r="F733" s="6" t="s">
        <v>109</v>
      </c>
      <c r="G733" s="6"/>
      <c r="H733" s="6" t="s">
        <v>1013</v>
      </c>
      <c r="I733" s="6"/>
      <c r="J733" s="6" t="s">
        <v>9</v>
      </c>
      <c r="K733" s="6" t="s">
        <v>1395</v>
      </c>
      <c r="L733" s="6"/>
      <c r="M733" s="6"/>
      <c r="N733" s="5" t="s">
        <v>1396</v>
      </c>
      <c r="O733" s="6" t="s">
        <v>1927</v>
      </c>
    </row>
    <row r="734" spans="1:15" x14ac:dyDescent="0.2">
      <c r="A734">
        <v>731</v>
      </c>
      <c r="C734" s="6" t="b">
        <f t="shared" si="13"/>
        <v>1</v>
      </c>
      <c r="D734" s="6" t="s">
        <v>16</v>
      </c>
      <c r="E734" s="6" t="s">
        <v>192</v>
      </c>
      <c r="F734" s="6" t="s">
        <v>132</v>
      </c>
      <c r="G734" s="6" t="s">
        <v>497</v>
      </c>
      <c r="H734" s="6" t="s">
        <v>1013</v>
      </c>
      <c r="I734" s="6"/>
      <c r="J734" s="6" t="s">
        <v>1336</v>
      </c>
      <c r="K734" s="6" t="s">
        <v>1616</v>
      </c>
      <c r="L734" s="6"/>
      <c r="M734" s="6"/>
      <c r="N734" s="5" t="s">
        <v>1614</v>
      </c>
    </row>
    <row r="735" spans="1:15" x14ac:dyDescent="0.2">
      <c r="A735">
        <v>732</v>
      </c>
      <c r="C735" s="6" t="b">
        <f t="shared" si="13"/>
        <v>1</v>
      </c>
      <c r="D735" s="6" t="s">
        <v>16</v>
      </c>
      <c r="E735" s="6" t="s">
        <v>192</v>
      </c>
      <c r="F735" s="6" t="s">
        <v>17</v>
      </c>
      <c r="G735" s="6" t="s">
        <v>497</v>
      </c>
      <c r="H735" s="6" t="s">
        <v>1294</v>
      </c>
      <c r="I735" s="6"/>
      <c r="J735" s="6" t="s">
        <v>1295</v>
      </c>
      <c r="K735" s="6" t="s">
        <v>1613</v>
      </c>
      <c r="L735" s="6"/>
      <c r="M735" s="6"/>
      <c r="N735" s="5" t="s">
        <v>1614</v>
      </c>
    </row>
    <row r="736" spans="1:15" x14ac:dyDescent="0.2">
      <c r="A736">
        <v>733</v>
      </c>
      <c r="C736" s="6" t="b">
        <f t="shared" si="13"/>
        <v>1</v>
      </c>
      <c r="D736" s="6" t="s">
        <v>16</v>
      </c>
      <c r="E736" s="6" t="s">
        <v>192</v>
      </c>
      <c r="F736" s="6" t="s">
        <v>1185</v>
      </c>
      <c r="G736" s="6" t="s">
        <v>497</v>
      </c>
      <c r="H736" s="6" t="s">
        <v>1013</v>
      </c>
      <c r="I736" s="6"/>
      <c r="J736" s="6" t="s">
        <v>1336</v>
      </c>
      <c r="K736" s="6" t="s">
        <v>1813</v>
      </c>
      <c r="L736" s="6"/>
      <c r="M736" s="6"/>
      <c r="N736" s="5" t="s">
        <v>1814</v>
      </c>
    </row>
    <row r="737" spans="1:15" x14ac:dyDescent="0.2">
      <c r="A737">
        <v>734</v>
      </c>
      <c r="C737" s="6" t="b">
        <f t="shared" si="13"/>
        <v>1</v>
      </c>
      <c r="D737" s="6" t="s">
        <v>16</v>
      </c>
      <c r="E737" s="6" t="s">
        <v>192</v>
      </c>
      <c r="F737" s="6" t="s">
        <v>1187</v>
      </c>
      <c r="G737" s="6" t="s">
        <v>497</v>
      </c>
      <c r="H737" s="6" t="s">
        <v>1294</v>
      </c>
      <c r="I737" s="6"/>
      <c r="J737" s="6" t="s">
        <v>1295</v>
      </c>
      <c r="K737" s="6" t="s">
        <v>1621</v>
      </c>
      <c r="L737" s="6"/>
      <c r="M737" s="6"/>
      <c r="N737" s="5" t="s">
        <v>1614</v>
      </c>
    </row>
    <row r="738" spans="1:15" x14ac:dyDescent="0.2">
      <c r="A738">
        <v>735</v>
      </c>
      <c r="C738" s="6" t="b">
        <f t="shared" si="13"/>
        <v>1</v>
      </c>
      <c r="D738" s="6" t="s">
        <v>16</v>
      </c>
      <c r="E738" s="6" t="s">
        <v>192</v>
      </c>
      <c r="F738" s="6" t="s">
        <v>1186</v>
      </c>
      <c r="G738" s="6" t="s">
        <v>497</v>
      </c>
      <c r="H738" s="6" t="s">
        <v>1294</v>
      </c>
      <c r="I738" s="6"/>
      <c r="J738" s="6" t="s">
        <v>1615</v>
      </c>
      <c r="K738" s="6" t="s">
        <v>1622</v>
      </c>
      <c r="L738" s="6"/>
      <c r="M738" s="6"/>
      <c r="N738" s="5" t="s">
        <v>1614</v>
      </c>
    </row>
    <row r="739" spans="1:15" x14ac:dyDescent="0.2">
      <c r="A739">
        <v>736</v>
      </c>
      <c r="B739" t="b">
        <v>1</v>
      </c>
      <c r="C739" s="6" t="str">
        <f t="shared" ca="1" si="13"/>
        <v/>
      </c>
      <c r="D739" s="6" t="s">
        <v>16</v>
      </c>
      <c r="E739" s="6" t="s">
        <v>192</v>
      </c>
      <c r="F739" s="6" t="s">
        <v>1188</v>
      </c>
      <c r="G739" s="6" t="s">
        <v>1232</v>
      </c>
      <c r="H739" s="9" t="str" cm="1">
        <f t="array" aca="1" ref="H739" ca="1">IF(COUNTIF(wide_measures!D:D,INDIRECT("maps!F$"&amp;ROW()))&gt;0,"measures",IF(COUNTIF(wide_protocolSteps!C:C,INDIRECT("maps!F$"&amp;ROW()))&gt;0,"protocolSteps",IF(COUNTIF(wide_repositories!C:C,INDIRECT("maps!F$"&amp;ROW()))&gt;0,"repositories",IF(COUNTIF(wide_protocols!C:C,INDIRECT("maps!F$"&amp;ROW()))&gt;0,"protocols",""))))</f>
        <v>protocolSteps</v>
      </c>
      <c r="I739" s="9" t="s">
        <v>1113</v>
      </c>
      <c r="J739" s="6"/>
      <c r="K739" s="6"/>
      <c r="L739" s="6"/>
      <c r="M739" s="6"/>
    </row>
    <row r="740" spans="1:15" x14ac:dyDescent="0.2">
      <c r="A740">
        <v>737</v>
      </c>
      <c r="B740" t="b">
        <v>1</v>
      </c>
      <c r="C740" s="6" t="str">
        <f t="shared" ca="1" si="13"/>
        <v/>
      </c>
      <c r="D740" s="6" t="s">
        <v>16</v>
      </c>
      <c r="E740" s="6" t="s">
        <v>192</v>
      </c>
      <c r="F740" s="6" t="s">
        <v>1188</v>
      </c>
      <c r="G740" s="6" t="s">
        <v>1233</v>
      </c>
      <c r="H740" s="9" t="str" cm="1">
        <f t="array" aca="1" ref="H740" ca="1">IF(COUNTIF(wide_measures!D:D,INDIRECT("maps!F$"&amp;ROW()))&gt;0,"measures",IF(COUNTIF(wide_protocolSteps!C:C,INDIRECT("maps!F$"&amp;ROW()))&gt;0,"protocolSteps",IF(COUNTIF(wide_repositories!C:C,INDIRECT("maps!F$"&amp;ROW()))&gt;0,"repositories",IF(COUNTIF(wide_protocols!C:C,INDIRECT("maps!F$"&amp;ROW()))&gt;0,"protocols",""))))</f>
        <v>protocolSteps</v>
      </c>
      <c r="I740" s="9" t="s">
        <v>1113</v>
      </c>
      <c r="J740" s="6"/>
      <c r="K740" s="6"/>
      <c r="L740" s="6"/>
      <c r="M740" s="6"/>
    </row>
    <row r="741" spans="1:15" x14ac:dyDescent="0.2">
      <c r="A741">
        <v>738</v>
      </c>
      <c r="B741" t="b">
        <v>1</v>
      </c>
      <c r="C741" s="6" t="str">
        <f t="shared" ca="1" si="13"/>
        <v/>
      </c>
      <c r="D741" s="6" t="s">
        <v>16</v>
      </c>
      <c r="E741" s="6" t="s">
        <v>192</v>
      </c>
      <c r="F741" s="6" t="s">
        <v>1188</v>
      </c>
      <c r="G741" s="6" t="s">
        <v>1234</v>
      </c>
      <c r="H741" s="9" t="str" cm="1">
        <f t="array" aca="1" ref="H741" ca="1">IF(COUNTIF(wide_measures!D:D,INDIRECT("maps!F$"&amp;ROW()))&gt;0,"measures",IF(COUNTIF(wide_protocolSteps!C:C,INDIRECT("maps!F$"&amp;ROW()))&gt;0,"protocolSteps",IF(COUNTIF(wide_repositories!C:C,INDIRECT("maps!F$"&amp;ROW()))&gt;0,"repositories",IF(COUNTIF(wide_protocols!C:C,INDIRECT("maps!F$"&amp;ROW()))&gt;0,"protocols",""))))</f>
        <v>protocolSteps</v>
      </c>
      <c r="I741" s="9" t="s">
        <v>1113</v>
      </c>
      <c r="J741" s="6"/>
      <c r="K741" s="6"/>
      <c r="L741" s="6"/>
      <c r="M741" s="6"/>
    </row>
    <row r="742" spans="1:15" x14ac:dyDescent="0.2">
      <c r="A742">
        <v>739</v>
      </c>
      <c r="B742" t="b">
        <v>1</v>
      </c>
      <c r="C742" s="6" t="str">
        <f t="shared" ca="1" si="13"/>
        <v/>
      </c>
      <c r="D742" s="6" t="s">
        <v>16</v>
      </c>
      <c r="E742" s="6" t="s">
        <v>192</v>
      </c>
      <c r="F742" s="6" t="s">
        <v>1188</v>
      </c>
      <c r="G742" s="6" t="s">
        <v>1235</v>
      </c>
      <c r="H742" s="9" t="str" cm="1">
        <f t="array" aca="1" ref="H742" ca="1">IF(COUNTIF(wide_measures!D:D,INDIRECT("maps!F$"&amp;ROW()))&gt;0,"measures",IF(COUNTIF(wide_protocolSteps!C:C,INDIRECT("maps!F$"&amp;ROW()))&gt;0,"protocolSteps",IF(COUNTIF(wide_repositories!C:C,INDIRECT("maps!F$"&amp;ROW()))&gt;0,"repositories",IF(COUNTIF(wide_protocols!C:C,INDIRECT("maps!F$"&amp;ROW()))&gt;0,"protocols",""))))</f>
        <v>protocolSteps</v>
      </c>
      <c r="I742" s="9" t="s">
        <v>1113</v>
      </c>
      <c r="J742" s="6"/>
      <c r="K742" s="6"/>
      <c r="L742" s="6"/>
      <c r="M742" s="6"/>
    </row>
    <row r="743" spans="1:15" x14ac:dyDescent="0.2">
      <c r="A743">
        <v>740</v>
      </c>
      <c r="B743" t="b">
        <v>1</v>
      </c>
      <c r="C743" s="6" t="str">
        <f t="shared" ca="1" si="13"/>
        <v/>
      </c>
      <c r="D743" s="6" t="s">
        <v>16</v>
      </c>
      <c r="E743" s="6" t="s">
        <v>192</v>
      </c>
      <c r="F743" s="6" t="s">
        <v>1188</v>
      </c>
      <c r="G743" s="6" t="s">
        <v>1236</v>
      </c>
      <c r="H743" s="9" t="str" cm="1">
        <f t="array" aca="1" ref="H743" ca="1">IF(COUNTIF(wide_measures!D:D,INDIRECT("maps!F$"&amp;ROW()))&gt;0,"measures",IF(COUNTIF(wide_protocolSteps!C:C,INDIRECT("maps!F$"&amp;ROW()))&gt;0,"protocolSteps",IF(COUNTIF(wide_repositories!C:C,INDIRECT("maps!F$"&amp;ROW()))&gt;0,"repositories",IF(COUNTIF(wide_protocols!C:C,INDIRECT("maps!F$"&amp;ROW()))&gt;0,"protocols",""))))</f>
        <v>protocolSteps</v>
      </c>
      <c r="I743" s="9" t="s">
        <v>1113</v>
      </c>
      <c r="J743" s="6"/>
      <c r="K743" s="6"/>
      <c r="L743" s="6"/>
      <c r="M743" s="6"/>
    </row>
    <row r="744" spans="1:15" x14ac:dyDescent="0.2">
      <c r="A744">
        <v>741</v>
      </c>
      <c r="C744" s="6" t="b">
        <f t="shared" si="13"/>
        <v>1</v>
      </c>
      <c r="D744" s="6" t="s">
        <v>16</v>
      </c>
      <c r="E744" s="6" t="s">
        <v>192</v>
      </c>
      <c r="F744" s="6" t="s">
        <v>21</v>
      </c>
      <c r="G744" s="6" t="s">
        <v>497</v>
      </c>
      <c r="H744" s="6" t="s">
        <v>1013</v>
      </c>
      <c r="I744" s="6"/>
      <c r="J744" s="6" t="s">
        <v>1623</v>
      </c>
      <c r="K744" s="6" t="s">
        <v>1624</v>
      </c>
      <c r="L744" s="6"/>
      <c r="M744" s="6"/>
      <c r="N744" s="5" t="s">
        <v>1628</v>
      </c>
      <c r="O744" s="6" t="s">
        <v>1927</v>
      </c>
    </row>
    <row r="745" spans="1:15" x14ac:dyDescent="0.2">
      <c r="A745">
        <v>742</v>
      </c>
      <c r="B745" t="b">
        <v>1</v>
      </c>
      <c r="C745" s="6" t="str">
        <f t="shared" si="13"/>
        <v/>
      </c>
      <c r="D745" s="6" t="s">
        <v>16</v>
      </c>
      <c r="E745" s="6" t="s">
        <v>192</v>
      </c>
      <c r="F745" s="6" t="s">
        <v>19</v>
      </c>
      <c r="G745" s="6" t="s">
        <v>383</v>
      </c>
      <c r="H745" s="6" t="s">
        <v>1829</v>
      </c>
      <c r="I745" s="6"/>
      <c r="J745" s="6" t="s">
        <v>1247</v>
      </c>
      <c r="K745" s="6" t="s">
        <v>1879</v>
      </c>
      <c r="L745" s="6" t="s">
        <v>1880</v>
      </c>
      <c r="M745" s="6"/>
      <c r="N745" s="5" t="s">
        <v>1881</v>
      </c>
      <c r="O745" s="6" t="s">
        <v>1972</v>
      </c>
    </row>
    <row r="746" spans="1:15" x14ac:dyDescent="0.2">
      <c r="A746">
        <v>743</v>
      </c>
      <c r="B746" t="b">
        <v>1</v>
      </c>
      <c r="C746" s="6" t="str">
        <f t="shared" si="13"/>
        <v/>
      </c>
      <c r="D746" s="6" t="s">
        <v>16</v>
      </c>
      <c r="E746" s="6" t="s">
        <v>192</v>
      </c>
      <c r="F746" s="6" t="s">
        <v>19</v>
      </c>
      <c r="G746" s="6" t="s">
        <v>394</v>
      </c>
      <c r="H746" s="6" t="s">
        <v>1829</v>
      </c>
      <c r="I746" s="6"/>
      <c r="J746" s="6" t="s">
        <v>1247</v>
      </c>
      <c r="K746" s="6" t="s">
        <v>1879</v>
      </c>
      <c r="L746" s="6" t="s">
        <v>1880</v>
      </c>
      <c r="M746" s="6"/>
      <c r="N746" s="5" t="s">
        <v>1881</v>
      </c>
      <c r="O746" s="6" t="s">
        <v>1972</v>
      </c>
    </row>
    <row r="747" spans="1:15" x14ac:dyDescent="0.2">
      <c r="A747">
        <v>744</v>
      </c>
      <c r="B747" t="b">
        <v>1</v>
      </c>
      <c r="C747" s="6" t="str">
        <f t="shared" si="13"/>
        <v/>
      </c>
      <c r="D747" s="6" t="s">
        <v>16</v>
      </c>
      <c r="E747" s="6" t="s">
        <v>192</v>
      </c>
      <c r="F747" s="6" t="s">
        <v>19</v>
      </c>
      <c r="G747" s="6" t="s">
        <v>395</v>
      </c>
      <c r="H747" s="6" t="s">
        <v>1829</v>
      </c>
      <c r="I747" s="6"/>
      <c r="J747" s="6" t="s">
        <v>1247</v>
      </c>
      <c r="K747" s="6" t="s">
        <v>1879</v>
      </c>
      <c r="L747" s="6" t="s">
        <v>1880</v>
      </c>
      <c r="M747" s="6"/>
      <c r="N747" s="5" t="s">
        <v>1881</v>
      </c>
      <c r="O747" s="6" t="s">
        <v>1972</v>
      </c>
    </row>
    <row r="748" spans="1:15" x14ac:dyDescent="0.2">
      <c r="A748">
        <v>745</v>
      </c>
      <c r="B748" t="b">
        <v>1</v>
      </c>
      <c r="C748" s="6" t="str">
        <f t="shared" si="13"/>
        <v/>
      </c>
      <c r="D748" s="6" t="s">
        <v>16</v>
      </c>
      <c r="E748" s="6" t="s">
        <v>192</v>
      </c>
      <c r="F748" s="6" t="s">
        <v>19</v>
      </c>
      <c r="G748" s="6" t="s">
        <v>396</v>
      </c>
      <c r="H748" s="6" t="s">
        <v>1829</v>
      </c>
      <c r="I748" s="6"/>
      <c r="J748" s="6" t="s">
        <v>1247</v>
      </c>
      <c r="K748" s="6" t="s">
        <v>1879</v>
      </c>
      <c r="L748" s="6" t="s">
        <v>1880</v>
      </c>
      <c r="M748" s="6"/>
      <c r="N748" s="5" t="s">
        <v>1881</v>
      </c>
      <c r="O748" s="6" t="s">
        <v>1972</v>
      </c>
    </row>
    <row r="749" spans="1:15" x14ac:dyDescent="0.2">
      <c r="A749">
        <v>746</v>
      </c>
      <c r="B749" t="b">
        <v>1</v>
      </c>
      <c r="C749" s="6" t="str">
        <f t="shared" si="13"/>
        <v/>
      </c>
      <c r="D749" s="6" t="s">
        <v>16</v>
      </c>
      <c r="E749" s="6" t="s">
        <v>192</v>
      </c>
      <c r="F749" s="6" t="s">
        <v>19</v>
      </c>
      <c r="G749" s="6" t="s">
        <v>397</v>
      </c>
      <c r="H749" s="6" t="s">
        <v>1829</v>
      </c>
      <c r="I749" s="6"/>
      <c r="J749" s="6" t="s">
        <v>1247</v>
      </c>
      <c r="K749" s="6" t="s">
        <v>1879</v>
      </c>
      <c r="L749" s="6" t="s">
        <v>1880</v>
      </c>
      <c r="M749" s="6"/>
      <c r="N749" s="5" t="s">
        <v>1881</v>
      </c>
      <c r="O749" s="6" t="s">
        <v>1972</v>
      </c>
    </row>
    <row r="750" spans="1:15" x14ac:dyDescent="0.2">
      <c r="A750">
        <v>747</v>
      </c>
      <c r="B750" t="b">
        <v>1</v>
      </c>
      <c r="C750" s="6" t="str">
        <f t="shared" si="13"/>
        <v/>
      </c>
      <c r="D750" s="6" t="s">
        <v>16</v>
      </c>
      <c r="E750" s="6" t="s">
        <v>192</v>
      </c>
      <c r="F750" s="6" t="s">
        <v>19</v>
      </c>
      <c r="G750" s="6" t="s">
        <v>398</v>
      </c>
      <c r="H750" s="6" t="s">
        <v>1829</v>
      </c>
      <c r="I750" s="6"/>
      <c r="J750" s="6" t="s">
        <v>1247</v>
      </c>
      <c r="K750" s="6" t="s">
        <v>1879</v>
      </c>
      <c r="L750" s="6" t="s">
        <v>1880</v>
      </c>
      <c r="M750" s="6"/>
      <c r="N750" s="5" t="s">
        <v>1881</v>
      </c>
      <c r="O750" s="6" t="s">
        <v>1972</v>
      </c>
    </row>
    <row r="751" spans="1:15" x14ac:dyDescent="0.2">
      <c r="A751">
        <v>748</v>
      </c>
      <c r="B751" t="b">
        <v>1</v>
      </c>
      <c r="C751" s="6" t="str">
        <f t="shared" si="13"/>
        <v/>
      </c>
      <c r="D751" s="6" t="s">
        <v>16</v>
      </c>
      <c r="E751" s="6" t="s">
        <v>192</v>
      </c>
      <c r="F751" s="6" t="s">
        <v>19</v>
      </c>
      <c r="G751" s="6" t="s">
        <v>399</v>
      </c>
      <c r="H751" s="6" t="s">
        <v>1829</v>
      </c>
      <c r="I751" s="6"/>
      <c r="J751" s="6" t="s">
        <v>1247</v>
      </c>
      <c r="K751" s="6" t="s">
        <v>1879</v>
      </c>
      <c r="L751" s="6" t="s">
        <v>1880</v>
      </c>
      <c r="M751" s="6"/>
      <c r="N751" s="5" t="s">
        <v>1881</v>
      </c>
      <c r="O751" s="6" t="s">
        <v>1972</v>
      </c>
    </row>
    <row r="752" spans="1:15" x14ac:dyDescent="0.2">
      <c r="A752">
        <v>749</v>
      </c>
      <c r="B752" t="b">
        <v>1</v>
      </c>
      <c r="C752" s="6" t="str">
        <f t="shared" si="13"/>
        <v/>
      </c>
      <c r="D752" s="6" t="s">
        <v>16</v>
      </c>
      <c r="E752" s="6" t="s">
        <v>192</v>
      </c>
      <c r="F752" s="6" t="s">
        <v>19</v>
      </c>
      <c r="G752" s="6" t="s">
        <v>400</v>
      </c>
      <c r="H752" s="6" t="s">
        <v>1829</v>
      </c>
      <c r="I752" s="6"/>
      <c r="J752" s="6" t="s">
        <v>1247</v>
      </c>
      <c r="K752" s="6" t="s">
        <v>1879</v>
      </c>
      <c r="L752" s="6" t="s">
        <v>1880</v>
      </c>
      <c r="M752" s="6"/>
      <c r="N752" s="5" t="s">
        <v>1881</v>
      </c>
      <c r="O752" s="6" t="s">
        <v>1972</v>
      </c>
    </row>
    <row r="753" spans="1:15" x14ac:dyDescent="0.2">
      <c r="A753">
        <v>750</v>
      </c>
      <c r="B753" t="b">
        <v>1</v>
      </c>
      <c r="C753" s="6" t="str">
        <f t="shared" si="13"/>
        <v/>
      </c>
      <c r="D753" s="6" t="s">
        <v>16</v>
      </c>
      <c r="E753" s="6" t="s">
        <v>192</v>
      </c>
      <c r="F753" s="6" t="s">
        <v>19</v>
      </c>
      <c r="G753" s="6" t="s">
        <v>401</v>
      </c>
      <c r="H753" s="6" t="s">
        <v>1829</v>
      </c>
      <c r="I753" s="6"/>
      <c r="J753" s="6" t="s">
        <v>1247</v>
      </c>
      <c r="K753" s="6" t="s">
        <v>1879</v>
      </c>
      <c r="L753" s="6" t="s">
        <v>1880</v>
      </c>
      <c r="M753" s="6"/>
      <c r="N753" s="5" t="s">
        <v>1881</v>
      </c>
      <c r="O753" s="6" t="s">
        <v>1972</v>
      </c>
    </row>
    <row r="754" spans="1:15" x14ac:dyDescent="0.2">
      <c r="A754">
        <v>751</v>
      </c>
      <c r="B754" t="b">
        <v>1</v>
      </c>
      <c r="C754" s="6" t="str">
        <f t="shared" si="13"/>
        <v/>
      </c>
      <c r="D754" s="6" t="s">
        <v>16</v>
      </c>
      <c r="E754" s="6" t="s">
        <v>192</v>
      </c>
      <c r="F754" s="6" t="s">
        <v>19</v>
      </c>
      <c r="G754" s="6" t="s">
        <v>402</v>
      </c>
      <c r="H754" s="6" t="s">
        <v>1829</v>
      </c>
      <c r="I754" s="6"/>
      <c r="J754" s="6" t="s">
        <v>1247</v>
      </c>
      <c r="K754" s="6" t="s">
        <v>1879</v>
      </c>
      <c r="L754" s="6" t="s">
        <v>1880</v>
      </c>
      <c r="M754" s="6"/>
      <c r="N754" s="5" t="s">
        <v>1881</v>
      </c>
      <c r="O754" s="6" t="s">
        <v>1972</v>
      </c>
    </row>
    <row r="755" spans="1:15" x14ac:dyDescent="0.2">
      <c r="A755">
        <v>752</v>
      </c>
      <c r="B755" t="b">
        <v>1</v>
      </c>
      <c r="C755" s="6" t="str">
        <f t="shared" si="13"/>
        <v/>
      </c>
      <c r="D755" s="6" t="s">
        <v>16</v>
      </c>
      <c r="E755" s="6" t="s">
        <v>192</v>
      </c>
      <c r="F755" s="6" t="s">
        <v>19</v>
      </c>
      <c r="G755" s="6" t="s">
        <v>403</v>
      </c>
      <c r="H755" s="6" t="s">
        <v>1829</v>
      </c>
      <c r="I755" s="6"/>
      <c r="J755" s="6" t="s">
        <v>1247</v>
      </c>
      <c r="K755" s="6" t="s">
        <v>1879</v>
      </c>
      <c r="L755" s="6" t="s">
        <v>1880</v>
      </c>
      <c r="M755" s="6"/>
      <c r="N755" s="5" t="s">
        <v>1881</v>
      </c>
      <c r="O755" s="6" t="s">
        <v>1972</v>
      </c>
    </row>
    <row r="756" spans="1:15" x14ac:dyDescent="0.2">
      <c r="A756">
        <v>753</v>
      </c>
      <c r="B756" t="b">
        <v>1</v>
      </c>
      <c r="C756" s="6" t="str">
        <f t="shared" si="13"/>
        <v/>
      </c>
      <c r="D756" s="6" t="s">
        <v>16</v>
      </c>
      <c r="E756" s="6" t="s">
        <v>192</v>
      </c>
      <c r="F756" s="6" t="s">
        <v>19</v>
      </c>
      <c r="G756" s="6" t="s">
        <v>404</v>
      </c>
      <c r="H756" s="6" t="s">
        <v>1829</v>
      </c>
      <c r="I756" s="6"/>
      <c r="J756" s="6" t="s">
        <v>1247</v>
      </c>
      <c r="K756" s="6" t="s">
        <v>1879</v>
      </c>
      <c r="L756" s="6" t="s">
        <v>1880</v>
      </c>
      <c r="M756" s="6"/>
      <c r="N756" s="5" t="s">
        <v>1881</v>
      </c>
      <c r="O756" s="6" t="s">
        <v>1972</v>
      </c>
    </row>
    <row r="757" spans="1:15" x14ac:dyDescent="0.2">
      <c r="A757">
        <v>754</v>
      </c>
      <c r="B757" t="b">
        <v>1</v>
      </c>
      <c r="C757" s="6" t="str">
        <f t="shared" si="13"/>
        <v/>
      </c>
      <c r="D757" s="6" t="s">
        <v>16</v>
      </c>
      <c r="E757" s="6" t="s">
        <v>192</v>
      </c>
      <c r="F757" s="6" t="s">
        <v>19</v>
      </c>
      <c r="G757" s="6" t="s">
        <v>405</v>
      </c>
      <c r="H757" s="6" t="s">
        <v>1829</v>
      </c>
      <c r="I757" s="6"/>
      <c r="J757" s="6" t="s">
        <v>1247</v>
      </c>
      <c r="K757" s="6" t="s">
        <v>1879</v>
      </c>
      <c r="L757" s="6" t="s">
        <v>1880</v>
      </c>
      <c r="M757" s="6"/>
      <c r="N757" s="5" t="s">
        <v>1881</v>
      </c>
      <c r="O757" s="6" t="s">
        <v>1972</v>
      </c>
    </row>
    <row r="758" spans="1:15" x14ac:dyDescent="0.2">
      <c r="A758">
        <v>755</v>
      </c>
      <c r="B758" t="b">
        <v>1</v>
      </c>
      <c r="C758" s="6" t="str">
        <f t="shared" si="13"/>
        <v/>
      </c>
      <c r="D758" s="6" t="s">
        <v>16</v>
      </c>
      <c r="E758" s="6" t="s">
        <v>192</v>
      </c>
      <c r="F758" s="6" t="s">
        <v>19</v>
      </c>
      <c r="G758" s="6" t="s">
        <v>406</v>
      </c>
      <c r="H758" s="6" t="s">
        <v>1829</v>
      </c>
      <c r="I758" s="6"/>
      <c r="J758" s="6" t="s">
        <v>1247</v>
      </c>
      <c r="K758" s="6" t="s">
        <v>1879</v>
      </c>
      <c r="L758" s="6" t="s">
        <v>1880</v>
      </c>
      <c r="M758" s="6"/>
      <c r="N758" s="5" t="s">
        <v>1881</v>
      </c>
      <c r="O758" s="6" t="s">
        <v>1972</v>
      </c>
    </row>
    <row r="759" spans="1:15" x14ac:dyDescent="0.2">
      <c r="A759">
        <v>756</v>
      </c>
      <c r="B759" t="b">
        <v>1</v>
      </c>
      <c r="C759" s="6" t="str">
        <f t="shared" si="13"/>
        <v/>
      </c>
      <c r="D759" s="6" t="s">
        <v>16</v>
      </c>
      <c r="E759" s="6" t="s">
        <v>192</v>
      </c>
      <c r="F759" s="6" t="s">
        <v>19</v>
      </c>
      <c r="G759" s="6" t="s">
        <v>407</v>
      </c>
      <c r="H759" s="6" t="s">
        <v>1829</v>
      </c>
      <c r="I759" s="6"/>
      <c r="J759" s="6" t="s">
        <v>1247</v>
      </c>
      <c r="K759" s="6" t="s">
        <v>1879</v>
      </c>
      <c r="L759" s="6" t="s">
        <v>1880</v>
      </c>
      <c r="M759" s="6"/>
      <c r="N759" s="5" t="s">
        <v>1881</v>
      </c>
      <c r="O759" s="6" t="s">
        <v>1972</v>
      </c>
    </row>
    <row r="760" spans="1:15" x14ac:dyDescent="0.2">
      <c r="A760">
        <v>757</v>
      </c>
      <c r="B760" t="b">
        <v>1</v>
      </c>
      <c r="C760" s="6" t="str">
        <f t="shared" si="13"/>
        <v/>
      </c>
      <c r="D760" s="6" t="s">
        <v>16</v>
      </c>
      <c r="E760" s="6" t="s">
        <v>192</v>
      </c>
      <c r="F760" s="6" t="s">
        <v>19</v>
      </c>
      <c r="G760" s="6" t="s">
        <v>408</v>
      </c>
      <c r="H760" s="6" t="s">
        <v>1829</v>
      </c>
      <c r="I760" s="6"/>
      <c r="J760" s="6" t="s">
        <v>1247</v>
      </c>
      <c r="K760" s="6" t="s">
        <v>1879</v>
      </c>
      <c r="L760" s="6" t="s">
        <v>1880</v>
      </c>
      <c r="M760" s="6"/>
      <c r="N760" s="5" t="s">
        <v>1881</v>
      </c>
      <c r="O760" s="6" t="s">
        <v>1972</v>
      </c>
    </row>
    <row r="761" spans="1:15" x14ac:dyDescent="0.2">
      <c r="A761">
        <v>758</v>
      </c>
      <c r="B761" t="b">
        <v>1</v>
      </c>
      <c r="C761" s="6" t="str">
        <f t="shared" si="13"/>
        <v/>
      </c>
      <c r="D761" s="6" t="s">
        <v>16</v>
      </c>
      <c r="E761" s="6" t="s">
        <v>192</v>
      </c>
      <c r="F761" s="6" t="s">
        <v>19</v>
      </c>
      <c r="G761" s="6" t="s">
        <v>409</v>
      </c>
      <c r="H761" s="6" t="s">
        <v>1829</v>
      </c>
      <c r="I761" s="6"/>
      <c r="J761" s="6" t="s">
        <v>1247</v>
      </c>
      <c r="K761" s="6" t="s">
        <v>1879</v>
      </c>
      <c r="L761" s="6" t="s">
        <v>1880</v>
      </c>
      <c r="M761" s="6"/>
      <c r="N761" s="5" t="s">
        <v>1881</v>
      </c>
      <c r="O761" s="6" t="s">
        <v>1972</v>
      </c>
    </row>
    <row r="762" spans="1:15" x14ac:dyDescent="0.2">
      <c r="A762">
        <v>759</v>
      </c>
      <c r="B762" t="b">
        <v>1</v>
      </c>
      <c r="C762" s="6" t="str">
        <f t="shared" si="13"/>
        <v/>
      </c>
      <c r="D762" s="6" t="s">
        <v>16</v>
      </c>
      <c r="E762" s="6" t="s">
        <v>192</v>
      </c>
      <c r="F762" s="6" t="s">
        <v>19</v>
      </c>
      <c r="G762" s="6" t="s">
        <v>410</v>
      </c>
      <c r="H762" s="6" t="s">
        <v>1829</v>
      </c>
      <c r="I762" s="6"/>
      <c r="J762" s="6" t="s">
        <v>1247</v>
      </c>
      <c r="K762" s="6" t="s">
        <v>1879</v>
      </c>
      <c r="L762" s="6" t="s">
        <v>1880</v>
      </c>
      <c r="M762" s="6"/>
      <c r="N762" s="5" t="s">
        <v>1881</v>
      </c>
      <c r="O762" s="6" t="s">
        <v>1972</v>
      </c>
    </row>
    <row r="763" spans="1:15" x14ac:dyDescent="0.2">
      <c r="A763">
        <v>760</v>
      </c>
      <c r="B763" t="b">
        <v>1</v>
      </c>
      <c r="C763" s="6" t="str">
        <f t="shared" si="13"/>
        <v/>
      </c>
      <c r="D763" s="6" t="s">
        <v>16</v>
      </c>
      <c r="E763" s="6" t="s">
        <v>192</v>
      </c>
      <c r="F763" s="6" t="s">
        <v>19</v>
      </c>
      <c r="G763" s="6" t="s">
        <v>411</v>
      </c>
      <c r="H763" s="6" t="s">
        <v>1829</v>
      </c>
      <c r="I763" s="6"/>
      <c r="J763" s="6" t="s">
        <v>1247</v>
      </c>
      <c r="K763" s="6" t="s">
        <v>1879</v>
      </c>
      <c r="L763" s="6" t="s">
        <v>1880</v>
      </c>
      <c r="M763" s="6"/>
      <c r="N763" s="5" t="s">
        <v>1881</v>
      </c>
      <c r="O763" s="6" t="s">
        <v>1972</v>
      </c>
    </row>
    <row r="764" spans="1:15" x14ac:dyDescent="0.2">
      <c r="A764">
        <v>761</v>
      </c>
      <c r="B764" t="b">
        <v>1</v>
      </c>
      <c r="C764" s="6" t="str">
        <f t="shared" si="13"/>
        <v/>
      </c>
      <c r="D764" s="6" t="s">
        <v>16</v>
      </c>
      <c r="E764" s="6" t="s">
        <v>192</v>
      </c>
      <c r="F764" s="6" t="s">
        <v>19</v>
      </c>
      <c r="G764" s="6" t="s">
        <v>412</v>
      </c>
      <c r="H764" s="6" t="s">
        <v>1829</v>
      </c>
      <c r="I764" s="6"/>
      <c r="J764" s="6" t="s">
        <v>1247</v>
      </c>
      <c r="K764" s="6" t="s">
        <v>1879</v>
      </c>
      <c r="L764" s="6" t="s">
        <v>1880</v>
      </c>
      <c r="M764" s="6"/>
      <c r="N764" s="5" t="s">
        <v>1881</v>
      </c>
      <c r="O764" s="6" t="s">
        <v>1972</v>
      </c>
    </row>
    <row r="765" spans="1:15" x14ac:dyDescent="0.2">
      <c r="A765">
        <v>762</v>
      </c>
      <c r="B765" t="b">
        <v>1</v>
      </c>
      <c r="C765" s="6" t="str">
        <f t="shared" si="13"/>
        <v/>
      </c>
      <c r="D765" s="6" t="s">
        <v>16</v>
      </c>
      <c r="E765" s="6" t="s">
        <v>192</v>
      </c>
      <c r="F765" s="6" t="s">
        <v>19</v>
      </c>
      <c r="G765" s="6" t="s">
        <v>413</v>
      </c>
      <c r="H765" s="6" t="s">
        <v>1829</v>
      </c>
      <c r="I765" s="6"/>
      <c r="J765" s="6" t="s">
        <v>1247</v>
      </c>
      <c r="K765" s="6" t="s">
        <v>1879</v>
      </c>
      <c r="L765" s="6" t="s">
        <v>1880</v>
      </c>
      <c r="M765" s="6"/>
      <c r="N765" s="5" t="s">
        <v>1881</v>
      </c>
      <c r="O765" s="6" t="s">
        <v>1972</v>
      </c>
    </row>
    <row r="766" spans="1:15" x14ac:dyDescent="0.2">
      <c r="A766">
        <v>763</v>
      </c>
      <c r="B766" t="b">
        <v>1</v>
      </c>
      <c r="C766" s="6" t="str">
        <f t="shared" si="13"/>
        <v/>
      </c>
      <c r="D766" s="6" t="s">
        <v>16</v>
      </c>
      <c r="E766" s="6" t="s">
        <v>192</v>
      </c>
      <c r="F766" s="6" t="s">
        <v>19</v>
      </c>
      <c r="G766" s="6" t="s">
        <v>414</v>
      </c>
      <c r="H766" s="6" t="s">
        <v>1829</v>
      </c>
      <c r="I766" s="6"/>
      <c r="J766" s="6" t="s">
        <v>1247</v>
      </c>
      <c r="K766" s="6" t="s">
        <v>1879</v>
      </c>
      <c r="L766" s="6" t="s">
        <v>1880</v>
      </c>
      <c r="M766" s="6"/>
      <c r="N766" s="5" t="s">
        <v>1881</v>
      </c>
      <c r="O766" s="6" t="s">
        <v>1972</v>
      </c>
    </row>
    <row r="767" spans="1:15" x14ac:dyDescent="0.2">
      <c r="A767">
        <v>764</v>
      </c>
      <c r="B767" t="b">
        <v>1</v>
      </c>
      <c r="C767" s="6" t="str">
        <f t="shared" si="13"/>
        <v/>
      </c>
      <c r="D767" s="6" t="s">
        <v>16</v>
      </c>
      <c r="E767" s="6" t="s">
        <v>192</v>
      </c>
      <c r="F767" s="6" t="s">
        <v>19</v>
      </c>
      <c r="G767" s="6" t="s">
        <v>415</v>
      </c>
      <c r="H767" s="6" t="s">
        <v>1829</v>
      </c>
      <c r="I767" s="6"/>
      <c r="J767" s="6" t="s">
        <v>1247</v>
      </c>
      <c r="K767" s="6" t="s">
        <v>1879</v>
      </c>
      <c r="L767" s="6" t="s">
        <v>1880</v>
      </c>
      <c r="M767" s="6"/>
      <c r="N767" s="5" t="s">
        <v>1881</v>
      </c>
      <c r="O767" s="6" t="s">
        <v>1972</v>
      </c>
    </row>
    <row r="768" spans="1:15" x14ac:dyDescent="0.2">
      <c r="A768">
        <v>765</v>
      </c>
      <c r="B768" t="b">
        <v>1</v>
      </c>
      <c r="C768" s="6" t="str">
        <f t="shared" si="13"/>
        <v/>
      </c>
      <c r="D768" s="6" t="s">
        <v>16</v>
      </c>
      <c r="E768" s="6" t="s">
        <v>192</v>
      </c>
      <c r="F768" s="6" t="s">
        <v>19</v>
      </c>
      <c r="G768" s="6" t="s">
        <v>416</v>
      </c>
      <c r="H768" s="6" t="s">
        <v>1829</v>
      </c>
      <c r="I768" s="6"/>
      <c r="J768" s="6" t="s">
        <v>1247</v>
      </c>
      <c r="K768" s="6" t="s">
        <v>1879</v>
      </c>
      <c r="L768" s="6" t="s">
        <v>1880</v>
      </c>
      <c r="M768" s="6"/>
      <c r="N768" s="5" t="s">
        <v>1881</v>
      </c>
      <c r="O768" s="6" t="s">
        <v>1972</v>
      </c>
    </row>
    <row r="769" spans="1:15" x14ac:dyDescent="0.2">
      <c r="A769">
        <v>766</v>
      </c>
      <c r="B769" t="b">
        <v>1</v>
      </c>
      <c r="C769" s="6" t="str">
        <f t="shared" si="13"/>
        <v/>
      </c>
      <c r="D769" s="6" t="s">
        <v>16</v>
      </c>
      <c r="E769" s="6" t="s">
        <v>192</v>
      </c>
      <c r="F769" s="6" t="s">
        <v>19</v>
      </c>
      <c r="G769" s="6" t="s">
        <v>417</v>
      </c>
      <c r="H769" s="6" t="s">
        <v>1829</v>
      </c>
      <c r="I769" s="6"/>
      <c r="J769" s="6" t="s">
        <v>1247</v>
      </c>
      <c r="K769" s="6" t="s">
        <v>1879</v>
      </c>
      <c r="L769" s="6" t="s">
        <v>1880</v>
      </c>
      <c r="M769" s="6"/>
      <c r="N769" s="5" t="s">
        <v>1881</v>
      </c>
      <c r="O769" s="6" t="s">
        <v>1972</v>
      </c>
    </row>
    <row r="770" spans="1:15" x14ac:dyDescent="0.2">
      <c r="A770">
        <v>767</v>
      </c>
      <c r="B770" t="b">
        <v>1</v>
      </c>
      <c r="C770" s="6" t="str">
        <f t="shared" si="13"/>
        <v/>
      </c>
      <c r="D770" s="6" t="s">
        <v>16</v>
      </c>
      <c r="E770" s="6" t="s">
        <v>192</v>
      </c>
      <c r="F770" s="6" t="s">
        <v>19</v>
      </c>
      <c r="G770" s="6" t="s">
        <v>418</v>
      </c>
      <c r="H770" s="6" t="s">
        <v>1829</v>
      </c>
      <c r="I770" s="6"/>
      <c r="J770" s="6" t="s">
        <v>1247</v>
      </c>
      <c r="K770" s="6" t="s">
        <v>1879</v>
      </c>
      <c r="L770" s="6" t="s">
        <v>1880</v>
      </c>
      <c r="M770" s="6"/>
      <c r="N770" s="5" t="s">
        <v>1881</v>
      </c>
      <c r="O770" s="6" t="s">
        <v>1972</v>
      </c>
    </row>
    <row r="771" spans="1:15" x14ac:dyDescent="0.2">
      <c r="A771">
        <v>768</v>
      </c>
      <c r="B771" t="b">
        <v>1</v>
      </c>
      <c r="C771" s="6" t="str">
        <f t="shared" si="13"/>
        <v/>
      </c>
      <c r="D771" s="6" t="s">
        <v>16</v>
      </c>
      <c r="E771" s="6" t="s">
        <v>192</v>
      </c>
      <c r="F771" s="6" t="s">
        <v>19</v>
      </c>
      <c r="G771" s="6" t="s">
        <v>419</v>
      </c>
      <c r="H771" s="6" t="s">
        <v>1829</v>
      </c>
      <c r="I771" s="6"/>
      <c r="J771" s="6" t="s">
        <v>1247</v>
      </c>
      <c r="K771" s="6" t="s">
        <v>1879</v>
      </c>
      <c r="L771" s="6" t="s">
        <v>1880</v>
      </c>
      <c r="M771" s="6"/>
      <c r="N771" s="5" t="s">
        <v>1881</v>
      </c>
      <c r="O771" s="6" t="s">
        <v>1972</v>
      </c>
    </row>
    <row r="772" spans="1:15" x14ac:dyDescent="0.2">
      <c r="A772">
        <v>769</v>
      </c>
      <c r="B772" t="b">
        <v>1</v>
      </c>
      <c r="C772" s="6" t="str">
        <f t="shared" si="13"/>
        <v/>
      </c>
      <c r="D772" s="6" t="s">
        <v>16</v>
      </c>
      <c r="E772" s="6" t="s">
        <v>192</v>
      </c>
      <c r="F772" s="6" t="s">
        <v>19</v>
      </c>
      <c r="G772" s="6" t="s">
        <v>420</v>
      </c>
      <c r="H772" s="6" t="s">
        <v>1829</v>
      </c>
      <c r="I772" s="6"/>
      <c r="J772" s="6" t="s">
        <v>1247</v>
      </c>
      <c r="K772" s="6" t="s">
        <v>1879</v>
      </c>
      <c r="L772" s="6" t="s">
        <v>1880</v>
      </c>
      <c r="M772" s="6"/>
      <c r="N772" s="5" t="s">
        <v>1881</v>
      </c>
      <c r="O772" s="6" t="s">
        <v>1972</v>
      </c>
    </row>
    <row r="773" spans="1:15" x14ac:dyDescent="0.2">
      <c r="A773">
        <v>770</v>
      </c>
      <c r="B773" t="b">
        <v>1</v>
      </c>
      <c r="C773" s="6" t="str">
        <f t="shared" ref="C773:C836" si="14">IF(AND(G773="NA",H773&lt;&gt;"wide_value"),TRUE,"")</f>
        <v/>
      </c>
      <c r="D773" s="6" t="s">
        <v>16</v>
      </c>
      <c r="E773" s="6" t="s">
        <v>192</v>
      </c>
      <c r="F773" s="6" t="s">
        <v>19</v>
      </c>
      <c r="G773" s="6" t="s">
        <v>421</v>
      </c>
      <c r="H773" s="6" t="s">
        <v>1829</v>
      </c>
      <c r="I773" s="6"/>
      <c r="J773" s="6" t="s">
        <v>1247</v>
      </c>
      <c r="K773" s="6" t="s">
        <v>1879</v>
      </c>
      <c r="L773" s="6" t="s">
        <v>1880</v>
      </c>
      <c r="M773" s="6"/>
      <c r="N773" s="5" t="s">
        <v>1881</v>
      </c>
      <c r="O773" s="6" t="s">
        <v>1972</v>
      </c>
    </row>
    <row r="774" spans="1:15" x14ac:dyDescent="0.2">
      <c r="A774">
        <v>771</v>
      </c>
      <c r="B774" t="b">
        <v>1</v>
      </c>
      <c r="C774" s="6" t="str">
        <f t="shared" si="14"/>
        <v/>
      </c>
      <c r="D774" s="6" t="s">
        <v>16</v>
      </c>
      <c r="E774" s="6" t="s">
        <v>192</v>
      </c>
      <c r="F774" s="6" t="s">
        <v>19</v>
      </c>
      <c r="G774" s="6" t="s">
        <v>422</v>
      </c>
      <c r="H774" s="6" t="s">
        <v>1829</v>
      </c>
      <c r="I774" s="6"/>
      <c r="J774" s="6" t="s">
        <v>1247</v>
      </c>
      <c r="K774" s="6" t="s">
        <v>1879</v>
      </c>
      <c r="L774" s="6" t="s">
        <v>1880</v>
      </c>
      <c r="M774" s="6"/>
      <c r="N774" s="5" t="s">
        <v>1881</v>
      </c>
      <c r="O774" s="6" t="s">
        <v>1972</v>
      </c>
    </row>
    <row r="775" spans="1:15" x14ac:dyDescent="0.2">
      <c r="A775">
        <v>772</v>
      </c>
      <c r="B775" t="b">
        <v>1</v>
      </c>
      <c r="C775" s="6" t="str">
        <f t="shared" si="14"/>
        <v/>
      </c>
      <c r="D775" s="6" t="s">
        <v>16</v>
      </c>
      <c r="E775" s="6" t="s">
        <v>192</v>
      </c>
      <c r="F775" s="6" t="s">
        <v>19</v>
      </c>
      <c r="G775" s="6" t="s">
        <v>423</v>
      </c>
      <c r="H775" s="6" t="s">
        <v>1829</v>
      </c>
      <c r="I775" s="6"/>
      <c r="J775" s="6" t="s">
        <v>1247</v>
      </c>
      <c r="K775" s="6" t="s">
        <v>1879</v>
      </c>
      <c r="L775" s="6" t="s">
        <v>1880</v>
      </c>
      <c r="M775" s="6"/>
      <c r="N775" s="5" t="s">
        <v>1881</v>
      </c>
      <c r="O775" s="6" t="s">
        <v>1972</v>
      </c>
    </row>
    <row r="776" spans="1:15" x14ac:dyDescent="0.2">
      <c r="A776">
        <v>773</v>
      </c>
      <c r="B776" t="b">
        <v>1</v>
      </c>
      <c r="C776" s="6" t="str">
        <f t="shared" si="14"/>
        <v/>
      </c>
      <c r="D776" s="6" t="s">
        <v>16</v>
      </c>
      <c r="E776" s="6" t="s">
        <v>192</v>
      </c>
      <c r="F776" s="6" t="s">
        <v>19</v>
      </c>
      <c r="G776" s="6" t="s">
        <v>385</v>
      </c>
      <c r="H776" s="6" t="s">
        <v>1829</v>
      </c>
      <c r="I776" s="6"/>
      <c r="J776" s="6" t="s">
        <v>1247</v>
      </c>
      <c r="K776" s="6" t="s">
        <v>1879</v>
      </c>
      <c r="L776" s="6" t="s">
        <v>1880</v>
      </c>
      <c r="M776" s="6"/>
      <c r="N776" s="5" t="s">
        <v>1881</v>
      </c>
      <c r="O776" s="6" t="s">
        <v>1972</v>
      </c>
    </row>
    <row r="777" spans="1:15" x14ac:dyDescent="0.2">
      <c r="A777">
        <v>774</v>
      </c>
      <c r="B777" t="b">
        <v>1</v>
      </c>
      <c r="C777" s="6" t="str">
        <f t="shared" si="14"/>
        <v/>
      </c>
      <c r="D777" s="6" t="s">
        <v>16</v>
      </c>
      <c r="E777" s="6" t="s">
        <v>192</v>
      </c>
      <c r="F777" s="6" t="s">
        <v>19</v>
      </c>
      <c r="G777" s="6" t="s">
        <v>424</v>
      </c>
      <c r="H777" s="6" t="s">
        <v>1829</v>
      </c>
      <c r="I777" s="6"/>
      <c r="J777" s="6" t="s">
        <v>1247</v>
      </c>
      <c r="K777" s="6" t="s">
        <v>1879</v>
      </c>
      <c r="L777" s="6" t="s">
        <v>1880</v>
      </c>
      <c r="M777" s="6"/>
      <c r="N777" s="5" t="s">
        <v>1881</v>
      </c>
      <c r="O777" s="6" t="s">
        <v>1972</v>
      </c>
    </row>
    <row r="778" spans="1:15" x14ac:dyDescent="0.2">
      <c r="A778">
        <v>775</v>
      </c>
      <c r="B778" t="b">
        <v>1</v>
      </c>
      <c r="C778" s="6" t="str">
        <f t="shared" si="14"/>
        <v/>
      </c>
      <c r="D778" s="6" t="s">
        <v>16</v>
      </c>
      <c r="E778" s="6" t="s">
        <v>192</v>
      </c>
      <c r="F778" s="6" t="s">
        <v>19</v>
      </c>
      <c r="G778" s="6" t="s">
        <v>425</v>
      </c>
      <c r="H778" s="6" t="s">
        <v>1829</v>
      </c>
      <c r="I778" s="6"/>
      <c r="J778" s="6" t="s">
        <v>1247</v>
      </c>
      <c r="K778" s="6" t="s">
        <v>1879</v>
      </c>
      <c r="L778" s="6" t="s">
        <v>1880</v>
      </c>
      <c r="M778" s="6"/>
      <c r="N778" s="5" t="s">
        <v>1881</v>
      </c>
      <c r="O778" s="6" t="s">
        <v>1972</v>
      </c>
    </row>
    <row r="779" spans="1:15" x14ac:dyDescent="0.2">
      <c r="A779">
        <v>776</v>
      </c>
      <c r="B779" t="b">
        <v>1</v>
      </c>
      <c r="C779" s="6" t="str">
        <f t="shared" si="14"/>
        <v/>
      </c>
      <c r="D779" s="6" t="s">
        <v>16</v>
      </c>
      <c r="E779" s="6" t="s">
        <v>192</v>
      </c>
      <c r="F779" s="6" t="s">
        <v>19</v>
      </c>
      <c r="G779" s="6" t="s">
        <v>426</v>
      </c>
      <c r="H779" s="6" t="s">
        <v>1829</v>
      </c>
      <c r="I779" s="6"/>
      <c r="J779" s="6" t="s">
        <v>1247</v>
      </c>
      <c r="K779" s="6" t="s">
        <v>1879</v>
      </c>
      <c r="L779" s="6" t="s">
        <v>1880</v>
      </c>
      <c r="M779" s="6"/>
      <c r="N779" s="5" t="s">
        <v>1881</v>
      </c>
      <c r="O779" s="6" t="s">
        <v>1972</v>
      </c>
    </row>
    <row r="780" spans="1:15" x14ac:dyDescent="0.2">
      <c r="A780">
        <v>777</v>
      </c>
      <c r="B780" t="b">
        <v>1</v>
      </c>
      <c r="C780" s="6" t="str">
        <f t="shared" si="14"/>
        <v/>
      </c>
      <c r="D780" s="6" t="s">
        <v>16</v>
      </c>
      <c r="E780" s="6" t="s">
        <v>192</v>
      </c>
      <c r="F780" s="6" t="s">
        <v>19</v>
      </c>
      <c r="G780" s="6" t="s">
        <v>427</v>
      </c>
      <c r="H780" s="6" t="s">
        <v>1829</v>
      </c>
      <c r="I780" s="6"/>
      <c r="J780" s="6" t="s">
        <v>1247</v>
      </c>
      <c r="K780" s="6" t="s">
        <v>1879</v>
      </c>
      <c r="L780" s="6" t="s">
        <v>1880</v>
      </c>
      <c r="M780" s="6"/>
      <c r="N780" s="5" t="s">
        <v>1881</v>
      </c>
      <c r="O780" s="6" t="s">
        <v>1972</v>
      </c>
    </row>
    <row r="781" spans="1:15" x14ac:dyDescent="0.2">
      <c r="A781">
        <v>778</v>
      </c>
      <c r="B781" t="b">
        <v>1</v>
      </c>
      <c r="C781" s="6" t="str">
        <f t="shared" si="14"/>
        <v/>
      </c>
      <c r="D781" s="6" t="s">
        <v>16</v>
      </c>
      <c r="E781" s="6" t="s">
        <v>192</v>
      </c>
      <c r="F781" s="6" t="s">
        <v>19</v>
      </c>
      <c r="G781" s="6" t="s">
        <v>428</v>
      </c>
      <c r="H781" s="6" t="s">
        <v>1829</v>
      </c>
      <c r="I781" s="6"/>
      <c r="J781" s="6" t="s">
        <v>1247</v>
      </c>
      <c r="K781" s="6" t="s">
        <v>1879</v>
      </c>
      <c r="L781" s="6" t="s">
        <v>1880</v>
      </c>
      <c r="M781" s="6"/>
      <c r="N781" s="5" t="s">
        <v>1881</v>
      </c>
      <c r="O781" s="6" t="s">
        <v>1972</v>
      </c>
    </row>
    <row r="782" spans="1:15" x14ac:dyDescent="0.2">
      <c r="A782">
        <v>779</v>
      </c>
      <c r="B782" t="b">
        <v>1</v>
      </c>
      <c r="C782" s="6" t="str">
        <f t="shared" si="14"/>
        <v/>
      </c>
      <c r="D782" s="6" t="s">
        <v>16</v>
      </c>
      <c r="E782" s="6" t="s">
        <v>192</v>
      </c>
      <c r="F782" s="6" t="s">
        <v>19</v>
      </c>
      <c r="G782" s="6" t="s">
        <v>429</v>
      </c>
      <c r="H782" s="6" t="s">
        <v>1829</v>
      </c>
      <c r="I782" s="6"/>
      <c r="J782" s="6" t="s">
        <v>1247</v>
      </c>
      <c r="K782" s="6" t="s">
        <v>1879</v>
      </c>
      <c r="L782" s="6" t="s">
        <v>1880</v>
      </c>
      <c r="M782" s="6"/>
      <c r="N782" s="5" t="s">
        <v>1881</v>
      </c>
      <c r="O782" s="6" t="s">
        <v>1972</v>
      </c>
    </row>
    <row r="783" spans="1:15" x14ac:dyDescent="0.2">
      <c r="A783">
        <v>780</v>
      </c>
      <c r="B783" t="b">
        <v>1</v>
      </c>
      <c r="C783" s="6" t="str">
        <f t="shared" si="14"/>
        <v/>
      </c>
      <c r="D783" s="6" t="s">
        <v>16</v>
      </c>
      <c r="E783" s="6" t="s">
        <v>192</v>
      </c>
      <c r="F783" s="6" t="s">
        <v>19</v>
      </c>
      <c r="G783" s="6" t="s">
        <v>430</v>
      </c>
      <c r="H783" s="6" t="s">
        <v>1829</v>
      </c>
      <c r="I783" s="6"/>
      <c r="J783" s="6" t="s">
        <v>1247</v>
      </c>
      <c r="K783" s="6" t="s">
        <v>1879</v>
      </c>
      <c r="L783" s="6" t="s">
        <v>1880</v>
      </c>
      <c r="M783" s="6"/>
      <c r="N783" s="5" t="s">
        <v>1881</v>
      </c>
      <c r="O783" s="6" t="s">
        <v>1972</v>
      </c>
    </row>
    <row r="784" spans="1:15" x14ac:dyDescent="0.2">
      <c r="A784">
        <v>781</v>
      </c>
      <c r="B784" t="b">
        <v>1</v>
      </c>
      <c r="C784" s="6" t="str">
        <f t="shared" si="14"/>
        <v/>
      </c>
      <c r="D784" s="6" t="s">
        <v>16</v>
      </c>
      <c r="E784" s="6" t="s">
        <v>192</v>
      </c>
      <c r="F784" s="6" t="s">
        <v>19</v>
      </c>
      <c r="G784" s="6" t="s">
        <v>431</v>
      </c>
      <c r="H784" s="6" t="s">
        <v>1829</v>
      </c>
      <c r="I784" s="6"/>
      <c r="J784" s="6" t="s">
        <v>1247</v>
      </c>
      <c r="K784" s="6" t="s">
        <v>1879</v>
      </c>
      <c r="L784" s="6" t="s">
        <v>1880</v>
      </c>
      <c r="M784" s="6"/>
      <c r="N784" s="5" t="s">
        <v>1881</v>
      </c>
      <c r="O784" s="6" t="s">
        <v>1972</v>
      </c>
    </row>
    <row r="785" spans="1:15" x14ac:dyDescent="0.2">
      <c r="A785">
        <v>782</v>
      </c>
      <c r="B785" t="b">
        <v>1</v>
      </c>
      <c r="C785" s="6" t="str">
        <f t="shared" si="14"/>
        <v/>
      </c>
      <c r="D785" s="6" t="s">
        <v>16</v>
      </c>
      <c r="E785" s="6" t="s">
        <v>192</v>
      </c>
      <c r="F785" s="6" t="s">
        <v>19</v>
      </c>
      <c r="G785" s="6" t="s">
        <v>432</v>
      </c>
      <c r="H785" s="6" t="s">
        <v>1829</v>
      </c>
      <c r="I785" s="6"/>
      <c r="J785" s="6" t="s">
        <v>1247</v>
      </c>
      <c r="K785" s="6" t="s">
        <v>1879</v>
      </c>
      <c r="L785" s="6" t="s">
        <v>1880</v>
      </c>
      <c r="M785" s="6"/>
      <c r="N785" s="5" t="s">
        <v>1881</v>
      </c>
      <c r="O785" s="6" t="s">
        <v>1972</v>
      </c>
    </row>
    <row r="786" spans="1:15" x14ac:dyDescent="0.2">
      <c r="A786">
        <v>783</v>
      </c>
      <c r="B786" t="b">
        <v>1</v>
      </c>
      <c r="C786" s="6" t="str">
        <f t="shared" si="14"/>
        <v/>
      </c>
      <c r="D786" s="6" t="s">
        <v>16</v>
      </c>
      <c r="E786" s="6" t="s">
        <v>192</v>
      </c>
      <c r="F786" s="6" t="s">
        <v>19</v>
      </c>
      <c r="G786" s="6" t="s">
        <v>1824</v>
      </c>
      <c r="H786" s="6" t="s">
        <v>1829</v>
      </c>
      <c r="I786" s="6"/>
      <c r="J786" s="6" t="s">
        <v>1247</v>
      </c>
      <c r="K786" s="6" t="s">
        <v>1879</v>
      </c>
      <c r="L786" s="6" t="s">
        <v>1880</v>
      </c>
      <c r="M786" s="6"/>
      <c r="N786" s="5" t="s">
        <v>1881</v>
      </c>
      <c r="O786" s="6" t="s">
        <v>1972</v>
      </c>
    </row>
    <row r="787" spans="1:15" x14ac:dyDescent="0.2">
      <c r="A787">
        <v>784</v>
      </c>
      <c r="B787" t="b">
        <v>1</v>
      </c>
      <c r="C787" s="6" t="str">
        <f t="shared" si="14"/>
        <v/>
      </c>
      <c r="D787" s="6" t="s">
        <v>16</v>
      </c>
      <c r="E787" s="6" t="s">
        <v>192</v>
      </c>
      <c r="F787" s="6" t="s">
        <v>19</v>
      </c>
      <c r="G787" s="6" t="s">
        <v>1825</v>
      </c>
      <c r="H787" s="6" t="s">
        <v>1829</v>
      </c>
      <c r="I787" s="6"/>
      <c r="J787" s="6" t="s">
        <v>1247</v>
      </c>
      <c r="K787" s="6" t="s">
        <v>1879</v>
      </c>
      <c r="L787" s="6" t="s">
        <v>1880</v>
      </c>
      <c r="M787" s="6"/>
      <c r="N787" s="5" t="s">
        <v>1881</v>
      </c>
      <c r="O787" s="6" t="s">
        <v>1972</v>
      </c>
    </row>
    <row r="788" spans="1:15" x14ac:dyDescent="0.2">
      <c r="A788">
        <v>785</v>
      </c>
      <c r="B788" t="b">
        <v>1</v>
      </c>
      <c r="C788" s="6" t="str">
        <f t="shared" si="14"/>
        <v/>
      </c>
      <c r="D788" s="6" t="s">
        <v>16</v>
      </c>
      <c r="E788" s="6" t="s">
        <v>192</v>
      </c>
      <c r="F788" s="6" t="s">
        <v>19</v>
      </c>
      <c r="G788" s="6" t="s">
        <v>1224</v>
      </c>
      <c r="H788" s="6" t="s">
        <v>1829</v>
      </c>
      <c r="I788" s="6"/>
      <c r="J788" s="6" t="s">
        <v>1247</v>
      </c>
      <c r="K788" s="6" t="s">
        <v>1879</v>
      </c>
      <c r="L788" s="6" t="s">
        <v>1880</v>
      </c>
      <c r="M788" s="6"/>
      <c r="N788" s="5" t="s">
        <v>1881</v>
      </c>
      <c r="O788" s="6" t="s">
        <v>1972</v>
      </c>
    </row>
    <row r="789" spans="1:15" x14ac:dyDescent="0.2">
      <c r="A789">
        <v>786</v>
      </c>
      <c r="B789" t="b">
        <v>1</v>
      </c>
      <c r="C789" s="6" t="str">
        <f t="shared" si="14"/>
        <v/>
      </c>
      <c r="D789" s="6" t="s">
        <v>16</v>
      </c>
      <c r="E789" s="6" t="s">
        <v>192</v>
      </c>
      <c r="F789" s="6" t="s">
        <v>19</v>
      </c>
      <c r="G789" s="6" t="s">
        <v>433</v>
      </c>
      <c r="H789" s="6" t="s">
        <v>1829</v>
      </c>
      <c r="I789" s="6"/>
      <c r="J789" s="6" t="s">
        <v>1247</v>
      </c>
      <c r="K789" s="6" t="s">
        <v>1879</v>
      </c>
      <c r="L789" s="6" t="s">
        <v>1880</v>
      </c>
      <c r="M789" s="6"/>
      <c r="N789" s="5" t="s">
        <v>1881</v>
      </c>
      <c r="O789" s="6" t="s">
        <v>1972</v>
      </c>
    </row>
    <row r="790" spans="1:15" x14ac:dyDescent="0.2">
      <c r="A790">
        <v>787</v>
      </c>
      <c r="B790" t="b">
        <v>1</v>
      </c>
      <c r="C790" s="6" t="str">
        <f t="shared" si="14"/>
        <v/>
      </c>
      <c r="D790" s="6" t="s">
        <v>16</v>
      </c>
      <c r="E790" s="6" t="s">
        <v>192</v>
      </c>
      <c r="F790" s="6" t="s">
        <v>19</v>
      </c>
      <c r="G790" s="6" t="s">
        <v>1225</v>
      </c>
      <c r="H790" s="6" t="s">
        <v>1829</v>
      </c>
      <c r="I790" s="6"/>
      <c r="J790" s="6" t="s">
        <v>1247</v>
      </c>
      <c r="K790" s="6" t="s">
        <v>1879</v>
      </c>
      <c r="L790" s="6" t="s">
        <v>1880</v>
      </c>
      <c r="M790" s="6"/>
      <c r="N790" s="5" t="s">
        <v>1881</v>
      </c>
      <c r="O790" s="6" t="s">
        <v>1972</v>
      </c>
    </row>
    <row r="791" spans="1:15" x14ac:dyDescent="0.2">
      <c r="A791">
        <v>788</v>
      </c>
      <c r="B791" t="b">
        <v>1</v>
      </c>
      <c r="C791" s="6" t="str">
        <f t="shared" si="14"/>
        <v/>
      </c>
      <c r="D791" s="6" t="s">
        <v>16</v>
      </c>
      <c r="E791" s="6" t="s">
        <v>192</v>
      </c>
      <c r="F791" s="6" t="s">
        <v>19</v>
      </c>
      <c r="G791" s="6" t="s">
        <v>1226</v>
      </c>
      <c r="H791" s="6" t="s">
        <v>1829</v>
      </c>
      <c r="I791" s="6"/>
      <c r="J791" s="6" t="s">
        <v>1247</v>
      </c>
      <c r="K791" s="6" t="s">
        <v>1879</v>
      </c>
      <c r="L791" s="6" t="s">
        <v>1880</v>
      </c>
      <c r="M791" s="6"/>
      <c r="N791" s="5" t="s">
        <v>1881</v>
      </c>
      <c r="O791" s="6" t="s">
        <v>1972</v>
      </c>
    </row>
    <row r="792" spans="1:15" x14ac:dyDescent="0.2">
      <c r="A792">
        <v>789</v>
      </c>
      <c r="B792" t="b">
        <v>1</v>
      </c>
      <c r="C792" s="6" t="str">
        <f t="shared" si="14"/>
        <v/>
      </c>
      <c r="D792" s="6" t="s">
        <v>16</v>
      </c>
      <c r="E792" s="6" t="s">
        <v>192</v>
      </c>
      <c r="F792" s="6" t="s">
        <v>19</v>
      </c>
      <c r="G792" s="6" t="s">
        <v>1227</v>
      </c>
      <c r="H792" s="6" t="s">
        <v>1829</v>
      </c>
      <c r="I792" s="6"/>
      <c r="J792" s="6" t="s">
        <v>1247</v>
      </c>
      <c r="K792" s="6" t="s">
        <v>1879</v>
      </c>
      <c r="L792" s="6" t="s">
        <v>1880</v>
      </c>
      <c r="M792" s="6"/>
      <c r="N792" s="5" t="s">
        <v>1881</v>
      </c>
      <c r="O792" s="6" t="s">
        <v>1972</v>
      </c>
    </row>
    <row r="793" spans="1:15" x14ac:dyDescent="0.2">
      <c r="A793">
        <v>790</v>
      </c>
      <c r="B793" t="b">
        <v>1</v>
      </c>
      <c r="C793" s="6" t="str">
        <f t="shared" si="14"/>
        <v/>
      </c>
      <c r="D793" s="6" t="s">
        <v>16</v>
      </c>
      <c r="E793" s="6" t="s">
        <v>192</v>
      </c>
      <c r="F793" s="6" t="s">
        <v>19</v>
      </c>
      <c r="G793" s="6" t="s">
        <v>1228</v>
      </c>
      <c r="H793" s="6" t="s">
        <v>1829</v>
      </c>
      <c r="I793" s="6"/>
      <c r="J793" s="6" t="s">
        <v>1247</v>
      </c>
      <c r="K793" s="6" t="s">
        <v>1879</v>
      </c>
      <c r="L793" s="6" t="s">
        <v>1880</v>
      </c>
      <c r="M793" s="6"/>
      <c r="N793" s="5" t="s">
        <v>1881</v>
      </c>
      <c r="O793" s="6" t="s">
        <v>1972</v>
      </c>
    </row>
    <row r="794" spans="1:15" x14ac:dyDescent="0.2">
      <c r="A794">
        <v>791</v>
      </c>
      <c r="B794" t="b">
        <v>1</v>
      </c>
      <c r="C794" s="6" t="str">
        <f t="shared" si="14"/>
        <v/>
      </c>
      <c r="D794" s="6" t="s">
        <v>16</v>
      </c>
      <c r="E794" s="6" t="s">
        <v>192</v>
      </c>
      <c r="F794" s="6" t="s">
        <v>19</v>
      </c>
      <c r="G794" s="6" t="s">
        <v>1229</v>
      </c>
      <c r="H794" s="6" t="s">
        <v>1829</v>
      </c>
      <c r="I794" s="6"/>
      <c r="J794" s="6" t="s">
        <v>1247</v>
      </c>
      <c r="K794" s="6" t="s">
        <v>1879</v>
      </c>
      <c r="L794" s="6" t="s">
        <v>1880</v>
      </c>
      <c r="M794" s="6"/>
      <c r="N794" s="5" t="s">
        <v>1881</v>
      </c>
      <c r="O794" s="6" t="s">
        <v>1972</v>
      </c>
    </row>
    <row r="795" spans="1:15" x14ac:dyDescent="0.2">
      <c r="A795">
        <v>792</v>
      </c>
      <c r="B795" t="b">
        <v>1</v>
      </c>
      <c r="C795" s="6" t="str">
        <f t="shared" si="14"/>
        <v/>
      </c>
      <c r="D795" s="6" t="s">
        <v>16</v>
      </c>
      <c r="E795" s="6" t="s">
        <v>192</v>
      </c>
      <c r="F795" s="6" t="s">
        <v>19</v>
      </c>
      <c r="G795" s="6" t="s">
        <v>1230</v>
      </c>
      <c r="H795" s="6" t="s">
        <v>1829</v>
      </c>
      <c r="I795" s="6"/>
      <c r="J795" s="6" t="s">
        <v>1247</v>
      </c>
      <c r="K795" s="6" t="s">
        <v>1879</v>
      </c>
      <c r="L795" s="6" t="s">
        <v>1880</v>
      </c>
      <c r="M795" s="6"/>
      <c r="N795" s="5" t="s">
        <v>1881</v>
      </c>
      <c r="O795" s="6" t="s">
        <v>1972</v>
      </c>
    </row>
    <row r="796" spans="1:15" x14ac:dyDescent="0.2">
      <c r="A796">
        <v>793</v>
      </c>
      <c r="B796" t="b">
        <v>1</v>
      </c>
      <c r="C796" s="6" t="str">
        <f t="shared" si="14"/>
        <v/>
      </c>
      <c r="D796" s="6" t="s">
        <v>16</v>
      </c>
      <c r="E796" s="6" t="s">
        <v>192</v>
      </c>
      <c r="F796" s="6" t="s">
        <v>19</v>
      </c>
      <c r="G796" s="6" t="s">
        <v>434</v>
      </c>
      <c r="H796" s="6" t="s">
        <v>1829</v>
      </c>
      <c r="I796" s="6"/>
      <c r="J796" s="6" t="s">
        <v>1247</v>
      </c>
      <c r="K796" s="6" t="s">
        <v>1879</v>
      </c>
      <c r="L796" s="6" t="s">
        <v>1880</v>
      </c>
      <c r="M796" s="6"/>
      <c r="N796" s="5" t="s">
        <v>1881</v>
      </c>
      <c r="O796" s="6" t="s">
        <v>1972</v>
      </c>
    </row>
    <row r="797" spans="1:15" x14ac:dyDescent="0.2">
      <c r="A797">
        <v>794</v>
      </c>
      <c r="B797" t="b">
        <v>1</v>
      </c>
      <c r="C797" s="6" t="str">
        <f t="shared" si="14"/>
        <v/>
      </c>
      <c r="D797" s="6" t="s">
        <v>16</v>
      </c>
      <c r="E797" s="6" t="s">
        <v>192</v>
      </c>
      <c r="F797" s="6" t="s">
        <v>19</v>
      </c>
      <c r="G797" s="6" t="s">
        <v>435</v>
      </c>
      <c r="H797" s="6" t="s">
        <v>1829</v>
      </c>
      <c r="I797" s="6"/>
      <c r="J797" s="6" t="s">
        <v>1247</v>
      </c>
      <c r="K797" s="6" t="s">
        <v>1879</v>
      </c>
      <c r="L797" s="6" t="s">
        <v>1880</v>
      </c>
      <c r="M797" s="6"/>
      <c r="N797" s="5" t="s">
        <v>1881</v>
      </c>
      <c r="O797" s="6" t="s">
        <v>1972</v>
      </c>
    </row>
    <row r="798" spans="1:15" x14ac:dyDescent="0.2">
      <c r="A798">
        <v>795</v>
      </c>
      <c r="B798" t="b">
        <v>1</v>
      </c>
      <c r="C798" s="6" t="str">
        <f t="shared" si="14"/>
        <v/>
      </c>
      <c r="D798" s="6" t="s">
        <v>16</v>
      </c>
      <c r="E798" s="6" t="s">
        <v>192</v>
      </c>
      <c r="F798" s="6" t="s">
        <v>19</v>
      </c>
      <c r="G798" s="6" t="s">
        <v>436</v>
      </c>
      <c r="H798" s="6" t="s">
        <v>1829</v>
      </c>
      <c r="I798" s="6"/>
      <c r="J798" s="6" t="s">
        <v>1247</v>
      </c>
      <c r="K798" s="6" t="s">
        <v>1879</v>
      </c>
      <c r="L798" s="6" t="s">
        <v>1880</v>
      </c>
      <c r="M798" s="6"/>
      <c r="N798" s="5" t="s">
        <v>1881</v>
      </c>
      <c r="O798" s="6" t="s">
        <v>1972</v>
      </c>
    </row>
    <row r="799" spans="1:15" x14ac:dyDescent="0.2">
      <c r="A799">
        <v>796</v>
      </c>
      <c r="B799" t="b">
        <v>1</v>
      </c>
      <c r="C799" s="6" t="str">
        <f t="shared" si="14"/>
        <v/>
      </c>
      <c r="D799" s="6" t="s">
        <v>16</v>
      </c>
      <c r="E799" s="6" t="s">
        <v>192</v>
      </c>
      <c r="F799" s="6" t="s">
        <v>19</v>
      </c>
      <c r="G799" s="6" t="s">
        <v>437</v>
      </c>
      <c r="H799" s="6" t="s">
        <v>1829</v>
      </c>
      <c r="I799" s="6"/>
      <c r="J799" s="6" t="s">
        <v>1247</v>
      </c>
      <c r="K799" s="6" t="s">
        <v>1879</v>
      </c>
      <c r="L799" s="6" t="s">
        <v>1880</v>
      </c>
      <c r="M799" s="6"/>
      <c r="N799" s="5" t="s">
        <v>1881</v>
      </c>
      <c r="O799" s="6" t="s">
        <v>1972</v>
      </c>
    </row>
    <row r="800" spans="1:15" x14ac:dyDescent="0.2">
      <c r="A800">
        <v>797</v>
      </c>
      <c r="B800" t="b">
        <v>1</v>
      </c>
      <c r="C800" s="6" t="str">
        <f t="shared" si="14"/>
        <v/>
      </c>
      <c r="D800" s="6" t="s">
        <v>16</v>
      </c>
      <c r="E800" s="6" t="s">
        <v>192</v>
      </c>
      <c r="F800" s="6" t="s">
        <v>19</v>
      </c>
      <c r="G800" s="6" t="s">
        <v>438</v>
      </c>
      <c r="H800" s="6" t="s">
        <v>1829</v>
      </c>
      <c r="I800" s="6"/>
      <c r="J800" s="6" t="s">
        <v>1247</v>
      </c>
      <c r="K800" s="6" t="s">
        <v>1879</v>
      </c>
      <c r="L800" s="6" t="s">
        <v>1880</v>
      </c>
      <c r="M800" s="6"/>
      <c r="N800" s="5" t="s">
        <v>1881</v>
      </c>
      <c r="O800" s="6" t="s">
        <v>1972</v>
      </c>
    </row>
    <row r="801" spans="1:15" x14ac:dyDescent="0.2">
      <c r="A801">
        <v>798</v>
      </c>
      <c r="B801" t="b">
        <v>1</v>
      </c>
      <c r="C801" s="6" t="str">
        <f t="shared" si="14"/>
        <v/>
      </c>
      <c r="D801" s="6" t="s">
        <v>16</v>
      </c>
      <c r="E801" s="6" t="s">
        <v>192</v>
      </c>
      <c r="F801" s="6" t="s">
        <v>19</v>
      </c>
      <c r="G801" s="6" t="s">
        <v>439</v>
      </c>
      <c r="H801" s="6" t="s">
        <v>1829</v>
      </c>
      <c r="I801" s="6"/>
      <c r="J801" s="6" t="s">
        <v>1247</v>
      </c>
      <c r="K801" s="6" t="s">
        <v>1879</v>
      </c>
      <c r="L801" s="6" t="s">
        <v>1880</v>
      </c>
      <c r="M801" s="6"/>
      <c r="N801" s="5" t="s">
        <v>1881</v>
      </c>
      <c r="O801" s="6" t="s">
        <v>1972</v>
      </c>
    </row>
    <row r="802" spans="1:15" x14ac:dyDescent="0.2">
      <c r="A802">
        <v>799</v>
      </c>
      <c r="B802" t="b">
        <v>1</v>
      </c>
      <c r="C802" s="6" t="str">
        <f t="shared" si="14"/>
        <v/>
      </c>
      <c r="D802" s="6" t="s">
        <v>16</v>
      </c>
      <c r="E802" s="6" t="s">
        <v>192</v>
      </c>
      <c r="F802" s="6" t="s">
        <v>19</v>
      </c>
      <c r="G802" s="6" t="s">
        <v>440</v>
      </c>
      <c r="H802" s="6" t="s">
        <v>1829</v>
      </c>
      <c r="I802" s="6"/>
      <c r="J802" s="6" t="s">
        <v>1247</v>
      </c>
      <c r="K802" s="6" t="s">
        <v>1879</v>
      </c>
      <c r="L802" s="6" t="s">
        <v>1880</v>
      </c>
      <c r="M802" s="6"/>
      <c r="N802" s="5" t="s">
        <v>1881</v>
      </c>
      <c r="O802" s="6" t="s">
        <v>1972</v>
      </c>
    </row>
    <row r="803" spans="1:15" x14ac:dyDescent="0.2">
      <c r="A803">
        <v>800</v>
      </c>
      <c r="B803" t="b">
        <v>1</v>
      </c>
      <c r="C803" s="6" t="str">
        <f t="shared" si="14"/>
        <v/>
      </c>
      <c r="D803" s="6" t="s">
        <v>16</v>
      </c>
      <c r="E803" s="6" t="s">
        <v>192</v>
      </c>
      <c r="F803" s="6" t="s">
        <v>19</v>
      </c>
      <c r="G803" s="6" t="s">
        <v>441</v>
      </c>
      <c r="H803" s="6" t="s">
        <v>1829</v>
      </c>
      <c r="I803" s="6"/>
      <c r="J803" s="6" t="s">
        <v>1247</v>
      </c>
      <c r="K803" s="6" t="s">
        <v>1879</v>
      </c>
      <c r="L803" s="6" t="s">
        <v>1880</v>
      </c>
      <c r="M803" s="6"/>
      <c r="N803" s="5" t="s">
        <v>1881</v>
      </c>
      <c r="O803" s="6" t="s">
        <v>1972</v>
      </c>
    </row>
    <row r="804" spans="1:15" x14ac:dyDescent="0.2">
      <c r="A804">
        <v>801</v>
      </c>
      <c r="B804" t="b">
        <v>1</v>
      </c>
      <c r="C804" s="6" t="str">
        <f t="shared" si="14"/>
        <v/>
      </c>
      <c r="D804" s="6" t="s">
        <v>16</v>
      </c>
      <c r="E804" s="6" t="s">
        <v>192</v>
      </c>
      <c r="F804" s="6" t="s">
        <v>19</v>
      </c>
      <c r="G804" s="6" t="s">
        <v>442</v>
      </c>
      <c r="H804" s="6" t="s">
        <v>1829</v>
      </c>
      <c r="I804" s="6"/>
      <c r="J804" s="6" t="s">
        <v>1247</v>
      </c>
      <c r="K804" s="6" t="s">
        <v>1879</v>
      </c>
      <c r="L804" s="6" t="s">
        <v>1880</v>
      </c>
      <c r="M804" s="6"/>
      <c r="N804" s="5" t="s">
        <v>1881</v>
      </c>
      <c r="O804" s="6" t="s">
        <v>1972</v>
      </c>
    </row>
    <row r="805" spans="1:15" x14ac:dyDescent="0.2">
      <c r="A805">
        <v>802</v>
      </c>
      <c r="B805" t="b">
        <v>1</v>
      </c>
      <c r="C805" s="6" t="str">
        <f t="shared" si="14"/>
        <v/>
      </c>
      <c r="D805" s="6" t="s">
        <v>16</v>
      </c>
      <c r="E805" s="6" t="s">
        <v>192</v>
      </c>
      <c r="F805" s="6" t="s">
        <v>19</v>
      </c>
      <c r="G805" s="6" t="s">
        <v>1826</v>
      </c>
      <c r="H805" s="6" t="s">
        <v>1829</v>
      </c>
      <c r="I805" s="6"/>
      <c r="J805" s="6" t="s">
        <v>1247</v>
      </c>
      <c r="K805" s="6" t="s">
        <v>1879</v>
      </c>
      <c r="L805" s="6" t="s">
        <v>1880</v>
      </c>
      <c r="M805" s="6"/>
      <c r="N805" s="5" t="s">
        <v>1881</v>
      </c>
      <c r="O805" s="6" t="s">
        <v>1972</v>
      </c>
    </row>
    <row r="806" spans="1:15" x14ac:dyDescent="0.2">
      <c r="A806">
        <v>803</v>
      </c>
      <c r="B806" t="b">
        <v>1</v>
      </c>
      <c r="C806" s="6" t="str">
        <f t="shared" si="14"/>
        <v/>
      </c>
      <c r="D806" s="6" t="s">
        <v>16</v>
      </c>
      <c r="E806" s="6" t="s">
        <v>192</v>
      </c>
      <c r="F806" s="6" t="s">
        <v>19</v>
      </c>
      <c r="G806" s="6" t="s">
        <v>443</v>
      </c>
      <c r="H806" s="6" t="s">
        <v>1829</v>
      </c>
      <c r="I806" s="6"/>
      <c r="J806" s="6" t="s">
        <v>1247</v>
      </c>
      <c r="K806" s="6" t="s">
        <v>1879</v>
      </c>
      <c r="L806" s="6" t="s">
        <v>1880</v>
      </c>
      <c r="M806" s="6"/>
      <c r="N806" s="5" t="s">
        <v>1881</v>
      </c>
      <c r="O806" s="6" t="s">
        <v>1972</v>
      </c>
    </row>
    <row r="807" spans="1:15" x14ac:dyDescent="0.2">
      <c r="A807">
        <v>804</v>
      </c>
      <c r="B807" t="b">
        <v>1</v>
      </c>
      <c r="C807" s="6" t="str">
        <f t="shared" si="14"/>
        <v/>
      </c>
      <c r="D807" s="6" t="s">
        <v>16</v>
      </c>
      <c r="E807" s="6" t="s">
        <v>192</v>
      </c>
      <c r="F807" s="6" t="s">
        <v>19</v>
      </c>
      <c r="G807" s="6" t="s">
        <v>444</v>
      </c>
      <c r="H807" s="6" t="s">
        <v>1829</v>
      </c>
      <c r="I807" s="6"/>
      <c r="J807" s="6" t="s">
        <v>1247</v>
      </c>
      <c r="K807" s="6" t="s">
        <v>1879</v>
      </c>
      <c r="L807" s="6" t="s">
        <v>1880</v>
      </c>
      <c r="M807" s="6"/>
      <c r="N807" s="5" t="s">
        <v>1881</v>
      </c>
      <c r="O807" s="6" t="s">
        <v>1972</v>
      </c>
    </row>
    <row r="808" spans="1:15" x14ac:dyDescent="0.2">
      <c r="A808">
        <v>805</v>
      </c>
      <c r="B808" t="b">
        <v>1</v>
      </c>
      <c r="C808" s="6" t="str">
        <f t="shared" si="14"/>
        <v/>
      </c>
      <c r="D808" s="6" t="s">
        <v>16</v>
      </c>
      <c r="E808" s="6" t="s">
        <v>192</v>
      </c>
      <c r="F808" s="6" t="s">
        <v>19</v>
      </c>
      <c r="G808" s="6" t="s">
        <v>445</v>
      </c>
      <c r="H808" s="6" t="s">
        <v>1829</v>
      </c>
      <c r="I808" s="6"/>
      <c r="J808" s="6" t="s">
        <v>1247</v>
      </c>
      <c r="K808" s="6" t="s">
        <v>1879</v>
      </c>
      <c r="L808" s="6" t="s">
        <v>1880</v>
      </c>
      <c r="M808" s="6"/>
      <c r="N808" s="5" t="s">
        <v>1881</v>
      </c>
      <c r="O808" s="6" t="s">
        <v>1972</v>
      </c>
    </row>
    <row r="809" spans="1:15" x14ac:dyDescent="0.2">
      <c r="A809">
        <v>806</v>
      </c>
      <c r="B809" t="b">
        <v>1</v>
      </c>
      <c r="C809" s="6" t="str">
        <f t="shared" si="14"/>
        <v/>
      </c>
      <c r="D809" s="6" t="s">
        <v>16</v>
      </c>
      <c r="E809" s="6" t="s">
        <v>192</v>
      </c>
      <c r="F809" s="6" t="s">
        <v>19</v>
      </c>
      <c r="G809" s="6" t="s">
        <v>446</v>
      </c>
      <c r="H809" s="6" t="s">
        <v>1829</v>
      </c>
      <c r="I809" s="6"/>
      <c r="J809" s="6" t="s">
        <v>1247</v>
      </c>
      <c r="K809" s="6" t="s">
        <v>1879</v>
      </c>
      <c r="L809" s="6" t="s">
        <v>1880</v>
      </c>
      <c r="M809" s="6"/>
      <c r="N809" s="5" t="s">
        <v>1881</v>
      </c>
      <c r="O809" s="6" t="s">
        <v>1972</v>
      </c>
    </row>
    <row r="810" spans="1:15" x14ac:dyDescent="0.2">
      <c r="A810">
        <v>807</v>
      </c>
      <c r="B810" t="b">
        <v>1</v>
      </c>
      <c r="C810" s="6" t="str">
        <f t="shared" si="14"/>
        <v/>
      </c>
      <c r="D810" s="6" t="s">
        <v>16</v>
      </c>
      <c r="E810" s="6" t="s">
        <v>192</v>
      </c>
      <c r="F810" s="6" t="s">
        <v>19</v>
      </c>
      <c r="G810" s="6" t="s">
        <v>447</v>
      </c>
      <c r="H810" s="6" t="s">
        <v>1829</v>
      </c>
      <c r="I810" s="6"/>
      <c r="J810" s="6" t="s">
        <v>1247</v>
      </c>
      <c r="K810" s="6" t="s">
        <v>1879</v>
      </c>
      <c r="L810" s="6" t="s">
        <v>1880</v>
      </c>
      <c r="M810" s="6"/>
      <c r="N810" s="5" t="s">
        <v>1881</v>
      </c>
      <c r="O810" s="6" t="s">
        <v>1972</v>
      </c>
    </row>
    <row r="811" spans="1:15" x14ac:dyDescent="0.2">
      <c r="A811">
        <v>808</v>
      </c>
      <c r="B811" t="b">
        <v>1</v>
      </c>
      <c r="C811" s="6" t="str">
        <f t="shared" si="14"/>
        <v/>
      </c>
      <c r="D811" s="6" t="s">
        <v>16</v>
      </c>
      <c r="E811" s="6" t="s">
        <v>192</v>
      </c>
      <c r="F811" s="6" t="s">
        <v>19</v>
      </c>
      <c r="G811" s="6" t="s">
        <v>448</v>
      </c>
      <c r="H811" s="6" t="s">
        <v>1829</v>
      </c>
      <c r="I811" s="6"/>
      <c r="J811" s="6" t="s">
        <v>1247</v>
      </c>
      <c r="K811" s="6" t="s">
        <v>1879</v>
      </c>
      <c r="L811" s="6" t="s">
        <v>1880</v>
      </c>
      <c r="M811" s="6"/>
      <c r="N811" s="5" t="s">
        <v>1881</v>
      </c>
      <c r="O811" s="6" t="s">
        <v>1972</v>
      </c>
    </row>
    <row r="812" spans="1:15" x14ac:dyDescent="0.2">
      <c r="A812">
        <v>809</v>
      </c>
      <c r="B812" t="b">
        <v>1</v>
      </c>
      <c r="C812" s="6" t="str">
        <f t="shared" si="14"/>
        <v/>
      </c>
      <c r="D812" s="6" t="s">
        <v>16</v>
      </c>
      <c r="E812" s="6" t="s">
        <v>192</v>
      </c>
      <c r="F812" s="6" t="s">
        <v>19</v>
      </c>
      <c r="G812" s="6" t="s">
        <v>1827</v>
      </c>
      <c r="H812" s="6" t="s">
        <v>1829</v>
      </c>
      <c r="I812" s="6"/>
      <c r="J812" s="6" t="s">
        <v>1247</v>
      </c>
      <c r="K812" s="6" t="s">
        <v>1879</v>
      </c>
      <c r="L812" s="6" t="s">
        <v>1880</v>
      </c>
      <c r="M812" s="6"/>
      <c r="N812" s="5" t="s">
        <v>1881</v>
      </c>
      <c r="O812" s="6" t="s">
        <v>1972</v>
      </c>
    </row>
    <row r="813" spans="1:15" x14ac:dyDescent="0.2">
      <c r="A813">
        <v>810</v>
      </c>
      <c r="B813" t="b">
        <v>1</v>
      </c>
      <c r="C813" s="6" t="str">
        <f t="shared" si="14"/>
        <v/>
      </c>
      <c r="D813" s="6" t="s">
        <v>16</v>
      </c>
      <c r="E813" s="6" t="s">
        <v>192</v>
      </c>
      <c r="F813" s="6" t="s">
        <v>19</v>
      </c>
      <c r="G813" s="6" t="s">
        <v>1828</v>
      </c>
      <c r="H813" s="6" t="s">
        <v>1829</v>
      </c>
      <c r="I813" s="6"/>
      <c r="J813" s="6" t="s">
        <v>1247</v>
      </c>
      <c r="K813" s="6" t="s">
        <v>1879</v>
      </c>
      <c r="L813" s="6" t="s">
        <v>1880</v>
      </c>
      <c r="M813" s="6"/>
      <c r="N813" s="5" t="s">
        <v>1881</v>
      </c>
      <c r="O813" s="6" t="s">
        <v>1972</v>
      </c>
    </row>
    <row r="814" spans="1:15" x14ac:dyDescent="0.2">
      <c r="A814">
        <v>811</v>
      </c>
      <c r="B814" t="b">
        <v>1</v>
      </c>
      <c r="C814" s="6" t="str">
        <f t="shared" si="14"/>
        <v/>
      </c>
      <c r="D814" s="6" t="s">
        <v>16</v>
      </c>
      <c r="E814" s="6" t="s">
        <v>192</v>
      </c>
      <c r="F814" s="6" t="s">
        <v>19</v>
      </c>
      <c r="G814" s="6" t="s">
        <v>1231</v>
      </c>
      <c r="H814" s="6" t="s">
        <v>1829</v>
      </c>
      <c r="I814" s="6"/>
      <c r="J814" s="6" t="s">
        <v>1247</v>
      </c>
      <c r="K814" s="6" t="s">
        <v>1879</v>
      </c>
      <c r="L814" s="6" t="s">
        <v>1880</v>
      </c>
      <c r="M814" s="6"/>
      <c r="N814" s="5" t="s">
        <v>1881</v>
      </c>
      <c r="O814" s="6" t="s">
        <v>1972</v>
      </c>
    </row>
    <row r="815" spans="1:15" x14ac:dyDescent="0.2">
      <c r="A815">
        <v>812</v>
      </c>
      <c r="B815" t="b">
        <v>1</v>
      </c>
      <c r="C815" s="6" t="str">
        <f t="shared" si="14"/>
        <v/>
      </c>
      <c r="D815" s="6" t="s">
        <v>16</v>
      </c>
      <c r="E815" s="6" t="s">
        <v>192</v>
      </c>
      <c r="F815" s="6" t="s">
        <v>19</v>
      </c>
      <c r="G815" s="6" t="s">
        <v>449</v>
      </c>
      <c r="H815" s="6" t="s">
        <v>1829</v>
      </c>
      <c r="I815" s="6"/>
      <c r="J815" s="6" t="s">
        <v>1247</v>
      </c>
      <c r="K815" s="6" t="s">
        <v>1879</v>
      </c>
      <c r="L815" s="6" t="s">
        <v>1880</v>
      </c>
      <c r="M815" s="6"/>
      <c r="N815" s="5" t="s">
        <v>1881</v>
      </c>
      <c r="O815" s="6" t="s">
        <v>1972</v>
      </c>
    </row>
    <row r="816" spans="1:15" x14ac:dyDescent="0.2">
      <c r="A816">
        <v>813</v>
      </c>
      <c r="B816" t="b">
        <v>1</v>
      </c>
      <c r="C816" s="6" t="str">
        <f t="shared" si="14"/>
        <v/>
      </c>
      <c r="D816" s="6" t="s">
        <v>16</v>
      </c>
      <c r="E816" s="6" t="s">
        <v>192</v>
      </c>
      <c r="F816" s="6" t="s">
        <v>19</v>
      </c>
      <c r="G816" s="6" t="s">
        <v>450</v>
      </c>
      <c r="H816" s="6" t="s">
        <v>1829</v>
      </c>
      <c r="I816" s="6"/>
      <c r="J816" s="6" t="s">
        <v>1247</v>
      </c>
      <c r="K816" s="6" t="s">
        <v>1879</v>
      </c>
      <c r="L816" s="6" t="s">
        <v>1880</v>
      </c>
      <c r="M816" s="6"/>
      <c r="N816" s="5" t="s">
        <v>1881</v>
      </c>
      <c r="O816" s="6" t="s">
        <v>1972</v>
      </c>
    </row>
    <row r="817" spans="1:15" x14ac:dyDescent="0.2">
      <c r="A817">
        <v>814</v>
      </c>
      <c r="B817" t="b">
        <v>1</v>
      </c>
      <c r="C817" s="6" t="str">
        <f t="shared" si="14"/>
        <v/>
      </c>
      <c r="D817" s="6" t="s">
        <v>16</v>
      </c>
      <c r="E817" s="6" t="s">
        <v>192</v>
      </c>
      <c r="F817" s="6" t="s">
        <v>19</v>
      </c>
      <c r="G817" s="6" t="s">
        <v>451</v>
      </c>
      <c r="H817" s="6" t="s">
        <v>1829</v>
      </c>
      <c r="I817" s="6"/>
      <c r="J817" s="6" t="s">
        <v>1247</v>
      </c>
      <c r="K817" s="6" t="s">
        <v>1879</v>
      </c>
      <c r="L817" s="6" t="s">
        <v>1880</v>
      </c>
      <c r="M817" s="6"/>
      <c r="N817" s="5" t="s">
        <v>1881</v>
      </c>
      <c r="O817" s="6" t="s">
        <v>1972</v>
      </c>
    </row>
    <row r="818" spans="1:15" x14ac:dyDescent="0.2">
      <c r="A818">
        <v>815</v>
      </c>
      <c r="B818" t="b">
        <v>1</v>
      </c>
      <c r="C818" s="6" t="str">
        <f t="shared" si="14"/>
        <v/>
      </c>
      <c r="D818" s="6" t="s">
        <v>16</v>
      </c>
      <c r="E818" s="6" t="s">
        <v>192</v>
      </c>
      <c r="F818" s="6" t="s">
        <v>19</v>
      </c>
      <c r="G818" s="6" t="s">
        <v>452</v>
      </c>
      <c r="H818" s="6" t="s">
        <v>1829</v>
      </c>
      <c r="I818" s="6"/>
      <c r="J818" s="6" t="s">
        <v>1247</v>
      </c>
      <c r="K818" s="6" t="s">
        <v>1879</v>
      </c>
      <c r="L818" s="6" t="s">
        <v>1880</v>
      </c>
      <c r="M818" s="6"/>
      <c r="N818" s="5" t="s">
        <v>1881</v>
      </c>
      <c r="O818" s="6" t="s">
        <v>1972</v>
      </c>
    </row>
    <row r="819" spans="1:15" x14ac:dyDescent="0.2">
      <c r="A819">
        <v>816</v>
      </c>
      <c r="B819" t="b">
        <v>1</v>
      </c>
      <c r="C819" s="6" t="str">
        <f t="shared" si="14"/>
        <v/>
      </c>
      <c r="D819" s="6" t="s">
        <v>16</v>
      </c>
      <c r="E819" s="6" t="s">
        <v>192</v>
      </c>
      <c r="F819" s="6" t="s">
        <v>19</v>
      </c>
      <c r="G819" s="6" t="s">
        <v>453</v>
      </c>
      <c r="H819" s="6" t="s">
        <v>1829</v>
      </c>
      <c r="I819" s="6"/>
      <c r="J819" s="6" t="s">
        <v>1247</v>
      </c>
      <c r="K819" s="6" t="s">
        <v>1879</v>
      </c>
      <c r="L819" s="6" t="s">
        <v>1880</v>
      </c>
      <c r="M819" s="6"/>
      <c r="N819" s="5" t="s">
        <v>1881</v>
      </c>
      <c r="O819" s="6" t="s">
        <v>1972</v>
      </c>
    </row>
    <row r="820" spans="1:15" x14ac:dyDescent="0.2">
      <c r="A820">
        <v>817</v>
      </c>
      <c r="B820" t="b">
        <v>1</v>
      </c>
      <c r="C820" s="6" t="str">
        <f t="shared" si="14"/>
        <v/>
      </c>
      <c r="D820" s="6" t="s">
        <v>16</v>
      </c>
      <c r="E820" s="6" t="s">
        <v>192</v>
      </c>
      <c r="F820" s="6" t="s">
        <v>19</v>
      </c>
      <c r="G820" s="6" t="s">
        <v>454</v>
      </c>
      <c r="H820" s="6" t="s">
        <v>1829</v>
      </c>
      <c r="I820" s="6"/>
      <c r="J820" s="6" t="s">
        <v>1247</v>
      </c>
      <c r="K820" s="6" t="s">
        <v>1879</v>
      </c>
      <c r="L820" s="6" t="s">
        <v>1880</v>
      </c>
      <c r="M820" s="6"/>
      <c r="N820" s="5" t="s">
        <v>1881</v>
      </c>
      <c r="O820" s="6" t="s">
        <v>1972</v>
      </c>
    </row>
    <row r="821" spans="1:15" x14ac:dyDescent="0.2">
      <c r="A821">
        <v>818</v>
      </c>
      <c r="B821" t="b">
        <v>1</v>
      </c>
      <c r="C821" s="6" t="str">
        <f t="shared" si="14"/>
        <v/>
      </c>
      <c r="D821" s="6" t="s">
        <v>16</v>
      </c>
      <c r="E821" s="6" t="s">
        <v>192</v>
      </c>
      <c r="F821" s="6" t="s">
        <v>125</v>
      </c>
      <c r="G821" s="6" t="s">
        <v>383</v>
      </c>
      <c r="H821" s="6" t="s">
        <v>1829</v>
      </c>
      <c r="I821" s="6"/>
      <c r="J821" s="6" t="s">
        <v>1830</v>
      </c>
      <c r="K821" s="6" t="s">
        <v>1882</v>
      </c>
      <c r="L821" s="6"/>
      <c r="M821" s="6"/>
      <c r="N821" s="5" t="s">
        <v>1831</v>
      </c>
      <c r="O821" s="6" t="s">
        <v>1973</v>
      </c>
    </row>
    <row r="822" spans="1:15" x14ac:dyDescent="0.2">
      <c r="A822">
        <v>819</v>
      </c>
      <c r="B822" t="b">
        <v>1</v>
      </c>
      <c r="C822" s="6" t="str">
        <f t="shared" si="14"/>
        <v/>
      </c>
      <c r="D822" s="6" t="s">
        <v>16</v>
      </c>
      <c r="E822" s="6" t="s">
        <v>192</v>
      </c>
      <c r="F822" s="6" t="s">
        <v>125</v>
      </c>
      <c r="G822" s="6" t="s">
        <v>384</v>
      </c>
      <c r="H822" s="6" t="s">
        <v>1829</v>
      </c>
      <c r="I822" s="6"/>
      <c r="J822" s="6" t="s">
        <v>1830</v>
      </c>
      <c r="K822" s="6" t="s">
        <v>1882</v>
      </c>
      <c r="L822" s="6"/>
      <c r="M822" s="6"/>
      <c r="N822" s="5" t="s">
        <v>1831</v>
      </c>
      <c r="O822" s="6" t="s">
        <v>1973</v>
      </c>
    </row>
    <row r="823" spans="1:15" x14ac:dyDescent="0.2">
      <c r="A823">
        <v>820</v>
      </c>
      <c r="B823" t="b">
        <v>1</v>
      </c>
      <c r="C823" s="6" t="str">
        <f t="shared" si="14"/>
        <v/>
      </c>
      <c r="D823" s="6" t="s">
        <v>16</v>
      </c>
      <c r="E823" s="6" t="s">
        <v>192</v>
      </c>
      <c r="F823" s="6" t="s">
        <v>125</v>
      </c>
      <c r="G823" s="6" t="s">
        <v>385</v>
      </c>
      <c r="H823" s="6" t="s">
        <v>1829</v>
      </c>
      <c r="I823" s="6"/>
      <c r="J823" s="6" t="s">
        <v>1830</v>
      </c>
      <c r="K823" s="6" t="s">
        <v>1882</v>
      </c>
      <c r="L823" s="6"/>
      <c r="M823" s="6"/>
      <c r="N823" s="5" t="s">
        <v>1831</v>
      </c>
      <c r="O823" s="6" t="s">
        <v>1973</v>
      </c>
    </row>
    <row r="824" spans="1:15" x14ac:dyDescent="0.2">
      <c r="A824">
        <v>821</v>
      </c>
      <c r="B824" t="b">
        <v>1</v>
      </c>
      <c r="C824" s="6" t="str">
        <f t="shared" si="14"/>
        <v/>
      </c>
      <c r="D824" s="6" t="s">
        <v>16</v>
      </c>
      <c r="E824" s="6" t="s">
        <v>192</v>
      </c>
      <c r="F824" s="6" t="s">
        <v>125</v>
      </c>
      <c r="G824" s="6" t="s">
        <v>386</v>
      </c>
      <c r="H824" s="6" t="s">
        <v>1829</v>
      </c>
      <c r="I824" s="6"/>
      <c r="J824" s="6" t="s">
        <v>1830</v>
      </c>
      <c r="K824" s="6" t="s">
        <v>1882</v>
      </c>
      <c r="L824" s="6"/>
      <c r="M824" s="6"/>
      <c r="N824" s="5" t="s">
        <v>1831</v>
      </c>
      <c r="O824" s="6" t="s">
        <v>1973</v>
      </c>
    </row>
    <row r="825" spans="1:15" x14ac:dyDescent="0.2">
      <c r="A825">
        <v>822</v>
      </c>
      <c r="B825" t="b">
        <v>1</v>
      </c>
      <c r="C825" s="6" t="str">
        <f t="shared" si="14"/>
        <v/>
      </c>
      <c r="D825" s="6" t="s">
        <v>16</v>
      </c>
      <c r="E825" s="6" t="s">
        <v>192</v>
      </c>
      <c r="F825" s="6" t="s">
        <v>125</v>
      </c>
      <c r="G825" s="6" t="s">
        <v>387</v>
      </c>
      <c r="H825" s="6" t="s">
        <v>1829</v>
      </c>
      <c r="I825" s="6"/>
      <c r="J825" s="6" t="s">
        <v>1830</v>
      </c>
      <c r="K825" s="6" t="s">
        <v>1882</v>
      </c>
      <c r="L825" s="6"/>
      <c r="M825" s="6"/>
      <c r="N825" s="5" t="s">
        <v>1831</v>
      </c>
      <c r="O825" s="6" t="s">
        <v>1973</v>
      </c>
    </row>
    <row r="826" spans="1:15" x14ac:dyDescent="0.2">
      <c r="A826">
        <v>823</v>
      </c>
      <c r="B826" t="b">
        <v>1</v>
      </c>
      <c r="C826" s="6" t="str">
        <f t="shared" si="14"/>
        <v/>
      </c>
      <c r="D826" s="6" t="s">
        <v>16</v>
      </c>
      <c r="E826" s="6" t="s">
        <v>192</v>
      </c>
      <c r="F826" s="6" t="s">
        <v>125</v>
      </c>
      <c r="G826" s="6" t="s">
        <v>388</v>
      </c>
      <c r="H826" s="6" t="s">
        <v>1829</v>
      </c>
      <c r="I826" s="6"/>
      <c r="J826" s="6" t="s">
        <v>1830</v>
      </c>
      <c r="K826" s="6" t="s">
        <v>1882</v>
      </c>
      <c r="L826" s="6"/>
      <c r="M826" s="6"/>
      <c r="N826" s="5" t="s">
        <v>1831</v>
      </c>
      <c r="O826" s="6" t="s">
        <v>1973</v>
      </c>
    </row>
    <row r="827" spans="1:15" x14ac:dyDescent="0.2">
      <c r="A827">
        <v>824</v>
      </c>
      <c r="B827" t="b">
        <v>1</v>
      </c>
      <c r="C827" s="6" t="str">
        <f t="shared" si="14"/>
        <v/>
      </c>
      <c r="D827" s="6" t="s">
        <v>16</v>
      </c>
      <c r="E827" s="6" t="s">
        <v>192</v>
      </c>
      <c r="F827" s="6" t="s">
        <v>125</v>
      </c>
      <c r="G827" s="6" t="s">
        <v>389</v>
      </c>
      <c r="H827" s="6" t="s">
        <v>1829</v>
      </c>
      <c r="I827" s="6"/>
      <c r="J827" s="6" t="s">
        <v>1830</v>
      </c>
      <c r="K827" s="6" t="s">
        <v>1882</v>
      </c>
      <c r="L827" s="6"/>
      <c r="M827" s="6"/>
      <c r="N827" s="5" t="s">
        <v>1831</v>
      </c>
      <c r="O827" s="6" t="s">
        <v>1973</v>
      </c>
    </row>
    <row r="828" spans="1:15" x14ac:dyDescent="0.2">
      <c r="A828">
        <v>825</v>
      </c>
      <c r="B828" t="b">
        <v>1</v>
      </c>
      <c r="C828" s="6" t="str">
        <f t="shared" si="14"/>
        <v/>
      </c>
      <c r="D828" s="6" t="s">
        <v>16</v>
      </c>
      <c r="E828" s="6" t="s">
        <v>192</v>
      </c>
      <c r="F828" s="6" t="s">
        <v>125</v>
      </c>
      <c r="G828" s="6" t="s">
        <v>390</v>
      </c>
      <c r="H828" s="6" t="s">
        <v>1829</v>
      </c>
      <c r="I828" s="6"/>
      <c r="J828" s="6" t="s">
        <v>1830</v>
      </c>
      <c r="K828" s="6" t="s">
        <v>1882</v>
      </c>
      <c r="L828" s="6"/>
      <c r="M828" s="6"/>
      <c r="N828" s="5" t="s">
        <v>1831</v>
      </c>
      <c r="O828" s="6" t="s">
        <v>1973</v>
      </c>
    </row>
    <row r="829" spans="1:15" x14ac:dyDescent="0.2">
      <c r="A829">
        <v>826</v>
      </c>
      <c r="B829" t="b">
        <v>1</v>
      </c>
      <c r="C829" s="6" t="str">
        <f t="shared" si="14"/>
        <v/>
      </c>
      <c r="D829" s="6" t="s">
        <v>16</v>
      </c>
      <c r="E829" s="6" t="s">
        <v>192</v>
      </c>
      <c r="F829" s="6" t="s">
        <v>125</v>
      </c>
      <c r="G829" s="6" t="s">
        <v>391</v>
      </c>
      <c r="H829" s="6" t="s">
        <v>1829</v>
      </c>
      <c r="I829" s="6"/>
      <c r="J829" s="6" t="s">
        <v>1830</v>
      </c>
      <c r="K829" s="6" t="s">
        <v>1882</v>
      </c>
      <c r="L829" s="6"/>
      <c r="M829" s="6"/>
      <c r="N829" s="5" t="s">
        <v>1831</v>
      </c>
      <c r="O829" s="6" t="s">
        <v>1973</v>
      </c>
    </row>
    <row r="830" spans="1:15" x14ac:dyDescent="0.2">
      <c r="A830">
        <v>827</v>
      </c>
      <c r="B830" t="b">
        <v>1</v>
      </c>
      <c r="C830" s="6" t="str">
        <f t="shared" si="14"/>
        <v/>
      </c>
      <c r="D830" s="6" t="s">
        <v>16</v>
      </c>
      <c r="E830" s="6" t="s">
        <v>192</v>
      </c>
      <c r="F830" s="6" t="s">
        <v>125</v>
      </c>
      <c r="G830" s="6" t="s">
        <v>392</v>
      </c>
      <c r="H830" s="6" t="s">
        <v>1829</v>
      </c>
      <c r="I830" s="6"/>
      <c r="J830" s="6" t="s">
        <v>1830</v>
      </c>
      <c r="K830" s="6" t="s">
        <v>1882</v>
      </c>
      <c r="L830" s="6"/>
      <c r="M830" s="6"/>
      <c r="N830" s="5" t="s">
        <v>1831</v>
      </c>
      <c r="O830" s="6" t="s">
        <v>1973</v>
      </c>
    </row>
    <row r="831" spans="1:15" x14ac:dyDescent="0.2">
      <c r="A831">
        <v>828</v>
      </c>
      <c r="B831" t="b">
        <v>1</v>
      </c>
      <c r="C831" s="6" t="str">
        <f t="shared" si="14"/>
        <v/>
      </c>
      <c r="D831" s="6" t="s">
        <v>16</v>
      </c>
      <c r="E831" s="6" t="s">
        <v>192</v>
      </c>
      <c r="F831" s="6" t="s">
        <v>125</v>
      </c>
      <c r="G831" s="6" t="s">
        <v>393</v>
      </c>
      <c r="H831" s="6" t="s">
        <v>1829</v>
      </c>
      <c r="I831" s="6"/>
      <c r="J831" s="6" t="s">
        <v>1830</v>
      </c>
      <c r="K831" s="6" t="s">
        <v>1882</v>
      </c>
      <c r="L831" s="6"/>
      <c r="M831" s="6"/>
      <c r="N831" s="5" t="s">
        <v>1831</v>
      </c>
      <c r="O831" s="6" t="s">
        <v>1973</v>
      </c>
    </row>
    <row r="832" spans="1:15" x14ac:dyDescent="0.2">
      <c r="A832">
        <v>829</v>
      </c>
      <c r="C832" s="6" t="b">
        <f t="shared" si="14"/>
        <v>1</v>
      </c>
      <c r="D832" s="6" t="s">
        <v>16</v>
      </c>
      <c r="E832" s="6" t="s">
        <v>192</v>
      </c>
      <c r="F832" s="6" t="s">
        <v>135</v>
      </c>
      <c r="G832" s="6" t="s">
        <v>497</v>
      </c>
      <c r="H832" s="6" t="s">
        <v>1013</v>
      </c>
      <c r="I832" s="6"/>
      <c r="J832" s="6" t="s">
        <v>1014</v>
      </c>
      <c r="K832" s="6" t="s">
        <v>1625</v>
      </c>
      <c r="L832" s="6"/>
      <c r="M832" s="6"/>
      <c r="N832" s="5" t="s">
        <v>1626</v>
      </c>
      <c r="O832" s="6" t="s">
        <v>1927</v>
      </c>
    </row>
    <row r="833" spans="1:15" x14ac:dyDescent="0.2">
      <c r="A833">
        <v>830</v>
      </c>
      <c r="C833" s="6" t="b">
        <f t="shared" si="14"/>
        <v>1</v>
      </c>
      <c r="D833" s="6" t="s">
        <v>1170</v>
      </c>
      <c r="E833" s="6" t="s">
        <v>192</v>
      </c>
      <c r="F833" s="6" t="s">
        <v>1174</v>
      </c>
      <c r="G833" s="6" t="s">
        <v>497</v>
      </c>
      <c r="H833" s="6" t="s">
        <v>1276</v>
      </c>
      <c r="I833" s="6"/>
      <c r="J833" s="6" t="s">
        <v>1277</v>
      </c>
      <c r="K833" s="6" t="s">
        <v>1832</v>
      </c>
      <c r="L833" s="6"/>
      <c r="M833" s="6"/>
      <c r="N833" s="5" t="s">
        <v>1835</v>
      </c>
      <c r="O833" s="6" t="s">
        <v>1927</v>
      </c>
    </row>
    <row r="834" spans="1:15" x14ac:dyDescent="0.2">
      <c r="A834">
        <v>831</v>
      </c>
      <c r="C834" s="6" t="b">
        <f t="shared" si="14"/>
        <v>1</v>
      </c>
      <c r="D834" s="6" t="s">
        <v>1170</v>
      </c>
      <c r="E834" s="6" t="s">
        <v>192</v>
      </c>
      <c r="F834" s="6" t="s">
        <v>1173</v>
      </c>
      <c r="G834" s="6" t="s">
        <v>497</v>
      </c>
      <c r="H834" s="6" t="s">
        <v>1276</v>
      </c>
      <c r="I834" s="6"/>
      <c r="J834" s="6" t="s">
        <v>1277</v>
      </c>
      <c r="K834" s="6" t="s">
        <v>1833</v>
      </c>
      <c r="L834" s="6"/>
      <c r="M834" s="6"/>
      <c r="N834" s="5" t="s">
        <v>1835</v>
      </c>
      <c r="O834" s="6" t="s">
        <v>1927</v>
      </c>
    </row>
    <row r="835" spans="1:15" x14ac:dyDescent="0.2">
      <c r="A835">
        <v>832</v>
      </c>
      <c r="C835" s="6" t="b">
        <f t="shared" si="14"/>
        <v>1</v>
      </c>
      <c r="D835" s="6" t="s">
        <v>1170</v>
      </c>
      <c r="E835" s="6" t="s">
        <v>192</v>
      </c>
      <c r="F835" s="6" t="s">
        <v>1181</v>
      </c>
      <c r="G835" s="6" t="s">
        <v>497</v>
      </c>
      <c r="H835" s="6" t="s">
        <v>1276</v>
      </c>
      <c r="I835" s="6"/>
      <c r="J835" s="6" t="s">
        <v>1434</v>
      </c>
      <c r="K835" s="6" t="s">
        <v>1834</v>
      </c>
      <c r="L835" s="6"/>
      <c r="M835" s="6"/>
      <c r="N835" s="5" t="s">
        <v>1835</v>
      </c>
      <c r="O835" s="6" t="s">
        <v>1927</v>
      </c>
    </row>
    <row r="836" spans="1:15" x14ac:dyDescent="0.2">
      <c r="A836">
        <v>833</v>
      </c>
      <c r="C836" s="6" t="b">
        <f t="shared" si="14"/>
        <v>1</v>
      </c>
      <c r="D836" s="6" t="s">
        <v>1170</v>
      </c>
      <c r="E836" s="6" t="s">
        <v>192</v>
      </c>
      <c r="F836" s="6" t="s">
        <v>1176</v>
      </c>
      <c r="G836" s="6" t="s">
        <v>497</v>
      </c>
      <c r="H836" s="6" t="s">
        <v>1013</v>
      </c>
      <c r="I836" s="6"/>
      <c r="J836" s="6" t="s">
        <v>1336</v>
      </c>
      <c r="K836" s="6" t="s">
        <v>1617</v>
      </c>
      <c r="L836" s="6"/>
      <c r="M836" s="6"/>
      <c r="N836" s="5" t="s">
        <v>1614</v>
      </c>
      <c r="O836" s="6" t="s">
        <v>1927</v>
      </c>
    </row>
    <row r="837" spans="1:15" x14ac:dyDescent="0.2">
      <c r="A837">
        <v>834</v>
      </c>
      <c r="C837" s="6" t="b">
        <f t="shared" ref="C837:C853" si="15">IF(AND(G837="NA",H837&lt;&gt;"wide_value"),TRUE,"")</f>
        <v>1</v>
      </c>
      <c r="D837" s="6" t="s">
        <v>1170</v>
      </c>
      <c r="E837" s="6" t="s">
        <v>192</v>
      </c>
      <c r="F837" s="6" t="s">
        <v>1179</v>
      </c>
      <c r="G837" s="6" t="s">
        <v>497</v>
      </c>
      <c r="H837" s="6" t="s">
        <v>1294</v>
      </c>
      <c r="I837" s="6"/>
      <c r="J837" s="6" t="s">
        <v>1295</v>
      </c>
      <c r="K837" s="6" t="s">
        <v>1620</v>
      </c>
      <c r="L837" s="6"/>
      <c r="M837" s="6"/>
      <c r="N837" s="5" t="s">
        <v>1614</v>
      </c>
      <c r="O837" s="6" t="s">
        <v>1927</v>
      </c>
    </row>
    <row r="838" spans="1:15" x14ac:dyDescent="0.2">
      <c r="A838">
        <v>835</v>
      </c>
      <c r="C838" s="6" t="b">
        <f t="shared" si="15"/>
        <v>1</v>
      </c>
      <c r="D838" s="6" t="s">
        <v>1170</v>
      </c>
      <c r="E838" s="6" t="s">
        <v>192</v>
      </c>
      <c r="F838" s="6" t="s">
        <v>1178</v>
      </c>
      <c r="G838" s="6" t="s">
        <v>497</v>
      </c>
      <c r="H838" s="6" t="s">
        <v>1294</v>
      </c>
      <c r="I838" s="6"/>
      <c r="J838" s="6" t="s">
        <v>1615</v>
      </c>
      <c r="K838" s="6" t="s">
        <v>1619</v>
      </c>
      <c r="L838" s="6"/>
      <c r="M838" s="6"/>
      <c r="N838" s="5" t="s">
        <v>1614</v>
      </c>
      <c r="O838" s="6" t="s">
        <v>1927</v>
      </c>
    </row>
    <row r="839" spans="1:15" x14ac:dyDescent="0.2">
      <c r="A839">
        <v>836</v>
      </c>
      <c r="C839" s="6" t="b">
        <f t="shared" si="15"/>
        <v>1</v>
      </c>
      <c r="D839" s="6" t="s">
        <v>1170</v>
      </c>
      <c r="E839" s="6" t="s">
        <v>192</v>
      </c>
      <c r="F839" s="6" t="s">
        <v>1177</v>
      </c>
      <c r="G839" s="6" t="s">
        <v>497</v>
      </c>
      <c r="H839" s="6" t="s">
        <v>1246</v>
      </c>
      <c r="I839" s="6"/>
      <c r="J839" s="6" t="s">
        <v>1279</v>
      </c>
      <c r="K839" s="6" t="s">
        <v>1618</v>
      </c>
      <c r="L839" s="6"/>
      <c r="M839" s="6"/>
      <c r="N839" s="5" t="s">
        <v>1836</v>
      </c>
      <c r="O839" s="6" t="s">
        <v>1927</v>
      </c>
    </row>
    <row r="840" spans="1:15" x14ac:dyDescent="0.2">
      <c r="A840">
        <v>837</v>
      </c>
      <c r="C840" s="6" t="b">
        <f t="shared" si="15"/>
        <v>1</v>
      </c>
      <c r="D840" s="6" t="s">
        <v>1170</v>
      </c>
      <c r="E840" s="6" t="s">
        <v>192</v>
      </c>
      <c r="F840" s="6" t="s">
        <v>1180</v>
      </c>
      <c r="G840" s="6" t="s">
        <v>497</v>
      </c>
      <c r="H840" s="6" t="s">
        <v>1013</v>
      </c>
      <c r="I840" s="6"/>
      <c r="J840" s="6" t="s">
        <v>1623</v>
      </c>
      <c r="K840" s="6" t="s">
        <v>1624</v>
      </c>
      <c r="L840" s="6"/>
      <c r="M840" s="6"/>
      <c r="N840" s="5" t="s">
        <v>1627</v>
      </c>
      <c r="O840" s="6" t="s">
        <v>1927</v>
      </c>
    </row>
    <row r="841" spans="1:15" x14ac:dyDescent="0.2">
      <c r="A841">
        <v>838</v>
      </c>
      <c r="C841" s="6" t="b">
        <f t="shared" si="15"/>
        <v>1</v>
      </c>
      <c r="D841" s="6" t="s">
        <v>1170</v>
      </c>
      <c r="E841" s="6" t="s">
        <v>192</v>
      </c>
      <c r="F841" s="6" t="s">
        <v>1171</v>
      </c>
      <c r="G841" s="6" t="s">
        <v>497</v>
      </c>
      <c r="H841" s="6" t="s">
        <v>1536</v>
      </c>
      <c r="I841" s="6"/>
      <c r="J841" s="6" t="s">
        <v>1837</v>
      </c>
      <c r="K841" s="6" t="s">
        <v>1838</v>
      </c>
      <c r="L841" s="6"/>
      <c r="M841" s="6"/>
      <c r="N841" s="5" t="s">
        <v>1839</v>
      </c>
      <c r="O841" s="6" t="s">
        <v>1927</v>
      </c>
    </row>
    <row r="842" spans="1:15" x14ac:dyDescent="0.2">
      <c r="A842">
        <v>839</v>
      </c>
      <c r="B842" t="b">
        <v>1</v>
      </c>
      <c r="C842" s="6" t="b">
        <f t="shared" ca="1" si="15"/>
        <v>1</v>
      </c>
      <c r="D842" s="6" t="s">
        <v>1170</v>
      </c>
      <c r="E842" s="6" t="s">
        <v>192</v>
      </c>
      <c r="F842" s="6" t="s">
        <v>1184</v>
      </c>
      <c r="G842" s="6" t="s">
        <v>497</v>
      </c>
      <c r="H842" s="9" t="str" cm="1">
        <f t="array" aca="1" ref="H842" ca="1">IF(COUNTIF(wide_measures!D:D,INDIRECT("maps!F$"&amp;ROW()))&gt;0,"measures",IF(COUNTIF(wide_protocolSteps!C:C,INDIRECT("maps!F$"&amp;ROW()))&gt;0,"protocolSteps",IF(COUNTIF(wide_repositories!C:C,INDIRECT("maps!F$"&amp;ROW()))&gt;0,"repositories",IF(COUNTIF(wide_protocols!C:C,INDIRECT("maps!F$"&amp;ROW()))&gt;0,"protocols",""))))</f>
        <v>measures</v>
      </c>
      <c r="I842" s="9" t="s">
        <v>1113</v>
      </c>
      <c r="J842" s="6"/>
      <c r="K842" s="6"/>
      <c r="L842" s="6"/>
      <c r="M842" s="6"/>
    </row>
    <row r="843" spans="1:15" x14ac:dyDescent="0.2">
      <c r="A843">
        <v>840</v>
      </c>
      <c r="C843" s="6" t="b">
        <f t="shared" si="15"/>
        <v>1</v>
      </c>
      <c r="D843" s="6" t="s">
        <v>1170</v>
      </c>
      <c r="E843" s="6" t="s">
        <v>192</v>
      </c>
      <c r="F843" s="6" t="s">
        <v>1175</v>
      </c>
      <c r="G843" s="6" t="s">
        <v>497</v>
      </c>
      <c r="H843" s="6" t="s">
        <v>1276</v>
      </c>
      <c r="I843" s="6"/>
      <c r="J843" s="6" t="s">
        <v>1277</v>
      </c>
      <c r="K843" s="6" t="s">
        <v>1840</v>
      </c>
      <c r="L843" s="6"/>
      <c r="M843" s="6"/>
      <c r="N843" s="5" t="s">
        <v>1841</v>
      </c>
      <c r="O843" s="6" t="s">
        <v>1927</v>
      </c>
    </row>
    <row r="844" spans="1:15" x14ac:dyDescent="0.2">
      <c r="A844">
        <v>841</v>
      </c>
      <c r="C844" s="6" t="b">
        <f t="shared" ca="1" si="15"/>
        <v>1</v>
      </c>
      <c r="D844" s="6" t="s">
        <v>1170</v>
      </c>
      <c r="E844" s="6" t="s">
        <v>192</v>
      </c>
      <c r="F844" s="6" t="s">
        <v>1183</v>
      </c>
      <c r="G844" s="6" t="s">
        <v>497</v>
      </c>
      <c r="H844" s="9" t="str" cm="1">
        <f t="array" aca="1" ref="H844" ca="1">IF(COUNTIF(wide_measures!D:D,INDIRECT("maps!F$"&amp;ROW()))&gt;0,"measures",IF(COUNTIF(wide_protocolSteps!C:C,INDIRECT("maps!F$"&amp;ROW()))&gt;0,"protocolSteps",IF(COUNTIF(wide_repositories!C:C,INDIRECT("maps!F$"&amp;ROW()))&gt;0,"repositories",IF(COUNTIF(wide_protocols!C:C,INDIRECT("maps!F$"&amp;ROW()))&gt;0,"protocols",""))))</f>
        <v>protocolSteps</v>
      </c>
      <c r="I844" s="9" t="s">
        <v>1113</v>
      </c>
      <c r="J844" s="6"/>
      <c r="K844" s="6"/>
      <c r="L844" s="6"/>
      <c r="M844" s="6"/>
    </row>
    <row r="845" spans="1:15" x14ac:dyDescent="0.2">
      <c r="A845">
        <v>842</v>
      </c>
      <c r="B845" t="b">
        <v>1</v>
      </c>
      <c r="C845" s="6" t="b">
        <f t="shared" ca="1" si="15"/>
        <v>1</v>
      </c>
      <c r="D845" s="6" t="s">
        <v>1170</v>
      </c>
      <c r="E845" s="6" t="s">
        <v>192</v>
      </c>
      <c r="F845" s="6" t="s">
        <v>1182</v>
      </c>
      <c r="G845" s="6" t="s">
        <v>497</v>
      </c>
      <c r="H845" s="9" t="str" cm="1">
        <f t="array" aca="1" ref="H845" ca="1">IF(COUNTIF(wide_measures!D:D,INDIRECT("maps!F$"&amp;ROW()))&gt;0,"measures",IF(COUNTIF(wide_protocolSteps!C:C,INDIRECT("maps!F$"&amp;ROW()))&gt;0,"protocolSteps",IF(COUNTIF(wide_repositories!C:C,INDIRECT("maps!F$"&amp;ROW()))&gt;0,"repositories",IF(COUNTIF(wide_protocols!C:C,INDIRECT("maps!F$"&amp;ROW()))&gt;0,"protocols",""))))</f>
        <v>measures</v>
      </c>
      <c r="I845" s="9" t="s">
        <v>1113</v>
      </c>
      <c r="J845" s="6"/>
      <c r="K845" s="6"/>
      <c r="L845" s="6"/>
      <c r="M845" s="6"/>
    </row>
    <row r="846" spans="1:15" x14ac:dyDescent="0.2">
      <c r="A846">
        <v>843</v>
      </c>
      <c r="B846" t="b">
        <v>1</v>
      </c>
      <c r="C846" s="6" t="b">
        <f t="shared" ca="1" si="15"/>
        <v>1</v>
      </c>
      <c r="D846" s="6" t="s">
        <v>1170</v>
      </c>
      <c r="E846" s="6" t="s">
        <v>192</v>
      </c>
      <c r="F846" s="6" t="s">
        <v>1172</v>
      </c>
      <c r="G846" s="6" t="s">
        <v>497</v>
      </c>
      <c r="H846" s="9" t="str" cm="1">
        <f t="array" aca="1" ref="H846" ca="1">IF(COUNTIF(wide_measures!D:D,INDIRECT("maps!F$"&amp;ROW()))&gt;0,"measures",IF(COUNTIF(wide_protocolSteps!C:C,INDIRECT("maps!F$"&amp;ROW()))&gt;0,"protocolSteps",IF(COUNTIF(wide_repositories!C:C,INDIRECT("maps!F$"&amp;ROW()))&gt;0,"repositories",IF(COUNTIF(wide_protocols!C:C,INDIRECT("maps!F$"&amp;ROW()))&gt;0,"protocols",""))))</f>
        <v>measures</v>
      </c>
      <c r="I846" s="9" t="s">
        <v>1113</v>
      </c>
      <c r="J846" s="6"/>
      <c r="K846" s="6"/>
      <c r="L846" s="6"/>
      <c r="M846" s="6"/>
    </row>
    <row r="847" spans="1:15" x14ac:dyDescent="0.2">
      <c r="A847">
        <v>844</v>
      </c>
      <c r="C847" s="6" t="b">
        <f t="shared" si="15"/>
        <v>1</v>
      </c>
      <c r="D847" s="6" t="s">
        <v>1189</v>
      </c>
      <c r="E847" s="6" t="s">
        <v>192</v>
      </c>
      <c r="F847" s="6" t="s">
        <v>89</v>
      </c>
      <c r="G847" s="6" t="s">
        <v>497</v>
      </c>
      <c r="H847" s="6" t="s">
        <v>1536</v>
      </c>
      <c r="I847" s="6"/>
      <c r="J847" s="6" t="s">
        <v>1632</v>
      </c>
      <c r="K847" s="6" t="s">
        <v>1842</v>
      </c>
      <c r="L847" s="6"/>
      <c r="M847" s="6"/>
      <c r="N847" s="5" t="s">
        <v>1843</v>
      </c>
    </row>
    <row r="848" spans="1:15" x14ac:dyDescent="0.2">
      <c r="A848">
        <v>845</v>
      </c>
      <c r="C848" s="6" t="b">
        <f t="shared" ca="1" si="15"/>
        <v>1</v>
      </c>
      <c r="D848" s="6" t="s">
        <v>1189</v>
      </c>
      <c r="E848" s="6" t="s">
        <v>192</v>
      </c>
      <c r="F848" s="6" t="s">
        <v>96</v>
      </c>
      <c r="G848" s="6" t="s">
        <v>497</v>
      </c>
      <c r="H848" s="9" t="str" cm="1">
        <f t="array" aca="1" ref="H848" ca="1">IF(COUNTIF(wide_measures!D:D,INDIRECT("maps!F$"&amp;ROW()))&gt;0,"measures",IF(COUNTIF(wide_protocolSteps!C:C,INDIRECT("maps!F$"&amp;ROW()))&gt;0,"protocolSteps",IF(COUNTIF(wide_repositories!C:C,INDIRECT("maps!F$"&amp;ROW()))&gt;0,"repositories",IF(COUNTIF(wide_protocols!C:C,INDIRECT("maps!F$"&amp;ROW()))&gt;0,"protocols",""))))</f>
        <v>protocolSteps</v>
      </c>
      <c r="I848" s="9" t="s">
        <v>1113</v>
      </c>
      <c r="J848" s="6"/>
      <c r="K848" s="6"/>
      <c r="L848" s="6"/>
      <c r="M848" s="6"/>
      <c r="N848" s="5" t="s">
        <v>1843</v>
      </c>
    </row>
    <row r="849" spans="1:14" x14ac:dyDescent="0.2">
      <c r="A849">
        <v>846</v>
      </c>
      <c r="C849" s="6" t="b">
        <f t="shared" si="15"/>
        <v>1</v>
      </c>
      <c r="D849" s="6" t="s">
        <v>1189</v>
      </c>
      <c r="E849" s="6" t="s">
        <v>192</v>
      </c>
      <c r="F849" s="6" t="s">
        <v>97</v>
      </c>
      <c r="G849" s="6" t="s">
        <v>497</v>
      </c>
      <c r="H849" s="6" t="s">
        <v>1331</v>
      </c>
      <c r="I849" s="6"/>
      <c r="J849" s="6" t="s">
        <v>1734</v>
      </c>
      <c r="K849" s="6" t="s">
        <v>1844</v>
      </c>
      <c r="L849" s="6"/>
      <c r="M849" s="6"/>
      <c r="N849" s="5" t="s">
        <v>1843</v>
      </c>
    </row>
    <row r="850" spans="1:14" x14ac:dyDescent="0.2">
      <c r="A850">
        <v>847</v>
      </c>
      <c r="C850" s="6" t="b">
        <f t="shared" si="15"/>
        <v>1</v>
      </c>
      <c r="D850" s="6" t="s">
        <v>1189</v>
      </c>
      <c r="E850" s="6" t="s">
        <v>192</v>
      </c>
      <c r="F850" s="6" t="s">
        <v>1191</v>
      </c>
      <c r="G850" s="6" t="s">
        <v>497</v>
      </c>
      <c r="H850" s="9" t="s">
        <v>1013</v>
      </c>
      <c r="I850" s="9"/>
      <c r="J850" s="6" t="s">
        <v>1623</v>
      </c>
      <c r="K850" s="6" t="s">
        <v>1845</v>
      </c>
      <c r="L850" s="6"/>
      <c r="M850" s="6"/>
    </row>
    <row r="851" spans="1:14" x14ac:dyDescent="0.2">
      <c r="A851">
        <v>848</v>
      </c>
      <c r="C851" s="6" t="b">
        <f t="shared" si="15"/>
        <v>1</v>
      </c>
      <c r="D851" s="6" t="s">
        <v>1189</v>
      </c>
      <c r="E851" s="6" t="s">
        <v>192</v>
      </c>
      <c r="F851" s="6" t="s">
        <v>1190</v>
      </c>
      <c r="G851" s="6" t="s">
        <v>497</v>
      </c>
      <c r="H851" s="6" t="s">
        <v>1013</v>
      </c>
      <c r="I851" s="6"/>
      <c r="J851" s="6" t="s">
        <v>9</v>
      </c>
      <c r="K851" s="6" t="s">
        <v>1861</v>
      </c>
      <c r="L851" s="6"/>
      <c r="M851" s="6"/>
      <c r="N851" s="5" t="s">
        <v>1863</v>
      </c>
    </row>
    <row r="852" spans="1:14" x14ac:dyDescent="0.2">
      <c r="A852">
        <v>849</v>
      </c>
      <c r="C852" s="6" t="b">
        <f t="shared" si="15"/>
        <v>1</v>
      </c>
      <c r="D852" s="6" t="s">
        <v>1189</v>
      </c>
      <c r="E852" s="6" t="s">
        <v>192</v>
      </c>
      <c r="F852" s="6" t="s">
        <v>102</v>
      </c>
      <c r="G852" s="6" t="s">
        <v>497</v>
      </c>
      <c r="H852" s="6" t="s">
        <v>1540</v>
      </c>
      <c r="I852" s="6"/>
      <c r="J852" s="6" t="s">
        <v>1544</v>
      </c>
      <c r="K852" s="6" t="s">
        <v>1545</v>
      </c>
      <c r="L852" s="6"/>
      <c r="M852" s="6"/>
      <c r="N852" s="5" t="s">
        <v>1546</v>
      </c>
    </row>
    <row r="853" spans="1:14" x14ac:dyDescent="0.2">
      <c r="A853">
        <v>850</v>
      </c>
      <c r="C853" s="6" t="b">
        <f t="shared" si="15"/>
        <v>1</v>
      </c>
      <c r="D853" s="6" t="s">
        <v>1189</v>
      </c>
      <c r="E853" s="6" t="s">
        <v>192</v>
      </c>
      <c r="F853" s="6" t="s">
        <v>104</v>
      </c>
      <c r="G853" s="6" t="s">
        <v>497</v>
      </c>
      <c r="H853" s="6" t="s">
        <v>1540</v>
      </c>
      <c r="I853" s="6"/>
      <c r="J853" s="6" t="s">
        <v>1547</v>
      </c>
      <c r="K853" s="6" t="s">
        <v>1548</v>
      </c>
      <c r="L853" s="6"/>
      <c r="M853" s="6"/>
      <c r="N853" s="6"/>
    </row>
  </sheetData>
  <conditionalFormatting sqref="O1:O8 O10 O12:O13 O27 O32:O44 O48 O60:O61 O63:O65 O67 O226 O228:O229 O248:O249 O338:O629 O631:O649 O680:O682 O691:O693 O723:O733 O744:O841 O843 A1:M1048576">
    <cfRule type="expression" dxfId="52" priority="3">
      <formula>$C1=""</formula>
    </cfRule>
  </conditionalFormatting>
  <conditionalFormatting sqref="O15">
    <cfRule type="expression" dxfId="51" priority="2">
      <formula>$C15=""</formula>
    </cfRule>
  </conditionalFormatting>
  <conditionalFormatting sqref="O26">
    <cfRule type="expression" dxfId="50" priority="1">
      <formula>$C26=""</formula>
    </cfRule>
  </conditionalFormatting>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738BB-55BF-8748-8C35-72338C2A6B88}">
  <dimension ref="A1:O8"/>
  <sheetViews>
    <sheetView workbookViewId="0">
      <selection activeCell="H5" sqref="H5"/>
    </sheetView>
  </sheetViews>
  <sheetFormatPr baseColWidth="10" defaultColWidth="10.6640625" defaultRowHeight="16" x14ac:dyDescent="0.2"/>
  <cols>
    <col min="1" max="1" width="9.33203125" customWidth="1"/>
    <col min="2" max="2" width="15" customWidth="1"/>
    <col min="3" max="3" width="10.5" customWidth="1"/>
    <col min="4" max="4" width="38.1640625" customWidth="1"/>
    <col min="5" max="5" width="13" customWidth="1"/>
    <col min="6" max="6" width="49" customWidth="1"/>
    <col min="7" max="7" width="16" customWidth="1"/>
    <col min="8" max="8" width="50.1640625" customWidth="1"/>
    <col min="9" max="9" width="10.1640625" customWidth="1"/>
    <col min="10" max="10" width="10.5" customWidth="1"/>
    <col min="11" max="11" width="12.1640625" customWidth="1"/>
    <col min="12" max="12" width="7.5" customWidth="1"/>
    <col min="13" max="13" width="12.6640625" customWidth="1"/>
    <col min="14" max="14" width="50.1640625" customWidth="1"/>
    <col min="15" max="15" width="18" customWidth="1"/>
  </cols>
  <sheetData>
    <row r="1" spans="1:15" ht="20" thickBot="1" x14ac:dyDescent="0.3">
      <c r="A1" s="42" t="s">
        <v>1549</v>
      </c>
      <c r="B1" s="43" t="s">
        <v>1925</v>
      </c>
      <c r="C1" s="25" t="s">
        <v>0</v>
      </c>
      <c r="D1" s="24" t="s">
        <v>10</v>
      </c>
      <c r="E1" s="7" t="s">
        <v>1</v>
      </c>
      <c r="F1" s="7" t="s">
        <v>2</v>
      </c>
      <c r="G1" s="7" t="s">
        <v>3</v>
      </c>
      <c r="H1" s="7" t="s">
        <v>4</v>
      </c>
      <c r="I1" s="7" t="s">
        <v>1974</v>
      </c>
      <c r="J1" s="7" t="s">
        <v>5</v>
      </c>
      <c r="K1" s="7" t="s">
        <v>6</v>
      </c>
      <c r="L1" s="7" t="s">
        <v>1936</v>
      </c>
      <c r="M1" s="7" t="s">
        <v>8</v>
      </c>
      <c r="N1" s="8" t="s">
        <v>9</v>
      </c>
      <c r="O1" s="25" t="s">
        <v>1921</v>
      </c>
    </row>
    <row r="2" spans="1:15" x14ac:dyDescent="0.2">
      <c r="A2" s="46">
        <v>216</v>
      </c>
      <c r="B2" s="51" t="b">
        <v>1</v>
      </c>
      <c r="C2" s="46"/>
      <c r="D2" s="46" t="s">
        <v>24</v>
      </c>
      <c r="E2" s="46" t="s">
        <v>192</v>
      </c>
      <c r="F2" s="46" t="s">
        <v>163</v>
      </c>
      <c r="G2" s="46"/>
      <c r="H2" s="52"/>
      <c r="I2" s="52" t="s">
        <v>1113</v>
      </c>
      <c r="J2" s="46"/>
      <c r="K2" s="46"/>
      <c r="L2" s="46"/>
      <c r="M2" s="46"/>
      <c r="N2" s="23"/>
      <c r="O2" s="42"/>
    </row>
    <row r="3" spans="1:15" x14ac:dyDescent="0.2">
      <c r="A3" s="46">
        <v>229</v>
      </c>
      <c r="B3" s="46" t="b">
        <v>1</v>
      </c>
      <c r="C3" s="46"/>
      <c r="D3" s="46" t="s">
        <v>497</v>
      </c>
      <c r="E3" s="46" t="s">
        <v>192</v>
      </c>
      <c r="F3" s="46" t="s">
        <v>491</v>
      </c>
      <c r="G3" s="46" t="s">
        <v>492</v>
      </c>
      <c r="H3" s="46" t="s">
        <v>497</v>
      </c>
      <c r="I3" s="46"/>
      <c r="J3" s="46" t="s">
        <v>497</v>
      </c>
      <c r="K3" s="46" t="s">
        <v>497</v>
      </c>
      <c r="L3" s="46"/>
      <c r="M3" s="46"/>
      <c r="N3" s="45" t="s">
        <v>1136</v>
      </c>
      <c r="O3" s="42"/>
    </row>
    <row r="4" spans="1:15" x14ac:dyDescent="0.2">
      <c r="A4" s="46">
        <v>230</v>
      </c>
      <c r="B4" s="46" t="b">
        <v>1</v>
      </c>
      <c r="C4" s="46"/>
      <c r="D4" s="46" t="s">
        <v>497</v>
      </c>
      <c r="E4" s="46" t="s">
        <v>192</v>
      </c>
      <c r="F4" s="46" t="s">
        <v>491</v>
      </c>
      <c r="G4" s="46" t="s">
        <v>493</v>
      </c>
      <c r="H4" s="46" t="s">
        <v>497</v>
      </c>
      <c r="I4" s="46"/>
      <c r="J4" s="46" t="s">
        <v>497</v>
      </c>
      <c r="K4" s="46" t="s">
        <v>497</v>
      </c>
      <c r="L4" s="46"/>
      <c r="M4" s="46"/>
      <c r="N4" s="45" t="s">
        <v>1136</v>
      </c>
      <c r="O4" s="42"/>
    </row>
    <row r="5" spans="1:15" x14ac:dyDescent="0.2">
      <c r="A5" s="46">
        <v>231</v>
      </c>
      <c r="B5" s="46" t="b">
        <v>1</v>
      </c>
      <c r="C5" s="46"/>
      <c r="D5" s="46" t="s">
        <v>497</v>
      </c>
      <c r="E5" s="46" t="s">
        <v>192</v>
      </c>
      <c r="F5" s="46" t="s">
        <v>491</v>
      </c>
      <c r="G5" s="46" t="s">
        <v>494</v>
      </c>
      <c r="H5" s="46" t="s">
        <v>497</v>
      </c>
      <c r="I5" s="46"/>
      <c r="J5" s="46" t="s">
        <v>497</v>
      </c>
      <c r="K5" s="46" t="s">
        <v>1134</v>
      </c>
      <c r="L5" s="46"/>
      <c r="M5" s="46"/>
      <c r="N5" s="23"/>
      <c r="O5" s="42"/>
    </row>
    <row r="6" spans="1:15" x14ac:dyDescent="0.2">
      <c r="A6" s="46">
        <v>232</v>
      </c>
      <c r="B6" s="46" t="b">
        <v>1</v>
      </c>
      <c r="C6" s="46"/>
      <c r="D6" s="46" t="s">
        <v>497</v>
      </c>
      <c r="E6" s="46" t="s">
        <v>192</v>
      </c>
      <c r="F6" s="46" t="s">
        <v>491</v>
      </c>
      <c r="G6" s="46" t="s">
        <v>495</v>
      </c>
      <c r="H6" s="46" t="s">
        <v>497</v>
      </c>
      <c r="I6" s="46"/>
      <c r="J6" s="46" t="s">
        <v>497</v>
      </c>
      <c r="K6" s="46" t="s">
        <v>1133</v>
      </c>
      <c r="L6" s="46"/>
      <c r="M6" s="46"/>
      <c r="N6" s="23"/>
      <c r="O6" s="42"/>
    </row>
    <row r="7" spans="1:15" x14ac:dyDescent="0.2">
      <c r="A7" s="46">
        <v>233</v>
      </c>
      <c r="B7" s="46" t="b">
        <v>1</v>
      </c>
      <c r="C7" s="46"/>
      <c r="D7" s="46" t="s">
        <v>497</v>
      </c>
      <c r="E7" s="46" t="s">
        <v>192</v>
      </c>
      <c r="F7" s="46" t="s">
        <v>491</v>
      </c>
      <c r="G7" s="46" t="s">
        <v>496</v>
      </c>
      <c r="H7" s="46" t="s">
        <v>497</v>
      </c>
      <c r="I7" s="46"/>
      <c r="J7" s="46" t="s">
        <v>497</v>
      </c>
      <c r="K7" s="46" t="s">
        <v>1135</v>
      </c>
      <c r="L7" s="46"/>
      <c r="M7" s="46"/>
      <c r="N7" s="23"/>
      <c r="O7" s="42"/>
    </row>
    <row r="8" spans="1:15" x14ac:dyDescent="0.2">
      <c r="A8" s="46">
        <v>676</v>
      </c>
      <c r="B8" s="46"/>
      <c r="C8" s="46"/>
      <c r="D8" s="46" t="s">
        <v>113</v>
      </c>
      <c r="E8" s="46" t="s">
        <v>192</v>
      </c>
      <c r="F8" s="46" t="s">
        <v>143</v>
      </c>
      <c r="G8" s="46" t="s">
        <v>1208</v>
      </c>
      <c r="H8" s="52" t="s">
        <v>1870</v>
      </c>
      <c r="I8" s="52"/>
      <c r="J8" s="46"/>
      <c r="K8" s="46"/>
      <c r="L8" s="46"/>
      <c r="M8" s="46"/>
      <c r="N8" s="45" t="s">
        <v>1870</v>
      </c>
      <c r="O8" s="42" t="s">
        <v>1926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C5693-7744-414E-A1CB-7D8D34C0B793}">
  <dimension ref="A1:O49"/>
  <sheetViews>
    <sheetView workbookViewId="0">
      <pane ySplit="1" topLeftCell="A2" activePane="bottomLeft" state="frozen"/>
      <selection pane="bottomLeft" activeCell="E15" sqref="E15"/>
    </sheetView>
  </sheetViews>
  <sheetFormatPr baseColWidth="10" defaultRowHeight="16" x14ac:dyDescent="0.2"/>
  <cols>
    <col min="1" max="1" width="9.33203125" style="61" customWidth="1"/>
    <col min="2" max="2" width="15" style="61" customWidth="1"/>
    <col min="3" max="3" width="10.5" style="61" customWidth="1"/>
    <col min="4" max="4" width="28.5" style="61" customWidth="1"/>
    <col min="5" max="5" width="13" style="61" customWidth="1"/>
    <col min="6" max="6" width="20.6640625" style="61" customWidth="1"/>
    <col min="7" max="7" width="33.1640625" style="61" customWidth="1"/>
    <col min="8" max="8" width="12" style="61" customWidth="1"/>
    <col min="9" max="9" width="6.6640625" style="61" customWidth="1"/>
    <col min="10" max="10" width="11" style="61" customWidth="1"/>
    <col min="11" max="11" width="19" style="61" customWidth="1"/>
    <col min="12" max="12" width="7.5" style="61" customWidth="1"/>
    <col min="13" max="13" width="12.6640625" style="61" customWidth="1"/>
    <col min="14" max="14" width="49.5" style="58" customWidth="1"/>
    <col min="15" max="15" width="114.6640625" style="58" customWidth="1"/>
    <col min="16" max="16384" width="10.83203125" style="58"/>
  </cols>
  <sheetData>
    <row r="1" spans="1:15" s="68" customFormat="1" x14ac:dyDescent="0.2">
      <c r="A1" s="64" t="s">
        <v>1549</v>
      </c>
      <c r="B1" s="64" t="s">
        <v>1925</v>
      </c>
      <c r="C1" s="64" t="s">
        <v>0</v>
      </c>
      <c r="D1" s="64" t="s">
        <v>10</v>
      </c>
      <c r="E1" s="64" t="s">
        <v>1</v>
      </c>
      <c r="F1" s="64" t="s">
        <v>2</v>
      </c>
      <c r="G1" s="64" t="s">
        <v>3</v>
      </c>
      <c r="H1" s="64" t="s">
        <v>4</v>
      </c>
      <c r="I1" s="64" t="s">
        <v>1974</v>
      </c>
      <c r="J1" s="64" t="s">
        <v>5</v>
      </c>
      <c r="K1" s="64" t="s">
        <v>6</v>
      </c>
      <c r="L1" s="64" t="s">
        <v>1936</v>
      </c>
      <c r="M1" s="64" t="s">
        <v>8</v>
      </c>
      <c r="N1" s="64" t="s">
        <v>9</v>
      </c>
      <c r="O1" s="64" t="s">
        <v>1921</v>
      </c>
    </row>
    <row r="2" spans="1:15" x14ac:dyDescent="0.2">
      <c r="A2" s="55">
        <v>61</v>
      </c>
      <c r="B2" s="55" t="b">
        <v>1</v>
      </c>
      <c r="C2" s="55" t="b">
        <v>1</v>
      </c>
      <c r="D2" s="55" t="s">
        <v>68</v>
      </c>
      <c r="E2" s="55" t="s">
        <v>192</v>
      </c>
      <c r="F2" s="55" t="s">
        <v>166</v>
      </c>
      <c r="G2" s="55" t="s">
        <v>497</v>
      </c>
      <c r="H2" s="84" t="s">
        <v>1282</v>
      </c>
      <c r="I2" s="84"/>
      <c r="J2" s="55" t="s">
        <v>1283</v>
      </c>
      <c r="K2" s="55" t="s">
        <v>1284</v>
      </c>
      <c r="L2" s="55"/>
      <c r="M2" s="55"/>
      <c r="N2" s="55"/>
      <c r="O2" s="73"/>
    </row>
    <row r="3" spans="1:15" x14ac:dyDescent="0.2">
      <c r="A3" s="55">
        <v>287</v>
      </c>
      <c r="B3" s="55" t="b">
        <v>1</v>
      </c>
      <c r="C3" s="55"/>
      <c r="D3" s="55" t="s">
        <v>113</v>
      </c>
      <c r="E3" s="55" t="s">
        <v>192</v>
      </c>
      <c r="F3" s="55" t="s">
        <v>165</v>
      </c>
      <c r="G3" s="55" t="s">
        <v>236</v>
      </c>
      <c r="H3" s="55" t="s">
        <v>1282</v>
      </c>
      <c r="I3" s="55"/>
      <c r="J3" s="55" t="s">
        <v>1354</v>
      </c>
      <c r="K3" s="55" t="s">
        <v>1975</v>
      </c>
      <c r="L3" s="55"/>
      <c r="M3" s="55"/>
      <c r="N3" s="55"/>
      <c r="O3" s="73" t="s">
        <v>1948</v>
      </c>
    </row>
    <row r="4" spans="1:15" x14ac:dyDescent="0.2">
      <c r="A4" s="55">
        <v>288</v>
      </c>
      <c r="B4" s="55" t="b">
        <v>1</v>
      </c>
      <c r="C4" s="55"/>
      <c r="D4" s="55" t="s">
        <v>113</v>
      </c>
      <c r="E4" s="55" t="s">
        <v>192</v>
      </c>
      <c r="F4" s="55" t="s">
        <v>165</v>
      </c>
      <c r="G4" s="55" t="s">
        <v>237</v>
      </c>
      <c r="H4" s="55" t="s">
        <v>1282</v>
      </c>
      <c r="I4" s="55"/>
      <c r="J4" s="55" t="s">
        <v>1354</v>
      </c>
      <c r="K4" s="55" t="s">
        <v>1976</v>
      </c>
      <c r="L4" s="55"/>
      <c r="M4" s="55"/>
      <c r="N4" s="55"/>
      <c r="O4" s="73" t="s">
        <v>1948</v>
      </c>
    </row>
    <row r="5" spans="1:15" x14ac:dyDescent="0.2">
      <c r="A5" s="55">
        <v>289</v>
      </c>
      <c r="B5" s="55" t="b">
        <v>1</v>
      </c>
      <c r="C5" s="55"/>
      <c r="D5" s="55" t="s">
        <v>113</v>
      </c>
      <c r="E5" s="55" t="s">
        <v>192</v>
      </c>
      <c r="F5" s="55" t="s">
        <v>165</v>
      </c>
      <c r="G5" s="55" t="s">
        <v>238</v>
      </c>
      <c r="H5" s="55" t="s">
        <v>1282</v>
      </c>
      <c r="I5" s="55"/>
      <c r="J5" s="55" t="s">
        <v>1354</v>
      </c>
      <c r="K5" s="55" t="s">
        <v>1977</v>
      </c>
      <c r="L5" s="55"/>
      <c r="M5" s="55"/>
      <c r="N5" s="55"/>
      <c r="O5" s="73" t="s">
        <v>1948</v>
      </c>
    </row>
    <row r="6" spans="1:15" x14ac:dyDescent="0.2">
      <c r="A6" s="55">
        <v>290</v>
      </c>
      <c r="B6" s="55" t="b">
        <v>1</v>
      </c>
      <c r="C6" s="55"/>
      <c r="D6" s="55" t="s">
        <v>113</v>
      </c>
      <c r="E6" s="55" t="s">
        <v>192</v>
      </c>
      <c r="F6" s="55" t="s">
        <v>165</v>
      </c>
      <c r="G6" s="55" t="s">
        <v>239</v>
      </c>
      <c r="H6" s="55" t="s">
        <v>1282</v>
      </c>
      <c r="I6" s="55"/>
      <c r="J6" s="55" t="s">
        <v>1354</v>
      </c>
      <c r="K6" s="55" t="s">
        <v>1978</v>
      </c>
      <c r="L6" s="55"/>
      <c r="M6" s="55"/>
      <c r="N6" s="55"/>
      <c r="O6" s="73" t="s">
        <v>1948</v>
      </c>
    </row>
    <row r="7" spans="1:15" x14ac:dyDescent="0.2">
      <c r="A7" s="55">
        <v>291</v>
      </c>
      <c r="B7" s="55" t="b">
        <v>1</v>
      </c>
      <c r="C7" s="55"/>
      <c r="D7" s="55" t="s">
        <v>113</v>
      </c>
      <c r="E7" s="55" t="s">
        <v>192</v>
      </c>
      <c r="F7" s="55" t="s">
        <v>165</v>
      </c>
      <c r="G7" s="55" t="s">
        <v>240</v>
      </c>
      <c r="H7" s="55" t="s">
        <v>1282</v>
      </c>
      <c r="I7" s="55"/>
      <c r="J7" s="55" t="s">
        <v>1354</v>
      </c>
      <c r="K7" s="55" t="s">
        <v>1979</v>
      </c>
      <c r="L7" s="55"/>
      <c r="M7" s="55"/>
      <c r="N7" s="55"/>
      <c r="O7" s="73" t="s">
        <v>1948</v>
      </c>
    </row>
    <row r="8" spans="1:15" x14ac:dyDescent="0.2">
      <c r="A8" s="55">
        <v>292</v>
      </c>
      <c r="B8" s="55" t="b">
        <v>1</v>
      </c>
      <c r="C8" s="55"/>
      <c r="D8" s="55" t="s">
        <v>113</v>
      </c>
      <c r="E8" s="55" t="s">
        <v>192</v>
      </c>
      <c r="F8" s="55" t="s">
        <v>165</v>
      </c>
      <c r="G8" s="55" t="s">
        <v>241</v>
      </c>
      <c r="H8" s="55" t="s">
        <v>1282</v>
      </c>
      <c r="I8" s="55"/>
      <c r="J8" s="55" t="s">
        <v>1354</v>
      </c>
      <c r="K8" s="55" t="s">
        <v>1980</v>
      </c>
      <c r="L8" s="55"/>
      <c r="M8" s="55"/>
      <c r="N8" s="55"/>
      <c r="O8" s="73" t="s">
        <v>1948</v>
      </c>
    </row>
    <row r="9" spans="1:15" x14ac:dyDescent="0.2">
      <c r="A9" s="55">
        <v>293</v>
      </c>
      <c r="B9" s="55" t="b">
        <v>1</v>
      </c>
      <c r="C9" s="55"/>
      <c r="D9" s="55" t="s">
        <v>113</v>
      </c>
      <c r="E9" s="55" t="s">
        <v>192</v>
      </c>
      <c r="F9" s="55" t="s">
        <v>165</v>
      </c>
      <c r="G9" s="55" t="s">
        <v>242</v>
      </c>
      <c r="H9" s="55" t="s">
        <v>1282</v>
      </c>
      <c r="I9" s="55"/>
      <c r="J9" s="55" t="s">
        <v>1354</v>
      </c>
      <c r="K9" s="55" t="s">
        <v>1981</v>
      </c>
      <c r="L9" s="55"/>
      <c r="M9" s="55"/>
      <c r="N9" s="55"/>
      <c r="O9" s="73" t="s">
        <v>1948</v>
      </c>
    </row>
    <row r="10" spans="1:15" x14ac:dyDescent="0.2">
      <c r="A10" s="55">
        <v>294</v>
      </c>
      <c r="B10" s="55" t="b">
        <v>1</v>
      </c>
      <c r="C10" s="55"/>
      <c r="D10" s="55" t="s">
        <v>113</v>
      </c>
      <c r="E10" s="55" t="s">
        <v>192</v>
      </c>
      <c r="F10" s="55" t="s">
        <v>165</v>
      </c>
      <c r="G10" s="55" t="s">
        <v>243</v>
      </c>
      <c r="H10" s="55" t="s">
        <v>1282</v>
      </c>
      <c r="I10" s="55"/>
      <c r="J10" s="55" t="s">
        <v>1354</v>
      </c>
      <c r="K10" s="55" t="s">
        <v>1982</v>
      </c>
      <c r="L10" s="55"/>
      <c r="M10" s="55"/>
      <c r="N10" s="55"/>
      <c r="O10" s="73" t="s">
        <v>1948</v>
      </c>
    </row>
    <row r="11" spans="1:15" x14ac:dyDescent="0.2">
      <c r="A11" s="55">
        <v>295</v>
      </c>
      <c r="B11" s="55" t="b">
        <v>1</v>
      </c>
      <c r="C11" s="55"/>
      <c r="D11" s="55" t="s">
        <v>113</v>
      </c>
      <c r="E11" s="55" t="s">
        <v>192</v>
      </c>
      <c r="F11" s="55" t="s">
        <v>165</v>
      </c>
      <c r="G11" s="55" t="s">
        <v>244</v>
      </c>
      <c r="H11" s="55" t="s">
        <v>1282</v>
      </c>
      <c r="I11" s="55"/>
      <c r="J11" s="55" t="s">
        <v>1354</v>
      </c>
      <c r="K11" s="55" t="s">
        <v>1983</v>
      </c>
      <c r="L11" s="55"/>
      <c r="M11" s="55"/>
      <c r="N11" s="55"/>
      <c r="O11" s="73" t="s">
        <v>1948</v>
      </c>
    </row>
    <row r="12" spans="1:15" x14ac:dyDescent="0.2">
      <c r="A12" s="55">
        <v>296</v>
      </c>
      <c r="B12" s="55" t="b">
        <v>1</v>
      </c>
      <c r="C12" s="55"/>
      <c r="D12" s="55" t="s">
        <v>113</v>
      </c>
      <c r="E12" s="55" t="s">
        <v>192</v>
      </c>
      <c r="F12" s="55" t="s">
        <v>165</v>
      </c>
      <c r="G12" s="55" t="s">
        <v>245</v>
      </c>
      <c r="H12" s="55" t="s">
        <v>1282</v>
      </c>
      <c r="I12" s="55"/>
      <c r="J12" s="55" t="s">
        <v>1354</v>
      </c>
      <c r="K12" s="55" t="s">
        <v>1984</v>
      </c>
      <c r="L12" s="55"/>
      <c r="M12" s="55"/>
      <c r="N12" s="55"/>
      <c r="O12" s="73" t="s">
        <v>1948</v>
      </c>
    </row>
    <row r="13" spans="1:15" x14ac:dyDescent="0.2">
      <c r="A13" s="55">
        <v>297</v>
      </c>
      <c r="B13" s="55" t="b">
        <v>1</v>
      </c>
      <c r="C13" s="55"/>
      <c r="D13" s="55" t="s">
        <v>113</v>
      </c>
      <c r="E13" s="55" t="s">
        <v>192</v>
      </c>
      <c r="F13" s="55" t="s">
        <v>165</v>
      </c>
      <c r="G13" s="55" t="s">
        <v>246</v>
      </c>
      <c r="H13" s="55" t="s">
        <v>1282</v>
      </c>
      <c r="I13" s="55"/>
      <c r="J13" s="55" t="s">
        <v>1354</v>
      </c>
      <c r="K13" s="55" t="s">
        <v>1985</v>
      </c>
      <c r="L13" s="55"/>
      <c r="M13" s="55"/>
      <c r="N13" s="55"/>
      <c r="O13" s="73" t="s">
        <v>1948</v>
      </c>
    </row>
    <row r="14" spans="1:15" x14ac:dyDescent="0.2">
      <c r="A14" s="55">
        <v>298</v>
      </c>
      <c r="B14" s="55" t="b">
        <v>1</v>
      </c>
      <c r="C14" s="55"/>
      <c r="D14" s="55" t="s">
        <v>113</v>
      </c>
      <c r="E14" s="55" t="s">
        <v>192</v>
      </c>
      <c r="F14" s="55" t="s">
        <v>165</v>
      </c>
      <c r="G14" s="55" t="s">
        <v>247</v>
      </c>
      <c r="H14" s="55" t="s">
        <v>1282</v>
      </c>
      <c r="I14" s="55"/>
      <c r="J14" s="55" t="s">
        <v>1354</v>
      </c>
      <c r="K14" s="55" t="s">
        <v>1986</v>
      </c>
      <c r="L14" s="55"/>
      <c r="M14" s="55"/>
      <c r="N14" s="55"/>
      <c r="O14" s="73" t="s">
        <v>1948</v>
      </c>
    </row>
    <row r="15" spans="1:15" x14ac:dyDescent="0.2">
      <c r="A15" s="55">
        <v>299</v>
      </c>
      <c r="B15" s="55" t="b">
        <v>1</v>
      </c>
      <c r="C15" s="55"/>
      <c r="D15" s="55" t="s">
        <v>113</v>
      </c>
      <c r="E15" s="55" t="s">
        <v>192</v>
      </c>
      <c r="F15" s="55" t="s">
        <v>165</v>
      </c>
      <c r="G15" s="55" t="s">
        <v>248</v>
      </c>
      <c r="H15" s="55" t="s">
        <v>1282</v>
      </c>
      <c r="I15" s="55"/>
      <c r="J15" s="55" t="s">
        <v>1354</v>
      </c>
      <c r="K15" s="55" t="s">
        <v>1987</v>
      </c>
      <c r="L15" s="55"/>
      <c r="M15" s="55"/>
      <c r="N15" s="55"/>
      <c r="O15" s="73" t="s">
        <v>1948</v>
      </c>
    </row>
    <row r="16" spans="1:15" x14ac:dyDescent="0.2">
      <c r="A16" s="55">
        <v>300</v>
      </c>
      <c r="B16" s="55" t="b">
        <v>1</v>
      </c>
      <c r="C16" s="55"/>
      <c r="D16" s="55" t="s">
        <v>113</v>
      </c>
      <c r="E16" s="55" t="s">
        <v>192</v>
      </c>
      <c r="F16" s="55" t="s">
        <v>165</v>
      </c>
      <c r="G16" s="55" t="s">
        <v>249</v>
      </c>
      <c r="H16" s="55" t="s">
        <v>1282</v>
      </c>
      <c r="I16" s="55"/>
      <c r="J16" s="55" t="s">
        <v>1354</v>
      </c>
      <c r="K16" s="55" t="s">
        <v>1988</v>
      </c>
      <c r="L16" s="55"/>
      <c r="M16" s="55"/>
      <c r="N16" s="55"/>
      <c r="O16" s="73" t="s">
        <v>1948</v>
      </c>
    </row>
    <row r="17" spans="1:15" x14ac:dyDescent="0.2">
      <c r="A17" s="55">
        <v>301</v>
      </c>
      <c r="B17" s="55" t="b">
        <v>1</v>
      </c>
      <c r="C17" s="55"/>
      <c r="D17" s="55" t="s">
        <v>113</v>
      </c>
      <c r="E17" s="55" t="s">
        <v>192</v>
      </c>
      <c r="F17" s="55" t="s">
        <v>165</v>
      </c>
      <c r="G17" s="55" t="s">
        <v>250</v>
      </c>
      <c r="H17" s="55" t="s">
        <v>1282</v>
      </c>
      <c r="I17" s="55"/>
      <c r="J17" s="55" t="s">
        <v>1354</v>
      </c>
      <c r="K17" s="55" t="s">
        <v>1989</v>
      </c>
      <c r="L17" s="55"/>
      <c r="M17" s="55"/>
      <c r="N17" s="55"/>
      <c r="O17" s="73" t="s">
        <v>1948</v>
      </c>
    </row>
    <row r="18" spans="1:15" x14ac:dyDescent="0.2">
      <c r="A18" s="55">
        <v>302</v>
      </c>
      <c r="B18" s="55" t="b">
        <v>1</v>
      </c>
      <c r="C18" s="55"/>
      <c r="D18" s="55" t="s">
        <v>113</v>
      </c>
      <c r="E18" s="55" t="s">
        <v>192</v>
      </c>
      <c r="F18" s="55" t="s">
        <v>165</v>
      </c>
      <c r="G18" s="55" t="s">
        <v>251</v>
      </c>
      <c r="H18" s="55" t="s">
        <v>1282</v>
      </c>
      <c r="I18" s="55"/>
      <c r="J18" s="55" t="s">
        <v>1354</v>
      </c>
      <c r="K18" s="55" t="s">
        <v>1990</v>
      </c>
      <c r="L18" s="55"/>
      <c r="M18" s="55"/>
      <c r="N18" s="55"/>
      <c r="O18" s="73" t="s">
        <v>1948</v>
      </c>
    </row>
    <row r="19" spans="1:15" x14ac:dyDescent="0.2">
      <c r="A19" s="55">
        <v>303</v>
      </c>
      <c r="B19" s="55" t="b">
        <v>1</v>
      </c>
      <c r="C19" s="55"/>
      <c r="D19" s="55" t="s">
        <v>113</v>
      </c>
      <c r="E19" s="55" t="s">
        <v>192</v>
      </c>
      <c r="F19" s="55" t="s">
        <v>165</v>
      </c>
      <c r="G19" s="55" t="s">
        <v>252</v>
      </c>
      <c r="H19" s="55" t="s">
        <v>1282</v>
      </c>
      <c r="I19" s="55"/>
      <c r="J19" s="55" t="s">
        <v>1354</v>
      </c>
      <c r="K19" s="55" t="s">
        <v>1991</v>
      </c>
      <c r="L19" s="55"/>
      <c r="M19" s="55"/>
      <c r="N19" s="55"/>
      <c r="O19" s="73" t="s">
        <v>1948</v>
      </c>
    </row>
    <row r="20" spans="1:15" x14ac:dyDescent="0.2">
      <c r="A20" s="55">
        <v>304</v>
      </c>
      <c r="B20" s="55" t="b">
        <v>1</v>
      </c>
      <c r="C20" s="55"/>
      <c r="D20" s="55" t="s">
        <v>113</v>
      </c>
      <c r="E20" s="55" t="s">
        <v>192</v>
      </c>
      <c r="F20" s="55" t="s">
        <v>165</v>
      </c>
      <c r="G20" s="55" t="s">
        <v>253</v>
      </c>
      <c r="H20" s="55" t="s">
        <v>1282</v>
      </c>
      <c r="I20" s="55"/>
      <c r="J20" s="55" t="s">
        <v>1354</v>
      </c>
      <c r="K20" s="55" t="s">
        <v>1992</v>
      </c>
      <c r="L20" s="55"/>
      <c r="M20" s="55"/>
      <c r="N20" s="55"/>
      <c r="O20" s="73" t="s">
        <v>1948</v>
      </c>
    </row>
    <row r="21" spans="1:15" x14ac:dyDescent="0.2">
      <c r="A21" s="55">
        <v>305</v>
      </c>
      <c r="B21" s="55" t="b">
        <v>1</v>
      </c>
      <c r="C21" s="55"/>
      <c r="D21" s="55" t="s">
        <v>113</v>
      </c>
      <c r="E21" s="55" t="s">
        <v>192</v>
      </c>
      <c r="F21" s="55" t="s">
        <v>165</v>
      </c>
      <c r="G21" s="55" t="s">
        <v>254</v>
      </c>
      <c r="H21" s="55" t="s">
        <v>1282</v>
      </c>
      <c r="I21" s="55"/>
      <c r="J21" s="55" t="s">
        <v>1355</v>
      </c>
      <c r="K21" s="55" t="s">
        <v>1993</v>
      </c>
      <c r="L21" s="55"/>
      <c r="M21" s="55"/>
      <c r="N21" s="55"/>
      <c r="O21" s="73" t="s">
        <v>1948</v>
      </c>
    </row>
    <row r="22" spans="1:15" x14ac:dyDescent="0.2">
      <c r="A22" s="55">
        <v>306</v>
      </c>
      <c r="B22" s="55" t="b">
        <v>1</v>
      </c>
      <c r="C22" s="55"/>
      <c r="D22" s="55" t="s">
        <v>113</v>
      </c>
      <c r="E22" s="55" t="s">
        <v>192</v>
      </c>
      <c r="F22" s="55" t="s">
        <v>165</v>
      </c>
      <c r="G22" s="55" t="s">
        <v>255</v>
      </c>
      <c r="H22" s="55" t="s">
        <v>1282</v>
      </c>
      <c r="I22" s="55"/>
      <c r="J22" s="55" t="s">
        <v>1355</v>
      </c>
      <c r="K22" s="55" t="s">
        <v>1994</v>
      </c>
      <c r="L22" s="55"/>
      <c r="M22" s="55"/>
      <c r="N22" s="55"/>
      <c r="O22" s="73" t="s">
        <v>1948</v>
      </c>
    </row>
    <row r="23" spans="1:15" x14ac:dyDescent="0.2">
      <c r="A23" s="55">
        <v>307</v>
      </c>
      <c r="B23" s="55" t="b">
        <v>1</v>
      </c>
      <c r="C23" s="55"/>
      <c r="D23" s="55" t="s">
        <v>113</v>
      </c>
      <c r="E23" s="55" t="s">
        <v>192</v>
      </c>
      <c r="F23" s="55" t="s">
        <v>165</v>
      </c>
      <c r="G23" s="55" t="s">
        <v>256</v>
      </c>
      <c r="H23" s="55" t="s">
        <v>1282</v>
      </c>
      <c r="I23" s="55"/>
      <c r="J23" s="55" t="s">
        <v>1355</v>
      </c>
      <c r="K23" s="55" t="s">
        <v>1995</v>
      </c>
      <c r="L23" s="55"/>
      <c r="M23" s="55"/>
      <c r="N23" s="55"/>
      <c r="O23" s="73" t="s">
        <v>1948</v>
      </c>
    </row>
    <row r="24" spans="1:15" x14ac:dyDescent="0.2">
      <c r="A24" s="55">
        <v>308</v>
      </c>
      <c r="B24" s="55" t="b">
        <v>1</v>
      </c>
      <c r="C24" s="55"/>
      <c r="D24" s="55" t="s">
        <v>113</v>
      </c>
      <c r="E24" s="55" t="s">
        <v>192</v>
      </c>
      <c r="F24" s="55" t="s">
        <v>165</v>
      </c>
      <c r="G24" s="55" t="s">
        <v>257</v>
      </c>
      <c r="H24" s="55" t="s">
        <v>1282</v>
      </c>
      <c r="I24" s="55"/>
      <c r="J24" s="55" t="s">
        <v>1355</v>
      </c>
      <c r="K24" s="55" t="s">
        <v>1996</v>
      </c>
      <c r="L24" s="55"/>
      <c r="M24" s="55"/>
      <c r="N24" s="55"/>
      <c r="O24" s="73" t="s">
        <v>1948</v>
      </c>
    </row>
    <row r="25" spans="1:15" x14ac:dyDescent="0.2">
      <c r="A25" s="55">
        <v>309</v>
      </c>
      <c r="B25" s="55" t="b">
        <v>1</v>
      </c>
      <c r="C25" s="55"/>
      <c r="D25" s="55" t="s">
        <v>113</v>
      </c>
      <c r="E25" s="55" t="s">
        <v>192</v>
      </c>
      <c r="F25" s="55" t="s">
        <v>165</v>
      </c>
      <c r="G25" s="55" t="s">
        <v>258</v>
      </c>
      <c r="H25" s="55" t="s">
        <v>1282</v>
      </c>
      <c r="I25" s="55"/>
      <c r="J25" s="55" t="s">
        <v>1355</v>
      </c>
      <c r="K25" s="55" t="s">
        <v>1997</v>
      </c>
      <c r="L25" s="55"/>
      <c r="M25" s="55"/>
      <c r="N25" s="55"/>
      <c r="O25" s="73" t="s">
        <v>1948</v>
      </c>
    </row>
    <row r="26" spans="1:15" x14ac:dyDescent="0.2">
      <c r="A26" s="55">
        <v>310</v>
      </c>
      <c r="B26" s="55" t="b">
        <v>1</v>
      </c>
      <c r="C26" s="55"/>
      <c r="D26" s="55" t="s">
        <v>113</v>
      </c>
      <c r="E26" s="55" t="s">
        <v>192</v>
      </c>
      <c r="F26" s="55" t="s">
        <v>165</v>
      </c>
      <c r="G26" s="55" t="s">
        <v>259</v>
      </c>
      <c r="H26" s="55" t="s">
        <v>1282</v>
      </c>
      <c r="I26" s="55"/>
      <c r="J26" s="55" t="s">
        <v>1355</v>
      </c>
      <c r="K26" s="55" t="s">
        <v>1998</v>
      </c>
      <c r="L26" s="55"/>
      <c r="M26" s="55"/>
      <c r="N26" s="55"/>
      <c r="O26" s="73" t="s">
        <v>1948</v>
      </c>
    </row>
    <row r="27" spans="1:15" x14ac:dyDescent="0.2">
      <c r="A27" s="55">
        <v>311</v>
      </c>
      <c r="B27" s="55" t="b">
        <v>1</v>
      </c>
      <c r="C27" s="55"/>
      <c r="D27" s="55" t="s">
        <v>113</v>
      </c>
      <c r="E27" s="55" t="s">
        <v>192</v>
      </c>
      <c r="F27" s="55" t="s">
        <v>165</v>
      </c>
      <c r="G27" s="55" t="s">
        <v>260</v>
      </c>
      <c r="H27" s="55" t="s">
        <v>1282</v>
      </c>
      <c r="I27" s="55"/>
      <c r="J27" s="55" t="s">
        <v>1355</v>
      </c>
      <c r="K27" s="55" t="s">
        <v>1999</v>
      </c>
      <c r="L27" s="55"/>
      <c r="M27" s="55"/>
      <c r="N27" s="55"/>
      <c r="O27" s="73" t="s">
        <v>1948</v>
      </c>
    </row>
    <row r="28" spans="1:15" x14ac:dyDescent="0.2">
      <c r="A28" s="55">
        <v>312</v>
      </c>
      <c r="B28" s="55" t="b">
        <v>1</v>
      </c>
      <c r="C28" s="55"/>
      <c r="D28" s="55" t="s">
        <v>113</v>
      </c>
      <c r="E28" s="55" t="s">
        <v>192</v>
      </c>
      <c r="F28" s="55" t="s">
        <v>165</v>
      </c>
      <c r="G28" s="55" t="s">
        <v>261</v>
      </c>
      <c r="H28" s="55" t="s">
        <v>1282</v>
      </c>
      <c r="I28" s="55"/>
      <c r="J28" s="55" t="s">
        <v>1355</v>
      </c>
      <c r="K28" s="55" t="s">
        <v>2000</v>
      </c>
      <c r="L28" s="55"/>
      <c r="M28" s="55"/>
      <c r="N28" s="55"/>
      <c r="O28" s="73" t="s">
        <v>1948</v>
      </c>
    </row>
    <row r="29" spans="1:15" x14ac:dyDescent="0.2">
      <c r="A29" s="55">
        <v>313</v>
      </c>
      <c r="B29" s="55" t="b">
        <v>1</v>
      </c>
      <c r="C29" s="55"/>
      <c r="D29" s="55" t="s">
        <v>113</v>
      </c>
      <c r="E29" s="55" t="s">
        <v>192</v>
      </c>
      <c r="F29" s="55" t="s">
        <v>165</v>
      </c>
      <c r="G29" s="55" t="s">
        <v>262</v>
      </c>
      <c r="H29" s="55" t="s">
        <v>1282</v>
      </c>
      <c r="I29" s="55"/>
      <c r="J29" s="55" t="s">
        <v>1355</v>
      </c>
      <c r="K29" s="55" t="s">
        <v>2001</v>
      </c>
      <c r="L29" s="55"/>
      <c r="M29" s="55"/>
      <c r="N29" s="55"/>
      <c r="O29" s="73" t="s">
        <v>1948</v>
      </c>
    </row>
    <row r="30" spans="1:15" x14ac:dyDescent="0.2">
      <c r="A30" s="55">
        <v>314</v>
      </c>
      <c r="B30" s="55" t="b">
        <v>1</v>
      </c>
      <c r="C30" s="55"/>
      <c r="D30" s="55" t="s">
        <v>113</v>
      </c>
      <c r="E30" s="55" t="s">
        <v>192</v>
      </c>
      <c r="F30" s="55" t="s">
        <v>165</v>
      </c>
      <c r="G30" s="55" t="s">
        <v>263</v>
      </c>
      <c r="H30" s="55" t="s">
        <v>1282</v>
      </c>
      <c r="I30" s="55"/>
      <c r="J30" s="55" t="s">
        <v>1355</v>
      </c>
      <c r="K30" s="55" t="s">
        <v>2002</v>
      </c>
      <c r="L30" s="55"/>
      <c r="M30" s="55"/>
      <c r="N30" s="55"/>
      <c r="O30" s="73" t="s">
        <v>1948</v>
      </c>
    </row>
    <row r="31" spans="1:15" x14ac:dyDescent="0.2">
      <c r="A31" s="55">
        <v>315</v>
      </c>
      <c r="B31" s="55" t="b">
        <v>1</v>
      </c>
      <c r="C31" s="55"/>
      <c r="D31" s="55" t="s">
        <v>113</v>
      </c>
      <c r="E31" s="55" t="s">
        <v>192</v>
      </c>
      <c r="F31" s="55" t="s">
        <v>165</v>
      </c>
      <c r="G31" s="55" t="s">
        <v>264</v>
      </c>
      <c r="H31" s="55" t="s">
        <v>1282</v>
      </c>
      <c r="I31" s="55"/>
      <c r="J31" s="55" t="s">
        <v>1355</v>
      </c>
      <c r="K31" s="55" t="s">
        <v>2003</v>
      </c>
      <c r="L31" s="55"/>
      <c r="M31" s="55"/>
      <c r="N31" s="55"/>
      <c r="O31" s="73" t="s">
        <v>1948</v>
      </c>
    </row>
    <row r="32" spans="1:15" x14ac:dyDescent="0.2">
      <c r="A32" s="55">
        <v>316</v>
      </c>
      <c r="B32" s="55" t="b">
        <v>1</v>
      </c>
      <c r="C32" s="55"/>
      <c r="D32" s="55" t="s">
        <v>113</v>
      </c>
      <c r="E32" s="55" t="s">
        <v>192</v>
      </c>
      <c r="F32" s="55" t="s">
        <v>165</v>
      </c>
      <c r="G32" s="55" t="s">
        <v>265</v>
      </c>
      <c r="H32" s="55" t="s">
        <v>1282</v>
      </c>
      <c r="I32" s="55"/>
      <c r="J32" s="55" t="s">
        <v>1355</v>
      </c>
      <c r="K32" s="55" t="s">
        <v>2004</v>
      </c>
      <c r="L32" s="55"/>
      <c r="M32" s="55"/>
      <c r="N32" s="55"/>
      <c r="O32" s="73" t="s">
        <v>1948</v>
      </c>
    </row>
    <row r="33" spans="1:15" x14ac:dyDescent="0.2">
      <c r="A33" s="55">
        <v>317</v>
      </c>
      <c r="B33" s="55" t="b">
        <v>1</v>
      </c>
      <c r="C33" s="55"/>
      <c r="D33" s="55" t="s">
        <v>113</v>
      </c>
      <c r="E33" s="55" t="s">
        <v>192</v>
      </c>
      <c r="F33" s="55" t="s">
        <v>165</v>
      </c>
      <c r="G33" s="55" t="s">
        <v>1211</v>
      </c>
      <c r="H33" s="55" t="s">
        <v>1282</v>
      </c>
      <c r="I33" s="55"/>
      <c r="J33" s="55" t="s">
        <v>1355</v>
      </c>
      <c r="K33" s="55" t="s">
        <v>2005</v>
      </c>
      <c r="L33" s="55"/>
      <c r="M33" s="55"/>
      <c r="N33" s="55"/>
      <c r="O33" s="73" t="s">
        <v>1948</v>
      </c>
    </row>
    <row r="34" spans="1:15" x14ac:dyDescent="0.2">
      <c r="A34" s="55">
        <v>318</v>
      </c>
      <c r="B34" s="55" t="b">
        <v>1</v>
      </c>
      <c r="C34" s="55"/>
      <c r="D34" s="55" t="s">
        <v>113</v>
      </c>
      <c r="E34" s="55" t="s">
        <v>192</v>
      </c>
      <c r="F34" s="55" t="s">
        <v>165</v>
      </c>
      <c r="G34" s="55" t="s">
        <v>1212</v>
      </c>
      <c r="H34" s="55" t="s">
        <v>1282</v>
      </c>
      <c r="I34" s="55"/>
      <c r="J34" s="55" t="s">
        <v>1355</v>
      </c>
      <c r="K34" s="55" t="s">
        <v>2006</v>
      </c>
      <c r="L34" s="55"/>
      <c r="M34" s="55"/>
      <c r="N34" s="55"/>
      <c r="O34" s="73" t="s">
        <v>1948</v>
      </c>
    </row>
    <row r="35" spans="1:15" x14ac:dyDescent="0.2">
      <c r="A35" s="55">
        <v>319</v>
      </c>
      <c r="B35" s="55" t="b">
        <v>1</v>
      </c>
      <c r="C35" s="55"/>
      <c r="D35" s="55" t="s">
        <v>113</v>
      </c>
      <c r="E35" s="55" t="s">
        <v>192</v>
      </c>
      <c r="F35" s="55" t="s">
        <v>165</v>
      </c>
      <c r="G35" s="55" t="s">
        <v>266</v>
      </c>
      <c r="H35" s="55" t="s">
        <v>1282</v>
      </c>
      <c r="I35" s="55"/>
      <c r="J35" s="55" t="s">
        <v>1354</v>
      </c>
      <c r="K35" s="55" t="s">
        <v>2007</v>
      </c>
      <c r="L35" s="55"/>
      <c r="M35" s="55"/>
      <c r="N35" s="55"/>
      <c r="O35" s="73" t="s">
        <v>1948</v>
      </c>
    </row>
    <row r="36" spans="1:15" x14ac:dyDescent="0.2">
      <c r="A36" s="55">
        <v>320</v>
      </c>
      <c r="B36" s="55" t="b">
        <v>1</v>
      </c>
      <c r="C36" s="55"/>
      <c r="D36" s="55" t="s">
        <v>113</v>
      </c>
      <c r="E36" s="55" t="s">
        <v>192</v>
      </c>
      <c r="F36" s="55" t="s">
        <v>165</v>
      </c>
      <c r="G36" s="55" t="s">
        <v>267</v>
      </c>
      <c r="H36" s="55" t="s">
        <v>1282</v>
      </c>
      <c r="I36" s="55"/>
      <c r="J36" s="55" t="s">
        <v>1354</v>
      </c>
      <c r="K36" s="55" t="s">
        <v>2008</v>
      </c>
      <c r="L36" s="55"/>
      <c r="M36" s="55"/>
      <c r="N36" s="55"/>
      <c r="O36" s="73" t="s">
        <v>1948</v>
      </c>
    </row>
    <row r="37" spans="1:15" x14ac:dyDescent="0.2">
      <c r="A37" s="55">
        <v>321</v>
      </c>
      <c r="B37" s="55" t="b">
        <v>1</v>
      </c>
      <c r="C37" s="55"/>
      <c r="D37" s="55" t="s">
        <v>113</v>
      </c>
      <c r="E37" s="55" t="s">
        <v>192</v>
      </c>
      <c r="F37" s="55" t="s">
        <v>165</v>
      </c>
      <c r="G37" s="55" t="s">
        <v>268</v>
      </c>
      <c r="H37" s="55" t="s">
        <v>1282</v>
      </c>
      <c r="I37" s="55"/>
      <c r="J37" s="55" t="s">
        <v>1354</v>
      </c>
      <c r="K37" s="55" t="s">
        <v>2009</v>
      </c>
      <c r="L37" s="55"/>
      <c r="M37" s="55"/>
      <c r="N37" s="55"/>
      <c r="O37" s="73" t="s">
        <v>1948</v>
      </c>
    </row>
    <row r="38" spans="1:15" x14ac:dyDescent="0.2">
      <c r="A38" s="55">
        <v>322</v>
      </c>
      <c r="B38" s="55" t="b">
        <v>1</v>
      </c>
      <c r="C38" s="55"/>
      <c r="D38" s="55" t="s">
        <v>113</v>
      </c>
      <c r="E38" s="55" t="s">
        <v>192</v>
      </c>
      <c r="F38" s="55" t="s">
        <v>165</v>
      </c>
      <c r="G38" s="55" t="s">
        <v>269</v>
      </c>
      <c r="H38" s="55" t="s">
        <v>1282</v>
      </c>
      <c r="I38" s="55"/>
      <c r="J38" s="55" t="s">
        <v>1355</v>
      </c>
      <c r="K38" s="55" t="s">
        <v>2010</v>
      </c>
      <c r="L38" s="55"/>
      <c r="M38" s="55"/>
      <c r="N38" s="55"/>
      <c r="O38" s="73" t="s">
        <v>1948</v>
      </c>
    </row>
    <row r="39" spans="1:15" x14ac:dyDescent="0.2">
      <c r="A39" s="55">
        <v>333</v>
      </c>
      <c r="B39" s="55" t="b">
        <v>1</v>
      </c>
      <c r="C39" s="55" t="b">
        <v>1</v>
      </c>
      <c r="D39" s="55" t="s">
        <v>113</v>
      </c>
      <c r="E39" s="55" t="s">
        <v>192</v>
      </c>
      <c r="F39" s="55" t="s">
        <v>1157</v>
      </c>
      <c r="G39" s="55" t="s">
        <v>497</v>
      </c>
      <c r="H39" s="55" t="s">
        <v>1282</v>
      </c>
      <c r="I39" s="55"/>
      <c r="J39" s="55" t="s">
        <v>1416</v>
      </c>
      <c r="K39" s="55" t="s">
        <v>1418</v>
      </c>
      <c r="L39" s="55"/>
      <c r="M39" s="55"/>
      <c r="N39" s="55"/>
      <c r="O39" s="73"/>
    </row>
    <row r="40" spans="1:15" x14ac:dyDescent="0.2">
      <c r="A40" s="55">
        <v>334</v>
      </c>
      <c r="B40" s="55" t="b">
        <v>1</v>
      </c>
      <c r="C40" s="55" t="b">
        <v>1</v>
      </c>
      <c r="D40" s="55" t="s">
        <v>113</v>
      </c>
      <c r="E40" s="55" t="s">
        <v>192</v>
      </c>
      <c r="F40" s="55" t="s">
        <v>1158</v>
      </c>
      <c r="G40" s="55" t="s">
        <v>497</v>
      </c>
      <c r="H40" s="55" t="s">
        <v>1282</v>
      </c>
      <c r="I40" s="55"/>
      <c r="J40" s="55" t="s">
        <v>1417</v>
      </c>
      <c r="K40" s="55" t="s">
        <v>1419</v>
      </c>
      <c r="L40" s="55"/>
      <c r="M40" s="55"/>
      <c r="N40" s="55"/>
      <c r="O40" s="73"/>
    </row>
    <row r="41" spans="1:15" x14ac:dyDescent="0.2">
      <c r="A41" s="55">
        <v>336</v>
      </c>
      <c r="B41" s="55" t="b">
        <v>1</v>
      </c>
      <c r="C41" s="55" t="b">
        <v>1</v>
      </c>
      <c r="D41" s="55" t="s">
        <v>113</v>
      </c>
      <c r="E41" s="55" t="s">
        <v>192</v>
      </c>
      <c r="F41" s="55" t="s">
        <v>164</v>
      </c>
      <c r="G41" s="55" t="s">
        <v>497</v>
      </c>
      <c r="H41" s="55" t="s">
        <v>1282</v>
      </c>
      <c r="I41" s="55"/>
      <c r="J41" s="55" t="s">
        <v>1247</v>
      </c>
      <c r="K41" s="55" t="s">
        <v>1308</v>
      </c>
      <c r="L41" s="55"/>
      <c r="M41" s="55"/>
      <c r="N41" s="55"/>
      <c r="O41" s="73"/>
    </row>
    <row r="42" spans="1:15" s="57" customFormat="1" x14ac:dyDescent="0.2">
      <c r="A42" s="56">
        <v>680</v>
      </c>
      <c r="B42" s="56"/>
      <c r="C42" s="56"/>
      <c r="D42" s="56" t="s">
        <v>113</v>
      </c>
      <c r="E42" s="56" t="s">
        <v>192</v>
      </c>
      <c r="F42" s="56" t="s">
        <v>167</v>
      </c>
      <c r="G42" s="56" t="s">
        <v>1722</v>
      </c>
      <c r="H42" s="56" t="s">
        <v>1282</v>
      </c>
      <c r="I42" s="56"/>
      <c r="J42" s="56" t="s">
        <v>1355</v>
      </c>
      <c r="K42" s="56" t="s">
        <v>1356</v>
      </c>
      <c r="L42" s="56"/>
      <c r="M42" s="56"/>
      <c r="N42" s="76" t="s">
        <v>1732</v>
      </c>
      <c r="O42" s="74" t="s">
        <v>1969</v>
      </c>
    </row>
    <row r="43" spans="1:15" s="57" customFormat="1" x14ac:dyDescent="0.2">
      <c r="A43" s="56">
        <v>681</v>
      </c>
      <c r="B43" s="56"/>
      <c r="C43" s="56"/>
      <c r="D43" s="56" t="s">
        <v>113</v>
      </c>
      <c r="E43" s="56" t="s">
        <v>192</v>
      </c>
      <c r="F43" s="56" t="s">
        <v>167</v>
      </c>
      <c r="G43" s="56" t="s">
        <v>1723</v>
      </c>
      <c r="H43" s="56" t="s">
        <v>1282</v>
      </c>
      <c r="I43" s="56"/>
      <c r="J43" s="56" t="s">
        <v>1355</v>
      </c>
      <c r="K43" s="56" t="s">
        <v>1357</v>
      </c>
      <c r="L43" s="56"/>
      <c r="M43" s="56"/>
      <c r="N43" s="76" t="s">
        <v>1732</v>
      </c>
      <c r="O43" s="74" t="s">
        <v>1969</v>
      </c>
    </row>
    <row r="44" spans="1:15" s="57" customFormat="1" x14ac:dyDescent="0.2">
      <c r="A44" s="56">
        <v>682</v>
      </c>
      <c r="B44" s="56"/>
      <c r="C44" s="56"/>
      <c r="D44" s="56" t="s">
        <v>113</v>
      </c>
      <c r="E44" s="56" t="s">
        <v>192</v>
      </c>
      <c r="F44" s="56" t="s">
        <v>167</v>
      </c>
      <c r="G44" s="56" t="s">
        <v>1217</v>
      </c>
      <c r="H44" s="56" t="s">
        <v>1282</v>
      </c>
      <c r="I44" s="56"/>
      <c r="J44" s="56" t="s">
        <v>1355</v>
      </c>
      <c r="K44" s="56" t="s">
        <v>1728</v>
      </c>
      <c r="L44" s="56"/>
      <c r="M44" s="56"/>
      <c r="N44" s="76" t="s">
        <v>1732</v>
      </c>
      <c r="O44" s="74" t="s">
        <v>1969</v>
      </c>
    </row>
    <row r="45" spans="1:15" s="57" customFormat="1" x14ac:dyDescent="0.2">
      <c r="A45" s="56">
        <v>683</v>
      </c>
      <c r="B45" s="56"/>
      <c r="C45" s="56"/>
      <c r="D45" s="56" t="s">
        <v>113</v>
      </c>
      <c r="E45" s="56" t="s">
        <v>192</v>
      </c>
      <c r="F45" s="56" t="s">
        <v>167</v>
      </c>
      <c r="G45" s="56" t="s">
        <v>1211</v>
      </c>
      <c r="H45" s="56" t="s">
        <v>1282</v>
      </c>
      <c r="I45" s="56"/>
      <c r="J45" s="56" t="s">
        <v>1355</v>
      </c>
      <c r="K45" s="56" t="s">
        <v>1344</v>
      </c>
      <c r="L45" s="56"/>
      <c r="M45" s="56"/>
      <c r="N45" s="76" t="s">
        <v>1732</v>
      </c>
      <c r="O45" s="74" t="s">
        <v>1969</v>
      </c>
    </row>
    <row r="46" spans="1:15" s="57" customFormat="1" x14ac:dyDescent="0.2">
      <c r="A46" s="56">
        <v>684</v>
      </c>
      <c r="B46" s="56"/>
      <c r="C46" s="56"/>
      <c r="D46" s="56" t="s">
        <v>113</v>
      </c>
      <c r="E46" s="56" t="s">
        <v>192</v>
      </c>
      <c r="F46" s="56" t="s">
        <v>167</v>
      </c>
      <c r="G46" s="56" t="s">
        <v>1724</v>
      </c>
      <c r="H46" s="56" t="s">
        <v>1282</v>
      </c>
      <c r="I46" s="56"/>
      <c r="J46" s="56" t="s">
        <v>1355</v>
      </c>
      <c r="K46" s="56" t="s">
        <v>1729</v>
      </c>
      <c r="L46" s="56"/>
      <c r="M46" s="56"/>
      <c r="N46" s="76" t="s">
        <v>1732</v>
      </c>
      <c r="O46" s="74" t="s">
        <v>1969</v>
      </c>
    </row>
    <row r="47" spans="1:15" s="57" customFormat="1" x14ac:dyDescent="0.2">
      <c r="A47" s="56">
        <v>685</v>
      </c>
      <c r="B47" s="56"/>
      <c r="C47" s="56"/>
      <c r="D47" s="56" t="s">
        <v>113</v>
      </c>
      <c r="E47" s="56" t="s">
        <v>192</v>
      </c>
      <c r="F47" s="56" t="s">
        <v>167</v>
      </c>
      <c r="G47" s="56" t="s">
        <v>1725</v>
      </c>
      <c r="H47" s="56" t="s">
        <v>1282</v>
      </c>
      <c r="I47" s="56"/>
      <c r="J47" s="56" t="s">
        <v>1355</v>
      </c>
      <c r="K47" s="56" t="s">
        <v>1358</v>
      </c>
      <c r="L47" s="56"/>
      <c r="M47" s="56"/>
      <c r="N47" s="76" t="s">
        <v>1732</v>
      </c>
      <c r="O47" s="74" t="s">
        <v>1969</v>
      </c>
    </row>
    <row r="48" spans="1:15" s="57" customFormat="1" x14ac:dyDescent="0.2">
      <c r="A48" s="56">
        <v>686</v>
      </c>
      <c r="B48" s="56"/>
      <c r="C48" s="56"/>
      <c r="D48" s="56" t="s">
        <v>113</v>
      </c>
      <c r="E48" s="56" t="s">
        <v>192</v>
      </c>
      <c r="F48" s="56" t="s">
        <v>167</v>
      </c>
      <c r="G48" s="56" t="s">
        <v>1726</v>
      </c>
      <c r="H48" s="56" t="s">
        <v>1282</v>
      </c>
      <c r="I48" s="56"/>
      <c r="J48" s="56" t="s">
        <v>1355</v>
      </c>
      <c r="K48" s="56" t="s">
        <v>1730</v>
      </c>
      <c r="L48" s="56"/>
      <c r="M48" s="56"/>
      <c r="N48" s="76" t="s">
        <v>1732</v>
      </c>
      <c r="O48" s="74" t="s">
        <v>1969</v>
      </c>
    </row>
    <row r="49" spans="1:15" s="57" customFormat="1" x14ac:dyDescent="0.2">
      <c r="A49" s="56">
        <v>687</v>
      </c>
      <c r="B49" s="56"/>
      <c r="C49" s="56"/>
      <c r="D49" s="56" t="s">
        <v>113</v>
      </c>
      <c r="E49" s="56" t="s">
        <v>192</v>
      </c>
      <c r="F49" s="56" t="s">
        <v>167</v>
      </c>
      <c r="G49" s="56" t="s">
        <v>1727</v>
      </c>
      <c r="H49" s="56" t="s">
        <v>1282</v>
      </c>
      <c r="I49" s="56"/>
      <c r="J49" s="56" t="s">
        <v>1355</v>
      </c>
      <c r="K49" s="56" t="s">
        <v>1731</v>
      </c>
      <c r="L49" s="56"/>
      <c r="M49" s="56"/>
      <c r="N49" s="76" t="s">
        <v>1732</v>
      </c>
      <c r="O49" s="74" t="s">
        <v>1969</v>
      </c>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39206-1F1B-2D4B-82A5-94676E67F7A4}">
  <dimension ref="A1:P74"/>
  <sheetViews>
    <sheetView workbookViewId="0">
      <pane ySplit="1" topLeftCell="A46" activePane="bottomLeft" state="frozen"/>
      <selection pane="bottomLeft" activeCell="F68" sqref="F68"/>
    </sheetView>
  </sheetViews>
  <sheetFormatPr baseColWidth="10" defaultRowHeight="16" x14ac:dyDescent="0.2"/>
  <cols>
    <col min="1" max="1" width="9.33203125" style="61" customWidth="1"/>
    <col min="2" max="2" width="15" style="61" customWidth="1"/>
    <col min="3" max="3" width="10.5" style="61" customWidth="1"/>
    <col min="4" max="4" width="29.1640625" style="61" customWidth="1"/>
    <col min="5" max="5" width="13" style="61" customWidth="1"/>
    <col min="6" max="6" width="32" style="61" customWidth="1"/>
    <col min="7" max="7" width="38.33203125" style="61" customWidth="1"/>
    <col min="8" max="8" width="12" style="61" customWidth="1"/>
    <col min="9" max="9" width="6.6640625" style="61" customWidth="1"/>
    <col min="10" max="10" width="13.1640625" style="61" customWidth="1"/>
    <col min="11" max="12" width="56" style="61" customWidth="1"/>
    <col min="13" max="13" width="7.5" style="61" customWidth="1"/>
    <col min="14" max="14" width="12.6640625" style="61" customWidth="1"/>
    <col min="15" max="15" width="37.6640625" style="58" customWidth="1"/>
    <col min="16" max="16" width="60" style="58" customWidth="1"/>
    <col min="17" max="16384" width="10.83203125" style="58"/>
  </cols>
  <sheetData>
    <row r="1" spans="1:16" s="68" customFormat="1" x14ac:dyDescent="0.2">
      <c r="A1" s="64" t="s">
        <v>1549</v>
      </c>
      <c r="B1" s="64" t="s">
        <v>1925</v>
      </c>
      <c r="C1" s="64" t="s">
        <v>0</v>
      </c>
      <c r="D1" s="64" t="s">
        <v>10</v>
      </c>
      <c r="E1" s="64" t="s">
        <v>1</v>
      </c>
      <c r="F1" s="64" t="s">
        <v>2</v>
      </c>
      <c r="G1" s="64" t="s">
        <v>3</v>
      </c>
      <c r="H1" s="64" t="s">
        <v>4</v>
      </c>
      <c r="I1" s="64" t="s">
        <v>1974</v>
      </c>
      <c r="J1" s="64" t="s">
        <v>5</v>
      </c>
      <c r="K1" s="64" t="s">
        <v>6</v>
      </c>
      <c r="L1" s="64" t="s">
        <v>2014</v>
      </c>
      <c r="M1" s="64" t="s">
        <v>1936</v>
      </c>
      <c r="N1" s="64" t="s">
        <v>8</v>
      </c>
      <c r="O1" s="64" t="s">
        <v>9</v>
      </c>
      <c r="P1" s="64" t="s">
        <v>1921</v>
      </c>
    </row>
    <row r="2" spans="1:16" x14ac:dyDescent="0.2">
      <c r="A2" s="55">
        <v>59</v>
      </c>
      <c r="B2" s="55" t="b">
        <v>1</v>
      </c>
      <c r="C2" s="55" t="b">
        <v>0</v>
      </c>
      <c r="D2" s="55" t="s">
        <v>68</v>
      </c>
      <c r="E2" s="55" t="s">
        <v>192</v>
      </c>
      <c r="F2" s="55" t="s">
        <v>1154</v>
      </c>
      <c r="G2" s="55" t="s">
        <v>497</v>
      </c>
      <c r="H2" s="55" t="s">
        <v>1276</v>
      </c>
      <c r="I2" s="55"/>
      <c r="J2" s="55" t="s">
        <v>1277</v>
      </c>
      <c r="K2" s="55" t="s">
        <v>1865</v>
      </c>
      <c r="L2" s="55"/>
      <c r="M2" s="55"/>
      <c r="N2" s="55"/>
      <c r="O2" s="59" t="s">
        <v>1869</v>
      </c>
      <c r="P2" s="77" t="s">
        <v>1933</v>
      </c>
    </row>
    <row r="3" spans="1:16" x14ac:dyDescent="0.2">
      <c r="A3" s="55">
        <v>60</v>
      </c>
      <c r="B3" s="55" t="b">
        <v>1</v>
      </c>
      <c r="C3" s="55" t="b">
        <v>0</v>
      </c>
      <c r="D3" s="55" t="s">
        <v>68</v>
      </c>
      <c r="E3" s="55" t="s">
        <v>192</v>
      </c>
      <c r="F3" s="55" t="s">
        <v>121</v>
      </c>
      <c r="G3" s="55" t="s">
        <v>497</v>
      </c>
      <c r="H3" s="55" t="s">
        <v>1276</v>
      </c>
      <c r="I3" s="55"/>
      <c r="J3" s="55" t="s">
        <v>1277</v>
      </c>
      <c r="K3" s="55" t="s">
        <v>1866</v>
      </c>
      <c r="L3" s="55"/>
      <c r="M3" s="55"/>
      <c r="N3" s="55"/>
      <c r="O3" s="59" t="s">
        <v>1867</v>
      </c>
      <c r="P3" s="77" t="s">
        <v>1933</v>
      </c>
    </row>
    <row r="4" spans="1:16" x14ac:dyDescent="0.2">
      <c r="A4" s="55">
        <v>63</v>
      </c>
      <c r="B4" s="55" t="b">
        <v>1</v>
      </c>
      <c r="C4" s="55" t="b">
        <v>0</v>
      </c>
      <c r="D4" s="55" t="s">
        <v>68</v>
      </c>
      <c r="E4" s="55" t="s">
        <v>192</v>
      </c>
      <c r="F4" s="55" t="s">
        <v>175</v>
      </c>
      <c r="G4" s="55" t="s">
        <v>497</v>
      </c>
      <c r="H4" s="55" t="s">
        <v>1276</v>
      </c>
      <c r="I4" s="55"/>
      <c r="J4" s="55" t="s">
        <v>1277</v>
      </c>
      <c r="K4" s="55" t="s">
        <v>1278</v>
      </c>
      <c r="L4" s="55"/>
      <c r="M4" s="55"/>
      <c r="N4" s="55"/>
      <c r="O4" s="77"/>
      <c r="P4" s="77" t="s">
        <v>1935</v>
      </c>
    </row>
    <row r="5" spans="1:16" x14ac:dyDescent="0.2">
      <c r="A5" s="55">
        <v>64</v>
      </c>
      <c r="B5" s="55" t="b">
        <v>1</v>
      </c>
      <c r="C5" s="55" t="b">
        <v>0</v>
      </c>
      <c r="D5" s="55" t="s">
        <v>68</v>
      </c>
      <c r="E5" s="55" t="s">
        <v>192</v>
      </c>
      <c r="F5" s="55" t="s">
        <v>158</v>
      </c>
      <c r="G5" s="55" t="s">
        <v>497</v>
      </c>
      <c r="H5" s="55" t="s">
        <v>1276</v>
      </c>
      <c r="I5" s="55"/>
      <c r="J5" s="55" t="s">
        <v>1277</v>
      </c>
      <c r="K5" s="55" t="s">
        <v>1864</v>
      </c>
      <c r="L5" s="55"/>
      <c r="M5" s="55"/>
      <c r="N5" s="55"/>
      <c r="O5" s="59" t="s">
        <v>1868</v>
      </c>
      <c r="P5" s="77" t="s">
        <v>1933</v>
      </c>
    </row>
    <row r="6" spans="1:16" x14ac:dyDescent="0.2">
      <c r="A6" s="55"/>
      <c r="B6" s="55" t="b">
        <v>1</v>
      </c>
      <c r="C6" s="55" t="b">
        <v>0</v>
      </c>
      <c r="D6" s="55" t="s">
        <v>113</v>
      </c>
      <c r="E6" s="55" t="s">
        <v>192</v>
      </c>
      <c r="F6" s="55" t="s">
        <v>128</v>
      </c>
      <c r="G6" s="55"/>
      <c r="H6" s="55"/>
      <c r="I6" s="55"/>
      <c r="J6" s="55" t="s">
        <v>1333</v>
      </c>
      <c r="K6" s="55"/>
      <c r="L6" s="55" t="s">
        <v>2015</v>
      </c>
      <c r="M6" s="55"/>
      <c r="N6" s="55"/>
      <c r="O6" s="59"/>
      <c r="P6" s="77"/>
    </row>
    <row r="7" spans="1:16" x14ac:dyDescent="0.2">
      <c r="A7" s="55">
        <v>249</v>
      </c>
      <c r="B7" s="55" t="b">
        <v>1</v>
      </c>
      <c r="C7" s="55" t="b">
        <v>0</v>
      </c>
      <c r="D7" s="55" t="s">
        <v>113</v>
      </c>
      <c r="E7" s="55" t="s">
        <v>192</v>
      </c>
      <c r="F7" s="55" t="s">
        <v>128</v>
      </c>
      <c r="G7" s="55" t="s">
        <v>284</v>
      </c>
      <c r="H7" s="55" t="s">
        <v>1276</v>
      </c>
      <c r="I7" s="55"/>
      <c r="J7" s="55" t="s">
        <v>1333</v>
      </c>
      <c r="K7" s="55" t="s">
        <v>1334</v>
      </c>
      <c r="L7" s="55"/>
      <c r="M7" s="55"/>
      <c r="N7" s="55"/>
      <c r="O7" s="59" t="s">
        <v>1664</v>
      </c>
      <c r="P7" s="73"/>
    </row>
    <row r="8" spans="1:16" x14ac:dyDescent="0.2">
      <c r="A8" s="55">
        <v>250</v>
      </c>
      <c r="B8" s="55" t="b">
        <v>1</v>
      </c>
      <c r="C8" s="55" t="b">
        <v>0</v>
      </c>
      <c r="D8" s="55" t="s">
        <v>113</v>
      </c>
      <c r="E8" s="55" t="s">
        <v>192</v>
      </c>
      <c r="F8" s="55" t="s">
        <v>128</v>
      </c>
      <c r="G8" s="55" t="s">
        <v>285</v>
      </c>
      <c r="H8" s="55" t="s">
        <v>1276</v>
      </c>
      <c r="I8" s="55"/>
      <c r="J8" s="55" t="s">
        <v>1333</v>
      </c>
      <c r="K8" s="55" t="s">
        <v>1656</v>
      </c>
      <c r="L8" s="55"/>
      <c r="M8" s="55"/>
      <c r="N8" s="55"/>
      <c r="O8" s="59" t="s">
        <v>1664</v>
      </c>
      <c r="P8" s="73"/>
    </row>
    <row r="9" spans="1:16" x14ac:dyDescent="0.2">
      <c r="A9" s="55">
        <v>251</v>
      </c>
      <c r="B9" s="55" t="b">
        <v>1</v>
      </c>
      <c r="C9" s="55" t="b">
        <v>0</v>
      </c>
      <c r="D9" s="55" t="s">
        <v>113</v>
      </c>
      <c r="E9" s="55" t="s">
        <v>192</v>
      </c>
      <c r="F9" s="55" t="s">
        <v>128</v>
      </c>
      <c r="G9" s="55" t="s">
        <v>286</v>
      </c>
      <c r="H9" s="55" t="s">
        <v>1276</v>
      </c>
      <c r="I9" s="55"/>
      <c r="J9" s="55" t="s">
        <v>1333</v>
      </c>
      <c r="K9" s="55" t="s">
        <v>1657</v>
      </c>
      <c r="L9" s="55"/>
      <c r="M9" s="55"/>
      <c r="N9" s="55"/>
      <c r="O9" s="59" t="s">
        <v>1664</v>
      </c>
      <c r="P9" s="73"/>
    </row>
    <row r="10" spans="1:16" x14ac:dyDescent="0.2">
      <c r="A10" s="55">
        <v>252</v>
      </c>
      <c r="B10" s="55" t="b">
        <v>1</v>
      </c>
      <c r="C10" s="55" t="b">
        <v>0</v>
      </c>
      <c r="D10" s="55" t="s">
        <v>113</v>
      </c>
      <c r="E10" s="55" t="s">
        <v>192</v>
      </c>
      <c r="F10" s="55" t="s">
        <v>128</v>
      </c>
      <c r="G10" s="55" t="s">
        <v>287</v>
      </c>
      <c r="H10" s="55" t="s">
        <v>1276</v>
      </c>
      <c r="I10" s="55"/>
      <c r="J10" s="55" t="s">
        <v>1333</v>
      </c>
      <c r="K10" s="55" t="s">
        <v>1658</v>
      </c>
      <c r="L10" s="55"/>
      <c r="M10" s="55"/>
      <c r="N10" s="55"/>
      <c r="O10" s="59" t="s">
        <v>1664</v>
      </c>
      <c r="P10" s="73"/>
    </row>
    <row r="11" spans="1:16" x14ac:dyDescent="0.2">
      <c r="A11" s="55">
        <v>253</v>
      </c>
      <c r="B11" s="55" t="b">
        <v>1</v>
      </c>
      <c r="C11" s="55" t="b">
        <v>0</v>
      </c>
      <c r="D11" s="55" t="s">
        <v>113</v>
      </c>
      <c r="E11" s="55" t="s">
        <v>192</v>
      </c>
      <c r="F11" s="55" t="s">
        <v>128</v>
      </c>
      <c r="G11" s="55" t="s">
        <v>288</v>
      </c>
      <c r="H11" s="55" t="s">
        <v>1276</v>
      </c>
      <c r="I11" s="55"/>
      <c r="J11" s="55" t="s">
        <v>1333</v>
      </c>
      <c r="K11" s="55" t="s">
        <v>1659</v>
      </c>
      <c r="L11" s="55"/>
      <c r="M11" s="55"/>
      <c r="N11" s="55"/>
      <c r="O11" s="59" t="s">
        <v>1664</v>
      </c>
      <c r="P11" s="73"/>
    </row>
    <row r="12" spans="1:16" x14ac:dyDescent="0.2">
      <c r="A12" s="55">
        <v>254</v>
      </c>
      <c r="B12" s="55" t="b">
        <v>1</v>
      </c>
      <c r="C12" s="55" t="b">
        <v>0</v>
      </c>
      <c r="D12" s="55" t="s">
        <v>113</v>
      </c>
      <c r="E12" s="55" t="s">
        <v>192</v>
      </c>
      <c r="F12" s="55" t="s">
        <v>128</v>
      </c>
      <c r="G12" s="55" t="s">
        <v>289</v>
      </c>
      <c r="H12" s="55" t="s">
        <v>1276</v>
      </c>
      <c r="I12" s="55"/>
      <c r="J12" s="55" t="s">
        <v>1333</v>
      </c>
      <c r="K12" s="55" t="s">
        <v>1660</v>
      </c>
      <c r="L12" s="55"/>
      <c r="M12" s="55"/>
      <c r="N12" s="55"/>
      <c r="O12" s="59" t="s">
        <v>1664</v>
      </c>
      <c r="P12" s="73"/>
    </row>
    <row r="13" spans="1:16" x14ac:dyDescent="0.2">
      <c r="A13" s="55">
        <v>255</v>
      </c>
      <c r="B13" s="55" t="b">
        <v>1</v>
      </c>
      <c r="C13" s="55" t="b">
        <v>0</v>
      </c>
      <c r="D13" s="55" t="s">
        <v>113</v>
      </c>
      <c r="E13" s="55" t="s">
        <v>192</v>
      </c>
      <c r="F13" s="55" t="s">
        <v>128</v>
      </c>
      <c r="G13" s="55" t="s">
        <v>290</v>
      </c>
      <c r="H13" s="55" t="s">
        <v>1276</v>
      </c>
      <c r="I13" s="55"/>
      <c r="J13" s="55" t="s">
        <v>1333</v>
      </c>
      <c r="K13" s="55" t="s">
        <v>1589</v>
      </c>
      <c r="L13" s="55"/>
      <c r="M13" s="55"/>
      <c r="N13" s="55"/>
      <c r="O13" s="59" t="s">
        <v>1665</v>
      </c>
      <c r="P13" s="73"/>
    </row>
    <row r="14" spans="1:16" x14ac:dyDescent="0.2">
      <c r="A14" s="55">
        <v>256</v>
      </c>
      <c r="B14" s="55" t="b">
        <v>1</v>
      </c>
      <c r="C14" s="55" t="b">
        <v>0</v>
      </c>
      <c r="D14" s="55" t="s">
        <v>113</v>
      </c>
      <c r="E14" s="55" t="s">
        <v>192</v>
      </c>
      <c r="F14" s="55" t="s">
        <v>128</v>
      </c>
      <c r="G14" s="55" t="s">
        <v>291</v>
      </c>
      <c r="H14" s="55" t="s">
        <v>1276</v>
      </c>
      <c r="I14" s="55"/>
      <c r="J14" s="55" t="s">
        <v>1333</v>
      </c>
      <c r="K14" s="55" t="s">
        <v>1661</v>
      </c>
      <c r="L14" s="55"/>
      <c r="M14" s="55"/>
      <c r="N14" s="55"/>
      <c r="O14" s="59" t="s">
        <v>1666</v>
      </c>
      <c r="P14" s="73"/>
    </row>
    <row r="15" spans="1:16" x14ac:dyDescent="0.2">
      <c r="A15" s="55">
        <v>257</v>
      </c>
      <c r="B15" s="55" t="b">
        <v>1</v>
      </c>
      <c r="C15" s="55" t="b">
        <v>0</v>
      </c>
      <c r="D15" s="55" t="s">
        <v>113</v>
      </c>
      <c r="E15" s="55" t="s">
        <v>192</v>
      </c>
      <c r="F15" s="55" t="s">
        <v>128</v>
      </c>
      <c r="G15" s="55" t="s">
        <v>292</v>
      </c>
      <c r="H15" s="55" t="s">
        <v>1276</v>
      </c>
      <c r="I15" s="55"/>
      <c r="J15" s="55" t="s">
        <v>1333</v>
      </c>
      <c r="K15" s="55" t="s">
        <v>1588</v>
      </c>
      <c r="L15" s="55"/>
      <c r="M15" s="55"/>
      <c r="N15" s="55"/>
      <c r="O15" s="59" t="s">
        <v>1666</v>
      </c>
      <c r="P15" s="73"/>
    </row>
    <row r="16" spans="1:16" x14ac:dyDescent="0.2">
      <c r="A16" s="55">
        <v>258</v>
      </c>
      <c r="B16" s="55" t="b">
        <v>1</v>
      </c>
      <c r="C16" s="55" t="b">
        <v>0</v>
      </c>
      <c r="D16" s="55" t="s">
        <v>113</v>
      </c>
      <c r="E16" s="55" t="s">
        <v>192</v>
      </c>
      <c r="F16" s="55" t="s">
        <v>128</v>
      </c>
      <c r="G16" s="55" t="s">
        <v>293</v>
      </c>
      <c r="H16" s="55" t="s">
        <v>1276</v>
      </c>
      <c r="I16" s="55"/>
      <c r="J16" s="55" t="s">
        <v>1333</v>
      </c>
      <c r="K16" s="55" t="s">
        <v>1662</v>
      </c>
      <c r="L16" s="55"/>
      <c r="M16" s="55"/>
      <c r="N16" s="55"/>
      <c r="O16" s="59" t="s">
        <v>1667</v>
      </c>
      <c r="P16" s="73"/>
    </row>
    <row r="17" spans="1:16" x14ac:dyDescent="0.2">
      <c r="A17" s="55">
        <v>259</v>
      </c>
      <c r="B17" s="55" t="b">
        <v>1</v>
      </c>
      <c r="C17" s="55" t="b">
        <v>0</v>
      </c>
      <c r="D17" s="55" t="s">
        <v>113</v>
      </c>
      <c r="E17" s="55" t="s">
        <v>192</v>
      </c>
      <c r="F17" s="55" t="s">
        <v>128</v>
      </c>
      <c r="G17" s="55" t="s">
        <v>294</v>
      </c>
      <c r="H17" s="55" t="s">
        <v>1276</v>
      </c>
      <c r="I17" s="55"/>
      <c r="J17" s="55" t="s">
        <v>1333</v>
      </c>
      <c r="K17" s="55" t="s">
        <v>1587</v>
      </c>
      <c r="L17" s="55"/>
      <c r="M17" s="55"/>
      <c r="N17" s="55"/>
      <c r="O17" s="59" t="s">
        <v>1667</v>
      </c>
      <c r="P17" s="73"/>
    </row>
    <row r="18" spans="1:16" x14ac:dyDescent="0.2">
      <c r="A18" s="55">
        <v>260</v>
      </c>
      <c r="B18" s="55" t="b">
        <v>1</v>
      </c>
      <c r="C18" s="55" t="b">
        <v>0</v>
      </c>
      <c r="D18" s="55" t="s">
        <v>113</v>
      </c>
      <c r="E18" s="55" t="s">
        <v>192</v>
      </c>
      <c r="F18" s="55" t="s">
        <v>128</v>
      </c>
      <c r="G18" s="55" t="s">
        <v>295</v>
      </c>
      <c r="H18" s="55" t="s">
        <v>1276</v>
      </c>
      <c r="I18" s="55"/>
      <c r="J18" s="55" t="s">
        <v>1333</v>
      </c>
      <c r="K18" s="55" t="s">
        <v>1663</v>
      </c>
      <c r="L18" s="55"/>
      <c r="M18" s="55"/>
      <c r="N18" s="55"/>
      <c r="O18" s="59" t="s">
        <v>1667</v>
      </c>
      <c r="P18" s="73"/>
    </row>
    <row r="19" spans="1:16" x14ac:dyDescent="0.2">
      <c r="A19" s="55">
        <v>261</v>
      </c>
      <c r="B19" s="55" t="b">
        <v>1</v>
      </c>
      <c r="C19" s="55" t="b">
        <v>0</v>
      </c>
      <c r="D19" s="55" t="s">
        <v>113</v>
      </c>
      <c r="E19" s="55" t="s">
        <v>192</v>
      </c>
      <c r="F19" s="55" t="s">
        <v>170</v>
      </c>
      <c r="G19" s="55" t="s">
        <v>296</v>
      </c>
      <c r="H19" s="55" t="s">
        <v>1276</v>
      </c>
      <c r="I19" s="55"/>
      <c r="J19" s="55" t="s">
        <v>1333</v>
      </c>
      <c r="K19" s="55" t="s">
        <v>1334</v>
      </c>
      <c r="L19" s="55"/>
      <c r="M19" s="55"/>
      <c r="N19" s="55"/>
      <c r="O19" s="59" t="s">
        <v>1668</v>
      </c>
      <c r="P19" s="73"/>
    </row>
    <row r="20" spans="1:16" x14ac:dyDescent="0.2">
      <c r="A20" s="55">
        <v>262</v>
      </c>
      <c r="B20" s="55" t="b">
        <v>1</v>
      </c>
      <c r="C20" s="55" t="b">
        <v>0</v>
      </c>
      <c r="D20" s="55" t="s">
        <v>113</v>
      </c>
      <c r="E20" s="55" t="s">
        <v>192</v>
      </c>
      <c r="F20" s="55" t="s">
        <v>170</v>
      </c>
      <c r="G20" s="55" t="s">
        <v>297</v>
      </c>
      <c r="H20" s="55" t="s">
        <v>1276</v>
      </c>
      <c r="I20" s="55"/>
      <c r="J20" s="55" t="s">
        <v>1333</v>
      </c>
      <c r="K20" s="55" t="s">
        <v>1589</v>
      </c>
      <c r="L20" s="55"/>
      <c r="M20" s="55"/>
      <c r="N20" s="55"/>
      <c r="O20" s="59" t="s">
        <v>1672</v>
      </c>
      <c r="P20" s="73"/>
    </row>
    <row r="21" spans="1:16" x14ac:dyDescent="0.2">
      <c r="A21" s="55">
        <v>263</v>
      </c>
      <c r="B21" s="55" t="b">
        <v>1</v>
      </c>
      <c r="C21" s="55" t="b">
        <v>0</v>
      </c>
      <c r="D21" s="55" t="s">
        <v>113</v>
      </c>
      <c r="E21" s="55" t="s">
        <v>192</v>
      </c>
      <c r="F21" s="55" t="s">
        <v>170</v>
      </c>
      <c r="G21" s="55" t="s">
        <v>298</v>
      </c>
      <c r="H21" s="55" t="s">
        <v>1276</v>
      </c>
      <c r="I21" s="55"/>
      <c r="J21" s="55" t="s">
        <v>1333</v>
      </c>
      <c r="K21" s="55" t="s">
        <v>1335</v>
      </c>
      <c r="L21" s="55"/>
      <c r="M21" s="55"/>
      <c r="N21" s="55"/>
      <c r="O21" s="59" t="s">
        <v>1671</v>
      </c>
      <c r="P21" s="73"/>
    </row>
    <row r="22" spans="1:16" x14ac:dyDescent="0.2">
      <c r="A22" s="55">
        <v>264</v>
      </c>
      <c r="B22" s="55" t="b">
        <v>1</v>
      </c>
      <c r="C22" s="55" t="b">
        <v>0</v>
      </c>
      <c r="D22" s="55" t="s">
        <v>113</v>
      </c>
      <c r="E22" s="55" t="s">
        <v>192</v>
      </c>
      <c r="F22" s="55" t="s">
        <v>170</v>
      </c>
      <c r="G22" s="55" t="s">
        <v>299</v>
      </c>
      <c r="H22" s="55" t="s">
        <v>1276</v>
      </c>
      <c r="I22" s="55"/>
      <c r="J22" s="55" t="s">
        <v>1333</v>
      </c>
      <c r="K22" s="55" t="s">
        <v>1662</v>
      </c>
      <c r="L22" s="55"/>
      <c r="M22" s="55"/>
      <c r="N22" s="55"/>
      <c r="O22" s="59" t="s">
        <v>1670</v>
      </c>
      <c r="P22" s="73"/>
    </row>
    <row r="23" spans="1:16" x14ac:dyDescent="0.2">
      <c r="A23" s="55">
        <v>265</v>
      </c>
      <c r="B23" s="55" t="b">
        <v>1</v>
      </c>
      <c r="C23" s="55" t="b">
        <v>0</v>
      </c>
      <c r="D23" s="55" t="s">
        <v>113</v>
      </c>
      <c r="E23" s="55" t="s">
        <v>192</v>
      </c>
      <c r="F23" s="55" t="s">
        <v>170</v>
      </c>
      <c r="G23" s="55" t="s">
        <v>1220</v>
      </c>
      <c r="H23" s="55" t="s">
        <v>1276</v>
      </c>
      <c r="I23" s="55"/>
      <c r="J23" s="55" t="s">
        <v>1333</v>
      </c>
      <c r="K23" s="55" t="s">
        <v>1590</v>
      </c>
      <c r="L23" s="55"/>
      <c r="M23" s="55"/>
      <c r="N23" s="55"/>
      <c r="O23" s="59" t="s">
        <v>1669</v>
      </c>
      <c r="P23" s="73"/>
    </row>
    <row r="24" spans="1:16" x14ac:dyDescent="0.2">
      <c r="A24" s="55"/>
      <c r="B24" s="55"/>
      <c r="C24" s="55"/>
      <c r="D24" s="55"/>
      <c r="E24" s="55"/>
      <c r="F24" s="55"/>
      <c r="G24" s="55"/>
      <c r="H24" s="55"/>
      <c r="I24" s="55"/>
      <c r="J24" s="55"/>
      <c r="K24" s="55"/>
      <c r="L24" s="55"/>
      <c r="M24" s="55"/>
      <c r="N24" s="55"/>
      <c r="O24" s="59"/>
      <c r="P24" s="73"/>
    </row>
    <row r="25" spans="1:16" x14ac:dyDescent="0.2">
      <c r="A25" s="55">
        <v>267</v>
      </c>
      <c r="B25" s="55" t="b">
        <v>1</v>
      </c>
      <c r="C25" s="55" t="b">
        <v>0</v>
      </c>
      <c r="D25" s="55" t="s">
        <v>113</v>
      </c>
      <c r="E25" s="55" t="s">
        <v>192</v>
      </c>
      <c r="F25" s="55" t="s">
        <v>174</v>
      </c>
      <c r="G25" s="55" t="s">
        <v>1244</v>
      </c>
      <c r="H25" s="55" t="s">
        <v>1276</v>
      </c>
      <c r="I25" s="55"/>
      <c r="J25" s="55" t="s">
        <v>1591</v>
      </c>
      <c r="K25" s="55" t="s">
        <v>1592</v>
      </c>
      <c r="L25" s="55"/>
      <c r="M25" s="55"/>
      <c r="N25" s="55"/>
      <c r="O25" s="59" t="s">
        <v>1398</v>
      </c>
      <c r="P25" s="73" t="s">
        <v>1945</v>
      </c>
    </row>
    <row r="26" spans="1:16" x14ac:dyDescent="0.2">
      <c r="A26" s="55">
        <v>268</v>
      </c>
      <c r="B26" s="55" t="b">
        <v>1</v>
      </c>
      <c r="C26" s="55" t="b">
        <v>0</v>
      </c>
      <c r="D26" s="55" t="s">
        <v>113</v>
      </c>
      <c r="E26" s="55" t="s">
        <v>192</v>
      </c>
      <c r="F26" s="55" t="s">
        <v>174</v>
      </c>
      <c r="G26" s="55" t="s">
        <v>1245</v>
      </c>
      <c r="H26" s="55" t="s">
        <v>1276</v>
      </c>
      <c r="I26" s="55"/>
      <c r="J26" s="55" t="s">
        <v>1591</v>
      </c>
      <c r="K26" s="55" t="s">
        <v>1595</v>
      </c>
      <c r="L26" s="55"/>
      <c r="M26" s="55"/>
      <c r="N26" s="55"/>
      <c r="O26" s="59" t="s">
        <v>1398</v>
      </c>
      <c r="P26" s="73"/>
    </row>
    <row r="27" spans="1:16" x14ac:dyDescent="0.2">
      <c r="A27" s="55">
        <v>269</v>
      </c>
      <c r="B27" s="55" t="b">
        <v>1</v>
      </c>
      <c r="C27" s="55" t="b">
        <v>0</v>
      </c>
      <c r="D27" s="55" t="s">
        <v>113</v>
      </c>
      <c r="E27" s="55" t="s">
        <v>192</v>
      </c>
      <c r="F27" s="55" t="s">
        <v>174</v>
      </c>
      <c r="G27" s="55" t="s">
        <v>270</v>
      </c>
      <c r="H27" s="55" t="s">
        <v>1276</v>
      </c>
      <c r="I27" s="55"/>
      <c r="J27" s="55" t="s">
        <v>1591</v>
      </c>
      <c r="K27" s="55" t="s">
        <v>1598</v>
      </c>
      <c r="L27" s="55"/>
      <c r="M27" s="55"/>
      <c r="N27" s="55"/>
      <c r="O27" s="59" t="s">
        <v>1398</v>
      </c>
      <c r="P27" s="73"/>
    </row>
    <row r="28" spans="1:16" x14ac:dyDescent="0.2">
      <c r="A28" s="55">
        <v>270</v>
      </c>
      <c r="B28" s="55" t="b">
        <v>1</v>
      </c>
      <c r="C28" s="55" t="b">
        <v>0</v>
      </c>
      <c r="D28" s="55" t="s">
        <v>113</v>
      </c>
      <c r="E28" s="55" t="s">
        <v>192</v>
      </c>
      <c r="F28" s="55" t="s">
        <v>174</v>
      </c>
      <c r="G28" s="55" t="s">
        <v>271</v>
      </c>
      <c r="H28" s="55" t="s">
        <v>1276</v>
      </c>
      <c r="I28" s="55"/>
      <c r="J28" s="55" t="s">
        <v>1591</v>
      </c>
      <c r="K28" s="55" t="s">
        <v>1599</v>
      </c>
      <c r="L28" s="55"/>
      <c r="M28" s="55"/>
      <c r="N28" s="55"/>
      <c r="O28" s="59" t="s">
        <v>1398</v>
      </c>
      <c r="P28" s="73"/>
    </row>
    <row r="29" spans="1:16" x14ac:dyDescent="0.2">
      <c r="A29" s="55">
        <v>271</v>
      </c>
      <c r="B29" s="55" t="b">
        <v>1</v>
      </c>
      <c r="C29" s="55" t="b">
        <v>0</v>
      </c>
      <c r="D29" s="55" t="s">
        <v>113</v>
      </c>
      <c r="E29" s="55" t="s">
        <v>192</v>
      </c>
      <c r="F29" s="55" t="s">
        <v>174</v>
      </c>
      <c r="G29" s="55" t="s">
        <v>272</v>
      </c>
      <c r="H29" s="55" t="s">
        <v>1276</v>
      </c>
      <c r="I29" s="55"/>
      <c r="J29" s="55" t="s">
        <v>1591</v>
      </c>
      <c r="K29" s="55" t="s">
        <v>1594</v>
      </c>
      <c r="L29" s="55"/>
      <c r="M29" s="55"/>
      <c r="N29" s="55"/>
      <c r="O29" s="59" t="s">
        <v>1398</v>
      </c>
      <c r="P29" s="73"/>
    </row>
    <row r="30" spans="1:16" x14ac:dyDescent="0.2">
      <c r="A30" s="55">
        <v>272</v>
      </c>
      <c r="B30" s="55" t="b">
        <v>1</v>
      </c>
      <c r="C30" s="55" t="b">
        <v>0</v>
      </c>
      <c r="D30" s="55" t="s">
        <v>113</v>
      </c>
      <c r="E30" s="55" t="s">
        <v>192</v>
      </c>
      <c r="F30" s="55" t="s">
        <v>174</v>
      </c>
      <c r="G30" s="55" t="s">
        <v>273</v>
      </c>
      <c r="H30" s="55" t="s">
        <v>1276</v>
      </c>
      <c r="I30" s="55"/>
      <c r="J30" s="55" t="s">
        <v>1591</v>
      </c>
      <c r="K30" s="55" t="s">
        <v>1597</v>
      </c>
      <c r="L30" s="55"/>
      <c r="M30" s="55"/>
      <c r="N30" s="55"/>
      <c r="O30" s="59" t="s">
        <v>1398</v>
      </c>
      <c r="P30" s="73"/>
    </row>
    <row r="31" spans="1:16" x14ac:dyDescent="0.2">
      <c r="A31" s="55">
        <v>273</v>
      </c>
      <c r="B31" s="55" t="b">
        <v>1</v>
      </c>
      <c r="C31" s="55" t="b">
        <v>0</v>
      </c>
      <c r="D31" s="55" t="s">
        <v>113</v>
      </c>
      <c r="E31" s="55" t="s">
        <v>192</v>
      </c>
      <c r="F31" s="55" t="s">
        <v>174</v>
      </c>
      <c r="G31" s="55" t="s">
        <v>274</v>
      </c>
      <c r="H31" s="55" t="s">
        <v>1276</v>
      </c>
      <c r="I31" s="55"/>
      <c r="J31" s="55" t="s">
        <v>1591</v>
      </c>
      <c r="K31" s="55" t="s">
        <v>1600</v>
      </c>
      <c r="L31" s="55"/>
      <c r="M31" s="55"/>
      <c r="N31" s="55"/>
      <c r="O31" s="59" t="s">
        <v>1398</v>
      </c>
      <c r="P31" s="73"/>
    </row>
    <row r="32" spans="1:16" x14ac:dyDescent="0.2">
      <c r="A32" s="55">
        <v>274</v>
      </c>
      <c r="B32" s="55" t="b">
        <v>1</v>
      </c>
      <c r="C32" s="55" t="b">
        <v>0</v>
      </c>
      <c r="D32" s="55" t="s">
        <v>113</v>
      </c>
      <c r="E32" s="55" t="s">
        <v>192</v>
      </c>
      <c r="F32" s="55" t="s">
        <v>174</v>
      </c>
      <c r="G32" s="55" t="s">
        <v>275</v>
      </c>
      <c r="H32" s="55" t="s">
        <v>1276</v>
      </c>
      <c r="I32" s="55"/>
      <c r="J32" s="55" t="s">
        <v>1591</v>
      </c>
      <c r="K32" s="55" t="s">
        <v>1593</v>
      </c>
      <c r="L32" s="55"/>
      <c r="M32" s="55"/>
      <c r="N32" s="55"/>
      <c r="O32" s="59" t="s">
        <v>1398</v>
      </c>
      <c r="P32" s="73"/>
    </row>
    <row r="33" spans="1:16" x14ac:dyDescent="0.2">
      <c r="A33" s="55">
        <v>275</v>
      </c>
      <c r="B33" s="55" t="b">
        <v>1</v>
      </c>
      <c r="C33" s="55" t="b">
        <v>0</v>
      </c>
      <c r="D33" s="55" t="s">
        <v>113</v>
      </c>
      <c r="E33" s="55" t="s">
        <v>192</v>
      </c>
      <c r="F33" s="55" t="s">
        <v>174</v>
      </c>
      <c r="G33" s="55" t="s">
        <v>276</v>
      </c>
      <c r="H33" s="55" t="s">
        <v>1276</v>
      </c>
      <c r="I33" s="55"/>
      <c r="J33" s="55" t="s">
        <v>1591</v>
      </c>
      <c r="K33" s="55" t="s">
        <v>1596</v>
      </c>
      <c r="L33" s="55"/>
      <c r="M33" s="55"/>
      <c r="N33" s="55"/>
      <c r="O33" s="59" t="s">
        <v>1398</v>
      </c>
      <c r="P33" s="73"/>
    </row>
    <row r="34" spans="1:16" x14ac:dyDescent="0.2">
      <c r="A34" s="55"/>
      <c r="B34" s="55"/>
      <c r="C34" s="55"/>
      <c r="D34" s="55"/>
      <c r="E34" s="55"/>
      <c r="F34" s="55"/>
      <c r="G34" s="55"/>
      <c r="H34" s="55"/>
      <c r="I34" s="55"/>
      <c r="J34" s="55"/>
      <c r="K34" s="55"/>
      <c r="L34" s="55"/>
      <c r="M34" s="55"/>
      <c r="N34" s="55"/>
      <c r="O34" s="59"/>
      <c r="P34" s="73"/>
    </row>
    <row r="35" spans="1:16" x14ac:dyDescent="0.2">
      <c r="A35" s="55">
        <v>325</v>
      </c>
      <c r="B35" s="55" t="b">
        <v>1</v>
      </c>
      <c r="C35" s="55" t="b">
        <v>0</v>
      </c>
      <c r="D35" s="55" t="s">
        <v>113</v>
      </c>
      <c r="E35" s="55" t="s">
        <v>192</v>
      </c>
      <c r="F35" s="55" t="s">
        <v>1166</v>
      </c>
      <c r="G35" s="55" t="s">
        <v>1218</v>
      </c>
      <c r="H35" s="55" t="s">
        <v>1276</v>
      </c>
      <c r="I35" s="55"/>
      <c r="J35" s="55" t="s">
        <v>1686</v>
      </c>
      <c r="K35" s="55" t="s">
        <v>1687</v>
      </c>
      <c r="L35" s="55"/>
      <c r="M35" s="55"/>
      <c r="N35" s="55"/>
      <c r="O35" s="77"/>
      <c r="P35" s="73"/>
    </row>
    <row r="36" spans="1:16" x14ac:dyDescent="0.2">
      <c r="A36" s="55">
        <v>326</v>
      </c>
      <c r="B36" s="55" t="b">
        <v>1</v>
      </c>
      <c r="C36" s="55" t="b">
        <v>0</v>
      </c>
      <c r="D36" s="55" t="s">
        <v>113</v>
      </c>
      <c r="E36" s="55" t="s">
        <v>192</v>
      </c>
      <c r="F36" s="55" t="s">
        <v>1166</v>
      </c>
      <c r="G36" s="55" t="s">
        <v>1219</v>
      </c>
      <c r="H36" s="55" t="s">
        <v>1276</v>
      </c>
      <c r="I36" s="55"/>
      <c r="J36" s="55" t="s">
        <v>1686</v>
      </c>
      <c r="K36" s="55" t="s">
        <v>1688</v>
      </c>
      <c r="L36" s="55"/>
      <c r="M36" s="55"/>
      <c r="N36" s="55"/>
      <c r="O36" s="77"/>
      <c r="P36" s="73"/>
    </row>
    <row r="37" spans="1:16" x14ac:dyDescent="0.2">
      <c r="A37" s="55">
        <v>327</v>
      </c>
      <c r="B37" s="55" t="b">
        <v>1</v>
      </c>
      <c r="C37" s="55" t="b">
        <v>0</v>
      </c>
      <c r="D37" s="55" t="s">
        <v>113</v>
      </c>
      <c r="E37" s="55" t="s">
        <v>192</v>
      </c>
      <c r="F37" s="55" t="s">
        <v>1166</v>
      </c>
      <c r="G37" s="55" t="s">
        <v>234</v>
      </c>
      <c r="H37" s="55" t="s">
        <v>1276</v>
      </c>
      <c r="I37" s="55"/>
      <c r="J37" s="55" t="s">
        <v>1686</v>
      </c>
      <c r="K37" s="55" t="s">
        <v>1689</v>
      </c>
      <c r="L37" s="55"/>
      <c r="M37" s="55"/>
      <c r="N37" s="55"/>
      <c r="O37" s="77"/>
      <c r="P37" s="73"/>
    </row>
    <row r="38" spans="1:16" x14ac:dyDescent="0.2">
      <c r="A38" s="55">
        <v>328</v>
      </c>
      <c r="B38" s="55" t="b">
        <v>1</v>
      </c>
      <c r="C38" s="55" t="b">
        <v>0</v>
      </c>
      <c r="D38" s="55" t="s">
        <v>113</v>
      </c>
      <c r="E38" s="55" t="s">
        <v>192</v>
      </c>
      <c r="F38" s="55" t="s">
        <v>1166</v>
      </c>
      <c r="G38" s="55" t="s">
        <v>235</v>
      </c>
      <c r="H38" s="55" t="s">
        <v>1276</v>
      </c>
      <c r="I38" s="55"/>
      <c r="J38" s="55" t="s">
        <v>1686</v>
      </c>
      <c r="K38" s="55" t="s">
        <v>1690</v>
      </c>
      <c r="L38" s="55"/>
      <c r="M38" s="55"/>
      <c r="N38" s="55"/>
      <c r="O38" s="77"/>
      <c r="P38" s="73"/>
    </row>
    <row r="39" spans="1:16" x14ac:dyDescent="0.2">
      <c r="A39" s="55">
        <v>622</v>
      </c>
      <c r="B39" s="55" t="b">
        <v>1</v>
      </c>
      <c r="C39" s="55" t="b">
        <v>0</v>
      </c>
      <c r="D39" s="55" t="s">
        <v>113</v>
      </c>
      <c r="E39" s="55" t="s">
        <v>192</v>
      </c>
      <c r="F39" s="55" t="s">
        <v>172</v>
      </c>
      <c r="G39" s="55" t="s">
        <v>193</v>
      </c>
      <c r="H39" s="55" t="s">
        <v>1276</v>
      </c>
      <c r="I39" s="55"/>
      <c r="J39" s="55" t="s">
        <v>1397</v>
      </c>
      <c r="K39" s="55" t="s">
        <v>1403</v>
      </c>
      <c r="L39" s="55"/>
      <c r="M39" s="55"/>
      <c r="N39" s="55"/>
      <c r="O39" s="59" t="s">
        <v>1401</v>
      </c>
      <c r="P39" s="79" t="s">
        <v>1959</v>
      </c>
    </row>
    <row r="40" spans="1:16" x14ac:dyDescent="0.2">
      <c r="A40" s="55">
        <v>623</v>
      </c>
      <c r="B40" s="55" t="b">
        <v>1</v>
      </c>
      <c r="C40" s="55" t="b">
        <v>0</v>
      </c>
      <c r="D40" s="55" t="s">
        <v>113</v>
      </c>
      <c r="E40" s="55" t="s">
        <v>192</v>
      </c>
      <c r="F40" s="55" t="s">
        <v>172</v>
      </c>
      <c r="G40" s="55" t="s">
        <v>194</v>
      </c>
      <c r="H40" s="55" t="s">
        <v>1276</v>
      </c>
      <c r="I40" s="55"/>
      <c r="J40" s="55" t="s">
        <v>1397</v>
      </c>
      <c r="K40" s="55" t="s">
        <v>1404</v>
      </c>
      <c r="L40" s="55"/>
      <c r="M40" s="55"/>
      <c r="N40" s="55"/>
      <c r="O40" s="59" t="s">
        <v>1401</v>
      </c>
      <c r="P40" s="79" t="s">
        <v>1959</v>
      </c>
    </row>
    <row r="41" spans="1:16" x14ac:dyDescent="0.2">
      <c r="A41" s="55">
        <v>624</v>
      </c>
      <c r="B41" s="55" t="b">
        <v>1</v>
      </c>
      <c r="C41" s="55" t="b">
        <v>0</v>
      </c>
      <c r="D41" s="55" t="s">
        <v>113</v>
      </c>
      <c r="E41" s="55" t="s">
        <v>192</v>
      </c>
      <c r="F41" s="55" t="s">
        <v>172</v>
      </c>
      <c r="G41" s="55" t="s">
        <v>195</v>
      </c>
      <c r="H41" s="55" t="s">
        <v>1276</v>
      </c>
      <c r="I41" s="55"/>
      <c r="J41" s="55" t="s">
        <v>1397</v>
      </c>
      <c r="K41" s="55" t="s">
        <v>1405</v>
      </c>
      <c r="L41" s="55"/>
      <c r="M41" s="55"/>
      <c r="N41" s="55"/>
      <c r="O41" s="59" t="s">
        <v>1401</v>
      </c>
      <c r="P41" s="79" t="s">
        <v>1959</v>
      </c>
    </row>
    <row r="42" spans="1:16" x14ac:dyDescent="0.2">
      <c r="A42" s="55">
        <v>625</v>
      </c>
      <c r="B42" s="55" t="b">
        <v>1</v>
      </c>
      <c r="C42" s="55" t="b">
        <v>0</v>
      </c>
      <c r="D42" s="55" t="s">
        <v>113</v>
      </c>
      <c r="E42" s="55" t="s">
        <v>192</v>
      </c>
      <c r="F42" s="55" t="s">
        <v>172</v>
      </c>
      <c r="G42" s="55" t="s">
        <v>196</v>
      </c>
      <c r="H42" s="55" t="s">
        <v>1276</v>
      </c>
      <c r="I42" s="55"/>
      <c r="J42" s="55" t="s">
        <v>1397</v>
      </c>
      <c r="K42" s="55" t="s">
        <v>1400</v>
      </c>
      <c r="L42" s="55"/>
      <c r="M42" s="55"/>
      <c r="N42" s="55"/>
      <c r="O42" s="59" t="s">
        <v>1401</v>
      </c>
      <c r="P42" s="79" t="s">
        <v>1959</v>
      </c>
    </row>
    <row r="43" spans="1:16" x14ac:dyDescent="0.2">
      <c r="A43" s="55">
        <v>626</v>
      </c>
      <c r="B43" s="55" t="b">
        <v>1</v>
      </c>
      <c r="C43" s="55" t="b">
        <v>0</v>
      </c>
      <c r="D43" s="55" t="s">
        <v>113</v>
      </c>
      <c r="E43" s="55" t="s">
        <v>192</v>
      </c>
      <c r="F43" s="55" t="s">
        <v>172</v>
      </c>
      <c r="G43" s="55" t="s">
        <v>197</v>
      </c>
      <c r="H43" s="55" t="s">
        <v>1276</v>
      </c>
      <c r="I43" s="55"/>
      <c r="J43" s="55" t="s">
        <v>1397</v>
      </c>
      <c r="K43" s="55" t="s">
        <v>1406</v>
      </c>
      <c r="L43" s="55"/>
      <c r="M43" s="55"/>
      <c r="N43" s="55"/>
      <c r="O43" s="59" t="s">
        <v>1398</v>
      </c>
      <c r="P43" s="79" t="s">
        <v>1959</v>
      </c>
    </row>
    <row r="44" spans="1:16" x14ac:dyDescent="0.2">
      <c r="A44" s="55">
        <v>627</v>
      </c>
      <c r="B44" s="55" t="b">
        <v>1</v>
      </c>
      <c r="C44" s="55" t="b">
        <v>0</v>
      </c>
      <c r="D44" s="55" t="s">
        <v>113</v>
      </c>
      <c r="E44" s="55" t="s">
        <v>192</v>
      </c>
      <c r="F44" s="55" t="s">
        <v>172</v>
      </c>
      <c r="G44" s="55" t="s">
        <v>198</v>
      </c>
      <c r="H44" s="55" t="s">
        <v>1276</v>
      </c>
      <c r="I44" s="55"/>
      <c r="J44" s="55" t="s">
        <v>1397</v>
      </c>
      <c r="K44" s="55" t="s">
        <v>1407</v>
      </c>
      <c r="L44" s="55"/>
      <c r="M44" s="55"/>
      <c r="N44" s="55"/>
      <c r="O44" s="59" t="s">
        <v>1398</v>
      </c>
      <c r="P44" s="79" t="s">
        <v>1959</v>
      </c>
    </row>
    <row r="45" spans="1:16" x14ac:dyDescent="0.2">
      <c r="A45" s="55">
        <v>628</v>
      </c>
      <c r="B45" s="55" t="b">
        <v>1</v>
      </c>
      <c r="C45" s="55" t="b">
        <v>0</v>
      </c>
      <c r="D45" s="55" t="s">
        <v>113</v>
      </c>
      <c r="E45" s="55" t="s">
        <v>192</v>
      </c>
      <c r="F45" s="55" t="s">
        <v>172</v>
      </c>
      <c r="G45" s="55" t="s">
        <v>199</v>
      </c>
      <c r="H45" s="55" t="s">
        <v>1276</v>
      </c>
      <c r="I45" s="55"/>
      <c r="J45" s="55" t="s">
        <v>1397</v>
      </c>
      <c r="K45" s="55" t="s">
        <v>1402</v>
      </c>
      <c r="L45" s="55"/>
      <c r="M45" s="55"/>
      <c r="N45" s="55"/>
      <c r="O45" s="59" t="s">
        <v>1398</v>
      </c>
      <c r="P45" s="79" t="s">
        <v>1959</v>
      </c>
    </row>
    <row r="46" spans="1:16" x14ac:dyDescent="0.2">
      <c r="A46" s="55">
        <v>629</v>
      </c>
      <c r="B46" s="55" t="b">
        <v>1</v>
      </c>
      <c r="C46" s="55" t="b">
        <v>0</v>
      </c>
      <c r="D46" s="55" t="s">
        <v>113</v>
      </c>
      <c r="E46" s="55" t="s">
        <v>192</v>
      </c>
      <c r="F46" s="55" t="s">
        <v>142</v>
      </c>
      <c r="G46" s="55" t="s">
        <v>497</v>
      </c>
      <c r="H46" s="55" t="s">
        <v>1276</v>
      </c>
      <c r="I46" s="55"/>
      <c r="J46" s="55" t="s">
        <v>1336</v>
      </c>
      <c r="K46" s="55" t="s">
        <v>1337</v>
      </c>
      <c r="L46" s="55"/>
      <c r="M46" s="55"/>
      <c r="N46" s="55"/>
      <c r="O46" s="59" t="s">
        <v>1614</v>
      </c>
      <c r="P46" s="73"/>
    </row>
    <row r="47" spans="1:16" x14ac:dyDescent="0.2">
      <c r="A47" s="55">
        <v>631</v>
      </c>
      <c r="B47" s="55" t="b">
        <v>1</v>
      </c>
      <c r="C47" s="55" t="b">
        <v>0</v>
      </c>
      <c r="D47" s="55" t="s">
        <v>113</v>
      </c>
      <c r="E47" s="55" t="s">
        <v>192</v>
      </c>
      <c r="F47" s="55" t="s">
        <v>168</v>
      </c>
      <c r="G47" s="55" t="s">
        <v>497</v>
      </c>
      <c r="H47" s="55" t="s">
        <v>1276</v>
      </c>
      <c r="I47" s="55"/>
      <c r="J47" s="55" t="s">
        <v>1359</v>
      </c>
      <c r="K47" s="55" t="s">
        <v>1363</v>
      </c>
      <c r="L47" s="55"/>
      <c r="M47" s="55"/>
      <c r="N47" s="55"/>
      <c r="O47" s="59" t="s">
        <v>1884</v>
      </c>
      <c r="P47" s="77" t="s">
        <v>1964</v>
      </c>
    </row>
    <row r="48" spans="1:16" x14ac:dyDescent="0.2">
      <c r="A48" s="55">
        <v>634</v>
      </c>
      <c r="B48" s="55" t="b">
        <v>1</v>
      </c>
      <c r="C48" s="55" t="b">
        <v>0</v>
      </c>
      <c r="D48" s="55" t="s">
        <v>113</v>
      </c>
      <c r="E48" s="55" t="s">
        <v>192</v>
      </c>
      <c r="F48" s="55" t="s">
        <v>1163</v>
      </c>
      <c r="G48" s="55" t="s">
        <v>497</v>
      </c>
      <c r="H48" s="55" t="s">
        <v>1276</v>
      </c>
      <c r="I48" s="55"/>
      <c r="J48" s="55" t="s">
        <v>1359</v>
      </c>
      <c r="K48" s="55" t="s">
        <v>1366</v>
      </c>
      <c r="L48" s="55"/>
      <c r="M48" s="55"/>
      <c r="N48" s="55"/>
      <c r="O48" s="59" t="s">
        <v>1368</v>
      </c>
      <c r="P48" s="77" t="s">
        <v>1964</v>
      </c>
    </row>
    <row r="49" spans="1:16" x14ac:dyDescent="0.2">
      <c r="A49" s="55">
        <v>632</v>
      </c>
      <c r="B49" s="55" t="b">
        <v>1</v>
      </c>
      <c r="C49" s="55" t="b">
        <v>0</v>
      </c>
      <c r="D49" s="55" t="s">
        <v>113</v>
      </c>
      <c r="E49" s="55" t="s">
        <v>192</v>
      </c>
      <c r="F49" s="55" t="s">
        <v>1162</v>
      </c>
      <c r="G49" s="55" t="s">
        <v>497</v>
      </c>
      <c r="H49" s="55" t="s">
        <v>1276</v>
      </c>
      <c r="I49" s="55"/>
      <c r="J49" s="55" t="s">
        <v>1360</v>
      </c>
      <c r="K49" s="55" t="s">
        <v>1364</v>
      </c>
      <c r="L49" s="55"/>
      <c r="M49" s="55"/>
      <c r="N49" s="55"/>
      <c r="O49" s="59" t="s">
        <v>1368</v>
      </c>
      <c r="P49" s="77" t="s">
        <v>1962</v>
      </c>
    </row>
    <row r="50" spans="1:16" x14ac:dyDescent="0.2">
      <c r="A50" s="55">
        <v>633</v>
      </c>
      <c r="B50" s="55" t="b">
        <v>1</v>
      </c>
      <c r="C50" s="55" t="b">
        <v>0</v>
      </c>
      <c r="D50" s="55" t="s">
        <v>113</v>
      </c>
      <c r="E50" s="55" t="s">
        <v>192</v>
      </c>
      <c r="F50" s="55" t="s">
        <v>1164</v>
      </c>
      <c r="G50" s="55" t="s">
        <v>497</v>
      </c>
      <c r="H50" s="55" t="s">
        <v>1276</v>
      </c>
      <c r="I50" s="55"/>
      <c r="J50" s="55" t="s">
        <v>1360</v>
      </c>
      <c r="K50" s="55" t="s">
        <v>1365</v>
      </c>
      <c r="L50" s="55"/>
      <c r="M50" s="55"/>
      <c r="N50" s="55"/>
      <c r="O50" s="59" t="s">
        <v>1368</v>
      </c>
      <c r="P50" s="77" t="s">
        <v>1962</v>
      </c>
    </row>
    <row r="51" spans="1:16" x14ac:dyDescent="0.2">
      <c r="A51" s="55">
        <v>634</v>
      </c>
      <c r="B51" s="55" t="b">
        <v>1</v>
      </c>
      <c r="C51" s="55" t="b">
        <v>0</v>
      </c>
      <c r="D51" s="55" t="s">
        <v>113</v>
      </c>
      <c r="E51" s="55" t="s">
        <v>192</v>
      </c>
      <c r="F51" s="55" t="s">
        <v>1163</v>
      </c>
      <c r="G51" s="55" t="s">
        <v>497</v>
      </c>
      <c r="H51" s="55" t="s">
        <v>1276</v>
      </c>
      <c r="I51" s="55"/>
      <c r="J51" s="55" t="s">
        <v>1961</v>
      </c>
      <c r="K51" s="55" t="s">
        <v>1366</v>
      </c>
      <c r="L51" s="55"/>
      <c r="M51" s="55"/>
      <c r="N51" s="55"/>
      <c r="O51" s="59" t="s">
        <v>1368</v>
      </c>
      <c r="P51" s="77" t="s">
        <v>1965</v>
      </c>
    </row>
    <row r="52" spans="1:16" x14ac:dyDescent="0.2">
      <c r="A52" s="55">
        <v>635</v>
      </c>
      <c r="B52" s="55" t="b">
        <v>1</v>
      </c>
      <c r="C52" s="55" t="b">
        <v>0</v>
      </c>
      <c r="D52" s="55" t="s">
        <v>113</v>
      </c>
      <c r="E52" s="55" t="s">
        <v>192</v>
      </c>
      <c r="F52" s="55" t="s">
        <v>157</v>
      </c>
      <c r="G52" s="55" t="s">
        <v>207</v>
      </c>
      <c r="H52" s="55" t="s">
        <v>1276</v>
      </c>
      <c r="I52" s="55"/>
      <c r="J52" s="55" t="s">
        <v>1362</v>
      </c>
      <c r="K52" s="81" t="s">
        <v>1371</v>
      </c>
      <c r="L52" s="81"/>
      <c r="M52" s="55"/>
      <c r="N52" s="55"/>
      <c r="O52" s="59" t="s">
        <v>1370</v>
      </c>
      <c r="P52" s="79" t="s">
        <v>1966</v>
      </c>
    </row>
    <row r="53" spans="1:16" x14ac:dyDescent="0.2">
      <c r="A53" s="55">
        <v>636</v>
      </c>
      <c r="B53" s="55" t="b">
        <v>1</v>
      </c>
      <c r="C53" s="55" t="b">
        <v>0</v>
      </c>
      <c r="D53" s="55" t="s">
        <v>113</v>
      </c>
      <c r="E53" s="55" t="s">
        <v>192</v>
      </c>
      <c r="F53" s="55" t="s">
        <v>157</v>
      </c>
      <c r="G53" s="55" t="s">
        <v>208</v>
      </c>
      <c r="H53" s="55" t="s">
        <v>1276</v>
      </c>
      <c r="I53" s="55"/>
      <c r="J53" s="55" t="s">
        <v>1362</v>
      </c>
      <c r="K53" s="81" t="s">
        <v>1371</v>
      </c>
      <c r="L53" s="81"/>
      <c r="M53" s="55"/>
      <c r="N53" s="55"/>
      <c r="O53" s="59" t="s">
        <v>1370</v>
      </c>
      <c r="P53" s="79" t="s">
        <v>1966</v>
      </c>
    </row>
    <row r="54" spans="1:16" x14ac:dyDescent="0.2">
      <c r="A54" s="55">
        <v>637</v>
      </c>
      <c r="B54" s="55" t="b">
        <v>1</v>
      </c>
      <c r="C54" s="55" t="b">
        <v>0</v>
      </c>
      <c r="D54" s="55" t="s">
        <v>113</v>
      </c>
      <c r="E54" s="55" t="s">
        <v>192</v>
      </c>
      <c r="F54" s="55" t="s">
        <v>157</v>
      </c>
      <c r="G54" s="55" t="s">
        <v>209</v>
      </c>
      <c r="H54" s="55" t="s">
        <v>1276</v>
      </c>
      <c r="I54" s="55"/>
      <c r="J54" s="55" t="s">
        <v>1362</v>
      </c>
      <c r="K54" s="81" t="s">
        <v>1371</v>
      </c>
      <c r="L54" s="81"/>
      <c r="M54" s="55"/>
      <c r="N54" s="55"/>
      <c r="O54" s="59" t="s">
        <v>1370</v>
      </c>
      <c r="P54" s="79" t="s">
        <v>1966</v>
      </c>
    </row>
    <row r="55" spans="1:16" x14ac:dyDescent="0.2">
      <c r="A55" s="55">
        <v>638</v>
      </c>
      <c r="B55" s="55" t="b">
        <v>1</v>
      </c>
      <c r="C55" s="55" t="b">
        <v>0</v>
      </c>
      <c r="D55" s="55" t="s">
        <v>113</v>
      </c>
      <c r="E55" s="55" t="s">
        <v>192</v>
      </c>
      <c r="F55" s="55" t="s">
        <v>157</v>
      </c>
      <c r="G55" s="55" t="s">
        <v>210</v>
      </c>
      <c r="H55" s="55" t="s">
        <v>1276</v>
      </c>
      <c r="I55" s="55"/>
      <c r="J55" s="55" t="s">
        <v>1362</v>
      </c>
      <c r="K55" s="81" t="s">
        <v>1371</v>
      </c>
      <c r="L55" s="81"/>
      <c r="M55" s="55"/>
      <c r="N55" s="55"/>
      <c r="O55" s="59" t="s">
        <v>1370</v>
      </c>
      <c r="P55" s="79" t="s">
        <v>1966</v>
      </c>
    </row>
    <row r="56" spans="1:16" x14ac:dyDescent="0.2">
      <c r="A56" s="55">
        <v>639</v>
      </c>
      <c r="B56" s="55" t="b">
        <v>1</v>
      </c>
      <c r="C56" s="55" t="b">
        <v>0</v>
      </c>
      <c r="D56" s="55" t="s">
        <v>113</v>
      </c>
      <c r="E56" s="55" t="s">
        <v>192</v>
      </c>
      <c r="F56" s="55" t="s">
        <v>157</v>
      </c>
      <c r="G56" s="55" t="s">
        <v>211</v>
      </c>
      <c r="H56" s="55" t="s">
        <v>1276</v>
      </c>
      <c r="I56" s="55"/>
      <c r="J56" s="55" t="s">
        <v>1362</v>
      </c>
      <c r="K56" s="81" t="s">
        <v>1371</v>
      </c>
      <c r="L56" s="81"/>
      <c r="M56" s="55"/>
      <c r="N56" s="55"/>
      <c r="O56" s="59" t="s">
        <v>1370</v>
      </c>
      <c r="P56" s="79" t="s">
        <v>1966</v>
      </c>
    </row>
    <row r="57" spans="1:16" x14ac:dyDescent="0.2">
      <c r="A57" s="55">
        <v>640</v>
      </c>
      <c r="B57" s="55" t="b">
        <v>1</v>
      </c>
      <c r="C57" s="55" t="b">
        <v>0</v>
      </c>
      <c r="D57" s="55" t="s">
        <v>113</v>
      </c>
      <c r="E57" s="55" t="s">
        <v>192</v>
      </c>
      <c r="F57" s="55" t="s">
        <v>157</v>
      </c>
      <c r="G57" s="55" t="s">
        <v>212</v>
      </c>
      <c r="H57" s="55" t="s">
        <v>1276</v>
      </c>
      <c r="I57" s="55"/>
      <c r="J57" s="55" t="s">
        <v>1362</v>
      </c>
      <c r="K57" s="81" t="s">
        <v>1371</v>
      </c>
      <c r="L57" s="81"/>
      <c r="M57" s="55"/>
      <c r="N57" s="55"/>
      <c r="O57" s="59" t="s">
        <v>1370</v>
      </c>
      <c r="P57" s="79" t="s">
        <v>1966</v>
      </c>
    </row>
    <row r="58" spans="1:16" x14ac:dyDescent="0.2">
      <c r="A58" s="55">
        <v>641</v>
      </c>
      <c r="B58" s="55" t="b">
        <v>1</v>
      </c>
      <c r="C58" s="55" t="b">
        <v>0</v>
      </c>
      <c r="D58" s="55" t="s">
        <v>113</v>
      </c>
      <c r="E58" s="55" t="s">
        <v>192</v>
      </c>
      <c r="F58" s="55" t="s">
        <v>157</v>
      </c>
      <c r="G58" s="55" t="s">
        <v>213</v>
      </c>
      <c r="H58" s="55" t="s">
        <v>1276</v>
      </c>
      <c r="I58" s="55"/>
      <c r="J58" s="55" t="s">
        <v>1362</v>
      </c>
      <c r="K58" s="81" t="s">
        <v>1371</v>
      </c>
      <c r="L58" s="81"/>
      <c r="M58" s="55"/>
      <c r="N58" s="55"/>
      <c r="O58" s="59" t="s">
        <v>1370</v>
      </c>
      <c r="P58" s="79" t="s">
        <v>1966</v>
      </c>
    </row>
    <row r="59" spans="1:16" x14ac:dyDescent="0.2">
      <c r="A59" s="55">
        <v>642</v>
      </c>
      <c r="B59" s="55" t="b">
        <v>1</v>
      </c>
      <c r="C59" s="55" t="b">
        <v>0</v>
      </c>
      <c r="D59" s="55" t="s">
        <v>113</v>
      </c>
      <c r="E59" s="55" t="s">
        <v>192</v>
      </c>
      <c r="F59" s="55" t="s">
        <v>169</v>
      </c>
      <c r="G59" s="55" t="s">
        <v>497</v>
      </c>
      <c r="H59" s="55" t="s">
        <v>1276</v>
      </c>
      <c r="I59" s="55"/>
      <c r="J59" s="55" t="s">
        <v>1362</v>
      </c>
      <c r="K59" s="55" t="s">
        <v>1367</v>
      </c>
      <c r="L59" s="55"/>
      <c r="M59" s="55"/>
      <c r="N59" s="55"/>
      <c r="O59" s="59" t="s">
        <v>1369</v>
      </c>
      <c r="P59" s="77" t="s">
        <v>1966</v>
      </c>
    </row>
    <row r="60" spans="1:16" x14ac:dyDescent="0.2">
      <c r="A60" s="55"/>
      <c r="B60" s="55"/>
      <c r="C60" s="55"/>
      <c r="D60" s="55"/>
      <c r="E60" s="55"/>
      <c r="F60" s="55"/>
      <c r="G60" s="55"/>
      <c r="H60" s="55"/>
      <c r="I60" s="55"/>
      <c r="J60" s="55"/>
      <c r="K60" s="55"/>
      <c r="L60" s="55"/>
      <c r="M60" s="55"/>
      <c r="N60" s="55"/>
      <c r="O60" s="59"/>
      <c r="P60" s="77"/>
    </row>
    <row r="61" spans="1:16" s="57" customFormat="1" x14ac:dyDescent="0.2">
      <c r="A61" s="56">
        <v>643</v>
      </c>
      <c r="B61" s="56"/>
      <c r="C61" s="56"/>
      <c r="D61" s="56" t="s">
        <v>113</v>
      </c>
      <c r="E61" s="56" t="s">
        <v>192</v>
      </c>
      <c r="F61" s="56" t="s">
        <v>138</v>
      </c>
      <c r="G61" s="56" t="s">
        <v>203</v>
      </c>
      <c r="H61" s="56" t="s">
        <v>1276</v>
      </c>
      <c r="I61" s="56"/>
      <c r="J61" s="56" t="s">
        <v>1883</v>
      </c>
      <c r="K61" s="56" t="s">
        <v>1781</v>
      </c>
      <c r="L61" s="56"/>
      <c r="M61" s="56"/>
      <c r="N61" s="56"/>
      <c r="O61" s="76" t="s">
        <v>1785</v>
      </c>
      <c r="P61" s="78" t="s">
        <v>1927</v>
      </c>
    </row>
    <row r="62" spans="1:16" s="57" customFormat="1" x14ac:dyDescent="0.2">
      <c r="A62" s="56">
        <v>644</v>
      </c>
      <c r="B62" s="56"/>
      <c r="C62" s="56"/>
      <c r="D62" s="56" t="s">
        <v>113</v>
      </c>
      <c r="E62" s="56" t="s">
        <v>192</v>
      </c>
      <c r="F62" s="56" t="s">
        <v>138</v>
      </c>
      <c r="G62" s="56" t="s">
        <v>204</v>
      </c>
      <c r="H62" s="56" t="s">
        <v>1276</v>
      </c>
      <c r="I62" s="56"/>
      <c r="J62" s="56" t="s">
        <v>1883</v>
      </c>
      <c r="K62" s="56" t="s">
        <v>1782</v>
      </c>
      <c r="L62" s="56"/>
      <c r="M62" s="56"/>
      <c r="N62" s="56"/>
      <c r="O62" s="76" t="s">
        <v>1785</v>
      </c>
      <c r="P62" s="78" t="s">
        <v>1927</v>
      </c>
    </row>
    <row r="63" spans="1:16" s="57" customFormat="1" x14ac:dyDescent="0.2">
      <c r="A63" s="56">
        <v>645</v>
      </c>
      <c r="B63" s="56"/>
      <c r="C63" s="56"/>
      <c r="D63" s="56" t="s">
        <v>113</v>
      </c>
      <c r="E63" s="56" t="s">
        <v>192</v>
      </c>
      <c r="F63" s="56" t="s">
        <v>138</v>
      </c>
      <c r="G63" s="56" t="s">
        <v>205</v>
      </c>
      <c r="H63" s="56" t="s">
        <v>1276</v>
      </c>
      <c r="I63" s="56"/>
      <c r="J63" s="56" t="s">
        <v>1883</v>
      </c>
      <c r="K63" s="56" t="s">
        <v>1783</v>
      </c>
      <c r="L63" s="56"/>
      <c r="M63" s="56"/>
      <c r="N63" s="56"/>
      <c r="O63" s="76" t="s">
        <v>1785</v>
      </c>
      <c r="P63" s="78" t="s">
        <v>1927</v>
      </c>
    </row>
    <row r="64" spans="1:16" s="57" customFormat="1" x14ac:dyDescent="0.2">
      <c r="A64" s="56">
        <v>646</v>
      </c>
      <c r="B64" s="56"/>
      <c r="C64" s="56"/>
      <c r="D64" s="56" t="s">
        <v>113</v>
      </c>
      <c r="E64" s="56" t="s">
        <v>192</v>
      </c>
      <c r="F64" s="56" t="s">
        <v>138</v>
      </c>
      <c r="G64" s="56" t="s">
        <v>206</v>
      </c>
      <c r="H64" s="56" t="s">
        <v>1276</v>
      </c>
      <c r="I64" s="56"/>
      <c r="J64" s="56" t="s">
        <v>1883</v>
      </c>
      <c r="K64" s="56" t="s">
        <v>1784</v>
      </c>
      <c r="L64" s="56"/>
      <c r="M64" s="56"/>
      <c r="N64" s="56"/>
      <c r="O64" s="76" t="s">
        <v>1785</v>
      </c>
      <c r="P64" s="78" t="s">
        <v>1927</v>
      </c>
    </row>
    <row r="65" spans="1:16" s="57" customFormat="1" x14ac:dyDescent="0.2">
      <c r="A65" s="56"/>
      <c r="B65" s="56"/>
      <c r="C65" s="56"/>
      <c r="D65" s="56"/>
      <c r="E65" s="56"/>
      <c r="F65" s="56"/>
      <c r="G65" s="56"/>
      <c r="H65" s="56"/>
      <c r="I65" s="56"/>
      <c r="J65" s="56"/>
      <c r="K65" s="56"/>
      <c r="L65" s="56"/>
      <c r="M65" s="56"/>
      <c r="N65" s="56"/>
      <c r="O65" s="76"/>
      <c r="P65" s="78"/>
    </row>
    <row r="66" spans="1:16" x14ac:dyDescent="0.2">
      <c r="A66" s="55">
        <v>649</v>
      </c>
      <c r="B66" s="55" t="b">
        <v>1</v>
      </c>
      <c r="C66" s="55" t="b">
        <v>1</v>
      </c>
      <c r="D66" s="55" t="s">
        <v>113</v>
      </c>
      <c r="E66" s="55" t="s">
        <v>192</v>
      </c>
      <c r="F66" s="55" t="s">
        <v>173</v>
      </c>
      <c r="G66" s="55" t="s">
        <v>497</v>
      </c>
      <c r="H66" s="55" t="s">
        <v>1276</v>
      </c>
      <c r="I66" s="55"/>
      <c r="J66" s="55" t="s">
        <v>1434</v>
      </c>
      <c r="K66" s="55" t="s">
        <v>1435</v>
      </c>
      <c r="L66" s="55"/>
      <c r="M66" s="55"/>
      <c r="N66" s="55"/>
      <c r="O66" s="77"/>
      <c r="P66" s="73"/>
    </row>
    <row r="67" spans="1:16" x14ac:dyDescent="0.2">
      <c r="A67" s="55"/>
      <c r="B67" s="55"/>
      <c r="C67" s="55"/>
      <c r="D67" s="55"/>
      <c r="E67" s="55"/>
      <c r="F67" s="55"/>
      <c r="G67" s="55"/>
      <c r="H67" s="55"/>
      <c r="I67" s="55"/>
      <c r="J67" s="55"/>
      <c r="K67" s="55"/>
      <c r="L67" s="55"/>
      <c r="M67" s="55"/>
      <c r="N67" s="55"/>
      <c r="O67" s="77"/>
      <c r="P67" s="73"/>
    </row>
    <row r="68" spans="1:16" s="57" customFormat="1" x14ac:dyDescent="0.2">
      <c r="A68" s="56">
        <v>677</v>
      </c>
      <c r="B68" s="56"/>
      <c r="C68" s="56"/>
      <c r="D68" s="56" t="s">
        <v>113</v>
      </c>
      <c r="E68" s="56" t="s">
        <v>192</v>
      </c>
      <c r="F68" s="56" t="s">
        <v>143</v>
      </c>
      <c r="G68" s="56" t="s">
        <v>1209</v>
      </c>
      <c r="H68" s="56" t="s">
        <v>1276</v>
      </c>
      <c r="I68" s="56"/>
      <c r="J68" s="56" t="s">
        <v>1277</v>
      </c>
      <c r="K68" s="56" t="s">
        <v>1871</v>
      </c>
      <c r="L68" s="56"/>
      <c r="M68" s="56"/>
      <c r="N68" s="56"/>
      <c r="O68" s="76" t="s">
        <v>1873</v>
      </c>
      <c r="P68" s="78" t="s">
        <v>1926</v>
      </c>
    </row>
    <row r="69" spans="1:16" s="57" customFormat="1" x14ac:dyDescent="0.2">
      <c r="A69" s="56">
        <v>678</v>
      </c>
      <c r="B69" s="56"/>
      <c r="C69" s="56"/>
      <c r="D69" s="56" t="s">
        <v>113</v>
      </c>
      <c r="E69" s="56" t="s">
        <v>192</v>
      </c>
      <c r="F69" s="56" t="s">
        <v>143</v>
      </c>
      <c r="G69" s="56" t="s">
        <v>1210</v>
      </c>
      <c r="H69" s="56" t="s">
        <v>1276</v>
      </c>
      <c r="I69" s="56"/>
      <c r="J69" s="56" t="s">
        <v>1277</v>
      </c>
      <c r="K69" s="56" t="s">
        <v>1872</v>
      </c>
      <c r="L69" s="56"/>
      <c r="M69" s="56"/>
      <c r="N69" s="56"/>
      <c r="O69" s="76" t="s">
        <v>1874</v>
      </c>
      <c r="P69" s="78" t="s">
        <v>1926</v>
      </c>
    </row>
    <row r="70" spans="1:16" s="57" customFormat="1" x14ac:dyDescent="0.2">
      <c r="A70" s="56"/>
      <c r="B70" s="56"/>
      <c r="C70" s="56"/>
      <c r="D70" s="56"/>
      <c r="E70" s="56"/>
      <c r="F70" s="56"/>
      <c r="G70" s="56"/>
      <c r="H70" s="56"/>
      <c r="I70" s="56"/>
      <c r="J70" s="56"/>
      <c r="K70" s="56"/>
      <c r="L70" s="56"/>
      <c r="M70" s="56"/>
      <c r="N70" s="56"/>
      <c r="O70" s="76"/>
      <c r="P70" s="78"/>
    </row>
    <row r="71" spans="1:16" x14ac:dyDescent="0.2">
      <c r="A71" s="55">
        <v>830</v>
      </c>
      <c r="B71" s="55" t="b">
        <v>1</v>
      </c>
      <c r="C71" s="55" t="b">
        <v>1</v>
      </c>
      <c r="D71" s="55" t="s">
        <v>1170</v>
      </c>
      <c r="E71" s="55" t="s">
        <v>192</v>
      </c>
      <c r="F71" s="55" t="s">
        <v>1174</v>
      </c>
      <c r="G71" s="55" t="s">
        <v>497</v>
      </c>
      <c r="H71" s="55" t="s">
        <v>1276</v>
      </c>
      <c r="I71" s="55"/>
      <c r="J71" s="55" t="s">
        <v>1277</v>
      </c>
      <c r="K71" s="55" t="s">
        <v>1832</v>
      </c>
      <c r="L71" s="55"/>
      <c r="M71" s="55"/>
      <c r="N71" s="55"/>
      <c r="O71" s="59" t="s">
        <v>1835</v>
      </c>
      <c r="P71" s="77" t="s">
        <v>1927</v>
      </c>
    </row>
    <row r="72" spans="1:16" x14ac:dyDescent="0.2">
      <c r="A72" s="55">
        <v>831</v>
      </c>
      <c r="B72" s="55" t="b">
        <v>1</v>
      </c>
      <c r="C72" s="55" t="b">
        <v>1</v>
      </c>
      <c r="D72" s="55" t="s">
        <v>1170</v>
      </c>
      <c r="E72" s="55" t="s">
        <v>192</v>
      </c>
      <c r="F72" s="55" t="s">
        <v>1173</v>
      </c>
      <c r="G72" s="55" t="s">
        <v>497</v>
      </c>
      <c r="H72" s="55" t="s">
        <v>1276</v>
      </c>
      <c r="I72" s="55"/>
      <c r="J72" s="55" t="s">
        <v>1277</v>
      </c>
      <c r="K72" s="55" t="s">
        <v>1833</v>
      </c>
      <c r="L72" s="55"/>
      <c r="M72" s="55"/>
      <c r="N72" s="55"/>
      <c r="O72" s="59" t="s">
        <v>1835</v>
      </c>
      <c r="P72" s="77" t="s">
        <v>1927</v>
      </c>
    </row>
    <row r="73" spans="1:16" x14ac:dyDescent="0.2">
      <c r="A73" s="55">
        <v>832</v>
      </c>
      <c r="B73" s="55" t="b">
        <v>1</v>
      </c>
      <c r="C73" s="55" t="b">
        <v>1</v>
      </c>
      <c r="D73" s="55" t="s">
        <v>1170</v>
      </c>
      <c r="E73" s="55" t="s">
        <v>192</v>
      </c>
      <c r="F73" s="55" t="s">
        <v>1181</v>
      </c>
      <c r="G73" s="55" t="s">
        <v>497</v>
      </c>
      <c r="H73" s="55" t="s">
        <v>1276</v>
      </c>
      <c r="I73" s="55"/>
      <c r="J73" s="55" t="s">
        <v>1434</v>
      </c>
      <c r="K73" s="55" t="s">
        <v>1834</v>
      </c>
      <c r="L73" s="55"/>
      <c r="M73" s="55"/>
      <c r="N73" s="55"/>
      <c r="O73" s="59" t="s">
        <v>1835</v>
      </c>
      <c r="P73" s="77" t="s">
        <v>1927</v>
      </c>
    </row>
    <row r="74" spans="1:16" x14ac:dyDescent="0.2">
      <c r="A74" s="55">
        <v>840</v>
      </c>
      <c r="B74" s="55" t="b">
        <v>1</v>
      </c>
      <c r="C74" s="55" t="b">
        <v>1</v>
      </c>
      <c r="D74" s="55" t="s">
        <v>1170</v>
      </c>
      <c r="E74" s="55" t="s">
        <v>192</v>
      </c>
      <c r="F74" s="55" t="s">
        <v>1175</v>
      </c>
      <c r="G74" s="55" t="s">
        <v>497</v>
      </c>
      <c r="H74" s="55" t="s">
        <v>1276</v>
      </c>
      <c r="I74" s="55"/>
      <c r="J74" s="55" t="s">
        <v>1277</v>
      </c>
      <c r="K74" s="55" t="s">
        <v>1840</v>
      </c>
      <c r="L74" s="55"/>
      <c r="M74" s="55"/>
      <c r="N74" s="55"/>
      <c r="O74" s="59" t="s">
        <v>1841</v>
      </c>
      <c r="P74" s="77" t="s">
        <v>1927</v>
      </c>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D7112-B69B-A74D-BFDE-EC48A4DC4CBE}">
  <dimension ref="A1:H8"/>
  <sheetViews>
    <sheetView workbookViewId="0">
      <pane ySplit="1" topLeftCell="A2" activePane="bottomLeft" state="frozen"/>
      <selection pane="bottomLeft" activeCell="A9" sqref="A9"/>
    </sheetView>
  </sheetViews>
  <sheetFormatPr baseColWidth="10" defaultRowHeight="16" x14ac:dyDescent="0.2"/>
  <cols>
    <col min="1" max="1" width="9.1640625" style="58" customWidth="1"/>
    <col min="2" max="2" width="15.5" style="58" customWidth="1"/>
    <col min="3" max="3" width="13.83203125" style="58" customWidth="1"/>
    <col min="4" max="4" width="15.33203125" style="58" customWidth="1"/>
    <col min="5" max="5" width="15" style="58" customWidth="1"/>
    <col min="6" max="6" width="36.5" style="58" customWidth="1"/>
    <col min="7" max="7" width="30.33203125" style="58" customWidth="1"/>
    <col min="8" max="8" width="10" style="58" customWidth="1"/>
    <col min="9" max="16384" width="10.83203125" style="58"/>
  </cols>
  <sheetData>
    <row r="1" spans="1:8" s="68" customFormat="1" x14ac:dyDescent="0.2">
      <c r="A1" s="68" t="s">
        <v>0</v>
      </c>
      <c r="B1" s="64" t="s">
        <v>1084</v>
      </c>
      <c r="C1" s="64" t="s">
        <v>1085</v>
      </c>
      <c r="D1" s="64" t="s">
        <v>1086</v>
      </c>
      <c r="E1" s="64" t="s">
        <v>1087</v>
      </c>
      <c r="F1" s="64" t="s">
        <v>1089</v>
      </c>
      <c r="G1" s="64" t="s">
        <v>2011</v>
      </c>
      <c r="H1" s="64" t="s">
        <v>1095</v>
      </c>
    </row>
    <row r="2" spans="1:8" x14ac:dyDescent="0.2">
      <c r="A2" s="58" t="b">
        <v>1</v>
      </c>
      <c r="B2" s="58" t="s">
        <v>192</v>
      </c>
      <c r="C2" s="58" t="s">
        <v>1154</v>
      </c>
      <c r="E2" s="58" t="s">
        <v>1276</v>
      </c>
      <c r="F2" s="58" t="s">
        <v>2012</v>
      </c>
      <c r="G2" s="58" t="s">
        <v>1865</v>
      </c>
      <c r="H2" s="58" t="s">
        <v>1869</v>
      </c>
    </row>
    <row r="3" spans="1:8" x14ac:dyDescent="0.2">
      <c r="A3" s="58" t="b">
        <v>1</v>
      </c>
      <c r="B3" s="58" t="s">
        <v>192</v>
      </c>
      <c r="C3" s="58" t="s">
        <v>121</v>
      </c>
      <c r="E3" s="58" t="s">
        <v>1276</v>
      </c>
      <c r="F3" s="58" t="s">
        <v>2013</v>
      </c>
      <c r="G3" s="58" t="s">
        <v>1866</v>
      </c>
      <c r="H3" s="58" t="s">
        <v>1867</v>
      </c>
    </row>
    <row r="4" spans="1:8" ht="409.6" x14ac:dyDescent="0.2">
      <c r="A4" s="58" t="b">
        <v>1</v>
      </c>
      <c r="B4" s="58" t="s">
        <v>192</v>
      </c>
      <c r="C4" s="58" t="s">
        <v>175</v>
      </c>
      <c r="E4" s="58" t="s">
        <v>1276</v>
      </c>
      <c r="F4" s="85" t="s">
        <v>2017</v>
      </c>
      <c r="G4" s="58" t="s">
        <v>1278</v>
      </c>
    </row>
    <row r="5" spans="1:8" ht="51" x14ac:dyDescent="0.2">
      <c r="A5" s="58" t="b">
        <v>1</v>
      </c>
      <c r="B5" s="58" t="s">
        <v>192</v>
      </c>
      <c r="C5" s="58" t="s">
        <v>158</v>
      </c>
      <c r="E5" s="58" t="s">
        <v>1276</v>
      </c>
      <c r="F5" s="85" t="s">
        <v>2016</v>
      </c>
      <c r="G5" s="58" t="s">
        <v>1864</v>
      </c>
      <c r="H5" s="58" t="s">
        <v>1868</v>
      </c>
    </row>
    <row r="6" spans="1:8" x14ac:dyDescent="0.2">
      <c r="A6" s="58" t="b">
        <v>1</v>
      </c>
      <c r="B6" s="58" t="s">
        <v>192</v>
      </c>
      <c r="C6" s="58" t="s">
        <v>1174</v>
      </c>
      <c r="E6" s="58" t="s">
        <v>1276</v>
      </c>
      <c r="G6" s="58" t="s">
        <v>1832</v>
      </c>
    </row>
    <row r="7" spans="1:8" ht="68" x14ac:dyDescent="0.2">
      <c r="A7" s="58" t="b">
        <v>1</v>
      </c>
      <c r="B7" s="58" t="s">
        <v>192</v>
      </c>
      <c r="C7" s="58" t="s">
        <v>1173</v>
      </c>
      <c r="E7" s="58" t="s">
        <v>1276</v>
      </c>
      <c r="F7" s="85" t="s">
        <v>2018</v>
      </c>
      <c r="G7" s="58" t="s">
        <v>1833</v>
      </c>
    </row>
    <row r="8" spans="1:8" x14ac:dyDescent="0.2">
      <c r="A8" s="58" t="b">
        <v>1</v>
      </c>
      <c r="B8" s="58" t="s">
        <v>192</v>
      </c>
      <c r="C8" s="58" t="s">
        <v>1175</v>
      </c>
      <c r="E8" s="58" t="s">
        <v>1276</v>
      </c>
      <c r="G8" s="58" t="s">
        <v>1840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CAD1A-92FF-3346-8108-2C4AA07D2B2C}">
  <dimension ref="A1:AC42"/>
  <sheetViews>
    <sheetView workbookViewId="0">
      <pane ySplit="1" topLeftCell="A2" activePane="bottomLeft" state="frozen"/>
      <selection pane="bottomLeft" activeCell="K13" sqref="K13"/>
    </sheetView>
  </sheetViews>
  <sheetFormatPr baseColWidth="10" defaultRowHeight="16" x14ac:dyDescent="0.2"/>
  <cols>
    <col min="1" max="1" width="9.33203125" style="86" customWidth="1"/>
    <col min="2" max="2" width="10.5" style="86" customWidth="1"/>
    <col min="3" max="3" width="28.5" style="86" customWidth="1"/>
    <col min="4" max="4" width="13" style="86" customWidth="1"/>
    <col min="5" max="5" width="16.6640625" style="86" customWidth="1"/>
    <col min="6" max="6" width="35.33203125" style="86" customWidth="1"/>
    <col min="7" max="7" width="12" style="86" customWidth="1"/>
    <col min="8" max="8" width="10.5" style="86" customWidth="1"/>
    <col min="9" max="9" width="12.1640625" style="86" customWidth="1"/>
    <col min="10" max="10" width="10.83203125" style="86"/>
    <col min="11" max="11" width="12.6640625" style="86" customWidth="1"/>
    <col min="12" max="12" width="41.83203125" style="58" customWidth="1"/>
    <col min="13" max="13" width="13.33203125" style="58" customWidth="1"/>
    <col min="14" max="16384" width="10.83203125" style="58"/>
  </cols>
  <sheetData>
    <row r="1" spans="1:29" s="66" customFormat="1" x14ac:dyDescent="0.2">
      <c r="A1" s="64" t="s">
        <v>1549</v>
      </c>
      <c r="B1" s="64" t="s">
        <v>0</v>
      </c>
      <c r="C1" s="64" t="s">
        <v>10</v>
      </c>
      <c r="D1" s="64" t="s">
        <v>1</v>
      </c>
      <c r="E1" s="64" t="s">
        <v>2</v>
      </c>
      <c r="F1" s="64" t="s">
        <v>3</v>
      </c>
      <c r="G1" s="64" t="s">
        <v>4</v>
      </c>
      <c r="H1" s="64" t="s">
        <v>5</v>
      </c>
      <c r="I1" s="64" t="s">
        <v>6</v>
      </c>
      <c r="J1" s="64" t="s">
        <v>7</v>
      </c>
      <c r="K1" s="64" t="s">
        <v>8</v>
      </c>
      <c r="L1" s="65" t="s">
        <v>9</v>
      </c>
      <c r="M1" s="65" t="s">
        <v>1947</v>
      </c>
      <c r="N1" s="65"/>
      <c r="O1" s="65"/>
      <c r="P1" s="65"/>
      <c r="Q1" s="65"/>
      <c r="R1" s="65"/>
      <c r="S1" s="65"/>
      <c r="T1" s="65"/>
      <c r="U1" s="65"/>
      <c r="V1" s="65"/>
      <c r="W1" s="65"/>
      <c r="X1" s="65"/>
      <c r="Y1" s="65"/>
      <c r="Z1" s="65"/>
      <c r="AA1" s="65"/>
      <c r="AB1" s="65"/>
      <c r="AC1" s="65"/>
    </row>
    <row r="2" spans="1:29" x14ac:dyDescent="0.2">
      <c r="A2" s="86">
        <v>249</v>
      </c>
      <c r="B2" s="86" t="b">
        <f>IF(OR(F2="NA",G2="wide_value"),"",TRUE)</f>
        <v>1</v>
      </c>
      <c r="C2" s="86" t="s">
        <v>113</v>
      </c>
      <c r="D2" s="86" t="s">
        <v>192</v>
      </c>
      <c r="E2" s="86" t="s">
        <v>128</v>
      </c>
      <c r="F2" s="86" t="s">
        <v>284</v>
      </c>
      <c r="G2" s="86" t="s">
        <v>1276</v>
      </c>
      <c r="H2" s="86" t="s">
        <v>1333</v>
      </c>
      <c r="I2" s="86" t="s">
        <v>1334</v>
      </c>
      <c r="L2" s="67" t="s">
        <v>1664</v>
      </c>
    </row>
    <row r="3" spans="1:29" x14ac:dyDescent="0.2">
      <c r="A3" s="86">
        <v>250</v>
      </c>
      <c r="B3" s="86" t="b">
        <f>IF(OR(F3="NA",G3="wide_value"),"",TRUE)</f>
        <v>1</v>
      </c>
      <c r="C3" s="86" t="s">
        <v>113</v>
      </c>
      <c r="D3" s="86" t="s">
        <v>192</v>
      </c>
      <c r="E3" s="86" t="s">
        <v>128</v>
      </c>
      <c r="F3" s="86" t="s">
        <v>285</v>
      </c>
      <c r="G3" s="86" t="s">
        <v>1276</v>
      </c>
      <c r="H3" s="86" t="s">
        <v>1333</v>
      </c>
      <c r="I3" s="86" t="s">
        <v>1656</v>
      </c>
      <c r="L3" s="67" t="s">
        <v>1664</v>
      </c>
    </row>
    <row r="4" spans="1:29" x14ac:dyDescent="0.2">
      <c r="A4" s="86">
        <v>251</v>
      </c>
      <c r="B4" s="86" t="b">
        <f>IF(OR(F4="NA",G4="wide_value"),"",TRUE)</f>
        <v>1</v>
      </c>
      <c r="C4" s="86" t="s">
        <v>113</v>
      </c>
      <c r="D4" s="86" t="s">
        <v>192</v>
      </c>
      <c r="E4" s="86" t="s">
        <v>128</v>
      </c>
      <c r="F4" s="86" t="s">
        <v>286</v>
      </c>
      <c r="G4" s="86" t="s">
        <v>1276</v>
      </c>
      <c r="H4" s="86" t="s">
        <v>1333</v>
      </c>
      <c r="I4" s="86" t="s">
        <v>1657</v>
      </c>
      <c r="L4" s="67" t="s">
        <v>1664</v>
      </c>
    </row>
    <row r="5" spans="1:29" x14ac:dyDescent="0.2">
      <c r="A5" s="86">
        <v>252</v>
      </c>
      <c r="B5" s="86" t="b">
        <f>IF(OR(F5="NA",G5="wide_value"),"",TRUE)</f>
        <v>1</v>
      </c>
      <c r="C5" s="86" t="s">
        <v>113</v>
      </c>
      <c r="D5" s="86" t="s">
        <v>192</v>
      </c>
      <c r="E5" s="86" t="s">
        <v>128</v>
      </c>
      <c r="F5" s="86" t="s">
        <v>287</v>
      </c>
      <c r="G5" s="86" t="s">
        <v>1276</v>
      </c>
      <c r="H5" s="86" t="s">
        <v>1333</v>
      </c>
      <c r="I5" s="86" t="s">
        <v>1658</v>
      </c>
      <c r="L5" s="67" t="s">
        <v>1664</v>
      </c>
    </row>
    <row r="6" spans="1:29" x14ac:dyDescent="0.2">
      <c r="A6" s="86">
        <v>253</v>
      </c>
      <c r="B6" s="86" t="b">
        <f>IF(OR(F6="NA",G6="wide_value"),"",TRUE)</f>
        <v>1</v>
      </c>
      <c r="C6" s="86" t="s">
        <v>113</v>
      </c>
      <c r="D6" s="86" t="s">
        <v>192</v>
      </c>
      <c r="E6" s="86" t="s">
        <v>128</v>
      </c>
      <c r="F6" s="86" t="s">
        <v>288</v>
      </c>
      <c r="G6" s="86" t="s">
        <v>1276</v>
      </c>
      <c r="H6" s="86" t="s">
        <v>1333</v>
      </c>
      <c r="I6" s="86" t="s">
        <v>1659</v>
      </c>
      <c r="L6" s="67" t="s">
        <v>1664</v>
      </c>
    </row>
    <row r="7" spans="1:29" x14ac:dyDescent="0.2">
      <c r="A7" s="86">
        <v>254</v>
      </c>
      <c r="B7" s="86" t="b">
        <f>IF(OR(F7="NA",G7="wide_value"),"",TRUE)</f>
        <v>1</v>
      </c>
      <c r="C7" s="86" t="s">
        <v>113</v>
      </c>
      <c r="D7" s="86" t="s">
        <v>192</v>
      </c>
      <c r="E7" s="86" t="s">
        <v>128</v>
      </c>
      <c r="F7" s="86" t="s">
        <v>289</v>
      </c>
      <c r="G7" s="86" t="s">
        <v>1276</v>
      </c>
      <c r="H7" s="86" t="s">
        <v>1333</v>
      </c>
      <c r="I7" s="86" t="s">
        <v>1660</v>
      </c>
      <c r="L7" s="67" t="s">
        <v>1664</v>
      </c>
    </row>
    <row r="8" spans="1:29" x14ac:dyDescent="0.2">
      <c r="A8" s="86">
        <v>255</v>
      </c>
      <c r="B8" s="86" t="b">
        <f>IF(OR(F8="NA",G8="wide_value"),"",TRUE)</f>
        <v>1</v>
      </c>
      <c r="C8" s="86" t="s">
        <v>113</v>
      </c>
      <c r="D8" s="86" t="s">
        <v>192</v>
      </c>
      <c r="E8" s="86" t="s">
        <v>128</v>
      </c>
      <c r="F8" s="86" t="s">
        <v>290</v>
      </c>
      <c r="G8" s="86" t="s">
        <v>1276</v>
      </c>
      <c r="H8" s="86" t="s">
        <v>1333</v>
      </c>
      <c r="I8" s="86" t="s">
        <v>1589</v>
      </c>
      <c r="L8" s="67" t="s">
        <v>1665</v>
      </c>
    </row>
    <row r="9" spans="1:29" x14ac:dyDescent="0.2">
      <c r="A9" s="86">
        <v>256</v>
      </c>
      <c r="B9" s="86" t="b">
        <f>IF(OR(F9="NA",G9="wide_value"),"",TRUE)</f>
        <v>1</v>
      </c>
      <c r="C9" s="86" t="s">
        <v>113</v>
      </c>
      <c r="D9" s="86" t="s">
        <v>192</v>
      </c>
      <c r="E9" s="86" t="s">
        <v>128</v>
      </c>
      <c r="F9" s="86" t="s">
        <v>291</v>
      </c>
      <c r="G9" s="86" t="s">
        <v>1276</v>
      </c>
      <c r="H9" s="86" t="s">
        <v>1333</v>
      </c>
      <c r="I9" s="86" t="s">
        <v>1661</v>
      </c>
      <c r="L9" s="67" t="s">
        <v>1666</v>
      </c>
    </row>
    <row r="10" spans="1:29" x14ac:dyDescent="0.2">
      <c r="A10" s="86">
        <v>257</v>
      </c>
      <c r="B10" s="86" t="b">
        <f>IF(OR(F10="NA",G10="wide_value"),"",TRUE)</f>
        <v>1</v>
      </c>
      <c r="C10" s="86" t="s">
        <v>113</v>
      </c>
      <c r="D10" s="86" t="s">
        <v>192</v>
      </c>
      <c r="E10" s="86" t="s">
        <v>128</v>
      </c>
      <c r="F10" s="86" t="s">
        <v>292</v>
      </c>
      <c r="G10" s="86" t="s">
        <v>1276</v>
      </c>
      <c r="H10" s="86" t="s">
        <v>1333</v>
      </c>
      <c r="I10" s="86" t="s">
        <v>1588</v>
      </c>
      <c r="L10" s="67" t="s">
        <v>1666</v>
      </c>
    </row>
    <row r="11" spans="1:29" x14ac:dyDescent="0.2">
      <c r="A11" s="86">
        <v>258</v>
      </c>
      <c r="B11" s="86" t="b">
        <f>IF(OR(F11="NA",G11="wide_value"),"",TRUE)</f>
        <v>1</v>
      </c>
      <c r="C11" s="86" t="s">
        <v>113</v>
      </c>
      <c r="D11" s="86" t="s">
        <v>192</v>
      </c>
      <c r="E11" s="86" t="s">
        <v>128</v>
      </c>
      <c r="F11" s="86" t="s">
        <v>293</v>
      </c>
      <c r="G11" s="86" t="s">
        <v>1276</v>
      </c>
      <c r="H11" s="86" t="s">
        <v>1333</v>
      </c>
      <c r="I11" s="86" t="s">
        <v>1662</v>
      </c>
      <c r="L11" s="67" t="s">
        <v>1667</v>
      </c>
    </row>
    <row r="12" spans="1:29" x14ac:dyDescent="0.2">
      <c r="A12" s="86">
        <v>259</v>
      </c>
      <c r="B12" s="86" t="b">
        <f>IF(OR(F12="NA",G12="wide_value"),"",TRUE)</f>
        <v>1</v>
      </c>
      <c r="C12" s="86" t="s">
        <v>113</v>
      </c>
      <c r="D12" s="86" t="s">
        <v>192</v>
      </c>
      <c r="E12" s="86" t="s">
        <v>128</v>
      </c>
      <c r="F12" s="86" t="s">
        <v>294</v>
      </c>
      <c r="G12" s="86" t="s">
        <v>1276</v>
      </c>
      <c r="H12" s="86" t="s">
        <v>1333</v>
      </c>
      <c r="I12" s="86" t="s">
        <v>1587</v>
      </c>
      <c r="L12" s="67" t="s">
        <v>1667</v>
      </c>
    </row>
    <row r="13" spans="1:29" x14ac:dyDescent="0.2">
      <c r="A13" s="86">
        <v>260</v>
      </c>
      <c r="B13" s="86" t="b">
        <f>IF(OR(F13="NA",G13="wide_value"),"",TRUE)</f>
        <v>1</v>
      </c>
      <c r="C13" s="86" t="s">
        <v>113</v>
      </c>
      <c r="D13" s="86" t="s">
        <v>192</v>
      </c>
      <c r="E13" s="86" t="s">
        <v>128</v>
      </c>
      <c r="F13" s="86" t="s">
        <v>295</v>
      </c>
      <c r="G13" s="86" t="s">
        <v>1276</v>
      </c>
      <c r="H13" s="86" t="s">
        <v>1333</v>
      </c>
      <c r="I13" s="86" t="s">
        <v>1663</v>
      </c>
      <c r="L13" s="67" t="s">
        <v>1667</v>
      </c>
    </row>
    <row r="14" spans="1:29" x14ac:dyDescent="0.2">
      <c r="B14" s="62"/>
      <c r="C14" s="62"/>
      <c r="D14" s="62"/>
      <c r="E14" s="62"/>
      <c r="F14" s="62"/>
      <c r="G14" s="62"/>
      <c r="H14" s="62"/>
      <c r="I14" s="62"/>
    </row>
    <row r="15" spans="1:29" x14ac:dyDescent="0.2">
      <c r="A15" s="86">
        <v>261</v>
      </c>
      <c r="B15" s="86" t="b">
        <f>IF(OR(F15="NA",G15="wide_value"),"",TRUE)</f>
        <v>1</v>
      </c>
      <c r="C15" s="86" t="s">
        <v>113</v>
      </c>
      <c r="D15" s="86" t="s">
        <v>192</v>
      </c>
      <c r="E15" s="86" t="s">
        <v>170</v>
      </c>
      <c r="F15" s="86" t="s">
        <v>296</v>
      </c>
      <c r="G15" s="86" t="s">
        <v>1276</v>
      </c>
      <c r="H15" s="86" t="s">
        <v>1333</v>
      </c>
      <c r="I15" s="86" t="s">
        <v>1334</v>
      </c>
      <c r="L15" s="67" t="s">
        <v>1668</v>
      </c>
    </row>
    <row r="16" spans="1:29" x14ac:dyDescent="0.2">
      <c r="A16" s="86">
        <v>262</v>
      </c>
      <c r="B16" s="86" t="b">
        <f>IF(OR(F16="NA",G16="wide_value"),"",TRUE)</f>
        <v>1</v>
      </c>
      <c r="C16" s="86" t="s">
        <v>113</v>
      </c>
      <c r="D16" s="86" t="s">
        <v>192</v>
      </c>
      <c r="E16" s="86" t="s">
        <v>170</v>
      </c>
      <c r="F16" s="86" t="s">
        <v>297</v>
      </c>
      <c r="G16" s="86" t="s">
        <v>1276</v>
      </c>
      <c r="H16" s="86" t="s">
        <v>1333</v>
      </c>
      <c r="I16" s="86" t="s">
        <v>1589</v>
      </c>
      <c r="L16" s="67" t="s">
        <v>1672</v>
      </c>
    </row>
    <row r="17" spans="1:12" x14ac:dyDescent="0.2">
      <c r="A17" s="86">
        <v>263</v>
      </c>
      <c r="B17" s="86" t="b">
        <f>IF(OR(F17="NA",G17="wide_value"),"",TRUE)</f>
        <v>1</v>
      </c>
      <c r="C17" s="86" t="s">
        <v>113</v>
      </c>
      <c r="D17" s="86" t="s">
        <v>192</v>
      </c>
      <c r="E17" s="86" t="s">
        <v>170</v>
      </c>
      <c r="F17" s="86" t="s">
        <v>298</v>
      </c>
      <c r="G17" s="86" t="s">
        <v>1276</v>
      </c>
      <c r="H17" s="86" t="s">
        <v>1333</v>
      </c>
      <c r="I17" s="86" t="s">
        <v>1335</v>
      </c>
      <c r="L17" s="67" t="s">
        <v>1671</v>
      </c>
    </row>
    <row r="18" spans="1:12" x14ac:dyDescent="0.2">
      <c r="A18" s="86">
        <v>264</v>
      </c>
      <c r="B18" s="86" t="b">
        <f>IF(OR(F18="NA",G18="wide_value"),"",TRUE)</f>
        <v>1</v>
      </c>
      <c r="C18" s="86" t="s">
        <v>113</v>
      </c>
      <c r="D18" s="86" t="s">
        <v>192</v>
      </c>
      <c r="E18" s="86" t="s">
        <v>170</v>
      </c>
      <c r="F18" s="86" t="s">
        <v>299</v>
      </c>
      <c r="G18" s="86" t="s">
        <v>1276</v>
      </c>
      <c r="H18" s="86" t="s">
        <v>1333</v>
      </c>
      <c r="I18" s="86" t="s">
        <v>1662</v>
      </c>
      <c r="L18" s="67" t="s">
        <v>1670</v>
      </c>
    </row>
    <row r="19" spans="1:12" x14ac:dyDescent="0.2">
      <c r="A19" s="86">
        <v>265</v>
      </c>
      <c r="B19" s="86" t="b">
        <f>IF(OR(F19="NA",G19="wide_value"),"",TRUE)</f>
        <v>1</v>
      </c>
      <c r="C19" s="86" t="s">
        <v>113</v>
      </c>
      <c r="D19" s="86" t="s">
        <v>192</v>
      </c>
      <c r="E19" s="86" t="s">
        <v>170</v>
      </c>
      <c r="F19" s="86" t="s">
        <v>1220</v>
      </c>
      <c r="G19" s="86" t="s">
        <v>1276</v>
      </c>
      <c r="H19" s="86" t="s">
        <v>1333</v>
      </c>
      <c r="I19" s="86" t="s">
        <v>1590</v>
      </c>
      <c r="L19" s="67" t="s">
        <v>1669</v>
      </c>
    </row>
    <row r="21" spans="1:12" x14ac:dyDescent="0.2">
      <c r="A21" s="86">
        <v>267</v>
      </c>
      <c r="B21" s="86" t="b">
        <f>IF(OR(F21="NA",G21="wide_value"),"",TRUE)</f>
        <v>1</v>
      </c>
      <c r="C21" s="86" t="s">
        <v>113</v>
      </c>
      <c r="D21" s="86" t="s">
        <v>192</v>
      </c>
      <c r="E21" s="86" t="s">
        <v>174</v>
      </c>
      <c r="F21" s="86" t="s">
        <v>1244</v>
      </c>
      <c r="G21" s="86" t="s">
        <v>1276</v>
      </c>
      <c r="H21" s="86" t="s">
        <v>1591</v>
      </c>
      <c r="I21" s="86" t="s">
        <v>1592</v>
      </c>
      <c r="L21" s="67" t="s">
        <v>1398</v>
      </c>
    </row>
    <row r="22" spans="1:12" x14ac:dyDescent="0.2">
      <c r="A22" s="86">
        <v>268</v>
      </c>
      <c r="B22" s="86" t="b">
        <f>IF(OR(F22="NA",G22="wide_value"),"",TRUE)</f>
        <v>1</v>
      </c>
      <c r="C22" s="86" t="s">
        <v>113</v>
      </c>
      <c r="D22" s="86" t="s">
        <v>192</v>
      </c>
      <c r="E22" s="86" t="s">
        <v>174</v>
      </c>
      <c r="F22" s="86" t="s">
        <v>1245</v>
      </c>
      <c r="G22" s="86" t="s">
        <v>1276</v>
      </c>
      <c r="H22" s="86" t="s">
        <v>1591</v>
      </c>
      <c r="I22" s="86" t="s">
        <v>1595</v>
      </c>
      <c r="L22" s="67" t="s">
        <v>1398</v>
      </c>
    </row>
    <row r="23" spans="1:12" x14ac:dyDescent="0.2">
      <c r="A23" s="86">
        <v>269</v>
      </c>
      <c r="B23" s="86" t="b">
        <f>IF(OR(F23="NA",G23="wide_value"),"",TRUE)</f>
        <v>1</v>
      </c>
      <c r="C23" s="86" t="s">
        <v>113</v>
      </c>
      <c r="D23" s="86" t="s">
        <v>192</v>
      </c>
      <c r="E23" s="86" t="s">
        <v>174</v>
      </c>
      <c r="F23" s="86" t="s">
        <v>270</v>
      </c>
      <c r="G23" s="86" t="s">
        <v>1276</v>
      </c>
      <c r="H23" s="86" t="s">
        <v>1591</v>
      </c>
      <c r="I23" s="86" t="s">
        <v>1598</v>
      </c>
      <c r="L23" s="67" t="s">
        <v>1398</v>
      </c>
    </row>
    <row r="24" spans="1:12" x14ac:dyDescent="0.2">
      <c r="A24" s="86">
        <v>270</v>
      </c>
      <c r="B24" s="86" t="b">
        <f>IF(OR(F24="NA",G24="wide_value"),"",TRUE)</f>
        <v>1</v>
      </c>
      <c r="C24" s="86" t="s">
        <v>113</v>
      </c>
      <c r="D24" s="86" t="s">
        <v>192</v>
      </c>
      <c r="E24" s="86" t="s">
        <v>174</v>
      </c>
      <c r="F24" s="86" t="s">
        <v>271</v>
      </c>
      <c r="G24" s="86" t="s">
        <v>1276</v>
      </c>
      <c r="H24" s="86" t="s">
        <v>1591</v>
      </c>
      <c r="I24" s="86" t="s">
        <v>1599</v>
      </c>
      <c r="L24" s="67" t="s">
        <v>1398</v>
      </c>
    </row>
    <row r="25" spans="1:12" x14ac:dyDescent="0.2">
      <c r="A25" s="86">
        <v>271</v>
      </c>
      <c r="B25" s="86" t="b">
        <f>IF(OR(F25="NA",G25="wide_value"),"",TRUE)</f>
        <v>1</v>
      </c>
      <c r="C25" s="86" t="s">
        <v>113</v>
      </c>
      <c r="D25" s="86" t="s">
        <v>192</v>
      </c>
      <c r="E25" s="86" t="s">
        <v>174</v>
      </c>
      <c r="F25" s="86" t="s">
        <v>272</v>
      </c>
      <c r="G25" s="86" t="s">
        <v>1276</v>
      </c>
      <c r="H25" s="86" t="s">
        <v>1591</v>
      </c>
      <c r="I25" s="86" t="s">
        <v>1594</v>
      </c>
      <c r="L25" s="67" t="s">
        <v>1398</v>
      </c>
    </row>
    <row r="26" spans="1:12" x14ac:dyDescent="0.2">
      <c r="A26" s="86">
        <v>272</v>
      </c>
      <c r="B26" s="86" t="b">
        <f>IF(OR(F26="NA",G26="wide_value"),"",TRUE)</f>
        <v>1</v>
      </c>
      <c r="C26" s="86" t="s">
        <v>113</v>
      </c>
      <c r="D26" s="86" t="s">
        <v>192</v>
      </c>
      <c r="E26" s="86" t="s">
        <v>174</v>
      </c>
      <c r="F26" s="86" t="s">
        <v>273</v>
      </c>
      <c r="G26" s="86" t="s">
        <v>1276</v>
      </c>
      <c r="H26" s="86" t="s">
        <v>1591</v>
      </c>
      <c r="I26" s="86" t="s">
        <v>1597</v>
      </c>
      <c r="L26" s="67" t="s">
        <v>1398</v>
      </c>
    </row>
    <row r="27" spans="1:12" x14ac:dyDescent="0.2">
      <c r="A27" s="86">
        <v>273</v>
      </c>
      <c r="B27" s="86" t="b">
        <f>IF(OR(F27="NA",G27="wide_value"),"",TRUE)</f>
        <v>1</v>
      </c>
      <c r="C27" s="86" t="s">
        <v>113</v>
      </c>
      <c r="D27" s="86" t="s">
        <v>192</v>
      </c>
      <c r="E27" s="86" t="s">
        <v>174</v>
      </c>
      <c r="F27" s="86" t="s">
        <v>274</v>
      </c>
      <c r="G27" s="86" t="s">
        <v>1276</v>
      </c>
      <c r="H27" s="86" t="s">
        <v>1591</v>
      </c>
      <c r="I27" s="86" t="s">
        <v>1600</v>
      </c>
      <c r="L27" s="67" t="s">
        <v>1398</v>
      </c>
    </row>
    <row r="28" spans="1:12" x14ac:dyDescent="0.2">
      <c r="A28" s="86">
        <v>274</v>
      </c>
      <c r="B28" s="86" t="b">
        <f>IF(OR(F28="NA",G28="wide_value"),"",TRUE)</f>
        <v>1</v>
      </c>
      <c r="C28" s="86" t="s">
        <v>113</v>
      </c>
      <c r="D28" s="86" t="s">
        <v>192</v>
      </c>
      <c r="E28" s="86" t="s">
        <v>174</v>
      </c>
      <c r="F28" s="86" t="s">
        <v>275</v>
      </c>
      <c r="G28" s="86" t="s">
        <v>1276</v>
      </c>
      <c r="H28" s="86" t="s">
        <v>1591</v>
      </c>
      <c r="I28" s="86" t="s">
        <v>1593</v>
      </c>
      <c r="L28" s="67" t="s">
        <v>1398</v>
      </c>
    </row>
    <row r="29" spans="1:12" x14ac:dyDescent="0.2">
      <c r="A29" s="86">
        <v>275</v>
      </c>
      <c r="B29" s="86" t="b">
        <f>IF(OR(F29="NA",G29="wide_value"),"",TRUE)</f>
        <v>1</v>
      </c>
      <c r="C29" s="86" t="s">
        <v>113</v>
      </c>
      <c r="D29" s="86" t="s">
        <v>192</v>
      </c>
      <c r="E29" s="86" t="s">
        <v>174</v>
      </c>
      <c r="F29" s="86" t="s">
        <v>276</v>
      </c>
      <c r="G29" s="86" t="s">
        <v>1276</v>
      </c>
      <c r="H29" s="86" t="s">
        <v>1591</v>
      </c>
      <c r="I29" s="86" t="s">
        <v>1596</v>
      </c>
      <c r="L29" s="67" t="s">
        <v>1398</v>
      </c>
    </row>
    <row r="30" spans="1:12" x14ac:dyDescent="0.2">
      <c r="L30" s="61"/>
    </row>
    <row r="31" spans="1:12" x14ac:dyDescent="0.2">
      <c r="A31" s="86">
        <v>325</v>
      </c>
      <c r="B31" s="86" t="b">
        <f>IF(OR(F31="NA",G31="wide_value"),"",TRUE)</f>
        <v>1</v>
      </c>
      <c r="C31" s="86" t="s">
        <v>113</v>
      </c>
      <c r="D31" s="86" t="s">
        <v>192</v>
      </c>
      <c r="E31" s="86" t="s">
        <v>1166</v>
      </c>
      <c r="F31" s="86" t="s">
        <v>1218</v>
      </c>
      <c r="G31" s="86" t="s">
        <v>1276</v>
      </c>
      <c r="H31" s="86" t="s">
        <v>1686</v>
      </c>
      <c r="I31" s="86" t="s">
        <v>1687</v>
      </c>
      <c r="L31" s="61"/>
    </row>
    <row r="32" spans="1:12" x14ac:dyDescent="0.2">
      <c r="A32" s="86">
        <v>326</v>
      </c>
      <c r="B32" s="86" t="b">
        <f>IF(OR(F32="NA",G32="wide_value"),"",TRUE)</f>
        <v>1</v>
      </c>
      <c r="C32" s="86" t="s">
        <v>113</v>
      </c>
      <c r="D32" s="86" t="s">
        <v>192</v>
      </c>
      <c r="E32" s="86" t="s">
        <v>1166</v>
      </c>
      <c r="F32" s="86" t="s">
        <v>1219</v>
      </c>
      <c r="G32" s="86" t="s">
        <v>1276</v>
      </c>
      <c r="H32" s="86" t="s">
        <v>1686</v>
      </c>
      <c r="I32" s="86" t="s">
        <v>1688</v>
      </c>
      <c r="L32" s="61"/>
    </row>
    <row r="33" spans="1:12" x14ac:dyDescent="0.2">
      <c r="A33" s="86">
        <v>327</v>
      </c>
      <c r="B33" s="86" t="b">
        <f>IF(OR(F33="NA",G33="wide_value"),"",TRUE)</f>
        <v>1</v>
      </c>
      <c r="C33" s="86" t="s">
        <v>113</v>
      </c>
      <c r="D33" s="86" t="s">
        <v>192</v>
      </c>
      <c r="E33" s="86" t="s">
        <v>1166</v>
      </c>
      <c r="F33" s="86" t="s">
        <v>234</v>
      </c>
      <c r="G33" s="86" t="s">
        <v>1276</v>
      </c>
      <c r="H33" s="86" t="s">
        <v>1686</v>
      </c>
      <c r="I33" s="86" t="s">
        <v>1689</v>
      </c>
      <c r="L33" s="61"/>
    </row>
    <row r="34" spans="1:12" x14ac:dyDescent="0.2">
      <c r="A34" s="86">
        <v>328</v>
      </c>
      <c r="B34" s="86" t="b">
        <f>IF(OR(F34="NA",G34="wide_value"),"",TRUE)</f>
        <v>1</v>
      </c>
      <c r="C34" s="86" t="s">
        <v>113</v>
      </c>
      <c r="D34" s="86" t="s">
        <v>192</v>
      </c>
      <c r="E34" s="86" t="s">
        <v>1166</v>
      </c>
      <c r="F34" s="86" t="s">
        <v>235</v>
      </c>
      <c r="G34" s="86" t="s">
        <v>1276</v>
      </c>
      <c r="H34" s="86" t="s">
        <v>1686</v>
      </c>
      <c r="I34" s="86" t="s">
        <v>1690</v>
      </c>
      <c r="L34" s="61"/>
    </row>
    <row r="35" spans="1:12" x14ac:dyDescent="0.2">
      <c r="C35" s="62"/>
      <c r="D35" s="62"/>
      <c r="E35" s="62"/>
      <c r="F35" s="62"/>
      <c r="G35" s="62"/>
      <c r="H35" s="62"/>
      <c r="I35" s="62"/>
      <c r="L35" s="61"/>
    </row>
    <row r="36" spans="1:12" x14ac:dyDescent="0.2">
      <c r="A36" s="86">
        <v>622</v>
      </c>
      <c r="B36" s="86" t="b">
        <f>IF(OR(F36="NA",G36="wide_value"),"",TRUE)</f>
        <v>1</v>
      </c>
      <c r="C36" s="86" t="s">
        <v>113</v>
      </c>
      <c r="D36" s="86" t="s">
        <v>192</v>
      </c>
      <c r="E36" s="86" t="s">
        <v>172</v>
      </c>
      <c r="F36" s="86" t="s">
        <v>193</v>
      </c>
      <c r="G36" s="86" t="s">
        <v>1276</v>
      </c>
      <c r="H36" s="86" t="s">
        <v>1397</v>
      </c>
      <c r="I36" s="86" t="s">
        <v>1403</v>
      </c>
      <c r="L36" s="67" t="s">
        <v>1401</v>
      </c>
    </row>
    <row r="37" spans="1:12" x14ac:dyDescent="0.2">
      <c r="A37" s="86">
        <v>623</v>
      </c>
      <c r="B37" s="86" t="b">
        <f>IF(OR(F37="NA",G37="wide_value"),"",TRUE)</f>
        <v>1</v>
      </c>
      <c r="C37" s="86" t="s">
        <v>113</v>
      </c>
      <c r="D37" s="86" t="s">
        <v>192</v>
      </c>
      <c r="E37" s="86" t="s">
        <v>172</v>
      </c>
      <c r="F37" s="86" t="s">
        <v>194</v>
      </c>
      <c r="G37" s="86" t="s">
        <v>1276</v>
      </c>
      <c r="H37" s="86" t="s">
        <v>1397</v>
      </c>
      <c r="I37" s="86" t="s">
        <v>1404</v>
      </c>
      <c r="L37" s="67" t="s">
        <v>1401</v>
      </c>
    </row>
    <row r="38" spans="1:12" x14ac:dyDescent="0.2">
      <c r="A38" s="86">
        <v>624</v>
      </c>
      <c r="B38" s="86" t="b">
        <f>IF(OR(F38="NA",G38="wide_value"),"",TRUE)</f>
        <v>1</v>
      </c>
      <c r="C38" s="86" t="s">
        <v>113</v>
      </c>
      <c r="D38" s="86" t="s">
        <v>192</v>
      </c>
      <c r="E38" s="86" t="s">
        <v>172</v>
      </c>
      <c r="F38" s="86" t="s">
        <v>195</v>
      </c>
      <c r="G38" s="86" t="s">
        <v>1276</v>
      </c>
      <c r="H38" s="86" t="s">
        <v>1397</v>
      </c>
      <c r="I38" s="86" t="s">
        <v>1405</v>
      </c>
      <c r="L38" s="67" t="s">
        <v>1401</v>
      </c>
    </row>
    <row r="39" spans="1:12" x14ac:dyDescent="0.2">
      <c r="A39" s="86">
        <v>625</v>
      </c>
      <c r="B39" s="86" t="b">
        <f>IF(OR(F39="NA",G39="wide_value"),"",TRUE)</f>
        <v>1</v>
      </c>
      <c r="C39" s="86" t="s">
        <v>113</v>
      </c>
      <c r="D39" s="86" t="s">
        <v>192</v>
      </c>
      <c r="E39" s="86" t="s">
        <v>172</v>
      </c>
      <c r="F39" s="86" t="s">
        <v>196</v>
      </c>
      <c r="G39" s="86" t="s">
        <v>1276</v>
      </c>
      <c r="H39" s="86" t="s">
        <v>1397</v>
      </c>
      <c r="I39" s="86" t="s">
        <v>1400</v>
      </c>
      <c r="L39" s="67" t="s">
        <v>1401</v>
      </c>
    </row>
    <row r="40" spans="1:12" x14ac:dyDescent="0.2">
      <c r="A40" s="86">
        <v>626</v>
      </c>
      <c r="B40" s="86" t="b">
        <f>IF(OR(F40="NA",G40="wide_value"),"",TRUE)</f>
        <v>1</v>
      </c>
      <c r="C40" s="86" t="s">
        <v>113</v>
      </c>
      <c r="D40" s="86" t="s">
        <v>192</v>
      </c>
      <c r="E40" s="86" t="s">
        <v>172</v>
      </c>
      <c r="F40" s="86" t="s">
        <v>197</v>
      </c>
      <c r="G40" s="86" t="s">
        <v>1276</v>
      </c>
      <c r="H40" s="86" t="s">
        <v>1397</v>
      </c>
      <c r="I40" s="86" t="s">
        <v>1406</v>
      </c>
      <c r="L40" s="67" t="s">
        <v>1398</v>
      </c>
    </row>
    <row r="41" spans="1:12" x14ac:dyDescent="0.2">
      <c r="A41" s="86">
        <v>627</v>
      </c>
      <c r="B41" s="86" t="b">
        <f>IF(OR(F41="NA",G41="wide_value"),"",TRUE)</f>
        <v>1</v>
      </c>
      <c r="C41" s="86" t="s">
        <v>113</v>
      </c>
      <c r="D41" s="86" t="s">
        <v>192</v>
      </c>
      <c r="E41" s="86" t="s">
        <v>172</v>
      </c>
      <c r="F41" s="86" t="s">
        <v>198</v>
      </c>
      <c r="G41" s="86" t="s">
        <v>1276</v>
      </c>
      <c r="H41" s="86" t="s">
        <v>1397</v>
      </c>
      <c r="I41" s="86" t="s">
        <v>1407</v>
      </c>
      <c r="L41" s="67" t="s">
        <v>1398</v>
      </c>
    </row>
    <row r="42" spans="1:12" x14ac:dyDescent="0.2">
      <c r="A42" s="86">
        <v>628</v>
      </c>
      <c r="B42" s="86" t="b">
        <f>IF(OR(F42="NA",G42="wide_value"),"",TRUE)</f>
        <v>1</v>
      </c>
      <c r="C42" s="86" t="s">
        <v>113</v>
      </c>
      <c r="D42" s="86" t="s">
        <v>192</v>
      </c>
      <c r="E42" s="86" t="s">
        <v>172</v>
      </c>
      <c r="F42" s="86" t="s">
        <v>199</v>
      </c>
      <c r="G42" s="86" t="s">
        <v>1276</v>
      </c>
      <c r="H42" s="86" t="s">
        <v>1397</v>
      </c>
      <c r="I42" s="86" t="s">
        <v>1402</v>
      </c>
      <c r="L42" s="67" t="s">
        <v>1398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11C28-487C-5043-9CF2-96D54102B26B}">
  <dimension ref="A1:K8"/>
  <sheetViews>
    <sheetView workbookViewId="0">
      <pane ySplit="1" topLeftCell="A2" activePane="bottomLeft" state="frozen"/>
      <selection pane="bottomLeft" activeCell="H6" sqref="H6"/>
    </sheetView>
  </sheetViews>
  <sheetFormatPr baseColWidth="10" defaultColWidth="10.6640625" defaultRowHeight="16" x14ac:dyDescent="0.2"/>
  <cols>
    <col min="1" max="1" width="9.1640625" style="58" customWidth="1"/>
    <col min="2" max="2" width="15.5" style="58" customWidth="1"/>
    <col min="3" max="3" width="13.83203125" style="58" customWidth="1"/>
    <col min="4" max="4" width="15.33203125" style="58" customWidth="1"/>
    <col min="5" max="5" width="18.1640625" style="58" customWidth="1"/>
    <col min="6" max="6" width="13.83203125" style="58" customWidth="1"/>
    <col min="7" max="7" width="26" style="58" customWidth="1"/>
    <col min="8" max="8" width="30.33203125" style="58" customWidth="1"/>
    <col min="9" max="9" width="18.1640625" style="58" customWidth="1"/>
    <col min="10" max="10" width="27.5" style="58" customWidth="1"/>
    <col min="11" max="11" width="10" style="58" customWidth="1"/>
    <col min="12" max="16384" width="10.6640625" style="58"/>
  </cols>
  <sheetData>
    <row r="1" spans="1:11" s="68" customFormat="1" x14ac:dyDescent="0.2">
      <c r="A1" s="68" t="s">
        <v>0</v>
      </c>
      <c r="B1" s="64" t="s">
        <v>1084</v>
      </c>
      <c r="C1" s="64" t="s">
        <v>1085</v>
      </c>
      <c r="D1" s="64" t="s">
        <v>1086</v>
      </c>
      <c r="E1" s="64" t="s">
        <v>1087</v>
      </c>
      <c r="F1" s="64" t="s">
        <v>1089</v>
      </c>
      <c r="G1" s="64" t="s">
        <v>2020</v>
      </c>
      <c r="H1" s="64" t="s">
        <v>2021</v>
      </c>
      <c r="I1" s="64" t="s">
        <v>2022</v>
      </c>
      <c r="J1" s="64" t="s">
        <v>2023</v>
      </c>
      <c r="K1" s="64" t="s">
        <v>1095</v>
      </c>
    </row>
    <row r="2" spans="1:11" x14ac:dyDescent="0.2">
      <c r="A2" s="58" t="b">
        <v>1</v>
      </c>
      <c r="B2" s="58" t="s">
        <v>192</v>
      </c>
      <c r="C2" s="58" t="s">
        <v>1154</v>
      </c>
      <c r="E2" s="58" t="s">
        <v>2019</v>
      </c>
      <c r="H2" s="58" t="s">
        <v>1865</v>
      </c>
      <c r="I2" s="58" t="s">
        <v>2024</v>
      </c>
      <c r="J2" s="58" t="s">
        <v>1278</v>
      </c>
    </row>
    <row r="3" spans="1:11" x14ac:dyDescent="0.2">
      <c r="A3" s="58" t="b">
        <v>1</v>
      </c>
      <c r="B3" s="58" t="s">
        <v>192</v>
      </c>
      <c r="C3" s="58" t="s">
        <v>175</v>
      </c>
      <c r="E3" s="58" t="s">
        <v>2019</v>
      </c>
      <c r="H3" s="58" t="s">
        <v>1278</v>
      </c>
      <c r="I3" s="58" t="s">
        <v>2024</v>
      </c>
      <c r="J3" s="58" t="s">
        <v>1866</v>
      </c>
    </row>
    <row r="4" spans="1:11" x14ac:dyDescent="0.2">
      <c r="A4" s="58" t="b">
        <v>1</v>
      </c>
      <c r="B4" s="58" t="s">
        <v>192</v>
      </c>
      <c r="C4" s="58" t="s">
        <v>158</v>
      </c>
      <c r="E4" s="58" t="s">
        <v>2019</v>
      </c>
      <c r="H4" s="58" t="s">
        <v>1864</v>
      </c>
      <c r="I4" s="58" t="s">
        <v>2024</v>
      </c>
      <c r="J4" s="58" t="s">
        <v>1278</v>
      </c>
    </row>
    <row r="5" spans="1:11" s="57" customFormat="1" x14ac:dyDescent="0.2">
      <c r="A5" s="57" t="b">
        <v>1</v>
      </c>
      <c r="B5" s="57" t="s">
        <v>192</v>
      </c>
      <c r="C5" s="57" t="s">
        <v>1174</v>
      </c>
      <c r="E5" s="57" t="s">
        <v>2019</v>
      </c>
      <c r="H5" s="57" t="s">
        <v>1832</v>
      </c>
      <c r="I5" s="57" t="s">
        <v>2024</v>
      </c>
      <c r="J5" s="57" t="s">
        <v>1278</v>
      </c>
      <c r="K5" s="57" t="s">
        <v>2026</v>
      </c>
    </row>
    <row r="6" spans="1:11" s="57" customFormat="1" x14ac:dyDescent="0.2">
      <c r="A6" s="57" t="b">
        <v>1</v>
      </c>
      <c r="B6" s="57" t="s">
        <v>192</v>
      </c>
      <c r="C6" s="57" t="s">
        <v>1173</v>
      </c>
      <c r="E6" s="57" t="s">
        <v>2019</v>
      </c>
      <c r="H6" s="57" t="s">
        <v>1833</v>
      </c>
      <c r="I6" s="57" t="s">
        <v>2024</v>
      </c>
      <c r="J6" s="57" t="s">
        <v>1278</v>
      </c>
      <c r="K6" s="57" t="s">
        <v>2026</v>
      </c>
    </row>
    <row r="7" spans="1:11" s="57" customFormat="1" x14ac:dyDescent="0.2">
      <c r="A7" s="57" t="b">
        <v>1</v>
      </c>
      <c r="B7" s="57" t="s">
        <v>192</v>
      </c>
      <c r="C7" s="57" t="s">
        <v>1173</v>
      </c>
      <c r="E7" s="57" t="s">
        <v>2019</v>
      </c>
      <c r="H7" s="57" t="s">
        <v>1833</v>
      </c>
      <c r="I7" s="57" t="s">
        <v>2025</v>
      </c>
      <c r="J7" s="57" t="s">
        <v>1832</v>
      </c>
      <c r="K7" s="57" t="s">
        <v>2026</v>
      </c>
    </row>
    <row r="8" spans="1:11" s="57" customFormat="1" x14ac:dyDescent="0.2">
      <c r="A8" s="57" t="b">
        <v>1</v>
      </c>
      <c r="B8" s="57" t="s">
        <v>192</v>
      </c>
      <c r="C8" s="57" t="s">
        <v>1175</v>
      </c>
      <c r="E8" s="57" t="s">
        <v>2019</v>
      </c>
      <c r="H8" s="57" t="s">
        <v>1840</v>
      </c>
      <c r="I8" s="57" t="s">
        <v>2024</v>
      </c>
      <c r="J8" s="57" t="s">
        <v>1278</v>
      </c>
      <c r="K8" s="57" t="s">
        <v>2026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EACBA-EA3F-A149-88D0-2C7A38DAFA93}">
  <dimension ref="A1:O13"/>
  <sheetViews>
    <sheetView workbookViewId="0">
      <pane ySplit="1" topLeftCell="A2" activePane="bottomLeft" state="frozen"/>
      <selection pane="bottomLeft" activeCell="F12" sqref="F12"/>
    </sheetView>
  </sheetViews>
  <sheetFormatPr baseColWidth="10" defaultRowHeight="16" x14ac:dyDescent="0.2"/>
  <cols>
    <col min="1" max="1" width="9.33203125" style="61" customWidth="1"/>
    <col min="2" max="2" width="15" style="61" customWidth="1"/>
    <col min="3" max="3" width="10.5" style="61" customWidth="1"/>
    <col min="4" max="4" width="17.6640625" style="61" customWidth="1"/>
    <col min="5" max="5" width="13" style="61" customWidth="1"/>
    <col min="6" max="6" width="36" style="61" customWidth="1"/>
    <col min="7" max="7" width="13.1640625" style="61" customWidth="1"/>
    <col min="8" max="8" width="12" style="84" customWidth="1"/>
    <col min="9" max="9" width="10.1640625" style="84" customWidth="1"/>
    <col min="10" max="10" width="10.5" style="61" customWidth="1"/>
    <col min="11" max="11" width="18" style="61" customWidth="1"/>
    <col min="12" max="12" width="7.5" style="61" customWidth="1"/>
    <col min="13" max="13" width="12.6640625" style="61" customWidth="1"/>
    <col min="14" max="14" width="32.5" style="61" customWidth="1"/>
    <col min="15" max="15" width="13" style="61" customWidth="1"/>
    <col min="16" max="16384" width="10.83203125" style="61"/>
  </cols>
  <sheetData>
    <row r="1" spans="1:15" s="68" customFormat="1" x14ac:dyDescent="0.2">
      <c r="A1" s="64" t="s">
        <v>1549</v>
      </c>
      <c r="B1" s="64" t="s">
        <v>1925</v>
      </c>
      <c r="C1" s="64" t="s">
        <v>0</v>
      </c>
      <c r="D1" s="64" t="s">
        <v>10</v>
      </c>
      <c r="E1" s="64" t="s">
        <v>1</v>
      </c>
      <c r="F1" s="64" t="s">
        <v>2</v>
      </c>
      <c r="G1" s="64" t="s">
        <v>3</v>
      </c>
      <c r="H1" s="88" t="s">
        <v>4</v>
      </c>
      <c r="I1" s="88" t="s">
        <v>1974</v>
      </c>
      <c r="J1" s="64" t="s">
        <v>5</v>
      </c>
      <c r="K1" s="64" t="s">
        <v>6</v>
      </c>
      <c r="L1" s="64" t="s">
        <v>1936</v>
      </c>
      <c r="M1" s="64" t="s">
        <v>8</v>
      </c>
      <c r="N1" s="64" t="s">
        <v>9</v>
      </c>
      <c r="O1" s="64" t="s">
        <v>1921</v>
      </c>
    </row>
    <row r="2" spans="1:15" x14ac:dyDescent="0.2">
      <c r="A2" s="55">
        <v>48</v>
      </c>
      <c r="B2" s="55" t="b">
        <v>1</v>
      </c>
      <c r="C2" s="55" t="b">
        <v>0</v>
      </c>
      <c r="D2" s="55" t="s">
        <v>68</v>
      </c>
      <c r="E2" s="55" t="s">
        <v>192</v>
      </c>
      <c r="F2" s="55" t="s">
        <v>69</v>
      </c>
      <c r="G2" s="55" t="s">
        <v>497</v>
      </c>
      <c r="H2" s="84" t="s">
        <v>1250</v>
      </c>
      <c r="I2" s="84" t="s">
        <v>1113</v>
      </c>
      <c r="J2" s="55"/>
      <c r="K2" s="55"/>
      <c r="L2" s="55"/>
      <c r="M2" s="55"/>
      <c r="N2" s="55"/>
      <c r="O2" s="55"/>
    </row>
    <row r="3" spans="1:15" x14ac:dyDescent="0.2">
      <c r="A3" s="55">
        <v>49</v>
      </c>
      <c r="B3" s="55" t="b">
        <v>1</v>
      </c>
      <c r="C3" s="55" t="b">
        <v>0</v>
      </c>
      <c r="D3" s="55" t="s">
        <v>68</v>
      </c>
      <c r="E3" s="55" t="s">
        <v>192</v>
      </c>
      <c r="F3" s="55" t="s">
        <v>70</v>
      </c>
      <c r="G3" s="55" t="s">
        <v>497</v>
      </c>
      <c r="H3" s="84" t="s">
        <v>1250</v>
      </c>
      <c r="I3" s="84" t="s">
        <v>1113</v>
      </c>
      <c r="J3" s="55"/>
      <c r="K3" s="55"/>
      <c r="L3" s="55"/>
      <c r="M3" s="55"/>
      <c r="N3" s="55"/>
      <c r="O3" s="55"/>
    </row>
    <row r="4" spans="1:15" x14ac:dyDescent="0.2">
      <c r="A4" s="55">
        <v>50</v>
      </c>
      <c r="B4" s="55" t="b">
        <v>1</v>
      </c>
      <c r="C4" s="55" t="b">
        <v>0</v>
      </c>
      <c r="D4" s="55" t="s">
        <v>68</v>
      </c>
      <c r="E4" s="55" t="s">
        <v>192</v>
      </c>
      <c r="F4" s="55" t="s">
        <v>75</v>
      </c>
      <c r="G4" s="55" t="s">
        <v>497</v>
      </c>
      <c r="H4" s="84" t="s">
        <v>1250</v>
      </c>
      <c r="I4" s="84" t="s">
        <v>1113</v>
      </c>
      <c r="J4" s="55"/>
      <c r="K4" s="55"/>
      <c r="L4" s="55"/>
      <c r="M4" s="55"/>
      <c r="N4" s="55"/>
      <c r="O4" s="55"/>
    </row>
    <row r="5" spans="1:15" x14ac:dyDescent="0.2">
      <c r="A5" s="55">
        <v>51</v>
      </c>
      <c r="B5" s="55" t="b">
        <v>1</v>
      </c>
      <c r="C5" s="55" t="b">
        <v>0</v>
      </c>
      <c r="D5" s="55" t="s">
        <v>68</v>
      </c>
      <c r="E5" s="55" t="s">
        <v>192</v>
      </c>
      <c r="F5" s="55" t="s">
        <v>81</v>
      </c>
      <c r="G5" s="55" t="s">
        <v>497</v>
      </c>
      <c r="H5" s="84" t="s">
        <v>1250</v>
      </c>
      <c r="I5" s="84" t="s">
        <v>1113</v>
      </c>
      <c r="J5" s="55"/>
      <c r="K5" s="55"/>
      <c r="L5" s="55"/>
      <c r="M5" s="55"/>
      <c r="N5" s="55"/>
      <c r="O5" s="55"/>
    </row>
    <row r="6" spans="1:15" x14ac:dyDescent="0.2">
      <c r="A6" s="55">
        <v>52</v>
      </c>
      <c r="B6" s="55" t="b">
        <v>1</v>
      </c>
      <c r="C6" s="55" t="b">
        <v>0</v>
      </c>
      <c r="D6" s="55" t="s">
        <v>68</v>
      </c>
      <c r="E6" s="55" t="s">
        <v>192</v>
      </c>
      <c r="F6" s="55" t="s">
        <v>82</v>
      </c>
      <c r="G6" s="55" t="s">
        <v>497</v>
      </c>
      <c r="H6" s="84" t="s">
        <v>1250</v>
      </c>
      <c r="I6" s="84" t="s">
        <v>1113</v>
      </c>
      <c r="J6" s="55"/>
      <c r="K6" s="55"/>
      <c r="L6" s="55"/>
      <c r="M6" s="55"/>
      <c r="N6" s="55"/>
      <c r="O6" s="55"/>
    </row>
    <row r="7" spans="1:15" x14ac:dyDescent="0.2">
      <c r="A7" s="55">
        <v>53</v>
      </c>
      <c r="B7" s="55" t="b">
        <v>1</v>
      </c>
      <c r="C7" s="55" t="b">
        <v>0</v>
      </c>
      <c r="D7" s="55" t="s">
        <v>68</v>
      </c>
      <c r="E7" s="55" t="s">
        <v>192</v>
      </c>
      <c r="F7" s="55" t="s">
        <v>83</v>
      </c>
      <c r="G7" s="55" t="s">
        <v>497</v>
      </c>
      <c r="H7" s="84" t="s">
        <v>1250</v>
      </c>
      <c r="I7" s="84" t="s">
        <v>1113</v>
      </c>
      <c r="J7" s="55"/>
      <c r="K7" s="55"/>
      <c r="L7" s="55"/>
      <c r="M7" s="55"/>
      <c r="N7" s="55"/>
      <c r="O7" s="55"/>
    </row>
    <row r="8" spans="1:15" x14ac:dyDescent="0.2">
      <c r="A8" s="55">
        <v>54</v>
      </c>
      <c r="B8" s="55" t="b">
        <v>1</v>
      </c>
      <c r="C8" s="55" t="b">
        <v>0</v>
      </c>
      <c r="D8" s="55" t="s">
        <v>68</v>
      </c>
      <c r="E8" s="55" t="s">
        <v>192</v>
      </c>
      <c r="F8" s="55" t="s">
        <v>86</v>
      </c>
      <c r="G8" s="55" t="s">
        <v>497</v>
      </c>
      <c r="H8" s="84" t="s">
        <v>1250</v>
      </c>
      <c r="I8" s="84" t="s">
        <v>1113</v>
      </c>
      <c r="J8" s="55"/>
      <c r="K8" s="55"/>
      <c r="L8" s="55"/>
      <c r="M8" s="55"/>
      <c r="N8" s="55"/>
      <c r="O8" s="55"/>
    </row>
    <row r="9" spans="1:15" x14ac:dyDescent="0.2">
      <c r="A9" s="55">
        <v>55</v>
      </c>
      <c r="B9" s="55" t="b">
        <v>1</v>
      </c>
      <c r="C9" s="55" t="b">
        <v>0</v>
      </c>
      <c r="D9" s="55" t="s">
        <v>68</v>
      </c>
      <c r="E9" s="55" t="s">
        <v>192</v>
      </c>
      <c r="F9" s="55" t="s">
        <v>90</v>
      </c>
      <c r="G9" s="55" t="s">
        <v>497</v>
      </c>
      <c r="H9" s="84" t="s">
        <v>1250</v>
      </c>
      <c r="I9" s="84" t="s">
        <v>1113</v>
      </c>
      <c r="J9" s="55"/>
      <c r="K9" s="55"/>
      <c r="L9" s="55"/>
      <c r="M9" s="55"/>
      <c r="N9" s="55"/>
      <c r="O9" s="55"/>
    </row>
    <row r="10" spans="1:15" x14ac:dyDescent="0.2">
      <c r="A10" s="55">
        <v>56</v>
      </c>
      <c r="B10" s="55" t="b">
        <v>1</v>
      </c>
      <c r="C10" s="55" t="b">
        <v>0</v>
      </c>
      <c r="D10" s="55" t="s">
        <v>68</v>
      </c>
      <c r="E10" s="55" t="s">
        <v>192</v>
      </c>
      <c r="F10" s="55" t="s">
        <v>91</v>
      </c>
      <c r="G10" s="55" t="s">
        <v>497</v>
      </c>
      <c r="H10" s="84" t="s">
        <v>1250</v>
      </c>
      <c r="J10" s="55" t="s">
        <v>9</v>
      </c>
      <c r="K10" s="55" t="s">
        <v>1285</v>
      </c>
      <c r="L10" s="55"/>
      <c r="M10" s="55"/>
      <c r="N10" s="87" t="s">
        <v>1286</v>
      </c>
      <c r="O10" s="55"/>
    </row>
    <row r="11" spans="1:15" x14ac:dyDescent="0.2">
      <c r="A11" s="55">
        <v>57</v>
      </c>
      <c r="B11" s="55" t="b">
        <v>1</v>
      </c>
      <c r="C11" s="55" t="b">
        <v>0</v>
      </c>
      <c r="D11" s="55" t="s">
        <v>68</v>
      </c>
      <c r="E11" s="55" t="s">
        <v>192</v>
      </c>
      <c r="F11" s="55" t="s">
        <v>92</v>
      </c>
      <c r="G11" s="55" t="s">
        <v>497</v>
      </c>
      <c r="H11" s="84" t="s">
        <v>1250</v>
      </c>
      <c r="I11" s="84" t="s">
        <v>1113</v>
      </c>
      <c r="J11" s="55"/>
      <c r="K11" s="55"/>
      <c r="L11" s="55"/>
      <c r="M11" s="55"/>
      <c r="N11" s="55"/>
      <c r="O11" s="55"/>
    </row>
    <row r="12" spans="1:15" x14ac:dyDescent="0.2">
      <c r="A12" s="55">
        <v>58</v>
      </c>
      <c r="B12" s="55" t="b">
        <v>1</v>
      </c>
      <c r="C12" s="55" t="b">
        <v>0</v>
      </c>
      <c r="D12" s="55" t="s">
        <v>68</v>
      </c>
      <c r="E12" s="55" t="s">
        <v>192</v>
      </c>
      <c r="F12" s="55" t="s">
        <v>95</v>
      </c>
      <c r="G12" s="55" t="s">
        <v>497</v>
      </c>
      <c r="H12" s="84" t="s">
        <v>1250</v>
      </c>
      <c r="I12" s="84" t="s">
        <v>1113</v>
      </c>
      <c r="J12" s="55"/>
      <c r="K12" s="55"/>
      <c r="L12" s="55"/>
      <c r="M12" s="55"/>
      <c r="N12" s="55"/>
      <c r="O12" s="55"/>
    </row>
    <row r="13" spans="1:15" x14ac:dyDescent="0.2">
      <c r="A13" s="55">
        <v>65</v>
      </c>
      <c r="B13" s="55" t="b">
        <v>1</v>
      </c>
      <c r="C13" s="55" t="b">
        <v>0</v>
      </c>
      <c r="D13" s="55" t="s">
        <v>68</v>
      </c>
      <c r="E13" s="55" t="s">
        <v>192</v>
      </c>
      <c r="F13" s="55" t="s">
        <v>126</v>
      </c>
      <c r="G13" s="55" t="s">
        <v>497</v>
      </c>
      <c r="H13" s="84" t="s">
        <v>1250</v>
      </c>
      <c r="I13" s="84" t="s">
        <v>1113</v>
      </c>
      <c r="J13" s="55"/>
      <c r="K13" s="55"/>
      <c r="L13" s="55"/>
      <c r="M13" s="55"/>
      <c r="N13" s="55"/>
      <c r="O13" s="5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AEF06-3FE8-3D4D-A58A-7FC91FF23CF7}">
  <dimension ref="A1:I12"/>
  <sheetViews>
    <sheetView workbookViewId="0">
      <pane ySplit="1" topLeftCell="A2" activePane="bottomLeft" state="frozen"/>
      <selection pane="bottomLeft" activeCell="D4" sqref="D4"/>
    </sheetView>
  </sheetViews>
  <sheetFormatPr baseColWidth="10" defaultRowHeight="16" x14ac:dyDescent="0.2"/>
  <cols>
    <col min="1" max="1" width="10.83203125" style="61"/>
    <col min="2" max="2" width="15.5" style="61" customWidth="1"/>
    <col min="3" max="3" width="36" style="61" customWidth="1"/>
    <col min="4" max="4" width="15.33203125" style="61" customWidth="1"/>
    <col min="5" max="5" width="15" style="61" customWidth="1"/>
    <col min="6" max="6" width="14.83203125" style="61" customWidth="1"/>
    <col min="7" max="7" width="28.33203125" style="61" customWidth="1"/>
    <col min="8" max="8" width="38.1640625" style="61" customWidth="1"/>
    <col min="9" max="9" width="10" style="61" customWidth="1"/>
    <col min="10" max="16384" width="10.83203125" style="61"/>
  </cols>
  <sheetData>
    <row r="1" spans="1:9" s="68" customFormat="1" x14ac:dyDescent="0.2">
      <c r="A1" s="68" t="s">
        <v>0</v>
      </c>
      <c r="B1" s="64" t="s">
        <v>1084</v>
      </c>
      <c r="C1" s="64" t="s">
        <v>1085</v>
      </c>
      <c r="D1" s="64" t="s">
        <v>1086</v>
      </c>
      <c r="E1" s="64" t="s">
        <v>1087</v>
      </c>
      <c r="F1" s="64" t="s">
        <v>1914</v>
      </c>
      <c r="G1" s="64" t="s">
        <v>1089</v>
      </c>
      <c r="H1" s="64" t="s">
        <v>1899</v>
      </c>
      <c r="I1" s="64" t="s">
        <v>1095</v>
      </c>
    </row>
    <row r="2" spans="1:9" x14ac:dyDescent="0.2">
      <c r="B2" s="55" t="s">
        <v>192</v>
      </c>
      <c r="C2" s="55" t="s">
        <v>69</v>
      </c>
      <c r="D2" s="55"/>
      <c r="E2" s="55" t="s">
        <v>1250</v>
      </c>
      <c r="F2" s="55" t="s">
        <v>1253</v>
      </c>
      <c r="G2" s="56"/>
      <c r="H2" s="55" t="s">
        <v>1265</v>
      </c>
      <c r="I2" s="56"/>
    </row>
    <row r="3" spans="1:9" x14ac:dyDescent="0.2">
      <c r="B3" s="55" t="s">
        <v>192</v>
      </c>
      <c r="C3" s="55" t="s">
        <v>70</v>
      </c>
      <c r="D3" s="55"/>
      <c r="E3" s="55" t="s">
        <v>1250</v>
      </c>
      <c r="F3" s="55" t="s">
        <v>1253</v>
      </c>
      <c r="G3" s="56"/>
      <c r="H3" s="55" t="s">
        <v>1266</v>
      </c>
      <c r="I3" s="56"/>
    </row>
    <row r="4" spans="1:9" x14ac:dyDescent="0.2">
      <c r="B4" s="55" t="s">
        <v>192</v>
      </c>
      <c r="C4" s="55" t="s">
        <v>75</v>
      </c>
      <c r="D4" s="55"/>
      <c r="E4" s="55" t="s">
        <v>1250</v>
      </c>
      <c r="F4" s="55" t="s">
        <v>1254</v>
      </c>
      <c r="G4" s="56"/>
      <c r="H4" s="55" t="s">
        <v>1267</v>
      </c>
      <c r="I4" s="56"/>
    </row>
    <row r="5" spans="1:9" x14ac:dyDescent="0.2">
      <c r="B5" s="55" t="s">
        <v>192</v>
      </c>
      <c r="C5" s="55" t="s">
        <v>81</v>
      </c>
      <c r="D5" s="55"/>
      <c r="E5" s="55" t="s">
        <v>1250</v>
      </c>
      <c r="F5" s="55" t="s">
        <v>1255</v>
      </c>
      <c r="G5" s="56"/>
      <c r="H5" s="55" t="s">
        <v>1268</v>
      </c>
      <c r="I5" s="56"/>
    </row>
    <row r="6" spans="1:9" x14ac:dyDescent="0.2">
      <c r="B6" s="55" t="s">
        <v>192</v>
      </c>
      <c r="C6" s="55" t="s">
        <v>82</v>
      </c>
      <c r="D6" s="55"/>
      <c r="E6" s="55" t="s">
        <v>1250</v>
      </c>
      <c r="F6" s="55" t="s">
        <v>1256</v>
      </c>
      <c r="G6" s="56"/>
      <c r="H6" s="55" t="s">
        <v>1269</v>
      </c>
      <c r="I6" s="56"/>
    </row>
    <row r="7" spans="1:9" x14ac:dyDescent="0.2">
      <c r="B7" s="55" t="s">
        <v>192</v>
      </c>
      <c r="C7" s="55" t="s">
        <v>83</v>
      </c>
      <c r="D7" s="55"/>
      <c r="E7" s="55" t="s">
        <v>1250</v>
      </c>
      <c r="F7" s="55" t="s">
        <v>1257</v>
      </c>
      <c r="G7" s="56"/>
      <c r="H7" s="55" t="s">
        <v>1270</v>
      </c>
      <c r="I7" s="56"/>
    </row>
    <row r="8" spans="1:9" x14ac:dyDescent="0.2">
      <c r="B8" s="55" t="s">
        <v>192</v>
      </c>
      <c r="C8" s="55" t="s">
        <v>86</v>
      </c>
      <c r="D8" s="55"/>
      <c r="E8" s="55" t="s">
        <v>1250</v>
      </c>
      <c r="F8" s="55" t="s">
        <v>1258</v>
      </c>
      <c r="G8" s="56"/>
      <c r="H8" s="55" t="s">
        <v>1271</v>
      </c>
      <c r="I8" s="56"/>
    </row>
    <row r="9" spans="1:9" x14ac:dyDescent="0.2">
      <c r="B9" s="55" t="s">
        <v>192</v>
      </c>
      <c r="C9" s="55" t="s">
        <v>90</v>
      </c>
      <c r="D9" s="55"/>
      <c r="E9" s="55" t="s">
        <v>1250</v>
      </c>
      <c r="F9" s="55" t="s">
        <v>1259</v>
      </c>
      <c r="G9" s="55" t="s">
        <v>1915</v>
      </c>
      <c r="H9" s="55" t="s">
        <v>1272</v>
      </c>
      <c r="I9" s="56"/>
    </row>
    <row r="10" spans="1:9" x14ac:dyDescent="0.2">
      <c r="B10" s="55" t="s">
        <v>192</v>
      </c>
      <c r="C10" s="55" t="s">
        <v>92</v>
      </c>
      <c r="D10" s="55"/>
      <c r="E10" s="55" t="s">
        <v>1250</v>
      </c>
      <c r="F10" s="55" t="s">
        <v>1260</v>
      </c>
      <c r="G10" s="56"/>
      <c r="H10" s="55" t="s">
        <v>1273</v>
      </c>
      <c r="I10" s="56"/>
    </row>
    <row r="11" spans="1:9" x14ac:dyDescent="0.2">
      <c r="B11" s="55" t="s">
        <v>192</v>
      </c>
      <c r="C11" s="55" t="s">
        <v>95</v>
      </c>
      <c r="D11" s="55"/>
      <c r="E11" s="55" t="s">
        <v>1250</v>
      </c>
      <c r="F11" s="55" t="s">
        <v>1262</v>
      </c>
      <c r="G11" s="56"/>
      <c r="H11" s="55" t="s">
        <v>1274</v>
      </c>
      <c r="I11" s="56"/>
    </row>
    <row r="12" spans="1:9" x14ac:dyDescent="0.2">
      <c r="B12" s="55" t="s">
        <v>192</v>
      </c>
      <c r="C12" s="55" t="s">
        <v>126</v>
      </c>
      <c r="D12" s="55"/>
      <c r="E12" s="55" t="s">
        <v>1250</v>
      </c>
      <c r="F12" s="55" t="s">
        <v>1261</v>
      </c>
      <c r="G12" s="56"/>
      <c r="H12" s="55" t="s">
        <v>1275</v>
      </c>
      <c r="I12" s="5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0FFD5-92F3-FD4F-93FB-9D30DA340366}">
  <dimension ref="A1:O11"/>
  <sheetViews>
    <sheetView workbookViewId="0">
      <selection activeCell="F3" sqref="F3"/>
    </sheetView>
  </sheetViews>
  <sheetFormatPr baseColWidth="10" defaultRowHeight="16" x14ac:dyDescent="0.2"/>
  <cols>
    <col min="1" max="1" width="9.33203125" customWidth="1"/>
    <col min="2" max="2" width="15" customWidth="1"/>
    <col min="3" max="3" width="10.5" customWidth="1"/>
    <col min="4" max="4" width="26.1640625" customWidth="1"/>
    <col min="5" max="5" width="13" customWidth="1"/>
    <col min="6" max="6" width="25" customWidth="1"/>
    <col min="7" max="7" width="34.5" customWidth="1"/>
    <col min="8" max="8" width="13" customWidth="1"/>
    <col min="9" max="9" width="6.6640625" customWidth="1"/>
    <col min="10" max="10" width="10.5" customWidth="1"/>
    <col min="11" max="11" width="20.83203125" customWidth="1"/>
    <col min="12" max="12" width="7.5" customWidth="1"/>
    <col min="13" max="13" width="12.6640625" customWidth="1"/>
    <col min="14" max="14" width="62.33203125" customWidth="1"/>
    <col min="15" max="15" width="13" customWidth="1"/>
  </cols>
  <sheetData>
    <row r="1" spans="1:15" ht="20" thickBot="1" x14ac:dyDescent="0.3">
      <c r="A1" s="42" t="s">
        <v>1549</v>
      </c>
      <c r="B1" s="43" t="s">
        <v>1925</v>
      </c>
      <c r="C1" s="25" t="s">
        <v>0</v>
      </c>
      <c r="D1" s="24" t="s">
        <v>10</v>
      </c>
      <c r="E1" s="7" t="s">
        <v>1</v>
      </c>
      <c r="F1" s="7" t="s">
        <v>2</v>
      </c>
      <c r="G1" s="7" t="s">
        <v>3</v>
      </c>
      <c r="H1" s="7" t="s">
        <v>4</v>
      </c>
      <c r="I1" s="7" t="s">
        <v>1974</v>
      </c>
      <c r="J1" s="7" t="s">
        <v>5</v>
      </c>
      <c r="K1" s="7" t="s">
        <v>6</v>
      </c>
      <c r="L1" s="7" t="s">
        <v>1936</v>
      </c>
      <c r="M1" s="7" t="s">
        <v>8</v>
      </c>
      <c r="N1" s="8" t="s">
        <v>9</v>
      </c>
      <c r="O1" s="25" t="s">
        <v>1921</v>
      </c>
    </row>
    <row r="2" spans="1:15" x14ac:dyDescent="0.2">
      <c r="A2" s="42">
        <v>25</v>
      </c>
      <c r="B2" s="42"/>
      <c r="C2" s="23" t="b">
        <v>1</v>
      </c>
      <c r="D2" s="23" t="s">
        <v>11</v>
      </c>
      <c r="E2" s="23" t="s">
        <v>192</v>
      </c>
      <c r="F2" s="23" t="s">
        <v>107</v>
      </c>
      <c r="G2" s="23" t="s">
        <v>497</v>
      </c>
      <c r="H2" s="23" t="s">
        <v>1381</v>
      </c>
      <c r="I2" s="23"/>
      <c r="J2" s="23" t="s">
        <v>9</v>
      </c>
      <c r="K2" s="23" t="s">
        <v>1394</v>
      </c>
      <c r="L2" s="23"/>
      <c r="M2" s="23"/>
      <c r="N2" s="45" t="s">
        <v>1390</v>
      </c>
      <c r="O2" s="23" t="s">
        <v>1927</v>
      </c>
    </row>
    <row r="3" spans="1:15" x14ac:dyDescent="0.2">
      <c r="A3" s="46">
        <v>26</v>
      </c>
      <c r="B3" s="46"/>
      <c r="C3" s="46"/>
      <c r="D3" s="46" t="s">
        <v>11</v>
      </c>
      <c r="E3" s="46" t="s">
        <v>192</v>
      </c>
      <c r="F3" s="46" t="s">
        <v>110</v>
      </c>
      <c r="G3" s="46" t="s">
        <v>477</v>
      </c>
      <c r="H3" s="46" t="s">
        <v>1381</v>
      </c>
      <c r="I3" s="46"/>
      <c r="J3" s="46" t="s">
        <v>1380</v>
      </c>
      <c r="K3" s="46" t="s">
        <v>1379</v>
      </c>
      <c r="L3" s="46"/>
      <c r="M3" s="46"/>
      <c r="N3" s="45" t="s">
        <v>1390</v>
      </c>
      <c r="O3" s="46" t="s">
        <v>1927</v>
      </c>
    </row>
    <row r="4" spans="1:15" x14ac:dyDescent="0.2">
      <c r="A4" s="46">
        <v>32</v>
      </c>
      <c r="B4" s="46"/>
      <c r="C4" s="46"/>
      <c r="D4" s="46" t="s">
        <v>11</v>
      </c>
      <c r="E4" s="46" t="s">
        <v>192</v>
      </c>
      <c r="F4" s="46" t="s">
        <v>108</v>
      </c>
      <c r="G4" s="46" t="s">
        <v>483</v>
      </c>
      <c r="H4" s="46" t="s">
        <v>1381</v>
      </c>
      <c r="I4" s="46"/>
      <c r="J4" s="46" t="s">
        <v>1380</v>
      </c>
      <c r="K4" s="46" t="s">
        <v>1382</v>
      </c>
      <c r="L4" s="46"/>
      <c r="M4" s="46"/>
      <c r="N4" s="45" t="s">
        <v>1390</v>
      </c>
      <c r="O4" s="46" t="s">
        <v>1927</v>
      </c>
    </row>
    <row r="5" spans="1:15" x14ac:dyDescent="0.2">
      <c r="A5" s="46">
        <v>33</v>
      </c>
      <c r="B5" s="46"/>
      <c r="C5" s="46"/>
      <c r="D5" s="46" t="s">
        <v>11</v>
      </c>
      <c r="E5" s="46" t="s">
        <v>192</v>
      </c>
      <c r="F5" s="46" t="s">
        <v>108</v>
      </c>
      <c r="G5" s="46" t="s">
        <v>484</v>
      </c>
      <c r="H5" s="46" t="s">
        <v>1381</v>
      </c>
      <c r="I5" s="46"/>
      <c r="J5" s="46" t="s">
        <v>1380</v>
      </c>
      <c r="K5" s="46" t="s">
        <v>1383</v>
      </c>
      <c r="L5" s="46"/>
      <c r="M5" s="46"/>
      <c r="N5" s="45" t="s">
        <v>1390</v>
      </c>
      <c r="O5" s="46" t="s">
        <v>1927</v>
      </c>
    </row>
    <row r="6" spans="1:15" x14ac:dyDescent="0.2">
      <c r="A6" s="46">
        <v>34</v>
      </c>
      <c r="B6" s="46"/>
      <c r="C6" s="46"/>
      <c r="D6" s="46" t="s">
        <v>11</v>
      </c>
      <c r="E6" s="46" t="s">
        <v>192</v>
      </c>
      <c r="F6" s="46" t="s">
        <v>108</v>
      </c>
      <c r="G6" s="46" t="s">
        <v>485</v>
      </c>
      <c r="H6" s="46" t="s">
        <v>1381</v>
      </c>
      <c r="I6" s="46"/>
      <c r="J6" s="46" t="s">
        <v>1380</v>
      </c>
      <c r="K6" s="46" t="s">
        <v>1384</v>
      </c>
      <c r="L6" s="46"/>
      <c r="M6" s="46"/>
      <c r="N6" s="45" t="s">
        <v>1390</v>
      </c>
      <c r="O6" s="46" t="s">
        <v>1927</v>
      </c>
    </row>
    <row r="7" spans="1:15" x14ac:dyDescent="0.2">
      <c r="A7" s="46">
        <v>35</v>
      </c>
      <c r="B7" s="46"/>
      <c r="C7" s="46"/>
      <c r="D7" s="46" t="s">
        <v>11</v>
      </c>
      <c r="E7" s="46" t="s">
        <v>192</v>
      </c>
      <c r="F7" s="46" t="s">
        <v>108</v>
      </c>
      <c r="G7" s="46" t="s">
        <v>486</v>
      </c>
      <c r="H7" s="46" t="s">
        <v>1381</v>
      </c>
      <c r="I7" s="46"/>
      <c r="J7" s="46" t="s">
        <v>1380</v>
      </c>
      <c r="K7" s="46" t="s">
        <v>1385</v>
      </c>
      <c r="L7" s="46"/>
      <c r="M7" s="46"/>
      <c r="N7" s="45" t="s">
        <v>1390</v>
      </c>
      <c r="O7" s="46" t="s">
        <v>1927</v>
      </c>
    </row>
    <row r="8" spans="1:15" x14ac:dyDescent="0.2">
      <c r="A8" s="46">
        <v>36</v>
      </c>
      <c r="B8" s="46"/>
      <c r="C8" s="46"/>
      <c r="D8" s="46" t="s">
        <v>11</v>
      </c>
      <c r="E8" s="46" t="s">
        <v>192</v>
      </c>
      <c r="F8" s="46" t="s">
        <v>108</v>
      </c>
      <c r="G8" s="46" t="s">
        <v>487</v>
      </c>
      <c r="H8" s="46" t="s">
        <v>1381</v>
      </c>
      <c r="I8" s="46"/>
      <c r="J8" s="46" t="s">
        <v>1380</v>
      </c>
      <c r="K8" s="46" t="s">
        <v>1386</v>
      </c>
      <c r="L8" s="46"/>
      <c r="M8" s="46"/>
      <c r="N8" s="45" t="s">
        <v>1390</v>
      </c>
      <c r="O8" s="46" t="s">
        <v>1927</v>
      </c>
    </row>
    <row r="9" spans="1:15" x14ac:dyDescent="0.2">
      <c r="A9" s="46">
        <v>37</v>
      </c>
      <c r="B9" s="46"/>
      <c r="C9" s="46"/>
      <c r="D9" s="46" t="s">
        <v>11</v>
      </c>
      <c r="E9" s="46" t="s">
        <v>192</v>
      </c>
      <c r="F9" s="46" t="s">
        <v>108</v>
      </c>
      <c r="G9" s="46" t="s">
        <v>488</v>
      </c>
      <c r="H9" s="46" t="s">
        <v>1381</v>
      </c>
      <c r="I9" s="46"/>
      <c r="J9" s="46" t="s">
        <v>1380</v>
      </c>
      <c r="K9" s="46" t="s">
        <v>1387</v>
      </c>
      <c r="L9" s="46"/>
      <c r="M9" s="46"/>
      <c r="N9" s="45" t="s">
        <v>1390</v>
      </c>
      <c r="O9" s="46" t="s">
        <v>1927</v>
      </c>
    </row>
    <row r="10" spans="1:15" x14ac:dyDescent="0.2">
      <c r="A10" s="46">
        <v>38</v>
      </c>
      <c r="B10" s="46"/>
      <c r="C10" s="46"/>
      <c r="D10" s="46" t="s">
        <v>11</v>
      </c>
      <c r="E10" s="46" t="s">
        <v>192</v>
      </c>
      <c r="F10" s="46" t="s">
        <v>108</v>
      </c>
      <c r="G10" s="46" t="s">
        <v>489</v>
      </c>
      <c r="H10" s="46" t="s">
        <v>1381</v>
      </c>
      <c r="I10" s="46"/>
      <c r="J10" s="46" t="s">
        <v>1380</v>
      </c>
      <c r="K10" s="46" t="s">
        <v>1388</v>
      </c>
      <c r="L10" s="46"/>
      <c r="M10" s="46"/>
      <c r="N10" s="45" t="s">
        <v>1390</v>
      </c>
      <c r="O10" s="46" t="s">
        <v>1927</v>
      </c>
    </row>
    <row r="11" spans="1:15" x14ac:dyDescent="0.2">
      <c r="A11" s="46">
        <v>39</v>
      </c>
      <c r="B11" s="46"/>
      <c r="C11" s="46"/>
      <c r="D11" s="46" t="s">
        <v>11</v>
      </c>
      <c r="E11" s="46" t="s">
        <v>192</v>
      </c>
      <c r="F11" s="46" t="s">
        <v>108</v>
      </c>
      <c r="G11" s="46" t="s">
        <v>490</v>
      </c>
      <c r="H11" s="46" t="s">
        <v>1381</v>
      </c>
      <c r="I11" s="46"/>
      <c r="J11" s="46" t="s">
        <v>1380</v>
      </c>
      <c r="K11" s="46" t="s">
        <v>1389</v>
      </c>
      <c r="L11" s="46"/>
      <c r="M11" s="46"/>
      <c r="N11" s="45" t="s">
        <v>1390</v>
      </c>
      <c r="O11" s="46" t="s">
        <v>1927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8103B-7A37-1241-A771-EA2606C94ABC}">
  <dimension ref="A1:O64"/>
  <sheetViews>
    <sheetView workbookViewId="0">
      <selection activeCell="F12" sqref="F12"/>
    </sheetView>
  </sheetViews>
  <sheetFormatPr baseColWidth="10" defaultColWidth="25.33203125" defaultRowHeight="16" x14ac:dyDescent="0.2"/>
  <cols>
    <col min="1" max="1" width="10.33203125" customWidth="1"/>
  </cols>
  <sheetData>
    <row r="1" spans="1:15" ht="20" thickBot="1" x14ac:dyDescent="0.3">
      <c r="A1" s="42" t="s">
        <v>1549</v>
      </c>
      <c r="B1" s="43" t="s">
        <v>1925</v>
      </c>
      <c r="C1" s="25" t="s">
        <v>0</v>
      </c>
      <c r="D1" s="24" t="s">
        <v>10</v>
      </c>
      <c r="E1" s="7" t="s">
        <v>1</v>
      </c>
      <c r="F1" s="7" t="s">
        <v>2</v>
      </c>
      <c r="G1" s="7" t="s">
        <v>3</v>
      </c>
      <c r="H1" s="7" t="s">
        <v>4</v>
      </c>
      <c r="I1" s="7" t="s">
        <v>1974</v>
      </c>
      <c r="J1" s="7" t="s">
        <v>5</v>
      </c>
      <c r="K1" s="7" t="s">
        <v>6</v>
      </c>
      <c r="L1" s="7" t="s">
        <v>1936</v>
      </c>
      <c r="M1" s="7" t="s">
        <v>8</v>
      </c>
      <c r="N1" s="8" t="s">
        <v>9</v>
      </c>
      <c r="O1" s="25" t="s">
        <v>1921</v>
      </c>
    </row>
    <row r="2" spans="1:15" x14ac:dyDescent="0.2">
      <c r="A2" s="42">
        <v>2</v>
      </c>
      <c r="B2" s="42"/>
      <c r="C2" s="23" t="b">
        <v>1</v>
      </c>
      <c r="D2" s="23" t="s">
        <v>1192</v>
      </c>
      <c r="E2" s="23" t="s">
        <v>192</v>
      </c>
      <c r="F2" s="23" t="s">
        <v>1193</v>
      </c>
      <c r="G2" s="23" t="s">
        <v>497</v>
      </c>
      <c r="H2" s="50" t="s">
        <v>1331</v>
      </c>
      <c r="I2" s="50" t="s">
        <v>1113</v>
      </c>
      <c r="J2" s="23"/>
      <c r="K2" s="23"/>
      <c r="L2" s="23"/>
      <c r="M2" s="23"/>
      <c r="N2" s="45" t="s">
        <v>1733</v>
      </c>
      <c r="O2" s="23" t="s">
        <v>1922</v>
      </c>
    </row>
    <row r="3" spans="1:15" x14ac:dyDescent="0.2">
      <c r="A3" s="42">
        <v>3</v>
      </c>
      <c r="B3" s="42" t="b">
        <v>1</v>
      </c>
      <c r="C3" s="23" t="b">
        <v>1</v>
      </c>
      <c r="D3" s="23" t="s">
        <v>1192</v>
      </c>
      <c r="E3" s="23" t="s">
        <v>192</v>
      </c>
      <c r="F3" s="23" t="s">
        <v>1194</v>
      </c>
      <c r="G3" s="23" t="s">
        <v>497</v>
      </c>
      <c r="H3" s="23" t="s">
        <v>1331</v>
      </c>
      <c r="I3" s="23"/>
      <c r="J3" s="23" t="s">
        <v>1734</v>
      </c>
      <c r="K3" s="23" t="s">
        <v>1892</v>
      </c>
      <c r="L3" s="23"/>
      <c r="M3" s="23"/>
      <c r="N3" s="45" t="s">
        <v>1735</v>
      </c>
      <c r="O3" s="23" t="s">
        <v>1922</v>
      </c>
    </row>
    <row r="4" spans="1:15" x14ac:dyDescent="0.2">
      <c r="A4" s="42">
        <v>9</v>
      </c>
      <c r="B4" s="42" t="b">
        <v>1</v>
      </c>
      <c r="C4" s="23" t="b">
        <v>1</v>
      </c>
      <c r="D4" s="23" t="s">
        <v>11</v>
      </c>
      <c r="E4" s="23" t="s">
        <v>192</v>
      </c>
      <c r="F4" s="23" t="s">
        <v>13</v>
      </c>
      <c r="G4" s="23" t="s">
        <v>497</v>
      </c>
      <c r="H4" s="50" t="s">
        <v>1331</v>
      </c>
      <c r="I4" s="50" t="s">
        <v>1113</v>
      </c>
      <c r="J4" s="23"/>
      <c r="K4" s="23"/>
      <c r="L4" s="23"/>
      <c r="M4" s="23"/>
      <c r="N4" s="45" t="s">
        <v>1741</v>
      </c>
      <c r="O4" s="23" t="s">
        <v>1927</v>
      </c>
    </row>
    <row r="5" spans="1:15" x14ac:dyDescent="0.2">
      <c r="A5" s="42">
        <v>10</v>
      </c>
      <c r="B5" s="42" t="b">
        <v>1</v>
      </c>
      <c r="C5" s="23" t="b">
        <v>1</v>
      </c>
      <c r="D5" s="23" t="s">
        <v>11</v>
      </c>
      <c r="E5" s="23" t="s">
        <v>192</v>
      </c>
      <c r="F5" s="23" t="s">
        <v>14</v>
      </c>
      <c r="G5" s="23" t="s">
        <v>497</v>
      </c>
      <c r="H5" s="23" t="s">
        <v>1331</v>
      </c>
      <c r="I5" s="23"/>
      <c r="J5" s="23" t="s">
        <v>1734</v>
      </c>
      <c r="K5" s="23" t="s">
        <v>1896</v>
      </c>
      <c r="L5" s="23"/>
      <c r="M5" s="23"/>
      <c r="N5" s="45" t="s">
        <v>1744</v>
      </c>
      <c r="O5" s="42"/>
    </row>
    <row r="6" spans="1:15" x14ac:dyDescent="0.2">
      <c r="A6" s="42">
        <v>11</v>
      </c>
      <c r="B6" s="42" t="b">
        <v>1</v>
      </c>
      <c r="C6" s="23" t="b">
        <v>1</v>
      </c>
      <c r="D6" s="23" t="s">
        <v>11</v>
      </c>
      <c r="E6" s="23" t="s">
        <v>192</v>
      </c>
      <c r="F6" s="23" t="s">
        <v>15</v>
      </c>
      <c r="G6" s="23" t="s">
        <v>497</v>
      </c>
      <c r="H6" s="50" t="s">
        <v>1331</v>
      </c>
      <c r="I6" s="50" t="s">
        <v>1113</v>
      </c>
      <c r="J6" s="23"/>
      <c r="K6" s="23"/>
      <c r="L6" s="23"/>
      <c r="M6" s="23"/>
      <c r="N6" s="45" t="s">
        <v>1745</v>
      </c>
      <c r="O6" s="23" t="s">
        <v>1927</v>
      </c>
    </row>
    <row r="7" spans="1:15" x14ac:dyDescent="0.2">
      <c r="A7" s="42">
        <v>12</v>
      </c>
      <c r="B7" s="42" t="b">
        <v>1</v>
      </c>
      <c r="C7" s="23" t="b">
        <v>1</v>
      </c>
      <c r="D7" s="23" t="s">
        <v>11</v>
      </c>
      <c r="E7" s="23" t="s">
        <v>192</v>
      </c>
      <c r="F7" s="23" t="s">
        <v>18</v>
      </c>
      <c r="G7" s="23" t="s">
        <v>497</v>
      </c>
      <c r="H7" s="50" t="s">
        <v>1331</v>
      </c>
      <c r="I7" s="50" t="s">
        <v>1113</v>
      </c>
      <c r="J7" s="23"/>
      <c r="K7" s="23"/>
      <c r="L7" s="23"/>
      <c r="M7" s="23"/>
      <c r="N7" s="45" t="s">
        <v>1745</v>
      </c>
      <c r="O7" s="23" t="s">
        <v>1927</v>
      </c>
    </row>
    <row r="8" spans="1:15" x14ac:dyDescent="0.2">
      <c r="A8" s="42">
        <v>42</v>
      </c>
      <c r="B8" s="42"/>
      <c r="C8" s="23" t="b">
        <v>1</v>
      </c>
      <c r="D8" s="23" t="s">
        <v>11</v>
      </c>
      <c r="E8" s="23" t="s">
        <v>192</v>
      </c>
      <c r="F8" s="23" t="s">
        <v>87</v>
      </c>
      <c r="G8" s="23" t="s">
        <v>497</v>
      </c>
      <c r="H8" s="50" t="s">
        <v>1331</v>
      </c>
      <c r="I8" s="50" t="s">
        <v>1113</v>
      </c>
      <c r="J8" s="23"/>
      <c r="K8" s="23"/>
      <c r="L8" s="23"/>
      <c r="M8" s="23"/>
      <c r="N8" s="45" t="s">
        <v>1753</v>
      </c>
      <c r="O8" s="23" t="s">
        <v>1927</v>
      </c>
    </row>
    <row r="9" spans="1:15" x14ac:dyDescent="0.2">
      <c r="A9" s="42">
        <v>45</v>
      </c>
      <c r="B9" s="42" t="b">
        <v>1</v>
      </c>
      <c r="C9" s="23" t="b">
        <v>1</v>
      </c>
      <c r="D9" s="23" t="s">
        <v>11</v>
      </c>
      <c r="E9" s="23" t="s">
        <v>192</v>
      </c>
      <c r="F9" s="23" t="s">
        <v>100</v>
      </c>
      <c r="G9" s="23" t="s">
        <v>497</v>
      </c>
      <c r="H9" s="50" t="s">
        <v>1331</v>
      </c>
      <c r="I9" s="50" t="s">
        <v>1113</v>
      </c>
      <c r="J9" s="23"/>
      <c r="K9" s="23"/>
      <c r="L9" s="23"/>
      <c r="M9" s="23"/>
      <c r="N9" s="45" t="s">
        <v>1755</v>
      </c>
      <c r="O9" s="42"/>
    </row>
    <row r="10" spans="1:15" x14ac:dyDescent="0.2">
      <c r="A10" s="42">
        <v>46</v>
      </c>
      <c r="B10" s="42" t="b">
        <v>1</v>
      </c>
      <c r="C10" s="23" t="b">
        <v>1</v>
      </c>
      <c r="D10" s="23" t="s">
        <v>11</v>
      </c>
      <c r="E10" s="23" t="s">
        <v>192</v>
      </c>
      <c r="F10" s="23" t="s">
        <v>101</v>
      </c>
      <c r="G10" s="23" t="s">
        <v>497</v>
      </c>
      <c r="H10" s="23" t="s">
        <v>1331</v>
      </c>
      <c r="I10" s="23"/>
      <c r="J10" s="23" t="s">
        <v>1734</v>
      </c>
      <c r="K10" s="23" t="s">
        <v>1877</v>
      </c>
      <c r="L10" s="23"/>
      <c r="M10" s="23"/>
      <c r="N10" s="45" t="s">
        <v>1754</v>
      </c>
      <c r="O10" s="42"/>
    </row>
    <row r="11" spans="1:15" x14ac:dyDescent="0.2">
      <c r="A11" s="42">
        <v>226</v>
      </c>
      <c r="B11" s="42"/>
      <c r="C11" s="23" t="b">
        <v>1</v>
      </c>
      <c r="D11" s="23" t="s">
        <v>1198</v>
      </c>
      <c r="E11" s="23" t="s">
        <v>192</v>
      </c>
      <c r="F11" s="23" t="s">
        <v>1200</v>
      </c>
      <c r="G11" s="23" t="s">
        <v>497</v>
      </c>
      <c r="H11" s="50" t="s">
        <v>1331</v>
      </c>
      <c r="I11" s="50" t="s">
        <v>1113</v>
      </c>
      <c r="J11" s="23"/>
      <c r="K11" s="23"/>
      <c r="L11" s="23"/>
      <c r="M11" s="23"/>
      <c r="N11" s="45" t="s">
        <v>1759</v>
      </c>
      <c r="O11" s="42"/>
    </row>
    <row r="12" spans="1:15" x14ac:dyDescent="0.2">
      <c r="A12" s="42">
        <v>227</v>
      </c>
      <c r="B12" s="42"/>
      <c r="C12" s="23" t="b">
        <v>1</v>
      </c>
      <c r="D12" s="23" t="s">
        <v>1198</v>
      </c>
      <c r="E12" s="23" t="s">
        <v>192</v>
      </c>
      <c r="F12" s="23" t="s">
        <v>1201</v>
      </c>
      <c r="G12" s="23" t="s">
        <v>497</v>
      </c>
      <c r="H12" s="23" t="s">
        <v>1331</v>
      </c>
      <c r="I12" s="23"/>
      <c r="J12" s="23" t="s">
        <v>1734</v>
      </c>
      <c r="K12" s="23" t="s">
        <v>1878</v>
      </c>
      <c r="L12" s="23"/>
      <c r="M12" s="23"/>
      <c r="N12" s="45" t="s">
        <v>1758</v>
      </c>
      <c r="O12" s="23" t="s">
        <v>1939</v>
      </c>
    </row>
    <row r="13" spans="1:15" x14ac:dyDescent="0.2">
      <c r="A13" s="51">
        <v>234</v>
      </c>
      <c r="B13" s="51" t="b">
        <v>1</v>
      </c>
      <c r="C13" s="51"/>
      <c r="D13" s="51" t="s">
        <v>149</v>
      </c>
      <c r="E13" s="51" t="s">
        <v>192</v>
      </c>
      <c r="F13" s="51" t="s">
        <v>150</v>
      </c>
      <c r="G13" s="51" t="s">
        <v>1241</v>
      </c>
      <c r="H13" s="52" t="s">
        <v>1331</v>
      </c>
      <c r="I13" s="52" t="s">
        <v>1113</v>
      </c>
      <c r="J13" s="51"/>
      <c r="K13" s="51"/>
      <c r="L13" s="51"/>
      <c r="M13" s="51"/>
      <c r="N13" s="34"/>
      <c r="O13" s="44" t="s">
        <v>1941</v>
      </c>
    </row>
    <row r="14" spans="1:15" x14ac:dyDescent="0.2">
      <c r="A14" s="46">
        <v>235</v>
      </c>
      <c r="B14" s="46" t="b">
        <v>1</v>
      </c>
      <c r="C14" s="46"/>
      <c r="D14" s="46" t="s">
        <v>149</v>
      </c>
      <c r="E14" s="46" t="s">
        <v>192</v>
      </c>
      <c r="F14" s="46" t="s">
        <v>150</v>
      </c>
      <c r="G14" s="46" t="s">
        <v>1242</v>
      </c>
      <c r="H14" s="52" t="s">
        <v>1331</v>
      </c>
      <c r="I14" s="52" t="s">
        <v>1113</v>
      </c>
      <c r="J14" s="46"/>
      <c r="K14" s="46"/>
      <c r="L14" s="46"/>
      <c r="M14" s="46"/>
      <c r="N14" s="23"/>
      <c r="O14" s="42"/>
    </row>
    <row r="15" spans="1:15" x14ac:dyDescent="0.2">
      <c r="A15" s="46">
        <v>236</v>
      </c>
      <c r="B15" s="46" t="b">
        <v>1</v>
      </c>
      <c r="C15" s="46"/>
      <c r="D15" s="46" t="s">
        <v>149</v>
      </c>
      <c r="E15" s="46" t="s">
        <v>192</v>
      </c>
      <c r="F15" s="46" t="s">
        <v>150</v>
      </c>
      <c r="G15" s="46" t="s">
        <v>1243</v>
      </c>
      <c r="H15" s="52" t="s">
        <v>1331</v>
      </c>
      <c r="I15" s="52" t="s">
        <v>1113</v>
      </c>
      <c r="J15" s="46"/>
      <c r="K15" s="46"/>
      <c r="L15" s="46"/>
      <c r="M15" s="46"/>
      <c r="N15" s="23"/>
      <c r="O15" s="42"/>
    </row>
    <row r="16" spans="1:15" x14ac:dyDescent="0.2">
      <c r="A16" s="42">
        <v>329</v>
      </c>
      <c r="B16" s="42"/>
      <c r="C16" s="23" t="b">
        <v>1</v>
      </c>
      <c r="D16" s="23" t="s">
        <v>113</v>
      </c>
      <c r="E16" s="23" t="s">
        <v>1776</v>
      </c>
      <c r="F16" s="23" t="s">
        <v>147</v>
      </c>
      <c r="G16" s="23" t="s">
        <v>497</v>
      </c>
      <c r="H16" s="50" t="s">
        <v>1331</v>
      </c>
      <c r="I16" s="50" t="s">
        <v>1113</v>
      </c>
      <c r="J16" s="23"/>
      <c r="K16" s="23"/>
      <c r="L16" s="23"/>
      <c r="M16" s="23"/>
      <c r="N16" s="45" t="s">
        <v>1770</v>
      </c>
      <c r="O16" s="42"/>
    </row>
    <row r="17" spans="1:15" x14ac:dyDescent="0.2">
      <c r="A17" s="46">
        <v>330</v>
      </c>
      <c r="B17" s="46" t="b">
        <v>1</v>
      </c>
      <c r="C17" s="46"/>
      <c r="D17" s="46" t="s">
        <v>113</v>
      </c>
      <c r="E17" s="46" t="s">
        <v>192</v>
      </c>
      <c r="F17" s="46" t="s">
        <v>148</v>
      </c>
      <c r="G17" s="46" t="s">
        <v>497</v>
      </c>
      <c r="H17" s="46" t="s">
        <v>1331</v>
      </c>
      <c r="I17" s="46"/>
      <c r="J17" s="46" t="s">
        <v>1632</v>
      </c>
      <c r="K17" s="46" t="s">
        <v>1772</v>
      </c>
      <c r="L17" s="46"/>
      <c r="M17" s="46"/>
      <c r="N17" s="45" t="s">
        <v>1771</v>
      </c>
      <c r="O17" s="42"/>
    </row>
    <row r="18" spans="1:15" x14ac:dyDescent="0.2">
      <c r="A18" s="44">
        <v>331</v>
      </c>
      <c r="B18" s="44"/>
      <c r="C18" s="34" t="b">
        <v>1</v>
      </c>
      <c r="D18" s="34" t="s">
        <v>113</v>
      </c>
      <c r="E18" s="34" t="s">
        <v>192</v>
      </c>
      <c r="F18" s="34" t="s">
        <v>1169</v>
      </c>
      <c r="G18" s="34" t="s">
        <v>497</v>
      </c>
      <c r="H18" s="34" t="s">
        <v>1331</v>
      </c>
      <c r="I18" s="34"/>
      <c r="J18" s="34" t="s">
        <v>1632</v>
      </c>
      <c r="K18" s="34" t="s">
        <v>1777</v>
      </c>
      <c r="L18" s="34"/>
      <c r="M18" s="34"/>
      <c r="N18" s="53" t="s">
        <v>1778</v>
      </c>
      <c r="O18" s="44" t="s">
        <v>1950</v>
      </c>
    </row>
    <row r="19" spans="1:15" x14ac:dyDescent="0.2">
      <c r="A19" s="42">
        <v>658</v>
      </c>
      <c r="B19" s="42" t="b">
        <v>1</v>
      </c>
      <c r="C19" s="23" t="b">
        <v>1</v>
      </c>
      <c r="D19" s="23" t="s">
        <v>113</v>
      </c>
      <c r="E19" s="23" t="s">
        <v>192</v>
      </c>
      <c r="F19" s="23" t="s">
        <v>140</v>
      </c>
      <c r="G19" s="23" t="s">
        <v>497</v>
      </c>
      <c r="H19" s="50" t="s">
        <v>1331</v>
      </c>
      <c r="I19" s="50" t="s">
        <v>1113</v>
      </c>
      <c r="J19" s="23"/>
      <c r="K19" s="23"/>
      <c r="L19" s="23"/>
      <c r="M19" s="23"/>
      <c r="N19" s="45" t="s">
        <v>1789</v>
      </c>
      <c r="O19" s="42"/>
    </row>
    <row r="20" spans="1:15" x14ac:dyDescent="0.2">
      <c r="A20" s="42">
        <v>659</v>
      </c>
      <c r="B20" s="42" t="b">
        <v>1</v>
      </c>
      <c r="C20" s="23" t="b">
        <v>1</v>
      </c>
      <c r="D20" s="23" t="s">
        <v>113</v>
      </c>
      <c r="E20" s="23" t="s">
        <v>192</v>
      </c>
      <c r="F20" s="54" t="s">
        <v>123</v>
      </c>
      <c r="G20" s="49" t="s">
        <v>497</v>
      </c>
      <c r="H20" s="23" t="s">
        <v>1331</v>
      </c>
      <c r="I20" s="23"/>
      <c r="J20" s="23" t="s">
        <v>1632</v>
      </c>
      <c r="K20" s="54" t="s">
        <v>1430</v>
      </c>
      <c r="L20" s="23"/>
      <c r="M20" s="23"/>
      <c r="N20" s="45" t="s">
        <v>1788</v>
      </c>
      <c r="O20" s="42"/>
    </row>
    <row r="21" spans="1:15" x14ac:dyDescent="0.2">
      <c r="A21" s="46">
        <v>667</v>
      </c>
      <c r="B21" s="46" t="b">
        <v>1</v>
      </c>
      <c r="C21" s="46"/>
      <c r="D21" s="46" t="s">
        <v>113</v>
      </c>
      <c r="E21" s="46" t="s">
        <v>192</v>
      </c>
      <c r="F21" s="46" t="s">
        <v>143</v>
      </c>
      <c r="G21" s="46" t="s">
        <v>226</v>
      </c>
      <c r="H21" s="52" t="s">
        <v>1331</v>
      </c>
      <c r="I21" s="52" t="s">
        <v>1113</v>
      </c>
      <c r="J21" s="46"/>
      <c r="K21" s="46"/>
      <c r="L21" s="46"/>
      <c r="M21" s="46"/>
      <c r="N21" s="42" t="s">
        <v>1709</v>
      </c>
      <c r="O21" s="42" t="s">
        <v>1968</v>
      </c>
    </row>
    <row r="22" spans="1:15" x14ac:dyDescent="0.2">
      <c r="A22" s="46">
        <v>668</v>
      </c>
      <c r="B22" s="46" t="b">
        <v>1</v>
      </c>
      <c r="C22" s="46"/>
      <c r="D22" s="46" t="s">
        <v>113</v>
      </c>
      <c r="E22" s="46" t="s">
        <v>192</v>
      </c>
      <c r="F22" s="46" t="s">
        <v>143</v>
      </c>
      <c r="G22" s="46" t="s">
        <v>227</v>
      </c>
      <c r="H22" s="52" t="s">
        <v>1331</v>
      </c>
      <c r="I22" s="52" t="s">
        <v>1113</v>
      </c>
      <c r="J22" s="46"/>
      <c r="K22" s="46"/>
      <c r="L22" s="46"/>
      <c r="M22" s="46"/>
      <c r="N22" s="42"/>
      <c r="O22" s="42"/>
    </row>
    <row r="23" spans="1:15" x14ac:dyDescent="0.2">
      <c r="A23" s="46">
        <v>669</v>
      </c>
      <c r="B23" s="46" t="b">
        <v>1</v>
      </c>
      <c r="C23" s="46"/>
      <c r="D23" s="46" t="s">
        <v>113</v>
      </c>
      <c r="E23" s="46" t="s">
        <v>192</v>
      </c>
      <c r="F23" s="46" t="s">
        <v>143</v>
      </c>
      <c r="G23" s="46" t="s">
        <v>228</v>
      </c>
      <c r="H23" s="52" t="s">
        <v>1331</v>
      </c>
      <c r="I23" s="52" t="s">
        <v>1113</v>
      </c>
      <c r="J23" s="46"/>
      <c r="K23" s="46"/>
      <c r="L23" s="46"/>
      <c r="M23" s="46"/>
      <c r="N23" s="42"/>
      <c r="O23" s="42"/>
    </row>
    <row r="24" spans="1:15" x14ac:dyDescent="0.2">
      <c r="A24" s="46">
        <v>670</v>
      </c>
      <c r="B24" s="46" t="b">
        <v>1</v>
      </c>
      <c r="C24" s="46"/>
      <c r="D24" s="46" t="s">
        <v>113</v>
      </c>
      <c r="E24" s="46" t="s">
        <v>192</v>
      </c>
      <c r="F24" s="46" t="s">
        <v>143</v>
      </c>
      <c r="G24" s="46" t="s">
        <v>229</v>
      </c>
      <c r="H24" s="52" t="s">
        <v>1331</v>
      </c>
      <c r="I24" s="52" t="s">
        <v>1113</v>
      </c>
      <c r="J24" s="46"/>
      <c r="K24" s="46"/>
      <c r="L24" s="46"/>
      <c r="M24" s="46"/>
      <c r="N24" s="42"/>
      <c r="O24" s="42"/>
    </row>
    <row r="25" spans="1:15" x14ac:dyDescent="0.2">
      <c r="A25" s="46">
        <v>671</v>
      </c>
      <c r="B25" s="46" t="b">
        <v>1</v>
      </c>
      <c r="C25" s="46"/>
      <c r="D25" s="46" t="s">
        <v>113</v>
      </c>
      <c r="E25" s="46" t="s">
        <v>192</v>
      </c>
      <c r="F25" s="46" t="s">
        <v>143</v>
      </c>
      <c r="G25" s="46" t="s">
        <v>230</v>
      </c>
      <c r="H25" s="52" t="s">
        <v>1331</v>
      </c>
      <c r="I25" s="52" t="s">
        <v>1113</v>
      </c>
      <c r="J25" s="46"/>
      <c r="K25" s="46"/>
      <c r="L25" s="46"/>
      <c r="M25" s="46"/>
      <c r="N25" s="42"/>
      <c r="O25" s="42"/>
    </row>
    <row r="26" spans="1:15" x14ac:dyDescent="0.2">
      <c r="A26" s="46">
        <v>672</v>
      </c>
      <c r="B26" s="46" t="b">
        <v>1</v>
      </c>
      <c r="C26" s="46"/>
      <c r="D26" s="46" t="s">
        <v>113</v>
      </c>
      <c r="E26" s="46" t="s">
        <v>192</v>
      </c>
      <c r="F26" s="46" t="s">
        <v>143</v>
      </c>
      <c r="G26" s="46" t="s">
        <v>231</v>
      </c>
      <c r="H26" s="52" t="s">
        <v>1331</v>
      </c>
      <c r="I26" s="52" t="s">
        <v>1113</v>
      </c>
      <c r="J26" s="46"/>
      <c r="K26" s="46"/>
      <c r="L26" s="46"/>
      <c r="M26" s="46"/>
      <c r="N26" s="42"/>
      <c r="O26" s="42"/>
    </row>
    <row r="27" spans="1:15" x14ac:dyDescent="0.2">
      <c r="A27" s="46">
        <v>673</v>
      </c>
      <c r="B27" s="46" t="b">
        <v>1</v>
      </c>
      <c r="C27" s="46"/>
      <c r="D27" s="46" t="s">
        <v>113</v>
      </c>
      <c r="E27" s="46" t="s">
        <v>192</v>
      </c>
      <c r="F27" s="46" t="s">
        <v>143</v>
      </c>
      <c r="G27" s="46" t="s">
        <v>232</v>
      </c>
      <c r="H27" s="52" t="s">
        <v>1331</v>
      </c>
      <c r="I27" s="52" t="s">
        <v>1113</v>
      </c>
      <c r="J27" s="46"/>
      <c r="K27" s="46"/>
      <c r="L27" s="46"/>
      <c r="M27" s="46"/>
      <c r="N27" s="42"/>
      <c r="O27" s="42"/>
    </row>
    <row r="28" spans="1:15" x14ac:dyDescent="0.2">
      <c r="A28" s="46">
        <v>674</v>
      </c>
      <c r="B28" s="46" t="b">
        <v>1</v>
      </c>
      <c r="C28" s="46"/>
      <c r="D28" s="46" t="s">
        <v>113</v>
      </c>
      <c r="E28" s="46" t="s">
        <v>192</v>
      </c>
      <c r="F28" s="46" t="s">
        <v>143</v>
      </c>
      <c r="G28" s="46" t="s">
        <v>1207</v>
      </c>
      <c r="H28" s="52" t="s">
        <v>1331</v>
      </c>
      <c r="I28" s="52" t="s">
        <v>1113</v>
      </c>
      <c r="J28" s="46"/>
      <c r="K28" s="46"/>
      <c r="L28" s="46"/>
      <c r="M28" s="46"/>
      <c r="N28" s="42"/>
      <c r="O28" s="42"/>
    </row>
    <row r="29" spans="1:15" x14ac:dyDescent="0.2">
      <c r="A29" s="46">
        <v>675</v>
      </c>
      <c r="B29" s="46" t="b">
        <v>1</v>
      </c>
      <c r="C29" s="46"/>
      <c r="D29" s="46" t="s">
        <v>113</v>
      </c>
      <c r="E29" s="46" t="s">
        <v>192</v>
      </c>
      <c r="F29" s="46" t="s">
        <v>143</v>
      </c>
      <c r="G29" s="46" t="s">
        <v>233</v>
      </c>
      <c r="H29" s="52" t="s">
        <v>1331</v>
      </c>
      <c r="I29" s="52" t="s">
        <v>1113</v>
      </c>
      <c r="J29" s="46"/>
      <c r="K29" s="46"/>
      <c r="L29" s="46"/>
      <c r="M29" s="46"/>
      <c r="N29" s="45" t="s">
        <v>1711</v>
      </c>
      <c r="O29" s="42"/>
    </row>
    <row r="30" spans="1:15" x14ac:dyDescent="0.2">
      <c r="A30" s="46">
        <v>691</v>
      </c>
      <c r="B30" s="46" t="b">
        <v>1</v>
      </c>
      <c r="C30" s="46"/>
      <c r="D30" s="46" t="s">
        <v>16</v>
      </c>
      <c r="E30" s="46" t="s">
        <v>192</v>
      </c>
      <c r="F30" s="46" t="s">
        <v>139</v>
      </c>
      <c r="G30" s="46" t="s">
        <v>455</v>
      </c>
      <c r="H30" s="52" t="s">
        <v>1331</v>
      </c>
      <c r="I30" s="52" t="s">
        <v>1113</v>
      </c>
      <c r="J30" s="46"/>
      <c r="K30" s="46"/>
      <c r="L30" s="46"/>
      <c r="M30" s="46"/>
      <c r="N30" s="23"/>
      <c r="O30" s="42"/>
    </row>
    <row r="31" spans="1:15" x14ac:dyDescent="0.2">
      <c r="A31" s="46">
        <v>692</v>
      </c>
      <c r="B31" s="46" t="b">
        <v>1</v>
      </c>
      <c r="C31" s="46"/>
      <c r="D31" s="46" t="s">
        <v>16</v>
      </c>
      <c r="E31" s="46" t="s">
        <v>192</v>
      </c>
      <c r="F31" s="46" t="s">
        <v>139</v>
      </c>
      <c r="G31" s="46" t="s">
        <v>456</v>
      </c>
      <c r="H31" s="52" t="s">
        <v>1331</v>
      </c>
      <c r="I31" s="52" t="s">
        <v>1113</v>
      </c>
      <c r="J31" s="46"/>
      <c r="K31" s="46"/>
      <c r="L31" s="46"/>
      <c r="M31" s="46"/>
      <c r="N31" s="23"/>
      <c r="O31" s="42"/>
    </row>
    <row r="32" spans="1:15" x14ac:dyDescent="0.2">
      <c r="A32" s="46">
        <v>693</v>
      </c>
      <c r="B32" s="46" t="b">
        <v>1</v>
      </c>
      <c r="C32" s="46"/>
      <c r="D32" s="46" t="s">
        <v>16</v>
      </c>
      <c r="E32" s="46" t="s">
        <v>192</v>
      </c>
      <c r="F32" s="46" t="s">
        <v>139</v>
      </c>
      <c r="G32" s="46" t="s">
        <v>457</v>
      </c>
      <c r="H32" s="52" t="s">
        <v>1331</v>
      </c>
      <c r="I32" s="52" t="s">
        <v>1113</v>
      </c>
      <c r="J32" s="46"/>
      <c r="K32" s="46"/>
      <c r="L32" s="46"/>
      <c r="M32" s="46"/>
      <c r="N32" s="23"/>
      <c r="O32" s="42"/>
    </row>
    <row r="33" spans="1:15" x14ac:dyDescent="0.2">
      <c r="A33" s="46">
        <v>694</v>
      </c>
      <c r="B33" s="46" t="b">
        <v>1</v>
      </c>
      <c r="C33" s="46"/>
      <c r="D33" s="46" t="s">
        <v>16</v>
      </c>
      <c r="E33" s="46" t="s">
        <v>192</v>
      </c>
      <c r="F33" s="46" t="s">
        <v>139</v>
      </c>
      <c r="G33" s="46" t="s">
        <v>458</v>
      </c>
      <c r="H33" s="52" t="s">
        <v>1331</v>
      </c>
      <c r="I33" s="52" t="s">
        <v>1113</v>
      </c>
      <c r="J33" s="46"/>
      <c r="K33" s="46"/>
      <c r="L33" s="46"/>
      <c r="M33" s="46"/>
      <c r="N33" s="23"/>
      <c r="O33" s="42"/>
    </row>
    <row r="34" spans="1:15" x14ac:dyDescent="0.2">
      <c r="A34" s="46">
        <v>695</v>
      </c>
      <c r="B34" s="46" t="b">
        <v>1</v>
      </c>
      <c r="C34" s="46"/>
      <c r="D34" s="46" t="s">
        <v>16</v>
      </c>
      <c r="E34" s="46" t="s">
        <v>192</v>
      </c>
      <c r="F34" s="46" t="s">
        <v>139</v>
      </c>
      <c r="G34" s="46" t="s">
        <v>459</v>
      </c>
      <c r="H34" s="52" t="s">
        <v>1331</v>
      </c>
      <c r="I34" s="52" t="s">
        <v>1113</v>
      </c>
      <c r="J34" s="46"/>
      <c r="K34" s="46"/>
      <c r="L34" s="46"/>
      <c r="M34" s="46"/>
      <c r="N34" s="23"/>
      <c r="O34" s="42"/>
    </row>
    <row r="35" spans="1:15" x14ac:dyDescent="0.2">
      <c r="A35" s="46">
        <v>696</v>
      </c>
      <c r="B35" s="46" t="b">
        <v>1</v>
      </c>
      <c r="C35" s="46"/>
      <c r="D35" s="46" t="s">
        <v>16</v>
      </c>
      <c r="E35" s="46" t="s">
        <v>192</v>
      </c>
      <c r="F35" s="46" t="s">
        <v>139</v>
      </c>
      <c r="G35" s="46" t="s">
        <v>460</v>
      </c>
      <c r="H35" s="52" t="s">
        <v>1331</v>
      </c>
      <c r="I35" s="52" t="s">
        <v>1113</v>
      </c>
      <c r="J35" s="46"/>
      <c r="K35" s="46"/>
      <c r="L35" s="46"/>
      <c r="M35" s="46"/>
      <c r="N35" s="23"/>
      <c r="O35" s="42"/>
    </row>
    <row r="36" spans="1:15" x14ac:dyDescent="0.2">
      <c r="A36" s="46">
        <v>697</v>
      </c>
      <c r="B36" s="46" t="b">
        <v>1</v>
      </c>
      <c r="C36" s="46"/>
      <c r="D36" s="46" t="s">
        <v>16</v>
      </c>
      <c r="E36" s="46" t="s">
        <v>192</v>
      </c>
      <c r="F36" s="46" t="s">
        <v>139</v>
      </c>
      <c r="G36" s="46" t="s">
        <v>461</v>
      </c>
      <c r="H36" s="52" t="s">
        <v>1331</v>
      </c>
      <c r="I36" s="52" t="s">
        <v>1113</v>
      </c>
      <c r="J36" s="46"/>
      <c r="K36" s="46"/>
      <c r="L36" s="46"/>
      <c r="M36" s="46"/>
      <c r="N36" s="23"/>
      <c r="O36" s="42"/>
    </row>
    <row r="37" spans="1:15" x14ac:dyDescent="0.2">
      <c r="A37" s="46">
        <v>698</v>
      </c>
      <c r="B37" s="46" t="b">
        <v>1</v>
      </c>
      <c r="C37" s="46"/>
      <c r="D37" s="46" t="s">
        <v>16</v>
      </c>
      <c r="E37" s="46" t="s">
        <v>192</v>
      </c>
      <c r="F37" s="46" t="s">
        <v>139</v>
      </c>
      <c r="G37" s="46" t="s">
        <v>462</v>
      </c>
      <c r="H37" s="52" t="s">
        <v>1331</v>
      </c>
      <c r="I37" s="52" t="s">
        <v>1113</v>
      </c>
      <c r="J37" s="46"/>
      <c r="K37" s="46"/>
      <c r="L37" s="46"/>
      <c r="M37" s="46"/>
      <c r="N37" s="23"/>
      <c r="O37" s="42"/>
    </row>
    <row r="38" spans="1:15" x14ac:dyDescent="0.2">
      <c r="A38" s="46">
        <v>699</v>
      </c>
      <c r="B38" s="46" t="b">
        <v>1</v>
      </c>
      <c r="C38" s="46"/>
      <c r="D38" s="46" t="s">
        <v>16</v>
      </c>
      <c r="E38" s="46" t="s">
        <v>192</v>
      </c>
      <c r="F38" s="46" t="s">
        <v>139</v>
      </c>
      <c r="G38" s="46" t="s">
        <v>463</v>
      </c>
      <c r="H38" s="52" t="s">
        <v>1331</v>
      </c>
      <c r="I38" s="52" t="s">
        <v>1113</v>
      </c>
      <c r="J38" s="46"/>
      <c r="K38" s="46"/>
      <c r="L38" s="46"/>
      <c r="M38" s="46"/>
      <c r="N38" s="23"/>
      <c r="O38" s="42"/>
    </row>
    <row r="39" spans="1:15" x14ac:dyDescent="0.2">
      <c r="A39" s="46">
        <v>700</v>
      </c>
      <c r="B39" s="46" t="b">
        <v>1</v>
      </c>
      <c r="C39" s="46"/>
      <c r="D39" s="46" t="s">
        <v>16</v>
      </c>
      <c r="E39" s="46" t="s">
        <v>192</v>
      </c>
      <c r="F39" s="46" t="s">
        <v>139</v>
      </c>
      <c r="G39" s="46" t="s">
        <v>464</v>
      </c>
      <c r="H39" s="52" t="s">
        <v>1331</v>
      </c>
      <c r="I39" s="52" t="s">
        <v>1113</v>
      </c>
      <c r="J39" s="46"/>
      <c r="K39" s="46"/>
      <c r="L39" s="46"/>
      <c r="M39" s="46"/>
      <c r="N39" s="23"/>
      <c r="O39" s="42"/>
    </row>
    <row r="40" spans="1:15" x14ac:dyDescent="0.2">
      <c r="A40" s="46">
        <v>701</v>
      </c>
      <c r="B40" s="46" t="b">
        <v>1</v>
      </c>
      <c r="C40" s="46"/>
      <c r="D40" s="46" t="s">
        <v>16</v>
      </c>
      <c r="E40" s="46" t="s">
        <v>192</v>
      </c>
      <c r="F40" s="46" t="s">
        <v>139</v>
      </c>
      <c r="G40" s="46" t="s">
        <v>465</v>
      </c>
      <c r="H40" s="52" t="s">
        <v>1331</v>
      </c>
      <c r="I40" s="52" t="s">
        <v>1113</v>
      </c>
      <c r="J40" s="46"/>
      <c r="K40" s="46"/>
      <c r="L40" s="46"/>
      <c r="M40" s="46"/>
      <c r="N40" s="23"/>
      <c r="O40" s="42"/>
    </row>
    <row r="41" spans="1:15" x14ac:dyDescent="0.2">
      <c r="A41" s="46">
        <v>702</v>
      </c>
      <c r="B41" s="46" t="b">
        <v>1</v>
      </c>
      <c r="C41" s="46"/>
      <c r="D41" s="46" t="s">
        <v>16</v>
      </c>
      <c r="E41" s="46" t="s">
        <v>192</v>
      </c>
      <c r="F41" s="46" t="s">
        <v>139</v>
      </c>
      <c r="G41" s="46" t="s">
        <v>466</v>
      </c>
      <c r="H41" s="52" t="s">
        <v>1331</v>
      </c>
      <c r="I41" s="52" t="s">
        <v>1113</v>
      </c>
      <c r="J41" s="46"/>
      <c r="K41" s="46"/>
      <c r="L41" s="46"/>
      <c r="M41" s="46"/>
      <c r="N41" s="23"/>
      <c r="O41" s="42"/>
    </row>
    <row r="42" spans="1:15" x14ac:dyDescent="0.2">
      <c r="A42" s="46">
        <v>703</v>
      </c>
      <c r="B42" s="46" t="b">
        <v>1</v>
      </c>
      <c r="C42" s="46"/>
      <c r="D42" s="46" t="s">
        <v>16</v>
      </c>
      <c r="E42" s="46" t="s">
        <v>192</v>
      </c>
      <c r="F42" s="46" t="s">
        <v>139</v>
      </c>
      <c r="G42" s="46" t="s">
        <v>467</v>
      </c>
      <c r="H42" s="52" t="s">
        <v>1331</v>
      </c>
      <c r="I42" s="52" t="s">
        <v>1113</v>
      </c>
      <c r="J42" s="46"/>
      <c r="K42" s="46"/>
      <c r="L42" s="46"/>
      <c r="M42" s="46"/>
      <c r="N42" s="23"/>
      <c r="O42" s="42"/>
    </row>
    <row r="43" spans="1:15" x14ac:dyDescent="0.2">
      <c r="A43" s="46">
        <v>704</v>
      </c>
      <c r="B43" s="46" t="b">
        <v>1</v>
      </c>
      <c r="C43" s="46"/>
      <c r="D43" s="46" t="s">
        <v>16</v>
      </c>
      <c r="E43" s="46" t="s">
        <v>192</v>
      </c>
      <c r="F43" s="46" t="s">
        <v>139</v>
      </c>
      <c r="G43" s="46" t="s">
        <v>468</v>
      </c>
      <c r="H43" s="52" t="s">
        <v>1331</v>
      </c>
      <c r="I43" s="52" t="s">
        <v>1113</v>
      </c>
      <c r="J43" s="46"/>
      <c r="K43" s="46"/>
      <c r="L43" s="46"/>
      <c r="M43" s="46"/>
      <c r="N43" s="23"/>
      <c r="O43" s="42"/>
    </row>
    <row r="44" spans="1:15" x14ac:dyDescent="0.2">
      <c r="A44" s="46">
        <v>705</v>
      </c>
      <c r="B44" s="46" t="b">
        <v>1</v>
      </c>
      <c r="C44" s="46"/>
      <c r="D44" s="46" t="s">
        <v>16</v>
      </c>
      <c r="E44" s="46" t="s">
        <v>192</v>
      </c>
      <c r="F44" s="46" t="s">
        <v>139</v>
      </c>
      <c r="G44" s="46" t="s">
        <v>469</v>
      </c>
      <c r="H44" s="52" t="s">
        <v>1331</v>
      </c>
      <c r="I44" s="52" t="s">
        <v>1113</v>
      </c>
      <c r="J44" s="46"/>
      <c r="K44" s="46"/>
      <c r="L44" s="46"/>
      <c r="M44" s="46"/>
      <c r="N44" s="23"/>
      <c r="O44" s="42"/>
    </row>
    <row r="45" spans="1:15" x14ac:dyDescent="0.2">
      <c r="A45" s="46">
        <v>706</v>
      </c>
      <c r="B45" s="46" t="b">
        <v>1</v>
      </c>
      <c r="C45" s="46"/>
      <c r="D45" s="46" t="s">
        <v>16</v>
      </c>
      <c r="E45" s="46" t="s">
        <v>192</v>
      </c>
      <c r="F45" s="46" t="s">
        <v>139</v>
      </c>
      <c r="G45" s="46" t="s">
        <v>470</v>
      </c>
      <c r="H45" s="52" t="s">
        <v>1331</v>
      </c>
      <c r="I45" s="52" t="s">
        <v>1113</v>
      </c>
      <c r="J45" s="46"/>
      <c r="K45" s="46"/>
      <c r="L45" s="46"/>
      <c r="M45" s="46"/>
      <c r="N45" s="23"/>
      <c r="O45" s="42"/>
    </row>
    <row r="46" spans="1:15" x14ac:dyDescent="0.2">
      <c r="A46" s="46">
        <v>707</v>
      </c>
      <c r="B46" s="46" t="b">
        <v>1</v>
      </c>
      <c r="C46" s="46"/>
      <c r="D46" s="46" t="s">
        <v>16</v>
      </c>
      <c r="E46" s="46" t="s">
        <v>192</v>
      </c>
      <c r="F46" s="46" t="s">
        <v>139</v>
      </c>
      <c r="G46" s="46" t="s">
        <v>471</v>
      </c>
      <c r="H46" s="52" t="s">
        <v>1331</v>
      </c>
      <c r="I46" s="52" t="s">
        <v>1113</v>
      </c>
      <c r="J46" s="46"/>
      <c r="K46" s="46"/>
      <c r="L46" s="46"/>
      <c r="M46" s="46"/>
      <c r="N46" s="23"/>
      <c r="O46" s="42"/>
    </row>
    <row r="47" spans="1:15" x14ac:dyDescent="0.2">
      <c r="A47" s="46">
        <v>708</v>
      </c>
      <c r="B47" s="46" t="b">
        <v>1</v>
      </c>
      <c r="C47" s="46"/>
      <c r="D47" s="46" t="s">
        <v>16</v>
      </c>
      <c r="E47" s="46" t="s">
        <v>192</v>
      </c>
      <c r="F47" s="46" t="s">
        <v>139</v>
      </c>
      <c r="G47" s="46" t="s">
        <v>472</v>
      </c>
      <c r="H47" s="52" t="s">
        <v>1331</v>
      </c>
      <c r="I47" s="52" t="s">
        <v>1113</v>
      </c>
      <c r="J47" s="46"/>
      <c r="K47" s="46"/>
      <c r="L47" s="46"/>
      <c r="M47" s="46"/>
      <c r="N47" s="23"/>
      <c r="O47" s="42"/>
    </row>
    <row r="48" spans="1:15" x14ac:dyDescent="0.2">
      <c r="A48" s="46">
        <v>709</v>
      </c>
      <c r="B48" s="46" t="b">
        <v>1</v>
      </c>
      <c r="C48" s="46"/>
      <c r="D48" s="46" t="s">
        <v>16</v>
      </c>
      <c r="E48" s="46" t="s">
        <v>192</v>
      </c>
      <c r="F48" s="46" t="s">
        <v>139</v>
      </c>
      <c r="G48" s="46" t="s">
        <v>473</v>
      </c>
      <c r="H48" s="52" t="s">
        <v>1331</v>
      </c>
      <c r="I48" s="52" t="s">
        <v>1113</v>
      </c>
      <c r="J48" s="46"/>
      <c r="K48" s="46"/>
      <c r="L48" s="46"/>
      <c r="M48" s="46"/>
      <c r="N48" s="23"/>
      <c r="O48" s="42"/>
    </row>
    <row r="49" spans="1:15" x14ac:dyDescent="0.2">
      <c r="A49" s="46">
        <v>710</v>
      </c>
      <c r="B49" s="46" t="b">
        <v>1</v>
      </c>
      <c r="C49" s="46"/>
      <c r="D49" s="46" t="s">
        <v>16</v>
      </c>
      <c r="E49" s="46" t="s">
        <v>192</v>
      </c>
      <c r="F49" s="46" t="s">
        <v>139</v>
      </c>
      <c r="G49" s="46" t="s">
        <v>474</v>
      </c>
      <c r="H49" s="52" t="s">
        <v>1331</v>
      </c>
      <c r="I49" s="52" t="s">
        <v>1113</v>
      </c>
      <c r="J49" s="46"/>
      <c r="K49" s="46"/>
      <c r="L49" s="46"/>
      <c r="M49" s="46"/>
      <c r="N49" s="23"/>
      <c r="O49" s="42"/>
    </row>
    <row r="50" spans="1:15" x14ac:dyDescent="0.2">
      <c r="A50" s="46">
        <v>711</v>
      </c>
      <c r="B50" s="46" t="b">
        <v>1</v>
      </c>
      <c r="C50" s="46"/>
      <c r="D50" s="46" t="s">
        <v>16</v>
      </c>
      <c r="E50" s="46" t="s">
        <v>192</v>
      </c>
      <c r="F50" s="46" t="s">
        <v>139</v>
      </c>
      <c r="G50" s="46" t="s">
        <v>475</v>
      </c>
      <c r="H50" s="52" t="s">
        <v>1331</v>
      </c>
      <c r="I50" s="52" t="s">
        <v>1113</v>
      </c>
      <c r="J50" s="46"/>
      <c r="K50" s="46"/>
      <c r="L50" s="46"/>
      <c r="M50" s="46"/>
      <c r="N50" s="23"/>
      <c r="O50" s="42"/>
    </row>
    <row r="51" spans="1:15" x14ac:dyDescent="0.2">
      <c r="A51" s="46">
        <v>712</v>
      </c>
      <c r="B51" s="46" t="b">
        <v>1</v>
      </c>
      <c r="C51" s="46"/>
      <c r="D51" s="46" t="s">
        <v>16</v>
      </c>
      <c r="E51" s="46" t="s">
        <v>192</v>
      </c>
      <c r="F51" s="46" t="s">
        <v>139</v>
      </c>
      <c r="G51" s="46" t="s">
        <v>476</v>
      </c>
      <c r="H51" s="52" t="s">
        <v>1331</v>
      </c>
      <c r="I51" s="52" t="s">
        <v>1113</v>
      </c>
      <c r="J51" s="46"/>
      <c r="K51" s="46"/>
      <c r="L51" s="46"/>
      <c r="M51" s="46"/>
      <c r="N51" s="23"/>
      <c r="O51" s="42"/>
    </row>
    <row r="52" spans="1:15" x14ac:dyDescent="0.2">
      <c r="A52" s="46">
        <v>715</v>
      </c>
      <c r="B52" s="46" t="b">
        <v>1</v>
      </c>
      <c r="C52" s="46"/>
      <c r="D52" s="46" t="s">
        <v>16</v>
      </c>
      <c r="E52" s="46" t="s">
        <v>192</v>
      </c>
      <c r="F52" s="46" t="s">
        <v>88</v>
      </c>
      <c r="G52" s="46" t="s">
        <v>1237</v>
      </c>
      <c r="H52" s="52" t="s">
        <v>1331</v>
      </c>
      <c r="I52" s="52" t="s">
        <v>1113</v>
      </c>
      <c r="J52" s="46"/>
      <c r="K52" s="46"/>
      <c r="L52" s="46"/>
      <c r="M52" s="46"/>
      <c r="N52" s="45" t="s">
        <v>1629</v>
      </c>
      <c r="O52" s="42"/>
    </row>
    <row r="53" spans="1:15" x14ac:dyDescent="0.2">
      <c r="A53" s="46">
        <v>716</v>
      </c>
      <c r="B53" s="46" t="b">
        <v>1</v>
      </c>
      <c r="C53" s="46"/>
      <c r="D53" s="46" t="s">
        <v>16</v>
      </c>
      <c r="E53" s="46" t="s">
        <v>192</v>
      </c>
      <c r="F53" s="46" t="s">
        <v>88</v>
      </c>
      <c r="G53" s="46" t="s">
        <v>1238</v>
      </c>
      <c r="H53" s="52" t="s">
        <v>1331</v>
      </c>
      <c r="I53" s="52" t="s">
        <v>1113</v>
      </c>
      <c r="J53" s="46"/>
      <c r="K53" s="46"/>
      <c r="L53" s="46"/>
      <c r="M53" s="46"/>
      <c r="N53" s="45" t="s">
        <v>1629</v>
      </c>
      <c r="O53" s="42"/>
    </row>
    <row r="54" spans="1:15" x14ac:dyDescent="0.2">
      <c r="A54" s="42">
        <v>717</v>
      </c>
      <c r="B54" s="42" t="b">
        <v>1</v>
      </c>
      <c r="C54" s="23" t="b">
        <v>1</v>
      </c>
      <c r="D54" s="23" t="s">
        <v>16</v>
      </c>
      <c r="E54" s="23" t="s">
        <v>192</v>
      </c>
      <c r="F54" s="23" t="s">
        <v>141</v>
      </c>
      <c r="G54" s="23" t="s">
        <v>497</v>
      </c>
      <c r="H54" s="23" t="s">
        <v>1331</v>
      </c>
      <c r="I54" s="23"/>
      <c r="J54" s="23" t="s">
        <v>1632</v>
      </c>
      <c r="K54" s="23" t="s">
        <v>1631</v>
      </c>
      <c r="L54" s="23"/>
      <c r="M54" s="23"/>
      <c r="N54" s="45" t="s">
        <v>1630</v>
      </c>
      <c r="O54" s="42"/>
    </row>
    <row r="55" spans="1:15" x14ac:dyDescent="0.2">
      <c r="A55" s="42">
        <v>718</v>
      </c>
      <c r="B55" s="42" t="b">
        <v>1</v>
      </c>
      <c r="C55" s="23" t="b">
        <v>1</v>
      </c>
      <c r="D55" s="23" t="s">
        <v>16</v>
      </c>
      <c r="E55" s="23" t="s">
        <v>192</v>
      </c>
      <c r="F55" s="23" t="s">
        <v>93</v>
      </c>
      <c r="G55" s="23" t="s">
        <v>497</v>
      </c>
      <c r="H55" s="50" t="s">
        <v>1331</v>
      </c>
      <c r="I55" s="50"/>
      <c r="J55" s="23" t="s">
        <v>1806</v>
      </c>
      <c r="K55" s="23" t="s">
        <v>1807</v>
      </c>
      <c r="L55" s="23"/>
      <c r="M55" s="23"/>
      <c r="N55" s="45" t="s">
        <v>1809</v>
      </c>
      <c r="O55" s="42"/>
    </row>
    <row r="56" spans="1:15" x14ac:dyDescent="0.2">
      <c r="A56" s="42">
        <v>719</v>
      </c>
      <c r="B56" s="42" t="b">
        <v>1</v>
      </c>
      <c r="C56" s="23" t="b">
        <v>1</v>
      </c>
      <c r="D56" s="23" t="s">
        <v>16</v>
      </c>
      <c r="E56" s="23" t="s">
        <v>192</v>
      </c>
      <c r="F56" s="23" t="s">
        <v>94</v>
      </c>
      <c r="G56" s="23" t="s">
        <v>497</v>
      </c>
      <c r="H56" s="50" t="s">
        <v>1331</v>
      </c>
      <c r="I56" s="50" t="s">
        <v>1113</v>
      </c>
      <c r="J56" s="23"/>
      <c r="K56" s="23"/>
      <c r="L56" s="23"/>
      <c r="M56" s="23"/>
      <c r="N56" s="45" t="s">
        <v>1808</v>
      </c>
      <c r="O56" s="42"/>
    </row>
    <row r="57" spans="1:15" x14ac:dyDescent="0.2">
      <c r="A57" s="46">
        <v>736</v>
      </c>
      <c r="B57" s="46" t="b">
        <v>1</v>
      </c>
      <c r="C57" s="46"/>
      <c r="D57" s="46" t="s">
        <v>16</v>
      </c>
      <c r="E57" s="46" t="s">
        <v>192</v>
      </c>
      <c r="F57" s="46" t="s">
        <v>1188</v>
      </c>
      <c r="G57" s="46" t="s">
        <v>1232</v>
      </c>
      <c r="H57" s="52" t="s">
        <v>1331</v>
      </c>
      <c r="I57" s="52" t="s">
        <v>1113</v>
      </c>
      <c r="J57" s="46"/>
      <c r="K57" s="46"/>
      <c r="L57" s="46"/>
      <c r="M57" s="46"/>
      <c r="N57" s="42"/>
      <c r="O57" s="42"/>
    </row>
    <row r="58" spans="1:15" x14ac:dyDescent="0.2">
      <c r="A58" s="46">
        <v>737</v>
      </c>
      <c r="B58" s="46" t="b">
        <v>1</v>
      </c>
      <c r="C58" s="46"/>
      <c r="D58" s="46" t="s">
        <v>16</v>
      </c>
      <c r="E58" s="46" t="s">
        <v>192</v>
      </c>
      <c r="F58" s="46" t="s">
        <v>1188</v>
      </c>
      <c r="G58" s="46" t="s">
        <v>1233</v>
      </c>
      <c r="H58" s="52" t="s">
        <v>1331</v>
      </c>
      <c r="I58" s="52" t="s">
        <v>1113</v>
      </c>
      <c r="J58" s="46"/>
      <c r="K58" s="46"/>
      <c r="L58" s="46"/>
      <c r="M58" s="46"/>
      <c r="N58" s="42"/>
      <c r="O58" s="42"/>
    </row>
    <row r="59" spans="1:15" x14ac:dyDescent="0.2">
      <c r="A59" s="46">
        <v>738</v>
      </c>
      <c r="B59" s="46" t="b">
        <v>1</v>
      </c>
      <c r="C59" s="46"/>
      <c r="D59" s="46" t="s">
        <v>16</v>
      </c>
      <c r="E59" s="46" t="s">
        <v>192</v>
      </c>
      <c r="F59" s="46" t="s">
        <v>1188</v>
      </c>
      <c r="G59" s="46" t="s">
        <v>1234</v>
      </c>
      <c r="H59" s="52" t="s">
        <v>1331</v>
      </c>
      <c r="I59" s="52" t="s">
        <v>1113</v>
      </c>
      <c r="J59" s="46"/>
      <c r="K59" s="46"/>
      <c r="L59" s="46"/>
      <c r="M59" s="46"/>
      <c r="N59" s="42"/>
      <c r="O59" s="42"/>
    </row>
    <row r="60" spans="1:15" x14ac:dyDescent="0.2">
      <c r="A60" s="46">
        <v>739</v>
      </c>
      <c r="B60" s="46" t="b">
        <v>1</v>
      </c>
      <c r="C60" s="46"/>
      <c r="D60" s="46" t="s">
        <v>16</v>
      </c>
      <c r="E60" s="46" t="s">
        <v>192</v>
      </c>
      <c r="F60" s="46" t="s">
        <v>1188</v>
      </c>
      <c r="G60" s="46" t="s">
        <v>1235</v>
      </c>
      <c r="H60" s="52" t="s">
        <v>1331</v>
      </c>
      <c r="I60" s="52" t="s">
        <v>1113</v>
      </c>
      <c r="J60" s="46"/>
      <c r="K60" s="46"/>
      <c r="L60" s="46"/>
      <c r="M60" s="46"/>
      <c r="N60" s="42"/>
      <c r="O60" s="42"/>
    </row>
    <row r="61" spans="1:15" x14ac:dyDescent="0.2">
      <c r="A61" s="46">
        <v>740</v>
      </c>
      <c r="B61" s="46" t="b">
        <v>1</v>
      </c>
      <c r="C61" s="46"/>
      <c r="D61" s="46" t="s">
        <v>16</v>
      </c>
      <c r="E61" s="46" t="s">
        <v>192</v>
      </c>
      <c r="F61" s="46" t="s">
        <v>1188</v>
      </c>
      <c r="G61" s="46" t="s">
        <v>1236</v>
      </c>
      <c r="H61" s="52" t="s">
        <v>1331</v>
      </c>
      <c r="I61" s="52" t="s">
        <v>1113</v>
      </c>
      <c r="J61" s="46"/>
      <c r="K61" s="46"/>
      <c r="L61" s="46"/>
      <c r="M61" s="46"/>
      <c r="N61" s="42"/>
      <c r="O61" s="42"/>
    </row>
    <row r="62" spans="1:15" x14ac:dyDescent="0.2">
      <c r="A62" s="42">
        <v>841</v>
      </c>
      <c r="B62" s="42"/>
      <c r="C62" s="23" t="b">
        <v>1</v>
      </c>
      <c r="D62" s="23" t="s">
        <v>1170</v>
      </c>
      <c r="E62" s="23" t="s">
        <v>192</v>
      </c>
      <c r="F62" s="23" t="s">
        <v>1183</v>
      </c>
      <c r="G62" s="23" t="s">
        <v>497</v>
      </c>
      <c r="H62" s="50" t="s">
        <v>1331</v>
      </c>
      <c r="I62" s="50" t="s">
        <v>1113</v>
      </c>
      <c r="J62" s="23"/>
      <c r="K62" s="23"/>
      <c r="L62" s="23"/>
      <c r="M62" s="23"/>
      <c r="N62" s="42"/>
      <c r="O62" s="42"/>
    </row>
    <row r="63" spans="1:15" x14ac:dyDescent="0.2">
      <c r="A63" s="42">
        <v>845</v>
      </c>
      <c r="B63" s="42"/>
      <c r="C63" s="23" t="b">
        <v>1</v>
      </c>
      <c r="D63" s="23" t="s">
        <v>1189</v>
      </c>
      <c r="E63" s="23" t="s">
        <v>192</v>
      </c>
      <c r="F63" s="23" t="s">
        <v>96</v>
      </c>
      <c r="G63" s="23" t="s">
        <v>497</v>
      </c>
      <c r="H63" s="50" t="s">
        <v>1331</v>
      </c>
      <c r="I63" s="50" t="s">
        <v>1113</v>
      </c>
      <c r="J63" s="23"/>
      <c r="K63" s="23"/>
      <c r="L63" s="23"/>
      <c r="M63" s="23"/>
      <c r="N63" s="45" t="s">
        <v>1843</v>
      </c>
      <c r="O63" s="42"/>
    </row>
    <row r="64" spans="1:15" x14ac:dyDescent="0.2">
      <c r="A64" s="42">
        <v>846</v>
      </c>
      <c r="B64" s="42"/>
      <c r="C64" s="23" t="b">
        <v>1</v>
      </c>
      <c r="D64" s="23" t="s">
        <v>1189</v>
      </c>
      <c r="E64" s="23" t="s">
        <v>192</v>
      </c>
      <c r="F64" s="23" t="s">
        <v>97</v>
      </c>
      <c r="G64" s="23" t="s">
        <v>497</v>
      </c>
      <c r="H64" s="23" t="s">
        <v>1331</v>
      </c>
      <c r="I64" s="23"/>
      <c r="J64" s="23" t="s">
        <v>1734</v>
      </c>
      <c r="K64" s="23" t="s">
        <v>1844</v>
      </c>
      <c r="L64" s="23"/>
      <c r="M64" s="23"/>
      <c r="N64" s="45" t="s">
        <v>1843</v>
      </c>
      <c r="O64" s="4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831EB-F90F-BD49-AC5C-0138EB88F455}">
  <dimension ref="A1:M66"/>
  <sheetViews>
    <sheetView workbookViewId="0">
      <pane ySplit="1" topLeftCell="A33" activePane="bottomLeft" state="frozen"/>
      <selection pane="bottomLeft" activeCell="L25" sqref="L25"/>
    </sheetView>
  </sheetViews>
  <sheetFormatPr baseColWidth="10" defaultRowHeight="16" x14ac:dyDescent="0.2"/>
  <cols>
    <col min="3" max="3" width="38.1640625" customWidth="1"/>
    <col min="4" max="4" width="21.6640625" customWidth="1"/>
    <col min="5" max="5" width="24.5" customWidth="1"/>
    <col min="6" max="6" width="51" customWidth="1"/>
    <col min="7" max="7" width="71" customWidth="1"/>
    <col min="9" max="9" width="15.6640625" customWidth="1"/>
    <col min="10" max="10" width="14.5" customWidth="1"/>
    <col min="11" max="11" width="51" customWidth="1"/>
  </cols>
  <sheetData>
    <row r="1" spans="1:13" ht="20" thickBot="1" x14ac:dyDescent="0.3">
      <c r="A1" s="25" t="s">
        <v>0</v>
      </c>
      <c r="B1" s="24" t="s">
        <v>1084</v>
      </c>
      <c r="C1" s="7" t="s">
        <v>1085</v>
      </c>
      <c r="D1" s="7" t="s">
        <v>1086</v>
      </c>
      <c r="E1" s="7" t="s">
        <v>1087</v>
      </c>
      <c r="F1" s="7" t="s">
        <v>1088</v>
      </c>
      <c r="G1" s="7" t="s">
        <v>1089</v>
      </c>
      <c r="H1" s="7" t="s">
        <v>1903</v>
      </c>
      <c r="I1" s="7" t="s">
        <v>1902</v>
      </c>
      <c r="J1" s="7" t="s">
        <v>1898</v>
      </c>
      <c r="K1" s="7" t="s">
        <v>1899</v>
      </c>
      <c r="L1" s="8" t="s">
        <v>1095</v>
      </c>
      <c r="M1" s="40" t="s">
        <v>1947</v>
      </c>
    </row>
    <row r="2" spans="1:13" x14ac:dyDescent="0.2">
      <c r="A2" s="6" t="b">
        <v>1</v>
      </c>
      <c r="B2" s="6" t="s">
        <v>192</v>
      </c>
      <c r="C2" s="6" t="s">
        <v>139</v>
      </c>
      <c r="D2" s="6" t="s">
        <v>455</v>
      </c>
      <c r="E2" s="6" t="s">
        <v>1331</v>
      </c>
      <c r="F2" s="6" t="s">
        <v>1309</v>
      </c>
      <c r="G2" s="6"/>
      <c r="H2" s="6"/>
      <c r="I2" s="6" t="s">
        <v>1156</v>
      </c>
      <c r="J2" s="6" t="s">
        <v>1332</v>
      </c>
      <c r="K2" s="6" t="s">
        <v>1897</v>
      </c>
      <c r="L2" s="6"/>
    </row>
    <row r="3" spans="1:13" x14ac:dyDescent="0.2">
      <c r="A3" s="6" t="b">
        <v>1</v>
      </c>
      <c r="B3" s="6" t="s">
        <v>192</v>
      </c>
      <c r="C3" s="6" t="s">
        <v>139</v>
      </c>
      <c r="D3" s="6" t="s">
        <v>456</v>
      </c>
      <c r="E3" s="6" t="s">
        <v>1331</v>
      </c>
      <c r="F3" s="6" t="s">
        <v>1310</v>
      </c>
      <c r="G3" s="6"/>
      <c r="H3" s="6"/>
      <c r="I3" s="6" t="s">
        <v>1156</v>
      </c>
      <c r="J3" s="6" t="s">
        <v>1332</v>
      </c>
      <c r="K3" s="6" t="s">
        <v>1897</v>
      </c>
      <c r="L3" s="6"/>
    </row>
    <row r="4" spans="1:13" x14ac:dyDescent="0.2">
      <c r="A4" s="6" t="b">
        <v>1</v>
      </c>
      <c r="B4" s="6" t="s">
        <v>192</v>
      </c>
      <c r="C4" s="6" t="s">
        <v>139</v>
      </c>
      <c r="D4" s="6" t="s">
        <v>457</v>
      </c>
      <c r="E4" s="6" t="s">
        <v>1331</v>
      </c>
      <c r="F4" s="6" t="s">
        <v>1329</v>
      </c>
      <c r="G4" s="6"/>
      <c r="H4" s="6"/>
      <c r="I4" s="6" t="s">
        <v>1156</v>
      </c>
      <c r="J4" s="6" t="s">
        <v>1332</v>
      </c>
      <c r="K4" s="6" t="s">
        <v>1897</v>
      </c>
      <c r="L4" s="6"/>
    </row>
    <row r="5" spans="1:13" x14ac:dyDescent="0.2">
      <c r="A5" s="6" t="b">
        <v>1</v>
      </c>
      <c r="B5" s="6" t="s">
        <v>192</v>
      </c>
      <c r="C5" s="6" t="s">
        <v>139</v>
      </c>
      <c r="D5" s="6" t="s">
        <v>458</v>
      </c>
      <c r="E5" s="6" t="s">
        <v>1331</v>
      </c>
      <c r="F5" s="6" t="s">
        <v>1330</v>
      </c>
      <c r="G5" s="6"/>
      <c r="H5" s="6"/>
      <c r="I5" s="6" t="s">
        <v>1156</v>
      </c>
      <c r="J5" s="6" t="s">
        <v>1332</v>
      </c>
      <c r="K5" s="6" t="s">
        <v>1897</v>
      </c>
      <c r="L5" s="6"/>
    </row>
    <row r="6" spans="1:13" x14ac:dyDescent="0.2">
      <c r="A6" s="6" t="b">
        <v>1</v>
      </c>
      <c r="B6" s="6" t="s">
        <v>192</v>
      </c>
      <c r="C6" s="6" t="s">
        <v>139</v>
      </c>
      <c r="D6" s="6" t="s">
        <v>459</v>
      </c>
      <c r="E6" s="6" t="s">
        <v>1331</v>
      </c>
      <c r="F6" s="6" t="s">
        <v>1311</v>
      </c>
      <c r="G6" s="6"/>
      <c r="H6" s="6"/>
      <c r="I6" s="6" t="s">
        <v>1156</v>
      </c>
      <c r="J6" s="6" t="s">
        <v>1332</v>
      </c>
      <c r="K6" s="6" t="s">
        <v>1897</v>
      </c>
      <c r="L6" s="6"/>
    </row>
    <row r="7" spans="1:13" x14ac:dyDescent="0.2">
      <c r="A7" s="6" t="b">
        <v>1</v>
      </c>
      <c r="B7" s="6" t="s">
        <v>192</v>
      </c>
      <c r="C7" s="6" t="s">
        <v>139</v>
      </c>
      <c r="D7" s="6" t="s">
        <v>460</v>
      </c>
      <c r="E7" s="6" t="s">
        <v>1331</v>
      </c>
      <c r="F7" s="6" t="s">
        <v>1312</v>
      </c>
      <c r="G7" s="6"/>
      <c r="H7" s="6"/>
      <c r="I7" s="6" t="s">
        <v>1156</v>
      </c>
      <c r="J7" s="6" t="s">
        <v>1332</v>
      </c>
      <c r="K7" s="6" t="s">
        <v>1897</v>
      </c>
      <c r="L7" s="6"/>
    </row>
    <row r="8" spans="1:13" x14ac:dyDescent="0.2">
      <c r="A8" s="6" t="b">
        <v>1</v>
      </c>
      <c r="B8" s="6" t="s">
        <v>192</v>
      </c>
      <c r="C8" s="6" t="s">
        <v>139</v>
      </c>
      <c r="D8" s="6" t="s">
        <v>461</v>
      </c>
      <c r="E8" s="6" t="s">
        <v>1331</v>
      </c>
      <c r="F8" s="6" t="s">
        <v>1313</v>
      </c>
      <c r="G8" s="6"/>
      <c r="H8" s="6"/>
      <c r="I8" s="6" t="s">
        <v>1156</v>
      </c>
      <c r="J8" s="6" t="s">
        <v>1332</v>
      </c>
      <c r="K8" s="6" t="s">
        <v>1897</v>
      </c>
      <c r="L8" s="6"/>
    </row>
    <row r="9" spans="1:13" x14ac:dyDescent="0.2">
      <c r="A9" s="6" t="b">
        <v>1</v>
      </c>
      <c r="B9" s="6" t="s">
        <v>192</v>
      </c>
      <c r="C9" s="6" t="s">
        <v>139</v>
      </c>
      <c r="D9" s="6" t="s">
        <v>462</v>
      </c>
      <c r="E9" s="6" t="s">
        <v>1331</v>
      </c>
      <c r="F9" s="6" t="s">
        <v>1314</v>
      </c>
      <c r="G9" s="6"/>
      <c r="H9" s="6"/>
      <c r="I9" s="6" t="s">
        <v>1156</v>
      </c>
      <c r="J9" s="6" t="s">
        <v>1332</v>
      </c>
      <c r="K9" s="6" t="s">
        <v>1897</v>
      </c>
      <c r="L9" s="6"/>
    </row>
    <row r="10" spans="1:13" x14ac:dyDescent="0.2">
      <c r="A10" s="6" t="b">
        <v>1</v>
      </c>
      <c r="B10" s="6" t="s">
        <v>192</v>
      </c>
      <c r="C10" s="6" t="s">
        <v>139</v>
      </c>
      <c r="D10" s="6" t="s">
        <v>463</v>
      </c>
      <c r="E10" s="6" t="s">
        <v>1331</v>
      </c>
      <c r="F10" s="6" t="s">
        <v>1315</v>
      </c>
      <c r="G10" s="6"/>
      <c r="H10" s="6"/>
      <c r="I10" s="6" t="s">
        <v>1156</v>
      </c>
      <c r="J10" s="6" t="s">
        <v>1332</v>
      </c>
      <c r="K10" s="6" t="s">
        <v>1897</v>
      </c>
      <c r="L10" s="6"/>
    </row>
    <row r="11" spans="1:13" x14ac:dyDescent="0.2">
      <c r="A11" s="6" t="b">
        <v>1</v>
      </c>
      <c r="B11" s="6" t="s">
        <v>192</v>
      </c>
      <c r="C11" s="6" t="s">
        <v>139</v>
      </c>
      <c r="D11" s="6" t="s">
        <v>464</v>
      </c>
      <c r="E11" s="6" t="s">
        <v>1331</v>
      </c>
      <c r="F11" s="6" t="s">
        <v>1316</v>
      </c>
      <c r="G11" s="6"/>
      <c r="H11" s="6"/>
      <c r="I11" s="6" t="s">
        <v>1156</v>
      </c>
      <c r="J11" s="6" t="s">
        <v>1332</v>
      </c>
      <c r="K11" s="6" t="s">
        <v>1897</v>
      </c>
      <c r="L11" s="6"/>
    </row>
    <row r="12" spans="1:13" x14ac:dyDescent="0.2">
      <c r="A12" s="6" t="b">
        <v>1</v>
      </c>
      <c r="B12" s="6" t="s">
        <v>192</v>
      </c>
      <c r="C12" s="6" t="s">
        <v>139</v>
      </c>
      <c r="D12" s="6" t="s">
        <v>465</v>
      </c>
      <c r="E12" s="6" t="s">
        <v>1331</v>
      </c>
      <c r="F12" s="6" t="s">
        <v>1317</v>
      </c>
      <c r="G12" s="6"/>
      <c r="H12" s="6"/>
      <c r="I12" s="6" t="s">
        <v>1156</v>
      </c>
      <c r="J12" s="6" t="s">
        <v>1332</v>
      </c>
      <c r="K12" s="6" t="s">
        <v>1897</v>
      </c>
      <c r="L12" s="6"/>
    </row>
    <row r="13" spans="1:13" x14ac:dyDescent="0.2">
      <c r="A13" s="6" t="b">
        <v>1</v>
      </c>
      <c r="B13" s="6" t="s">
        <v>192</v>
      </c>
      <c r="C13" s="6" t="s">
        <v>139</v>
      </c>
      <c r="D13" s="6" t="s">
        <v>466</v>
      </c>
      <c r="E13" s="6" t="s">
        <v>1331</v>
      </c>
      <c r="F13" s="6" t="s">
        <v>1318</v>
      </c>
      <c r="G13" s="6"/>
      <c r="H13" s="6"/>
      <c r="I13" s="6" t="s">
        <v>1156</v>
      </c>
      <c r="J13" s="6" t="s">
        <v>1332</v>
      </c>
      <c r="K13" s="6" t="s">
        <v>1897</v>
      </c>
      <c r="L13" s="6"/>
    </row>
    <row r="14" spans="1:13" x14ac:dyDescent="0.2">
      <c r="A14" s="6" t="b">
        <v>1</v>
      </c>
      <c r="B14" s="6" t="s">
        <v>192</v>
      </c>
      <c r="C14" s="6" t="s">
        <v>139</v>
      </c>
      <c r="D14" s="6" t="s">
        <v>467</v>
      </c>
      <c r="E14" s="6" t="s">
        <v>1331</v>
      </c>
      <c r="F14" s="6" t="s">
        <v>1319</v>
      </c>
      <c r="G14" s="6"/>
      <c r="H14" s="6"/>
      <c r="I14" s="6" t="s">
        <v>1156</v>
      </c>
      <c r="J14" s="6" t="s">
        <v>1332</v>
      </c>
      <c r="K14" s="6" t="s">
        <v>1897</v>
      </c>
      <c r="L14" s="6"/>
    </row>
    <row r="15" spans="1:13" x14ac:dyDescent="0.2">
      <c r="A15" s="6" t="b">
        <v>1</v>
      </c>
      <c r="B15" s="6" t="s">
        <v>192</v>
      </c>
      <c r="C15" s="6" t="s">
        <v>139</v>
      </c>
      <c r="D15" s="6" t="s">
        <v>468</v>
      </c>
      <c r="E15" s="6" t="s">
        <v>1331</v>
      </c>
      <c r="F15" s="6" t="s">
        <v>1320</v>
      </c>
      <c r="G15" s="6"/>
      <c r="H15" s="6"/>
      <c r="I15" s="6" t="s">
        <v>1156</v>
      </c>
      <c r="J15" s="6" t="s">
        <v>1332</v>
      </c>
      <c r="K15" s="6" t="s">
        <v>1897</v>
      </c>
      <c r="L15" s="6"/>
    </row>
    <row r="16" spans="1:13" x14ac:dyDescent="0.2">
      <c r="A16" s="6" t="b">
        <v>1</v>
      </c>
      <c r="B16" s="6" t="s">
        <v>192</v>
      </c>
      <c r="C16" s="6" t="s">
        <v>139</v>
      </c>
      <c r="D16" s="6" t="s">
        <v>469</v>
      </c>
      <c r="E16" s="6" t="s">
        <v>1331</v>
      </c>
      <c r="F16" s="6" t="s">
        <v>1321</v>
      </c>
      <c r="G16" s="6"/>
      <c r="H16" s="6"/>
      <c r="I16" s="6" t="s">
        <v>1156</v>
      </c>
      <c r="J16" s="6" t="s">
        <v>1332</v>
      </c>
      <c r="K16" s="6" t="s">
        <v>1897</v>
      </c>
      <c r="L16" s="6"/>
    </row>
    <row r="17" spans="1:12" x14ac:dyDescent="0.2">
      <c r="A17" s="6" t="b">
        <v>1</v>
      </c>
      <c r="B17" s="6" t="s">
        <v>192</v>
      </c>
      <c r="C17" s="6" t="s">
        <v>139</v>
      </c>
      <c r="D17" s="6" t="s">
        <v>470</v>
      </c>
      <c r="E17" s="6" t="s">
        <v>1331</v>
      </c>
      <c r="F17" s="6" t="s">
        <v>1322</v>
      </c>
      <c r="G17" s="6"/>
      <c r="H17" s="6"/>
      <c r="I17" s="6" t="s">
        <v>1156</v>
      </c>
      <c r="J17" s="6" t="s">
        <v>1332</v>
      </c>
      <c r="K17" s="6" t="s">
        <v>1897</v>
      </c>
      <c r="L17" s="6"/>
    </row>
    <row r="18" spans="1:12" x14ac:dyDescent="0.2">
      <c r="A18" s="6" t="b">
        <v>1</v>
      </c>
      <c r="B18" s="6" t="s">
        <v>192</v>
      </c>
      <c r="C18" s="6" t="s">
        <v>139</v>
      </c>
      <c r="D18" s="6" t="s">
        <v>471</v>
      </c>
      <c r="E18" s="6" t="s">
        <v>1331</v>
      </c>
      <c r="F18" s="6" t="s">
        <v>1323</v>
      </c>
      <c r="G18" s="6"/>
      <c r="H18" s="6"/>
      <c r="I18" s="6" t="s">
        <v>1156</v>
      </c>
      <c r="J18" s="6" t="s">
        <v>1332</v>
      </c>
      <c r="K18" s="6" t="s">
        <v>1897</v>
      </c>
      <c r="L18" s="6"/>
    </row>
    <row r="19" spans="1:12" x14ac:dyDescent="0.2">
      <c r="A19" s="6" t="b">
        <v>1</v>
      </c>
      <c r="B19" s="6" t="s">
        <v>192</v>
      </c>
      <c r="C19" s="6" t="s">
        <v>139</v>
      </c>
      <c r="D19" s="6" t="s">
        <v>472</v>
      </c>
      <c r="E19" s="6" t="s">
        <v>1331</v>
      </c>
      <c r="F19" s="6" t="s">
        <v>1324</v>
      </c>
      <c r="G19" s="6"/>
      <c r="H19" s="6"/>
      <c r="I19" s="6" t="s">
        <v>1156</v>
      </c>
      <c r="J19" s="6" t="s">
        <v>1332</v>
      </c>
      <c r="K19" s="6" t="s">
        <v>1897</v>
      </c>
      <c r="L19" s="6"/>
    </row>
    <row r="20" spans="1:12" x14ac:dyDescent="0.2">
      <c r="A20" s="6" t="b">
        <v>1</v>
      </c>
      <c r="B20" s="6" t="s">
        <v>192</v>
      </c>
      <c r="C20" s="6" t="s">
        <v>139</v>
      </c>
      <c r="D20" s="6" t="s">
        <v>473</v>
      </c>
      <c r="E20" s="6" t="s">
        <v>1331</v>
      </c>
      <c r="F20" s="6" t="s">
        <v>1325</v>
      </c>
      <c r="G20" s="6"/>
      <c r="H20" s="6"/>
      <c r="I20" s="6" t="s">
        <v>1156</v>
      </c>
      <c r="J20" s="6" t="s">
        <v>1332</v>
      </c>
      <c r="K20" s="6" t="s">
        <v>1897</v>
      </c>
      <c r="L20" s="6"/>
    </row>
    <row r="21" spans="1:12" x14ac:dyDescent="0.2">
      <c r="A21" s="6" t="b">
        <v>1</v>
      </c>
      <c r="B21" s="6" t="s">
        <v>192</v>
      </c>
      <c r="C21" s="6" t="s">
        <v>139</v>
      </c>
      <c r="D21" s="6" t="s">
        <v>474</v>
      </c>
      <c r="E21" s="6" t="s">
        <v>1331</v>
      </c>
      <c r="F21" s="6" t="s">
        <v>1326</v>
      </c>
      <c r="G21" s="6"/>
      <c r="H21" s="6"/>
      <c r="I21" s="6" t="s">
        <v>1156</v>
      </c>
      <c r="J21" s="6" t="s">
        <v>1332</v>
      </c>
      <c r="K21" s="6" t="s">
        <v>1897</v>
      </c>
      <c r="L21" s="6"/>
    </row>
    <row r="22" spans="1:12" x14ac:dyDescent="0.2">
      <c r="A22" s="6" t="b">
        <v>1</v>
      </c>
      <c r="B22" s="6" t="s">
        <v>192</v>
      </c>
      <c r="C22" s="6" t="s">
        <v>139</v>
      </c>
      <c r="D22" s="6" t="s">
        <v>475</v>
      </c>
      <c r="E22" s="6" t="s">
        <v>1331</v>
      </c>
      <c r="F22" s="6" t="s">
        <v>1327</v>
      </c>
      <c r="G22" s="6"/>
      <c r="H22" s="6"/>
      <c r="I22" s="6" t="s">
        <v>1156</v>
      </c>
      <c r="J22" s="6" t="s">
        <v>1332</v>
      </c>
      <c r="K22" s="6" t="s">
        <v>1897</v>
      </c>
      <c r="L22" s="6"/>
    </row>
    <row r="23" spans="1:12" x14ac:dyDescent="0.2">
      <c r="A23" s="6" t="b">
        <v>1</v>
      </c>
      <c r="B23" s="6" t="s">
        <v>192</v>
      </c>
      <c r="C23" s="6" t="s">
        <v>139</v>
      </c>
      <c r="D23" s="6" t="s">
        <v>476</v>
      </c>
      <c r="E23" s="6" t="s">
        <v>1331</v>
      </c>
      <c r="F23" s="6" t="s">
        <v>1328</v>
      </c>
      <c r="G23" s="6"/>
      <c r="H23" s="6"/>
      <c r="I23" s="6" t="s">
        <v>1156</v>
      </c>
      <c r="J23" s="6" t="s">
        <v>1332</v>
      </c>
      <c r="K23" s="6" t="s">
        <v>1897</v>
      </c>
      <c r="L23" s="6"/>
    </row>
    <row r="25" spans="1:12" x14ac:dyDescent="0.2">
      <c r="A25" s="6" t="b">
        <v>1</v>
      </c>
      <c r="B25" s="6" t="s">
        <v>192</v>
      </c>
      <c r="C25" s="6" t="s">
        <v>24</v>
      </c>
      <c r="D25" s="6" t="s">
        <v>163</v>
      </c>
      <c r="E25" s="6" t="s">
        <v>1331</v>
      </c>
      <c r="F25" s="6"/>
      <c r="G25" s="6"/>
      <c r="H25" s="6"/>
      <c r="I25" s="6"/>
      <c r="J25" s="6" t="s">
        <v>1531</v>
      </c>
      <c r="K25" s="6" t="s">
        <v>1532</v>
      </c>
      <c r="L25" s="5" t="s">
        <v>1533</v>
      </c>
    </row>
    <row r="26" spans="1:12" x14ac:dyDescent="0.2">
      <c r="A26" s="6"/>
      <c r="B26" s="6"/>
      <c r="C26" s="6"/>
      <c r="D26" s="6"/>
      <c r="E26" s="6"/>
      <c r="F26" s="6"/>
      <c r="G26" s="6"/>
      <c r="H26" s="6"/>
      <c r="I26" s="6"/>
      <c r="J26" s="6"/>
      <c r="K26" s="6"/>
      <c r="L26" s="5"/>
    </row>
    <row r="27" spans="1:12" x14ac:dyDescent="0.2">
      <c r="A27" s="6" t="b">
        <v>1</v>
      </c>
      <c r="B27" s="6" t="s">
        <v>192</v>
      </c>
      <c r="C27" s="6" t="s">
        <v>150</v>
      </c>
      <c r="D27" s="6" t="s">
        <v>1241</v>
      </c>
      <c r="E27" s="6" t="s">
        <v>1331</v>
      </c>
      <c r="F27" s="6" t="s">
        <v>1550</v>
      </c>
      <c r="G27" s="6"/>
      <c r="H27" s="6"/>
      <c r="I27" s="6"/>
      <c r="J27" s="6" t="s">
        <v>1552</v>
      </c>
      <c r="K27" s="6" t="s">
        <v>1904</v>
      </c>
      <c r="L27" s="6"/>
    </row>
    <row r="28" spans="1:12" x14ac:dyDescent="0.2">
      <c r="A28" s="6" t="b">
        <v>1</v>
      </c>
      <c r="B28" s="6" t="s">
        <v>192</v>
      </c>
      <c r="C28" s="6" t="s">
        <v>150</v>
      </c>
      <c r="D28" s="6" t="s">
        <v>1242</v>
      </c>
      <c r="E28" s="6" t="s">
        <v>1331</v>
      </c>
      <c r="F28" s="6" t="s">
        <v>1551</v>
      </c>
      <c r="G28" s="6"/>
      <c r="H28" s="6"/>
      <c r="I28" s="6"/>
      <c r="J28" s="6" t="s">
        <v>1552</v>
      </c>
      <c r="K28" s="6" t="s">
        <v>1904</v>
      </c>
      <c r="L28" s="6"/>
    </row>
    <row r="29" spans="1:12" x14ac:dyDescent="0.2">
      <c r="A29" s="6" t="b">
        <v>1</v>
      </c>
      <c r="B29" s="6" t="s">
        <v>192</v>
      </c>
      <c r="C29" s="6" t="s">
        <v>150</v>
      </c>
      <c r="D29" s="6" t="s">
        <v>1243</v>
      </c>
      <c r="E29" s="6" t="s">
        <v>1331</v>
      </c>
      <c r="F29" s="6" t="s">
        <v>1553</v>
      </c>
      <c r="G29" s="6"/>
      <c r="H29" s="6"/>
      <c r="I29" s="6"/>
      <c r="J29" s="6" t="s">
        <v>1554</v>
      </c>
      <c r="K29" s="6" t="s">
        <v>1904</v>
      </c>
      <c r="L29" s="6"/>
    </row>
    <row r="31" spans="1:12" x14ac:dyDescent="0.2">
      <c r="A31" s="6" t="b">
        <v>1</v>
      </c>
      <c r="B31" s="6" t="s">
        <v>192</v>
      </c>
      <c r="C31" s="6" t="s">
        <v>88</v>
      </c>
      <c r="D31" s="6" t="s">
        <v>1237</v>
      </c>
      <c r="E31" s="6" t="s">
        <v>1331</v>
      </c>
      <c r="F31" s="6" t="s">
        <v>1633</v>
      </c>
      <c r="G31" s="6" t="s">
        <v>1970</v>
      </c>
      <c r="H31" s="6" t="s">
        <v>1105</v>
      </c>
      <c r="I31" s="6"/>
      <c r="J31" s="6" t="s">
        <v>1635</v>
      </c>
      <c r="K31" s="6" t="s">
        <v>1905</v>
      </c>
      <c r="L31" s="6"/>
    </row>
    <row r="32" spans="1:12" x14ac:dyDescent="0.2">
      <c r="A32" s="6" t="b">
        <v>1</v>
      </c>
      <c r="B32" s="6" t="s">
        <v>192</v>
      </c>
      <c r="C32" s="6" t="s">
        <v>88</v>
      </c>
      <c r="D32" s="6" t="s">
        <v>1238</v>
      </c>
      <c r="E32" s="6" t="s">
        <v>1331</v>
      </c>
      <c r="F32" s="6" t="s">
        <v>1634</v>
      </c>
      <c r="G32" s="6" t="s">
        <v>1970</v>
      </c>
      <c r="H32" s="6" t="s">
        <v>1105</v>
      </c>
      <c r="I32" s="6"/>
      <c r="J32" s="6" t="s">
        <v>1635</v>
      </c>
      <c r="K32" s="6" t="s">
        <v>1905</v>
      </c>
      <c r="L32" s="6"/>
    </row>
    <row r="34" spans="1:13" x14ac:dyDescent="0.2">
      <c r="A34" s="6" t="b">
        <v>1</v>
      </c>
      <c r="B34" s="6" t="s">
        <v>192</v>
      </c>
      <c r="C34" s="6" t="s">
        <v>143</v>
      </c>
      <c r="D34" s="6" t="s">
        <v>226</v>
      </c>
      <c r="E34" s="6" t="s">
        <v>1331</v>
      </c>
      <c r="F34" s="6" t="s">
        <v>1708</v>
      </c>
      <c r="G34" s="6"/>
      <c r="H34" s="6" t="s">
        <v>1105</v>
      </c>
      <c r="I34" s="6"/>
      <c r="J34" s="26" t="s">
        <v>1708</v>
      </c>
      <c r="K34" s="26" t="s">
        <v>814</v>
      </c>
      <c r="L34" s="5" t="s">
        <v>1719</v>
      </c>
      <c r="M34" t="s">
        <v>1709</v>
      </c>
    </row>
    <row r="35" spans="1:13" x14ac:dyDescent="0.2">
      <c r="A35" s="6" t="b">
        <v>1</v>
      </c>
      <c r="B35" s="6" t="s">
        <v>192</v>
      </c>
      <c r="C35" s="6" t="s">
        <v>143</v>
      </c>
      <c r="D35" s="6" t="s">
        <v>227</v>
      </c>
      <c r="E35" s="6" t="s">
        <v>1331</v>
      </c>
      <c r="F35" s="6" t="s">
        <v>1712</v>
      </c>
      <c r="G35" s="6"/>
      <c r="H35" s="6" t="s">
        <v>1105</v>
      </c>
      <c r="I35" s="6"/>
      <c r="J35" s="26" t="s">
        <v>1712</v>
      </c>
      <c r="K35" s="26" t="s">
        <v>1713</v>
      </c>
      <c r="L35" s="5" t="s">
        <v>1719</v>
      </c>
    </row>
    <row r="36" spans="1:13" x14ac:dyDescent="0.2">
      <c r="A36" s="6" t="b">
        <v>1</v>
      </c>
      <c r="B36" s="6" t="s">
        <v>192</v>
      </c>
      <c r="C36" s="6" t="s">
        <v>143</v>
      </c>
      <c r="D36" s="6" t="s">
        <v>228</v>
      </c>
      <c r="E36" s="6" t="s">
        <v>1331</v>
      </c>
      <c r="F36" s="6" t="s">
        <v>1712</v>
      </c>
      <c r="G36" s="6"/>
      <c r="H36" s="6" t="s">
        <v>1105</v>
      </c>
      <c r="I36" s="6"/>
      <c r="J36" s="26" t="s">
        <v>1712</v>
      </c>
      <c r="K36" s="26" t="s">
        <v>1714</v>
      </c>
      <c r="L36" s="5" t="s">
        <v>1719</v>
      </c>
    </row>
    <row r="37" spans="1:13" x14ac:dyDescent="0.2">
      <c r="A37" s="6" t="b">
        <v>1</v>
      </c>
      <c r="B37" s="6" t="s">
        <v>192</v>
      </c>
      <c r="C37" s="6" t="s">
        <v>143</v>
      </c>
      <c r="D37" s="6" t="s">
        <v>229</v>
      </c>
      <c r="E37" s="6" t="s">
        <v>1331</v>
      </c>
      <c r="F37" s="6" t="s">
        <v>1708</v>
      </c>
      <c r="G37" s="6"/>
      <c r="H37" s="6" t="s">
        <v>1105</v>
      </c>
      <c r="I37" s="6"/>
      <c r="J37" s="26" t="s">
        <v>1708</v>
      </c>
      <c r="K37" s="26" t="s">
        <v>1715</v>
      </c>
      <c r="L37" s="5" t="s">
        <v>1719</v>
      </c>
    </row>
    <row r="38" spans="1:13" x14ac:dyDescent="0.2">
      <c r="A38" s="6" t="b">
        <v>1</v>
      </c>
      <c r="B38" s="6" t="s">
        <v>192</v>
      </c>
      <c r="C38" s="6" t="s">
        <v>143</v>
      </c>
      <c r="D38" s="6" t="s">
        <v>230</v>
      </c>
      <c r="E38" s="6" t="s">
        <v>1331</v>
      </c>
      <c r="F38" s="6" t="s">
        <v>1708</v>
      </c>
      <c r="G38" s="6"/>
      <c r="H38" s="6" t="s">
        <v>1105</v>
      </c>
      <c r="I38" s="6"/>
      <c r="J38" s="26" t="s">
        <v>1708</v>
      </c>
      <c r="K38" s="26" t="s">
        <v>1716</v>
      </c>
      <c r="L38" s="5" t="s">
        <v>1719</v>
      </c>
    </row>
    <row r="39" spans="1:13" x14ac:dyDescent="0.2">
      <c r="A39" s="6" t="b">
        <v>1</v>
      </c>
      <c r="B39" s="6" t="s">
        <v>192</v>
      </c>
      <c r="C39" s="6" t="s">
        <v>143</v>
      </c>
      <c r="D39" s="6" t="s">
        <v>231</v>
      </c>
      <c r="E39" s="6" t="s">
        <v>1331</v>
      </c>
      <c r="F39" s="6" t="s">
        <v>1708</v>
      </c>
      <c r="G39" s="6"/>
      <c r="H39" s="6" t="s">
        <v>1105</v>
      </c>
      <c r="I39" s="6"/>
      <c r="J39" s="26" t="s">
        <v>1708</v>
      </c>
      <c r="K39" s="26" t="s">
        <v>1717</v>
      </c>
      <c r="L39" s="5" t="s">
        <v>1719</v>
      </c>
    </row>
    <row r="40" spans="1:13" x14ac:dyDescent="0.2">
      <c r="A40" s="6" t="b">
        <v>1</v>
      </c>
      <c r="B40" s="6" t="s">
        <v>192</v>
      </c>
      <c r="C40" s="6" t="s">
        <v>143</v>
      </c>
      <c r="D40" s="6" t="s">
        <v>232</v>
      </c>
      <c r="E40" s="6" t="s">
        <v>1331</v>
      </c>
      <c r="F40" s="6" t="s">
        <v>1712</v>
      </c>
      <c r="G40" s="6"/>
      <c r="H40" s="6" t="s">
        <v>1105</v>
      </c>
      <c r="I40" s="6"/>
      <c r="J40" s="26" t="s">
        <v>1712</v>
      </c>
      <c r="K40" s="26" t="s">
        <v>1718</v>
      </c>
      <c r="L40" s="5" t="s">
        <v>1719</v>
      </c>
    </row>
    <row r="41" spans="1:13" x14ac:dyDescent="0.2">
      <c r="A41" s="6" t="b">
        <v>1</v>
      </c>
      <c r="B41" s="6" t="s">
        <v>192</v>
      </c>
      <c r="C41" s="6" t="s">
        <v>143</v>
      </c>
      <c r="D41" s="6" t="s">
        <v>1207</v>
      </c>
      <c r="E41" s="6" t="s">
        <v>1331</v>
      </c>
      <c r="F41" s="21" t="s">
        <v>1554</v>
      </c>
      <c r="G41" s="6"/>
      <c r="H41" s="6" t="s">
        <v>1105</v>
      </c>
      <c r="I41" s="6"/>
      <c r="J41" s="27" t="s">
        <v>1554</v>
      </c>
      <c r="K41" s="28" t="s">
        <v>1720</v>
      </c>
      <c r="L41" s="5" t="s">
        <v>1719</v>
      </c>
    </row>
    <row r="42" spans="1:13" x14ac:dyDescent="0.2">
      <c r="A42" s="6" t="b">
        <v>1</v>
      </c>
      <c r="B42" s="6" t="s">
        <v>192</v>
      </c>
      <c r="C42" s="6" t="s">
        <v>143</v>
      </c>
      <c r="D42" s="6" t="s">
        <v>233</v>
      </c>
      <c r="E42" s="6" t="s">
        <v>1331</v>
      </c>
      <c r="F42" s="6" t="s">
        <v>1710</v>
      </c>
      <c r="G42" s="6"/>
      <c r="H42" s="6" t="s">
        <v>1105</v>
      </c>
      <c r="I42" s="6"/>
      <c r="J42" s="26" t="s">
        <v>1710</v>
      </c>
      <c r="K42" s="26" t="b">
        <v>1</v>
      </c>
      <c r="L42" s="5" t="s">
        <v>1719</v>
      </c>
      <c r="M42" t="s">
        <v>1711</v>
      </c>
    </row>
    <row r="43" spans="1:13" x14ac:dyDescent="0.2">
      <c r="A43" s="6"/>
      <c r="B43" s="6"/>
      <c r="C43" s="6"/>
      <c r="D43" s="6"/>
      <c r="E43" s="6"/>
      <c r="F43" s="6"/>
      <c r="G43" s="6"/>
      <c r="H43" s="6"/>
      <c r="I43" s="6"/>
      <c r="J43" s="6"/>
      <c r="K43" s="6"/>
      <c r="L43" s="5"/>
    </row>
    <row r="44" spans="1:13" x14ac:dyDescent="0.2">
      <c r="A44" s="6" t="b">
        <v>1</v>
      </c>
      <c r="B44" s="6" t="s">
        <v>192</v>
      </c>
      <c r="C44" s="6" t="s">
        <v>1193</v>
      </c>
      <c r="D44" s="6" t="s">
        <v>1885</v>
      </c>
      <c r="E44" s="6" t="s">
        <v>1331</v>
      </c>
      <c r="F44" s="6"/>
      <c r="G44" s="6" t="s">
        <v>1920</v>
      </c>
      <c r="H44" s="6" t="s">
        <v>1105</v>
      </c>
      <c r="I44" s="6"/>
      <c r="J44" s="6" t="s">
        <v>1737</v>
      </c>
      <c r="K44" s="6" t="s">
        <v>1885</v>
      </c>
      <c r="L44" s="5" t="s">
        <v>1738</v>
      </c>
    </row>
    <row r="45" spans="1:13" x14ac:dyDescent="0.2">
      <c r="A45" s="6" t="b">
        <v>1</v>
      </c>
      <c r="B45" s="6" t="s">
        <v>192</v>
      </c>
      <c r="C45" s="6" t="s">
        <v>13</v>
      </c>
      <c r="D45" s="6" t="s">
        <v>1886</v>
      </c>
      <c r="E45" s="6" t="s">
        <v>1331</v>
      </c>
      <c r="F45" s="6"/>
      <c r="G45" s="6" t="s">
        <v>1917</v>
      </c>
      <c r="H45" s="6" t="s">
        <v>1105</v>
      </c>
      <c r="I45" s="6"/>
      <c r="J45" s="6" t="s">
        <v>1742</v>
      </c>
      <c r="K45" s="6" t="s">
        <v>1886</v>
      </c>
      <c r="L45" s="5" t="s">
        <v>1743</v>
      </c>
    </row>
    <row r="46" spans="1:13" x14ac:dyDescent="0.2">
      <c r="A46" s="6" t="b">
        <v>1</v>
      </c>
      <c r="B46" s="6" t="s">
        <v>192</v>
      </c>
      <c r="C46" s="6" t="s">
        <v>15</v>
      </c>
      <c r="D46" s="6" t="s">
        <v>1887</v>
      </c>
      <c r="E46" s="6" t="s">
        <v>1331</v>
      </c>
      <c r="F46" s="6"/>
      <c r="G46" s="6"/>
      <c r="H46" s="6" t="s">
        <v>1105</v>
      </c>
      <c r="I46" s="6"/>
      <c r="J46" s="6" t="s">
        <v>1746</v>
      </c>
      <c r="K46" s="6" t="s">
        <v>1887</v>
      </c>
      <c r="L46" s="5" t="s">
        <v>1743</v>
      </c>
    </row>
    <row r="47" spans="1:13" x14ac:dyDescent="0.2">
      <c r="A47" s="6" t="b">
        <v>1</v>
      </c>
      <c r="B47" s="6" t="s">
        <v>192</v>
      </c>
      <c r="C47" s="6" t="s">
        <v>18</v>
      </c>
      <c r="D47" s="6" t="s">
        <v>1888</v>
      </c>
      <c r="E47" s="6" t="s">
        <v>1331</v>
      </c>
      <c r="F47" s="6"/>
      <c r="G47" s="6"/>
      <c r="H47" s="6" t="s">
        <v>1105</v>
      </c>
      <c r="I47" s="6"/>
      <c r="J47" s="6" t="s">
        <v>1747</v>
      </c>
      <c r="K47" s="6" t="s">
        <v>1888</v>
      </c>
      <c r="L47" s="5" t="s">
        <v>1743</v>
      </c>
    </row>
    <row r="48" spans="1:13" x14ac:dyDescent="0.2">
      <c r="A48" s="6" t="b">
        <v>1</v>
      </c>
      <c r="B48" s="6" t="s">
        <v>192</v>
      </c>
      <c r="C48" s="6" t="s">
        <v>87</v>
      </c>
      <c r="D48" s="6" t="s">
        <v>1889</v>
      </c>
      <c r="E48" s="6" t="s">
        <v>1331</v>
      </c>
      <c r="F48" s="6"/>
      <c r="G48" s="6"/>
      <c r="H48" s="6" t="s">
        <v>1105</v>
      </c>
      <c r="I48" s="6"/>
      <c r="J48" s="6" t="s">
        <v>1752</v>
      </c>
      <c r="K48" s="6" t="s">
        <v>1889</v>
      </c>
      <c r="L48" s="5" t="s">
        <v>1743</v>
      </c>
    </row>
    <row r="49" spans="1:12" x14ac:dyDescent="0.2">
      <c r="A49" s="6" t="b">
        <v>1</v>
      </c>
      <c r="B49" s="6" t="s">
        <v>192</v>
      </c>
      <c r="C49" s="6" t="s">
        <v>100</v>
      </c>
      <c r="D49" s="6" t="s">
        <v>1890</v>
      </c>
      <c r="E49" s="6" t="s">
        <v>1331</v>
      </c>
      <c r="F49" s="6"/>
      <c r="G49" s="6" t="s">
        <v>1918</v>
      </c>
      <c r="H49" s="6" t="s">
        <v>1105</v>
      </c>
      <c r="I49" s="6"/>
      <c r="J49" s="6" t="s">
        <v>1756</v>
      </c>
      <c r="K49" s="6" t="s">
        <v>1890</v>
      </c>
      <c r="L49" s="5" t="s">
        <v>1743</v>
      </c>
    </row>
    <row r="50" spans="1:12" x14ac:dyDescent="0.2">
      <c r="A50" s="6" t="b">
        <v>1</v>
      </c>
      <c r="B50" s="6" t="s">
        <v>192</v>
      </c>
      <c r="C50" s="6" t="s">
        <v>1200</v>
      </c>
      <c r="D50" s="6" t="s">
        <v>1891</v>
      </c>
      <c r="E50" s="6" t="s">
        <v>1331</v>
      </c>
      <c r="F50" s="6"/>
      <c r="G50" s="6"/>
      <c r="H50" s="6" t="s">
        <v>1105</v>
      </c>
      <c r="I50" s="6"/>
      <c r="J50" s="6" t="s">
        <v>1760</v>
      </c>
      <c r="K50" s="6" t="s">
        <v>1891</v>
      </c>
      <c r="L50" s="5" t="s">
        <v>1761</v>
      </c>
    </row>
    <row r="52" spans="1:12" x14ac:dyDescent="0.2">
      <c r="A52" s="6" t="b">
        <v>1</v>
      </c>
      <c r="B52" s="6" t="s">
        <v>192</v>
      </c>
      <c r="C52" s="6" t="s">
        <v>147</v>
      </c>
      <c r="D52" s="6" t="s">
        <v>1773</v>
      </c>
      <c r="E52" s="6" t="s">
        <v>1331</v>
      </c>
      <c r="F52" s="6"/>
      <c r="G52" s="6" t="s">
        <v>1949</v>
      </c>
      <c r="H52" s="6" t="s">
        <v>1105</v>
      </c>
      <c r="I52" s="6"/>
      <c r="J52" s="6" t="s">
        <v>1774</v>
      </c>
      <c r="K52" s="6" t="s">
        <v>1773</v>
      </c>
      <c r="L52" s="5" t="s">
        <v>1775</v>
      </c>
    </row>
    <row r="54" spans="1:12" x14ac:dyDescent="0.2">
      <c r="A54" s="6" t="b">
        <v>1</v>
      </c>
      <c r="B54" s="6" t="s">
        <v>192</v>
      </c>
      <c r="C54" s="6" t="s">
        <v>140</v>
      </c>
      <c r="D54" s="6" t="s">
        <v>1790</v>
      </c>
      <c r="E54" s="6" t="s">
        <v>1331</v>
      </c>
      <c r="F54" s="23"/>
      <c r="G54" s="6" t="s">
        <v>1967</v>
      </c>
      <c r="H54" s="6" t="s">
        <v>1105</v>
      </c>
      <c r="I54" s="6"/>
      <c r="J54" s="6" t="s">
        <v>1791</v>
      </c>
      <c r="K54" s="6" t="s">
        <v>1790</v>
      </c>
      <c r="L54" s="5" t="s">
        <v>1792</v>
      </c>
    </row>
    <row r="56" spans="1:12" x14ac:dyDescent="0.2">
      <c r="A56" s="6" t="b">
        <v>1</v>
      </c>
      <c r="B56" s="6" t="s">
        <v>192</v>
      </c>
      <c r="C56" s="6" t="s">
        <v>94</v>
      </c>
      <c r="D56" s="6" t="s">
        <v>1810</v>
      </c>
      <c r="E56" s="6" t="s">
        <v>1331</v>
      </c>
      <c r="F56" s="6"/>
      <c r="G56" s="6" t="s">
        <v>1971</v>
      </c>
      <c r="H56" s="6" t="s">
        <v>1105</v>
      </c>
      <c r="I56" s="6"/>
      <c r="J56" s="6" t="s">
        <v>1811</v>
      </c>
      <c r="K56" s="6" t="s">
        <v>1810</v>
      </c>
      <c r="L56" s="5" t="s">
        <v>1812</v>
      </c>
    </row>
    <row r="57" spans="1:12" x14ac:dyDescent="0.2">
      <c r="A57" s="6"/>
      <c r="B57" s="6"/>
      <c r="C57" s="6"/>
      <c r="D57" s="6"/>
      <c r="E57" s="6"/>
      <c r="F57" s="6"/>
      <c r="G57" s="6"/>
      <c r="H57" s="6"/>
      <c r="I57" s="6"/>
      <c r="J57" s="6"/>
      <c r="K57" s="6"/>
      <c r="L57" s="5"/>
    </row>
    <row r="58" spans="1:12" x14ac:dyDescent="0.2">
      <c r="A58" s="6" t="b">
        <v>1</v>
      </c>
      <c r="B58" s="6" t="s">
        <v>192</v>
      </c>
      <c r="C58" s="6" t="s">
        <v>1188</v>
      </c>
      <c r="D58" s="6" t="s">
        <v>1232</v>
      </c>
      <c r="E58" s="6" t="s">
        <v>1331</v>
      </c>
      <c r="F58" s="6" t="s">
        <v>1818</v>
      </c>
      <c r="G58" s="6"/>
      <c r="H58" s="6" t="s">
        <v>1105</v>
      </c>
      <c r="I58" s="6"/>
      <c r="J58" s="6" t="s">
        <v>1815</v>
      </c>
      <c r="K58" s="6" t="s">
        <v>1916</v>
      </c>
      <c r="L58" s="5" t="s">
        <v>1823</v>
      </c>
    </row>
    <row r="59" spans="1:12" x14ac:dyDescent="0.2">
      <c r="A59" s="6" t="b">
        <v>1</v>
      </c>
      <c r="B59" s="6" t="s">
        <v>192</v>
      </c>
      <c r="C59" s="6" t="s">
        <v>1188</v>
      </c>
      <c r="D59" s="6" t="s">
        <v>1816</v>
      </c>
      <c r="E59" s="6" t="s">
        <v>1331</v>
      </c>
      <c r="F59" s="6" t="s">
        <v>1820</v>
      </c>
      <c r="G59" s="6"/>
      <c r="H59" s="6" t="s">
        <v>1105</v>
      </c>
      <c r="I59" s="6"/>
      <c r="J59" s="6" t="s">
        <v>1815</v>
      </c>
      <c r="K59" s="6" t="s">
        <v>1916</v>
      </c>
      <c r="L59" s="5" t="s">
        <v>1823</v>
      </c>
    </row>
    <row r="60" spans="1:12" x14ac:dyDescent="0.2">
      <c r="A60" s="6" t="b">
        <v>1</v>
      </c>
      <c r="B60" s="6" t="s">
        <v>192</v>
      </c>
      <c r="C60" s="6" t="s">
        <v>1188</v>
      </c>
      <c r="D60" s="6" t="s">
        <v>1234</v>
      </c>
      <c r="E60" s="6" t="s">
        <v>1331</v>
      </c>
      <c r="F60" s="6" t="s">
        <v>1819</v>
      </c>
      <c r="G60" s="6"/>
      <c r="H60" s="6" t="s">
        <v>1105</v>
      </c>
      <c r="I60" s="6"/>
      <c r="J60" s="6" t="s">
        <v>1815</v>
      </c>
      <c r="K60" s="6" t="s">
        <v>1916</v>
      </c>
      <c r="L60" s="5" t="s">
        <v>1823</v>
      </c>
    </row>
    <row r="61" spans="1:12" x14ac:dyDescent="0.2">
      <c r="A61" s="6" t="b">
        <v>1</v>
      </c>
      <c r="B61" s="6" t="s">
        <v>192</v>
      </c>
      <c r="C61" s="6" t="s">
        <v>1188</v>
      </c>
      <c r="D61" s="6" t="s">
        <v>1235</v>
      </c>
      <c r="E61" s="6" t="s">
        <v>1331</v>
      </c>
      <c r="F61" s="6" t="s">
        <v>1821</v>
      </c>
      <c r="G61" s="6"/>
      <c r="H61" s="6" t="s">
        <v>1105</v>
      </c>
      <c r="I61" s="6"/>
      <c r="J61" s="6" t="s">
        <v>1815</v>
      </c>
      <c r="K61" s="6" t="s">
        <v>1916</v>
      </c>
      <c r="L61" s="5" t="s">
        <v>1823</v>
      </c>
    </row>
    <row r="62" spans="1:12" x14ac:dyDescent="0.2">
      <c r="A62" s="6" t="b">
        <v>1</v>
      </c>
      <c r="B62" s="6" t="s">
        <v>192</v>
      </c>
      <c r="C62" s="6" t="s">
        <v>1188</v>
      </c>
      <c r="D62" s="6" t="s">
        <v>1817</v>
      </c>
      <c r="E62" s="6" t="s">
        <v>1331</v>
      </c>
      <c r="F62" s="6" t="s">
        <v>1822</v>
      </c>
      <c r="G62" s="6"/>
      <c r="H62" s="6" t="s">
        <v>1105</v>
      </c>
      <c r="I62" s="6"/>
      <c r="J62" s="6" t="s">
        <v>1815</v>
      </c>
      <c r="K62" s="6" t="s">
        <v>1916</v>
      </c>
      <c r="L62" s="5" t="s">
        <v>1823</v>
      </c>
    </row>
    <row r="64" spans="1:12" x14ac:dyDescent="0.2">
      <c r="A64" s="6" t="b">
        <v>1</v>
      </c>
      <c r="B64" s="6" t="s">
        <v>192</v>
      </c>
      <c r="C64" s="6" t="s">
        <v>1183</v>
      </c>
      <c r="D64" s="6" t="s">
        <v>1847</v>
      </c>
      <c r="E64" s="6" t="s">
        <v>1331</v>
      </c>
      <c r="F64" s="6"/>
      <c r="G64" s="6" t="s">
        <v>1853</v>
      </c>
      <c r="H64" s="6" t="s">
        <v>1105</v>
      </c>
      <c r="I64" s="6" t="s">
        <v>1851</v>
      </c>
      <c r="J64" s="6"/>
      <c r="K64" s="6" t="s">
        <v>1847</v>
      </c>
      <c r="L64" s="5" t="s">
        <v>1854</v>
      </c>
    </row>
    <row r="66" spans="1:12" x14ac:dyDescent="0.2">
      <c r="A66" s="6" t="b">
        <v>1</v>
      </c>
      <c r="B66" s="6" t="s">
        <v>192</v>
      </c>
      <c r="C66" s="6" t="s">
        <v>96</v>
      </c>
      <c r="D66" s="6" t="s">
        <v>1850</v>
      </c>
      <c r="E66" s="6" t="s">
        <v>1331</v>
      </c>
      <c r="F66" s="6"/>
      <c r="G66" s="6"/>
      <c r="H66" s="6" t="s">
        <v>1105</v>
      </c>
      <c r="I66" s="6" t="s">
        <v>1852</v>
      </c>
      <c r="J66" s="6"/>
      <c r="K66" s="6" t="s">
        <v>1850</v>
      </c>
      <c r="L66" s="5" t="s">
        <v>1854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65418-9499-EC46-ADC6-7D5629AAF05F}">
  <dimension ref="A1:O9"/>
  <sheetViews>
    <sheetView workbookViewId="0">
      <selection activeCell="I3" sqref="I3"/>
    </sheetView>
  </sheetViews>
  <sheetFormatPr baseColWidth="10" defaultRowHeight="16" x14ac:dyDescent="0.2"/>
  <cols>
    <col min="1" max="1" width="9.33203125" customWidth="1"/>
    <col min="2" max="2" width="15" customWidth="1"/>
    <col min="3" max="3" width="10.5" customWidth="1"/>
    <col min="4" max="4" width="31.1640625" customWidth="1"/>
    <col min="5" max="5" width="13" customWidth="1"/>
    <col min="6" max="6" width="25.83203125" customWidth="1"/>
    <col min="7" max="7" width="13.1640625" customWidth="1"/>
    <col min="8" max="8" width="12" customWidth="1"/>
    <col min="9" max="9" width="10.1640625" customWidth="1"/>
    <col min="10" max="10" width="16.5" customWidth="1"/>
    <col min="11" max="11" width="28" customWidth="1"/>
    <col min="12" max="12" width="7.5" customWidth="1"/>
    <col min="13" max="13" width="12.6640625" customWidth="1"/>
    <col min="14" max="14" width="76.83203125" customWidth="1"/>
    <col min="15" max="15" width="27.5" customWidth="1"/>
  </cols>
  <sheetData>
    <row r="1" spans="1:15" ht="20" thickBot="1" x14ac:dyDescent="0.3">
      <c r="A1" s="42" t="s">
        <v>1549</v>
      </c>
      <c r="B1" s="43" t="s">
        <v>1925</v>
      </c>
      <c r="C1" s="25" t="s">
        <v>0</v>
      </c>
      <c r="D1" s="24" t="s">
        <v>10</v>
      </c>
      <c r="E1" s="7" t="s">
        <v>1</v>
      </c>
      <c r="F1" s="7" t="s">
        <v>2</v>
      </c>
      <c r="G1" s="7" t="s">
        <v>3</v>
      </c>
      <c r="H1" s="7" t="s">
        <v>4</v>
      </c>
      <c r="I1" s="7" t="s">
        <v>1974</v>
      </c>
      <c r="J1" s="7" t="s">
        <v>5</v>
      </c>
      <c r="K1" s="7" t="s">
        <v>6</v>
      </c>
      <c r="L1" s="7" t="s">
        <v>1936</v>
      </c>
      <c r="M1" s="7" t="s">
        <v>8</v>
      </c>
      <c r="N1" s="8" t="s">
        <v>9</v>
      </c>
      <c r="O1" s="25" t="s">
        <v>1921</v>
      </c>
    </row>
    <row r="2" spans="1:15" x14ac:dyDescent="0.2">
      <c r="A2" s="42">
        <v>6</v>
      </c>
      <c r="B2" s="42"/>
      <c r="C2" s="23" t="b">
        <v>1</v>
      </c>
      <c r="D2" s="23" t="s">
        <v>11</v>
      </c>
      <c r="E2" s="23" t="s">
        <v>192</v>
      </c>
      <c r="F2" s="23" t="s">
        <v>105</v>
      </c>
      <c r="G2" s="23" t="s">
        <v>497</v>
      </c>
      <c r="H2" s="23" t="s">
        <v>1536</v>
      </c>
      <c r="I2" s="23"/>
      <c r="J2" s="23" t="s">
        <v>1739</v>
      </c>
      <c r="K2" s="23" t="s">
        <v>1895</v>
      </c>
      <c r="L2" s="23"/>
      <c r="M2" s="23"/>
      <c r="N2" s="45" t="s">
        <v>1740</v>
      </c>
      <c r="O2" s="23" t="s">
        <v>1924</v>
      </c>
    </row>
    <row r="3" spans="1:15" x14ac:dyDescent="0.2">
      <c r="A3" s="42">
        <v>40</v>
      </c>
      <c r="B3" s="42"/>
      <c r="C3" s="23" t="b">
        <v>1</v>
      </c>
      <c r="D3" s="23" t="s">
        <v>11</v>
      </c>
      <c r="E3" s="23" t="s">
        <v>192</v>
      </c>
      <c r="F3" s="23" t="s">
        <v>78</v>
      </c>
      <c r="G3" s="23" t="s">
        <v>497</v>
      </c>
      <c r="H3" s="50" t="s">
        <v>1536</v>
      </c>
      <c r="I3" s="50" t="s">
        <v>1113</v>
      </c>
      <c r="J3" s="23"/>
      <c r="K3" s="23"/>
      <c r="L3" s="23"/>
      <c r="M3" s="23"/>
      <c r="N3" s="45" t="s">
        <v>1757</v>
      </c>
      <c r="O3" s="23" t="s">
        <v>1931</v>
      </c>
    </row>
    <row r="4" spans="1:15" x14ac:dyDescent="0.2">
      <c r="A4" s="46">
        <v>41</v>
      </c>
      <c r="B4" s="46"/>
      <c r="C4" s="46"/>
      <c r="D4" s="46" t="s">
        <v>11</v>
      </c>
      <c r="E4" s="46" t="s">
        <v>192</v>
      </c>
      <c r="F4" s="46" t="s">
        <v>84</v>
      </c>
      <c r="G4" s="46" t="s">
        <v>497</v>
      </c>
      <c r="H4" s="52" t="s">
        <v>1536</v>
      </c>
      <c r="I4" s="52"/>
      <c r="J4" s="46" t="s">
        <v>1537</v>
      </c>
      <c r="K4" s="46" t="s">
        <v>1538</v>
      </c>
      <c r="L4" s="46"/>
      <c r="M4" s="46"/>
      <c r="N4" s="45" t="s">
        <v>1539</v>
      </c>
      <c r="O4" s="46" t="s">
        <v>1931</v>
      </c>
    </row>
    <row r="5" spans="1:15" x14ac:dyDescent="0.2">
      <c r="A5" s="44">
        <v>323</v>
      </c>
      <c r="B5" s="44"/>
      <c r="C5" s="34" t="b">
        <v>1</v>
      </c>
      <c r="D5" s="34" t="s">
        <v>113</v>
      </c>
      <c r="E5" s="34" t="s">
        <v>192</v>
      </c>
      <c r="F5" s="34" t="s">
        <v>171</v>
      </c>
      <c r="G5" s="34" t="s">
        <v>497</v>
      </c>
      <c r="H5" s="34" t="s">
        <v>1536</v>
      </c>
      <c r="I5" s="34"/>
      <c r="J5" s="34" t="s">
        <v>1632</v>
      </c>
      <c r="K5" s="34" t="s">
        <v>1768</v>
      </c>
      <c r="L5" s="34"/>
      <c r="M5" s="34"/>
      <c r="N5" s="53" t="s">
        <v>1769</v>
      </c>
      <c r="O5" s="44" t="s">
        <v>1926</v>
      </c>
    </row>
    <row r="6" spans="1:15" x14ac:dyDescent="0.2">
      <c r="A6" s="42">
        <v>324</v>
      </c>
      <c r="B6" s="42" t="b">
        <v>1</v>
      </c>
      <c r="C6" s="23" t="b">
        <v>1</v>
      </c>
      <c r="D6" s="23" t="s">
        <v>113</v>
      </c>
      <c r="E6" s="23" t="s">
        <v>192</v>
      </c>
      <c r="F6" s="23" t="s">
        <v>1165</v>
      </c>
      <c r="G6" s="23" t="s">
        <v>497</v>
      </c>
      <c r="H6" s="23" t="s">
        <v>1536</v>
      </c>
      <c r="I6" s="23"/>
      <c r="J6" s="23" t="s">
        <v>1014</v>
      </c>
      <c r="K6" s="23" t="s">
        <v>1721</v>
      </c>
      <c r="L6" s="23"/>
      <c r="M6" s="23"/>
      <c r="N6" s="23"/>
      <c r="O6" s="42"/>
    </row>
    <row r="7" spans="1:15" x14ac:dyDescent="0.2">
      <c r="A7" s="42">
        <v>679</v>
      </c>
      <c r="B7" s="42"/>
      <c r="C7" s="23" t="b">
        <v>1</v>
      </c>
      <c r="D7" s="23" t="s">
        <v>113</v>
      </c>
      <c r="E7" s="23" t="s">
        <v>192</v>
      </c>
      <c r="F7" s="23" t="s">
        <v>144</v>
      </c>
      <c r="G7" s="23" t="s">
        <v>497</v>
      </c>
      <c r="H7" s="23" t="s">
        <v>1536</v>
      </c>
      <c r="I7" s="23"/>
      <c r="J7" s="23" t="s">
        <v>1632</v>
      </c>
      <c r="K7" s="23" t="s">
        <v>1706</v>
      </c>
      <c r="L7" s="23"/>
      <c r="M7" s="23"/>
      <c r="N7" s="45" t="s">
        <v>1707</v>
      </c>
      <c r="O7" s="23" t="s">
        <v>1927</v>
      </c>
    </row>
    <row r="8" spans="1:15" x14ac:dyDescent="0.2">
      <c r="A8" s="42">
        <v>838</v>
      </c>
      <c r="B8" s="42"/>
      <c r="C8" s="23" t="b">
        <v>1</v>
      </c>
      <c r="D8" s="23" t="s">
        <v>1170</v>
      </c>
      <c r="E8" s="23" t="s">
        <v>192</v>
      </c>
      <c r="F8" s="23" t="s">
        <v>1171</v>
      </c>
      <c r="G8" s="23" t="s">
        <v>497</v>
      </c>
      <c r="H8" s="23" t="s">
        <v>1536</v>
      </c>
      <c r="I8" s="23"/>
      <c r="J8" s="23" t="s">
        <v>1837</v>
      </c>
      <c r="K8" s="23" t="s">
        <v>1838</v>
      </c>
      <c r="L8" s="23"/>
      <c r="M8" s="23"/>
      <c r="N8" s="45" t="s">
        <v>1839</v>
      </c>
      <c r="O8" s="23" t="s">
        <v>1927</v>
      </c>
    </row>
    <row r="9" spans="1:15" x14ac:dyDescent="0.2">
      <c r="A9" s="42">
        <v>844</v>
      </c>
      <c r="B9" s="42"/>
      <c r="C9" s="23" t="b">
        <v>1</v>
      </c>
      <c r="D9" s="23" t="s">
        <v>1189</v>
      </c>
      <c r="E9" s="23" t="s">
        <v>192</v>
      </c>
      <c r="F9" s="23" t="s">
        <v>89</v>
      </c>
      <c r="G9" s="23" t="s">
        <v>497</v>
      </c>
      <c r="H9" s="23" t="s">
        <v>1536</v>
      </c>
      <c r="I9" s="23"/>
      <c r="J9" s="23" t="s">
        <v>1632</v>
      </c>
      <c r="K9" s="23" t="s">
        <v>1842</v>
      </c>
      <c r="L9" s="23"/>
      <c r="M9" s="23"/>
      <c r="N9" s="45" t="s">
        <v>1843</v>
      </c>
      <c r="O9" s="4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9D052-A03C-584F-93BD-DC4A71C1C4C3}">
  <dimension ref="A1:L27"/>
  <sheetViews>
    <sheetView workbookViewId="0">
      <selection activeCell="J27" sqref="J27"/>
    </sheetView>
  </sheetViews>
  <sheetFormatPr baseColWidth="10" defaultRowHeight="16" x14ac:dyDescent="0.2"/>
  <cols>
    <col min="2" max="2" width="20.5" customWidth="1"/>
    <col min="3" max="3" width="24.5" customWidth="1"/>
    <col min="4" max="4" width="20.6640625" customWidth="1"/>
    <col min="5" max="5" width="19.5" customWidth="1"/>
    <col min="6" max="6" width="19.6640625" customWidth="1"/>
    <col min="7" max="7" width="18.33203125" customWidth="1"/>
    <col min="8" max="9" width="29" customWidth="1"/>
    <col min="10" max="10" width="46.6640625" customWidth="1"/>
    <col min="11" max="11" width="23" customWidth="1"/>
  </cols>
  <sheetData>
    <row r="1" spans="1:12" ht="20" thickBot="1" x14ac:dyDescent="0.3">
      <c r="A1" s="1" t="s">
        <v>0</v>
      </c>
      <c r="B1" s="2" t="s">
        <v>1084</v>
      </c>
      <c r="C1" s="3" t="s">
        <v>1085</v>
      </c>
      <c r="D1" s="3" t="s">
        <v>1086</v>
      </c>
      <c r="E1" s="3" t="s">
        <v>1087</v>
      </c>
      <c r="F1" s="3" t="s">
        <v>1088</v>
      </c>
      <c r="G1" s="3" t="s">
        <v>1089</v>
      </c>
      <c r="H1" s="35" t="s">
        <v>1929</v>
      </c>
      <c r="I1" s="35" t="s">
        <v>2032</v>
      </c>
      <c r="J1" s="35" t="s">
        <v>2033</v>
      </c>
      <c r="K1" s="35" t="s">
        <v>1928</v>
      </c>
      <c r="L1" s="35" t="s">
        <v>1095</v>
      </c>
    </row>
    <row r="2" spans="1:12" x14ac:dyDescent="0.2">
      <c r="A2" t="b">
        <v>1</v>
      </c>
      <c r="B2" t="s">
        <v>192</v>
      </c>
      <c r="C2" t="s">
        <v>78</v>
      </c>
      <c r="E2" t="s">
        <v>1536</v>
      </c>
      <c r="H2" t="s">
        <v>1930</v>
      </c>
      <c r="K2" t="s">
        <v>1538</v>
      </c>
    </row>
    <row r="4" spans="1:12" x14ac:dyDescent="0.2">
      <c r="B4" t="s">
        <v>192</v>
      </c>
      <c r="C4" t="s">
        <v>25</v>
      </c>
      <c r="E4" t="s">
        <v>1536</v>
      </c>
      <c r="I4" t="s">
        <v>1016</v>
      </c>
      <c r="J4" t="s">
        <v>25</v>
      </c>
      <c r="L4" t="s">
        <v>1034</v>
      </c>
    </row>
    <row r="5" spans="1:12" x14ac:dyDescent="0.2">
      <c r="B5" t="s">
        <v>192</v>
      </c>
      <c r="C5" t="s">
        <v>25</v>
      </c>
      <c r="E5" t="s">
        <v>1536</v>
      </c>
      <c r="I5" t="s">
        <v>1016</v>
      </c>
      <c r="J5" t="s">
        <v>25</v>
      </c>
      <c r="L5" t="s">
        <v>1034</v>
      </c>
    </row>
    <row r="6" spans="1:12" x14ac:dyDescent="0.2">
      <c r="B6" t="s">
        <v>192</v>
      </c>
      <c r="C6" t="s">
        <v>29</v>
      </c>
      <c r="E6" t="s">
        <v>1536</v>
      </c>
      <c r="I6" t="s">
        <v>1020</v>
      </c>
      <c r="J6" t="s">
        <v>29</v>
      </c>
      <c r="L6" t="s">
        <v>1034</v>
      </c>
    </row>
    <row r="7" spans="1:12" x14ac:dyDescent="0.2">
      <c r="B7" t="s">
        <v>192</v>
      </c>
      <c r="C7" t="s">
        <v>30</v>
      </c>
      <c r="E7" t="s">
        <v>1536</v>
      </c>
      <c r="I7" t="s">
        <v>1021</v>
      </c>
      <c r="J7" t="s">
        <v>30</v>
      </c>
      <c r="L7" t="s">
        <v>1034</v>
      </c>
    </row>
    <row r="8" spans="1:12" x14ac:dyDescent="0.2">
      <c r="B8" t="s">
        <v>192</v>
      </c>
      <c r="C8" t="s">
        <v>32</v>
      </c>
      <c r="E8" t="s">
        <v>1536</v>
      </c>
      <c r="I8" t="s">
        <v>1024</v>
      </c>
      <c r="J8" t="s">
        <v>32</v>
      </c>
      <c r="L8" t="s">
        <v>1034</v>
      </c>
    </row>
    <row r="9" spans="1:12" x14ac:dyDescent="0.2">
      <c r="B9" t="s">
        <v>192</v>
      </c>
      <c r="C9" t="s">
        <v>34</v>
      </c>
      <c r="E9" t="s">
        <v>1536</v>
      </c>
      <c r="I9" t="s">
        <v>1026</v>
      </c>
      <c r="J9" t="s">
        <v>34</v>
      </c>
      <c r="L9" t="s">
        <v>1034</v>
      </c>
    </row>
    <row r="10" spans="1:12" x14ac:dyDescent="0.2">
      <c r="B10" t="s">
        <v>192</v>
      </c>
      <c r="C10" t="s">
        <v>35</v>
      </c>
      <c r="E10" t="s">
        <v>1536</v>
      </c>
      <c r="I10" t="s">
        <v>1027</v>
      </c>
      <c r="J10" t="s">
        <v>35</v>
      </c>
      <c r="L10" t="s">
        <v>1034</v>
      </c>
    </row>
    <row r="11" spans="1:12" x14ac:dyDescent="0.2">
      <c r="B11" t="s">
        <v>192</v>
      </c>
      <c r="C11" t="s">
        <v>163</v>
      </c>
      <c r="E11" t="s">
        <v>1536</v>
      </c>
      <c r="I11" t="s">
        <v>1532</v>
      </c>
      <c r="J11" t="s">
        <v>163</v>
      </c>
      <c r="L11" t="s">
        <v>1034</v>
      </c>
    </row>
    <row r="12" spans="1:12" x14ac:dyDescent="0.2">
      <c r="B12" t="s">
        <v>192</v>
      </c>
      <c r="C12" t="s">
        <v>31</v>
      </c>
      <c r="E12" t="s">
        <v>1536</v>
      </c>
      <c r="I12" t="s">
        <v>1022</v>
      </c>
      <c r="J12" t="s">
        <v>31</v>
      </c>
      <c r="L12" t="s">
        <v>1034</v>
      </c>
    </row>
    <row r="13" spans="1:12" x14ac:dyDescent="0.2">
      <c r="B13" t="s">
        <v>192</v>
      </c>
      <c r="C13" t="s">
        <v>41</v>
      </c>
      <c r="E13" t="s">
        <v>1536</v>
      </c>
      <c r="I13" t="s">
        <v>1033</v>
      </c>
      <c r="J13" t="s">
        <v>41</v>
      </c>
      <c r="L13" t="s">
        <v>1034</v>
      </c>
    </row>
    <row r="14" spans="1:12" x14ac:dyDescent="0.2">
      <c r="B14" t="s">
        <v>192</v>
      </c>
      <c r="C14" t="s">
        <v>52</v>
      </c>
      <c r="E14" t="s">
        <v>1536</v>
      </c>
      <c r="I14" t="s">
        <v>1035</v>
      </c>
      <c r="J14" t="s">
        <v>52</v>
      </c>
      <c r="L14" t="s">
        <v>1034</v>
      </c>
    </row>
    <row r="15" spans="1:12" x14ac:dyDescent="0.2">
      <c r="B15" t="s">
        <v>192</v>
      </c>
      <c r="C15" t="s">
        <v>33</v>
      </c>
      <c r="E15" t="s">
        <v>1536</v>
      </c>
      <c r="I15" t="s">
        <v>1025</v>
      </c>
      <c r="J15" t="s">
        <v>33</v>
      </c>
      <c r="L15" t="s">
        <v>1034</v>
      </c>
    </row>
    <row r="16" spans="1:12" x14ac:dyDescent="0.2">
      <c r="B16" t="s">
        <v>192</v>
      </c>
      <c r="C16" t="s">
        <v>26</v>
      </c>
      <c r="E16" t="s">
        <v>1536</v>
      </c>
      <c r="I16" t="s">
        <v>1017</v>
      </c>
      <c r="J16" t="s">
        <v>26</v>
      </c>
      <c r="L16" t="s">
        <v>1034</v>
      </c>
    </row>
    <row r="17" spans="2:12" x14ac:dyDescent="0.2">
      <c r="B17" t="s">
        <v>192</v>
      </c>
      <c r="C17" t="s">
        <v>27</v>
      </c>
      <c r="E17" t="s">
        <v>1536</v>
      </c>
      <c r="I17" t="s">
        <v>1018</v>
      </c>
      <c r="J17" t="s">
        <v>27</v>
      </c>
      <c r="L17" t="s">
        <v>1034</v>
      </c>
    </row>
    <row r="18" spans="2:12" x14ac:dyDescent="0.2">
      <c r="B18" t="s">
        <v>192</v>
      </c>
      <c r="C18" t="s">
        <v>28</v>
      </c>
      <c r="E18" t="s">
        <v>1536</v>
      </c>
      <c r="I18" t="s">
        <v>1019</v>
      </c>
      <c r="J18" t="s">
        <v>28</v>
      </c>
      <c r="L18" t="s">
        <v>1034</v>
      </c>
    </row>
    <row r="19" spans="2:12" x14ac:dyDescent="0.2">
      <c r="B19" t="s">
        <v>192</v>
      </c>
      <c r="C19" t="s">
        <v>1150</v>
      </c>
      <c r="E19" t="s">
        <v>1536</v>
      </c>
      <c r="I19" t="s">
        <v>2034</v>
      </c>
      <c r="J19" t="s">
        <v>1150</v>
      </c>
      <c r="L19" t="s">
        <v>1034</v>
      </c>
    </row>
    <row r="20" spans="2:12" x14ac:dyDescent="0.2">
      <c r="B20" t="s">
        <v>192</v>
      </c>
      <c r="C20" t="s">
        <v>1147</v>
      </c>
      <c r="E20" t="s">
        <v>1536</v>
      </c>
      <c r="I20" t="s">
        <v>2035</v>
      </c>
      <c r="J20" t="s">
        <v>1147</v>
      </c>
      <c r="L20" t="s">
        <v>1034</v>
      </c>
    </row>
    <row r="21" spans="2:12" x14ac:dyDescent="0.2">
      <c r="B21" t="s">
        <v>192</v>
      </c>
      <c r="C21" t="s">
        <v>37</v>
      </c>
      <c r="E21" t="s">
        <v>1536</v>
      </c>
      <c r="I21" t="s">
        <v>1029</v>
      </c>
      <c r="J21" t="s">
        <v>37</v>
      </c>
      <c r="L21" t="s">
        <v>1034</v>
      </c>
    </row>
    <row r="22" spans="2:12" x14ac:dyDescent="0.2">
      <c r="B22" t="s">
        <v>192</v>
      </c>
      <c r="C22" t="s">
        <v>36</v>
      </c>
      <c r="E22" t="s">
        <v>1536</v>
      </c>
      <c r="I22" t="s">
        <v>1028</v>
      </c>
      <c r="J22" t="s">
        <v>36</v>
      </c>
      <c r="L22" t="s">
        <v>1034</v>
      </c>
    </row>
    <row r="23" spans="2:12" x14ac:dyDescent="0.2">
      <c r="B23" t="s">
        <v>192</v>
      </c>
      <c r="C23" t="s">
        <v>38</v>
      </c>
      <c r="E23" t="s">
        <v>1536</v>
      </c>
      <c r="I23" t="s">
        <v>1030</v>
      </c>
      <c r="J23" t="s">
        <v>38</v>
      </c>
      <c r="L23" t="s">
        <v>1034</v>
      </c>
    </row>
    <row r="24" spans="2:12" x14ac:dyDescent="0.2">
      <c r="B24" t="s">
        <v>192</v>
      </c>
      <c r="C24" t="s">
        <v>39</v>
      </c>
      <c r="E24" t="s">
        <v>1536</v>
      </c>
      <c r="I24" t="s">
        <v>2036</v>
      </c>
      <c r="J24" t="s">
        <v>39</v>
      </c>
      <c r="L24" t="s">
        <v>1034</v>
      </c>
    </row>
    <row r="25" spans="2:12" x14ac:dyDescent="0.2">
      <c r="B25" t="s">
        <v>192</v>
      </c>
      <c r="C25" t="s">
        <v>40</v>
      </c>
      <c r="E25" t="s">
        <v>1536</v>
      </c>
      <c r="I25" t="s">
        <v>1032</v>
      </c>
      <c r="J25" t="s">
        <v>40</v>
      </c>
      <c r="L25" t="s">
        <v>1034</v>
      </c>
    </row>
    <row r="27" spans="2:12" x14ac:dyDescent="0.2">
      <c r="B27" t="s">
        <v>192</v>
      </c>
      <c r="C27" t="s">
        <v>1169</v>
      </c>
      <c r="E27" t="s">
        <v>1536</v>
      </c>
      <c r="I27" t="s">
        <v>1777</v>
      </c>
      <c r="J27" t="s">
        <v>1169</v>
      </c>
    </row>
  </sheetData>
  <autoFilter ref="A1:G1" xr:uid="{6FE9D052-A03C-584F-93BD-DC4A71C1C4C3}"/>
  <pageMargins left="0.7" right="0.7" top="0.75" bottom="0.75" header="0.3" footer="0.3"/>
  <pageSetup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23FD1-8CD6-6D41-ABDB-B5E20FE87318}">
  <dimension ref="A1:O4"/>
  <sheetViews>
    <sheetView workbookViewId="0">
      <selection activeCell="N2" sqref="N2"/>
    </sheetView>
  </sheetViews>
  <sheetFormatPr baseColWidth="10" defaultRowHeight="16" x14ac:dyDescent="0.2"/>
  <cols>
    <col min="1" max="1" width="9.33203125" customWidth="1"/>
    <col min="2" max="2" width="15" customWidth="1"/>
    <col min="3" max="3" width="10.5" customWidth="1"/>
    <col min="4" max="4" width="28.5" customWidth="1"/>
    <col min="5" max="5" width="13" customWidth="1"/>
    <col min="6" max="6" width="27" customWidth="1"/>
    <col min="7" max="7" width="13.1640625" customWidth="1"/>
    <col min="8" max="8" width="12" customWidth="1"/>
    <col min="9" max="9" width="6.6640625" customWidth="1"/>
    <col min="10" max="10" width="10.5" customWidth="1"/>
    <col min="11" max="11" width="27.1640625" customWidth="1"/>
    <col min="12" max="12" width="7.5" customWidth="1"/>
    <col min="13" max="13" width="12.6640625" customWidth="1"/>
    <col min="14" max="14" width="30.33203125" customWidth="1"/>
    <col min="15" max="15" width="18" customWidth="1"/>
  </cols>
  <sheetData>
    <row r="1" spans="1:15" ht="20" thickBot="1" x14ac:dyDescent="0.3">
      <c r="A1" s="42" t="s">
        <v>1549</v>
      </c>
      <c r="B1" s="43" t="s">
        <v>1925</v>
      </c>
      <c r="C1" s="25" t="s">
        <v>0</v>
      </c>
      <c r="D1" s="24" t="s">
        <v>10</v>
      </c>
      <c r="E1" s="7" t="s">
        <v>1</v>
      </c>
      <c r="F1" s="7" t="s">
        <v>2</v>
      </c>
      <c r="G1" s="7" t="s">
        <v>3</v>
      </c>
      <c r="H1" s="7" t="s">
        <v>4</v>
      </c>
      <c r="I1" s="7" t="s">
        <v>1974</v>
      </c>
      <c r="J1" s="7" t="s">
        <v>5</v>
      </c>
      <c r="K1" s="7" t="s">
        <v>6</v>
      </c>
      <c r="L1" s="7" t="s">
        <v>1936</v>
      </c>
      <c r="M1" s="7" t="s">
        <v>8</v>
      </c>
      <c r="N1" s="8" t="s">
        <v>9</v>
      </c>
      <c r="O1" s="25" t="s">
        <v>1921</v>
      </c>
    </row>
    <row r="2" spans="1:15" x14ac:dyDescent="0.2">
      <c r="A2" s="46">
        <v>688</v>
      </c>
      <c r="B2" s="46" t="b">
        <v>1</v>
      </c>
      <c r="C2" s="46"/>
      <c r="D2" s="46" t="s">
        <v>113</v>
      </c>
      <c r="E2" s="46" t="s">
        <v>192</v>
      </c>
      <c r="F2" s="46" t="s">
        <v>1159</v>
      </c>
      <c r="G2" s="46" t="s">
        <v>1204</v>
      </c>
      <c r="H2" s="46" t="s">
        <v>1601</v>
      </c>
      <c r="I2" s="46"/>
      <c r="J2" s="46" t="s">
        <v>1610</v>
      </c>
      <c r="K2" s="46" t="s">
        <v>1611</v>
      </c>
      <c r="L2" s="46"/>
      <c r="M2" s="46"/>
      <c r="N2" s="45" t="s">
        <v>1612</v>
      </c>
      <c r="O2" s="46" t="s">
        <v>1926</v>
      </c>
    </row>
    <row r="3" spans="1:15" x14ac:dyDescent="0.2">
      <c r="A3" s="46">
        <v>689</v>
      </c>
      <c r="B3" s="46" t="b">
        <v>1</v>
      </c>
      <c r="C3" s="46"/>
      <c r="D3" s="46" t="s">
        <v>113</v>
      </c>
      <c r="E3" s="46" t="s">
        <v>192</v>
      </c>
      <c r="F3" s="46" t="s">
        <v>1159</v>
      </c>
      <c r="G3" s="46" t="s">
        <v>1205</v>
      </c>
      <c r="H3" s="46" t="s">
        <v>1601</v>
      </c>
      <c r="I3" s="46"/>
      <c r="J3" s="46" t="s">
        <v>1610</v>
      </c>
      <c r="K3" s="46" t="s">
        <v>814</v>
      </c>
      <c r="L3" s="46"/>
      <c r="M3" s="46"/>
      <c r="N3" s="45" t="s">
        <v>1612</v>
      </c>
      <c r="O3" s="46" t="s">
        <v>1926</v>
      </c>
    </row>
    <row r="4" spans="1:15" x14ac:dyDescent="0.2">
      <c r="A4" s="42">
        <v>690</v>
      </c>
      <c r="B4" s="42" t="b">
        <v>1</v>
      </c>
      <c r="C4" s="23" t="b">
        <v>1</v>
      </c>
      <c r="D4" s="23" t="s">
        <v>113</v>
      </c>
      <c r="E4" s="23" t="s">
        <v>192</v>
      </c>
      <c r="F4" s="23" t="s">
        <v>1160</v>
      </c>
      <c r="G4" s="23" t="s">
        <v>497</v>
      </c>
      <c r="H4" s="23" t="s">
        <v>1601</v>
      </c>
      <c r="I4" s="23"/>
      <c r="J4" s="23" t="s">
        <v>1247</v>
      </c>
      <c r="K4" s="23" t="s">
        <v>1602</v>
      </c>
      <c r="L4" s="23"/>
      <c r="M4" s="23"/>
      <c r="N4" s="45" t="s">
        <v>1612</v>
      </c>
      <c r="O4" s="23" t="s">
        <v>1926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10218-B628-454F-9157-D1743325AF42}">
  <dimension ref="A1:O259"/>
  <sheetViews>
    <sheetView workbookViewId="0">
      <pane ySplit="1" topLeftCell="A2" activePane="bottomLeft" state="frozen"/>
      <selection pane="bottomLeft" activeCell="D2" sqref="D2"/>
    </sheetView>
  </sheetViews>
  <sheetFormatPr baseColWidth="10" defaultRowHeight="16" x14ac:dyDescent="0.2"/>
  <cols>
    <col min="1" max="1" width="9.33203125" style="61" customWidth="1"/>
    <col min="2" max="2" width="15" style="61" customWidth="1"/>
    <col min="3" max="3" width="10.5" style="61" customWidth="1"/>
    <col min="4" max="4" width="38.1640625" style="61" customWidth="1"/>
    <col min="5" max="5" width="13" style="61" customWidth="1"/>
    <col min="6" max="6" width="62" style="61" customWidth="1"/>
    <col min="7" max="7" width="53.33203125" style="61" customWidth="1"/>
    <col min="8" max="8" width="12" style="61" customWidth="1"/>
    <col min="9" max="9" width="10.1640625" style="61" customWidth="1"/>
    <col min="10" max="10" width="13" style="61" customWidth="1"/>
    <col min="11" max="11" width="28" style="61" customWidth="1"/>
    <col min="12" max="12" width="18.6640625" style="61" customWidth="1"/>
    <col min="13" max="13" width="12.6640625" style="61" customWidth="1"/>
    <col min="14" max="14" width="40" style="58" customWidth="1"/>
    <col min="15" max="15" width="163.6640625" style="58" customWidth="1"/>
    <col min="16" max="16384" width="10.83203125" style="58"/>
  </cols>
  <sheetData>
    <row r="1" spans="1:15" s="68" customFormat="1" ht="19" x14ac:dyDescent="0.25">
      <c r="A1" s="64" t="s">
        <v>1549</v>
      </c>
      <c r="B1" s="64" t="s">
        <v>1925</v>
      </c>
      <c r="C1" s="70" t="s">
        <v>0</v>
      </c>
      <c r="D1" s="70" t="s">
        <v>10</v>
      </c>
      <c r="E1" s="70" t="s">
        <v>1</v>
      </c>
      <c r="F1" s="70" t="s">
        <v>2</v>
      </c>
      <c r="G1" s="70" t="s">
        <v>3</v>
      </c>
      <c r="H1" s="70" t="s">
        <v>4</v>
      </c>
      <c r="I1" s="70" t="s">
        <v>1974</v>
      </c>
      <c r="J1" s="70" t="s">
        <v>5</v>
      </c>
      <c r="K1" s="70" t="s">
        <v>6</v>
      </c>
      <c r="L1" s="70" t="s">
        <v>1936</v>
      </c>
      <c r="M1" s="70" t="s">
        <v>8</v>
      </c>
      <c r="N1" s="70" t="s">
        <v>9</v>
      </c>
      <c r="O1" s="70" t="s">
        <v>1921</v>
      </c>
    </row>
    <row r="2" spans="1:15" s="57" customFormat="1" x14ac:dyDescent="0.2">
      <c r="A2" s="56">
        <v>1</v>
      </c>
      <c r="B2" s="56" t="b">
        <v>0</v>
      </c>
      <c r="C2" s="56" t="b">
        <v>1</v>
      </c>
      <c r="D2" s="56" t="s">
        <v>1192</v>
      </c>
      <c r="E2" s="56" t="s">
        <v>192</v>
      </c>
      <c r="F2" s="56" t="s">
        <v>1197</v>
      </c>
      <c r="G2" s="56" t="s">
        <v>497</v>
      </c>
      <c r="H2" s="56" t="s">
        <v>1013</v>
      </c>
      <c r="I2" s="56"/>
      <c r="J2" s="56" t="s">
        <v>9</v>
      </c>
      <c r="K2" s="56" t="s">
        <v>1858</v>
      </c>
      <c r="L2" s="56"/>
      <c r="M2" s="56"/>
      <c r="N2" s="76" t="s">
        <v>1859</v>
      </c>
      <c r="O2" s="75" t="s">
        <v>1922</v>
      </c>
    </row>
    <row r="3" spans="1:15" x14ac:dyDescent="0.2">
      <c r="A3" s="55">
        <v>7</v>
      </c>
      <c r="B3" s="55" t="b">
        <v>1</v>
      </c>
      <c r="C3" s="55" t="b">
        <v>0</v>
      </c>
      <c r="D3" s="55" t="s">
        <v>11</v>
      </c>
      <c r="E3" s="55" t="s">
        <v>192</v>
      </c>
      <c r="F3" s="55" t="s">
        <v>111</v>
      </c>
      <c r="G3" s="55" t="s">
        <v>497</v>
      </c>
      <c r="H3" s="81" t="s">
        <v>1013</v>
      </c>
      <c r="I3" s="81" t="s">
        <v>1113</v>
      </c>
      <c r="J3" s="55"/>
      <c r="K3" s="55"/>
      <c r="L3" s="55"/>
      <c r="M3" s="55"/>
      <c r="N3" s="59" t="s">
        <v>1465</v>
      </c>
      <c r="O3" s="77" t="s">
        <v>2031</v>
      </c>
    </row>
    <row r="4" spans="1:15" x14ac:dyDescent="0.2">
      <c r="A4" s="55">
        <v>8</v>
      </c>
      <c r="B4" s="55" t="b">
        <v>1</v>
      </c>
      <c r="C4" s="55" t="b">
        <v>0</v>
      </c>
      <c r="D4" s="55" t="s">
        <v>11</v>
      </c>
      <c r="E4" s="55" t="s">
        <v>192</v>
      </c>
      <c r="F4" s="55" t="s">
        <v>12</v>
      </c>
      <c r="G4" s="55" t="s">
        <v>497</v>
      </c>
      <c r="H4" s="81" t="s">
        <v>1013</v>
      </c>
      <c r="I4" s="81" t="s">
        <v>1113</v>
      </c>
      <c r="J4" s="55"/>
      <c r="K4" s="55"/>
      <c r="L4" s="55"/>
      <c r="M4" s="55"/>
      <c r="N4" s="55"/>
      <c r="O4" s="73"/>
    </row>
    <row r="5" spans="1:15" x14ac:dyDescent="0.2">
      <c r="A5" s="55">
        <v>13</v>
      </c>
      <c r="B5" s="55" t="b">
        <v>1</v>
      </c>
      <c r="C5" s="55" t="b">
        <v>0</v>
      </c>
      <c r="D5" s="55" t="s">
        <v>11</v>
      </c>
      <c r="E5" s="55" t="s">
        <v>192</v>
      </c>
      <c r="F5" s="55" t="s">
        <v>20</v>
      </c>
      <c r="G5" s="55" t="s">
        <v>497</v>
      </c>
      <c r="H5" s="81" t="s">
        <v>1013</v>
      </c>
      <c r="I5" s="81" t="s">
        <v>1113</v>
      </c>
      <c r="J5" s="55"/>
      <c r="K5" s="55"/>
      <c r="L5" s="55"/>
      <c r="M5" s="55"/>
      <c r="N5" s="55"/>
      <c r="O5" s="73"/>
    </row>
    <row r="6" spans="1:15" x14ac:dyDescent="0.2">
      <c r="A6" s="55">
        <v>14</v>
      </c>
      <c r="B6" s="55" t="b">
        <v>1</v>
      </c>
      <c r="C6" s="55" t="b">
        <v>0</v>
      </c>
      <c r="D6" s="55" t="s">
        <v>11</v>
      </c>
      <c r="E6" s="55" t="s">
        <v>192</v>
      </c>
      <c r="F6" s="55" t="s">
        <v>112</v>
      </c>
      <c r="G6" s="55" t="s">
        <v>497</v>
      </c>
      <c r="H6" s="81" t="s">
        <v>1013</v>
      </c>
      <c r="I6" s="81" t="s">
        <v>1113</v>
      </c>
      <c r="J6" s="55"/>
      <c r="K6" s="55"/>
      <c r="L6" s="55"/>
      <c r="M6" s="55"/>
      <c r="N6" s="59" t="s">
        <v>1465</v>
      </c>
      <c r="O6" s="77" t="s">
        <v>2030</v>
      </c>
    </row>
    <row r="7" spans="1:15" x14ac:dyDescent="0.2">
      <c r="A7" s="55">
        <v>15</v>
      </c>
      <c r="B7" s="55" t="b">
        <v>1</v>
      </c>
      <c r="C7" s="55" t="b">
        <v>0</v>
      </c>
      <c r="D7" s="55" t="s">
        <v>11</v>
      </c>
      <c r="E7" s="55" t="s">
        <v>192</v>
      </c>
      <c r="F7" s="55" t="s">
        <v>22</v>
      </c>
      <c r="G7" s="55" t="s">
        <v>497</v>
      </c>
      <c r="H7" s="81" t="s">
        <v>1013</v>
      </c>
      <c r="I7" s="81" t="s">
        <v>1113</v>
      </c>
      <c r="J7" s="55"/>
      <c r="K7" s="55"/>
      <c r="L7" s="55"/>
      <c r="M7" s="55"/>
      <c r="N7" s="55"/>
      <c r="O7" s="73"/>
    </row>
    <row r="8" spans="1:15" x14ac:dyDescent="0.2">
      <c r="A8" s="55">
        <v>16</v>
      </c>
      <c r="B8" s="55" t="b">
        <v>1</v>
      </c>
      <c r="C8" s="55" t="b">
        <v>0</v>
      </c>
      <c r="D8" s="55" t="s">
        <v>11</v>
      </c>
      <c r="E8" s="55" t="s">
        <v>192</v>
      </c>
      <c r="F8" s="55" t="s">
        <v>23</v>
      </c>
      <c r="G8" s="55" t="s">
        <v>497</v>
      </c>
      <c r="H8" s="81" t="s">
        <v>1013</v>
      </c>
      <c r="I8" s="81" t="s">
        <v>1113</v>
      </c>
      <c r="J8" s="55"/>
      <c r="K8" s="55"/>
      <c r="L8" s="55"/>
      <c r="M8" s="55"/>
      <c r="N8" s="55"/>
      <c r="O8" s="73"/>
    </row>
    <row r="9" spans="1:15" x14ac:dyDescent="0.2">
      <c r="A9" s="55">
        <v>17</v>
      </c>
      <c r="B9" s="55" t="b">
        <v>1</v>
      </c>
      <c r="C9" s="55" t="b">
        <v>0</v>
      </c>
      <c r="D9" s="55" t="s">
        <v>11</v>
      </c>
      <c r="E9" s="55" t="s">
        <v>192</v>
      </c>
      <c r="F9" s="55" t="s">
        <v>55</v>
      </c>
      <c r="G9" s="55" t="s">
        <v>497</v>
      </c>
      <c r="H9" s="81" t="s">
        <v>1013</v>
      </c>
      <c r="I9" s="81" t="s">
        <v>1113</v>
      </c>
      <c r="J9" s="55"/>
      <c r="K9" s="55"/>
      <c r="L9" s="55"/>
      <c r="M9" s="55"/>
      <c r="N9" s="55"/>
      <c r="O9" s="73"/>
    </row>
    <row r="10" spans="1:15" x14ac:dyDescent="0.2">
      <c r="A10" s="55">
        <v>18</v>
      </c>
      <c r="B10" s="55" t="b">
        <v>1</v>
      </c>
      <c r="C10" s="55" t="b">
        <v>0</v>
      </c>
      <c r="D10" s="55" t="s">
        <v>11</v>
      </c>
      <c r="E10" s="55" t="s">
        <v>192</v>
      </c>
      <c r="F10" s="55" t="s">
        <v>58</v>
      </c>
      <c r="G10" s="55" t="s">
        <v>497</v>
      </c>
      <c r="H10" s="81" t="s">
        <v>1013</v>
      </c>
      <c r="I10" s="81" t="s">
        <v>1113</v>
      </c>
      <c r="J10" s="55"/>
      <c r="K10" s="55"/>
      <c r="L10" s="55"/>
      <c r="M10" s="55"/>
      <c r="N10" s="55"/>
      <c r="O10" s="73"/>
    </row>
    <row r="11" spans="1:15" x14ac:dyDescent="0.2">
      <c r="A11" s="55">
        <v>19</v>
      </c>
      <c r="B11" s="55" t="b">
        <v>1</v>
      </c>
      <c r="C11" s="55" t="b">
        <v>0</v>
      </c>
      <c r="D11" s="55" t="s">
        <v>11</v>
      </c>
      <c r="E11" s="55" t="s">
        <v>192</v>
      </c>
      <c r="F11" s="55" t="s">
        <v>71</v>
      </c>
      <c r="G11" s="55" t="s">
        <v>497</v>
      </c>
      <c r="H11" s="81" t="s">
        <v>1013</v>
      </c>
      <c r="I11" s="81" t="s">
        <v>1113</v>
      </c>
      <c r="J11" s="55"/>
      <c r="K11" s="55"/>
      <c r="L11" s="55"/>
      <c r="M11" s="55"/>
      <c r="N11" s="55"/>
      <c r="O11" s="73"/>
    </row>
    <row r="12" spans="1:15" x14ac:dyDescent="0.2">
      <c r="A12" s="55">
        <v>20</v>
      </c>
      <c r="B12" s="55" t="b">
        <v>1</v>
      </c>
      <c r="C12" s="55" t="b">
        <v>0</v>
      </c>
      <c r="D12" s="55" t="s">
        <v>11</v>
      </c>
      <c r="E12" s="55" t="s">
        <v>192</v>
      </c>
      <c r="F12" s="55" t="s">
        <v>72</v>
      </c>
      <c r="G12" s="55" t="s">
        <v>497</v>
      </c>
      <c r="H12" s="81" t="s">
        <v>1013</v>
      </c>
      <c r="I12" s="81" t="s">
        <v>1113</v>
      </c>
      <c r="J12" s="55"/>
      <c r="K12" s="55"/>
      <c r="L12" s="55"/>
      <c r="M12" s="55"/>
      <c r="N12" s="55"/>
      <c r="O12" s="73"/>
    </row>
    <row r="13" spans="1:15" x14ac:dyDescent="0.2">
      <c r="A13" s="55">
        <v>21</v>
      </c>
      <c r="B13" s="55" t="b">
        <v>1</v>
      </c>
      <c r="C13" s="55" t="b">
        <v>0</v>
      </c>
      <c r="D13" s="55" t="s">
        <v>11</v>
      </c>
      <c r="E13" s="55" t="s">
        <v>192</v>
      </c>
      <c r="F13" s="55" t="s">
        <v>73</v>
      </c>
      <c r="G13" s="55" t="s">
        <v>497</v>
      </c>
      <c r="H13" s="81" t="s">
        <v>1013</v>
      </c>
      <c r="I13" s="81" t="s">
        <v>1113</v>
      </c>
      <c r="J13" s="55"/>
      <c r="K13" s="55"/>
      <c r="L13" s="55"/>
      <c r="M13" s="55"/>
      <c r="N13" s="55"/>
      <c r="O13" s="73"/>
    </row>
    <row r="14" spans="1:15" x14ac:dyDescent="0.2">
      <c r="A14" s="55">
        <v>22</v>
      </c>
      <c r="B14" s="55" t="b">
        <v>1</v>
      </c>
      <c r="C14" s="55" t="b">
        <v>0</v>
      </c>
      <c r="D14" s="55" t="s">
        <v>11</v>
      </c>
      <c r="E14" s="55" t="s">
        <v>192</v>
      </c>
      <c r="F14" s="55" t="s">
        <v>74</v>
      </c>
      <c r="G14" s="55" t="s">
        <v>497</v>
      </c>
      <c r="H14" s="81" t="s">
        <v>1013</v>
      </c>
      <c r="I14" s="81" t="s">
        <v>1113</v>
      </c>
      <c r="J14" s="55"/>
      <c r="K14" s="55"/>
      <c r="L14" s="55"/>
      <c r="M14" s="55"/>
      <c r="N14" s="55"/>
      <c r="O14" s="73"/>
    </row>
    <row r="15" spans="1:15" x14ac:dyDescent="0.2">
      <c r="A15" s="55">
        <v>23</v>
      </c>
      <c r="B15" s="55" t="b">
        <v>1</v>
      </c>
      <c r="C15" s="55" t="b">
        <v>0</v>
      </c>
      <c r="D15" s="55" t="s">
        <v>11</v>
      </c>
      <c r="E15" s="55" t="s">
        <v>192</v>
      </c>
      <c r="F15" s="55" t="s">
        <v>76</v>
      </c>
      <c r="G15" s="55" t="s">
        <v>497</v>
      </c>
      <c r="H15" s="81" t="s">
        <v>1013</v>
      </c>
      <c r="I15" s="81" t="s">
        <v>1113</v>
      </c>
      <c r="J15" s="55"/>
      <c r="K15" s="55"/>
      <c r="L15" s="55"/>
      <c r="M15" s="55"/>
      <c r="N15" s="55"/>
      <c r="O15" s="73"/>
    </row>
    <row r="16" spans="1:15" x14ac:dyDescent="0.2">
      <c r="A16" s="55">
        <v>24</v>
      </c>
      <c r="B16" s="55" t="b">
        <v>1</v>
      </c>
      <c r="C16" s="55" t="b">
        <v>0</v>
      </c>
      <c r="D16" s="55" t="s">
        <v>11</v>
      </c>
      <c r="E16" s="55" t="s">
        <v>192</v>
      </c>
      <c r="F16" s="55" t="s">
        <v>77</v>
      </c>
      <c r="G16" s="55" t="s">
        <v>497</v>
      </c>
      <c r="H16" s="81" t="s">
        <v>1013</v>
      </c>
      <c r="I16" s="81" t="s">
        <v>1113</v>
      </c>
      <c r="J16" s="55"/>
      <c r="K16" s="55"/>
      <c r="L16" s="55"/>
      <c r="M16" s="55"/>
      <c r="N16" s="55"/>
      <c r="O16" s="73"/>
    </row>
    <row r="17" spans="1:15" s="57" customFormat="1" x14ac:dyDescent="0.2">
      <c r="A17" s="56">
        <v>27</v>
      </c>
      <c r="B17" s="56"/>
      <c r="C17" s="56"/>
      <c r="D17" s="56" t="s">
        <v>11</v>
      </c>
      <c r="E17" s="56" t="s">
        <v>192</v>
      </c>
      <c r="F17" s="56" t="s">
        <v>110</v>
      </c>
      <c r="G17" s="56" t="s">
        <v>478</v>
      </c>
      <c r="H17" s="56" t="s">
        <v>1013</v>
      </c>
      <c r="I17" s="56"/>
      <c r="J17" s="56" t="s">
        <v>1391</v>
      </c>
      <c r="K17" s="56" t="b">
        <v>1</v>
      </c>
      <c r="L17" s="56"/>
      <c r="M17" s="56"/>
      <c r="N17" s="76" t="s">
        <v>1392</v>
      </c>
      <c r="O17" s="74" t="s">
        <v>1927</v>
      </c>
    </row>
    <row r="18" spans="1:15" s="57" customFormat="1" x14ac:dyDescent="0.2">
      <c r="A18" s="56">
        <v>28</v>
      </c>
      <c r="B18" s="56"/>
      <c r="C18" s="56"/>
      <c r="D18" s="56" t="s">
        <v>11</v>
      </c>
      <c r="E18" s="56" t="s">
        <v>192</v>
      </c>
      <c r="F18" s="56" t="s">
        <v>110</v>
      </c>
      <c r="G18" s="56" t="s">
        <v>479</v>
      </c>
      <c r="H18" s="56" t="s">
        <v>1013</v>
      </c>
      <c r="I18" s="56"/>
      <c r="J18" s="56" t="s">
        <v>1391</v>
      </c>
      <c r="K18" s="56" t="b">
        <v>0</v>
      </c>
      <c r="L18" s="56"/>
      <c r="M18" s="56"/>
      <c r="N18" s="76" t="s">
        <v>1392</v>
      </c>
      <c r="O18" s="74" t="s">
        <v>1927</v>
      </c>
    </row>
    <row r="19" spans="1:15" s="57" customFormat="1" x14ac:dyDescent="0.2">
      <c r="A19" s="56">
        <v>29</v>
      </c>
      <c r="B19" s="56"/>
      <c r="C19" s="56"/>
      <c r="D19" s="56" t="s">
        <v>11</v>
      </c>
      <c r="E19" s="56" t="s">
        <v>192</v>
      </c>
      <c r="F19" s="56" t="s">
        <v>110</v>
      </c>
      <c r="G19" s="56" t="s">
        <v>480</v>
      </c>
      <c r="H19" s="56" t="s">
        <v>1013</v>
      </c>
      <c r="I19" s="56"/>
      <c r="J19" s="56" t="s">
        <v>1391</v>
      </c>
      <c r="K19" s="56" t="b">
        <v>1</v>
      </c>
      <c r="L19" s="56"/>
      <c r="M19" s="56"/>
      <c r="N19" s="76" t="s">
        <v>1393</v>
      </c>
      <c r="O19" s="74" t="s">
        <v>1927</v>
      </c>
    </row>
    <row r="20" spans="1:15" s="57" customFormat="1" x14ac:dyDescent="0.2">
      <c r="A20" s="56">
        <v>30</v>
      </c>
      <c r="B20" s="56"/>
      <c r="C20" s="56"/>
      <c r="D20" s="56" t="s">
        <v>11</v>
      </c>
      <c r="E20" s="56" t="s">
        <v>192</v>
      </c>
      <c r="F20" s="56" t="s">
        <v>110</v>
      </c>
      <c r="G20" s="56" t="s">
        <v>481</v>
      </c>
      <c r="H20" s="56" t="s">
        <v>1013</v>
      </c>
      <c r="I20" s="56"/>
      <c r="J20" s="56" t="s">
        <v>1391</v>
      </c>
      <c r="K20" s="56" t="b">
        <v>1</v>
      </c>
      <c r="L20" s="56"/>
      <c r="M20" s="56"/>
      <c r="N20" s="76" t="s">
        <v>1393</v>
      </c>
      <c r="O20" s="74" t="s">
        <v>1927</v>
      </c>
    </row>
    <row r="21" spans="1:15" s="57" customFormat="1" x14ac:dyDescent="0.2">
      <c r="A21" s="56">
        <v>31</v>
      </c>
      <c r="B21" s="56"/>
      <c r="C21" s="56"/>
      <c r="D21" s="56" t="s">
        <v>11</v>
      </c>
      <c r="E21" s="56" t="s">
        <v>192</v>
      </c>
      <c r="F21" s="56" t="s">
        <v>110</v>
      </c>
      <c r="G21" s="56" t="s">
        <v>482</v>
      </c>
      <c r="H21" s="56" t="s">
        <v>1013</v>
      </c>
      <c r="I21" s="56"/>
      <c r="J21" s="56" t="s">
        <v>1391</v>
      </c>
      <c r="K21" s="56" t="s">
        <v>1133</v>
      </c>
      <c r="L21" s="56"/>
      <c r="M21" s="56"/>
      <c r="N21" s="76" t="s">
        <v>1392</v>
      </c>
      <c r="O21" s="56" t="s">
        <v>1927</v>
      </c>
    </row>
    <row r="22" spans="1:15" x14ac:dyDescent="0.2">
      <c r="A22" s="55">
        <v>44</v>
      </c>
      <c r="B22" s="55" t="b">
        <v>1</v>
      </c>
      <c r="C22" s="55" t="b">
        <v>0</v>
      </c>
      <c r="D22" s="55" t="s">
        <v>11</v>
      </c>
      <c r="E22" s="55" t="s">
        <v>192</v>
      </c>
      <c r="F22" s="55" t="s">
        <v>99</v>
      </c>
      <c r="G22" s="55" t="s">
        <v>497</v>
      </c>
      <c r="H22" s="81" t="s">
        <v>1013</v>
      </c>
      <c r="I22" s="81" t="s">
        <v>1113</v>
      </c>
      <c r="J22" s="55"/>
      <c r="K22" s="55"/>
      <c r="L22" s="55"/>
      <c r="M22" s="55"/>
      <c r="N22" s="55"/>
      <c r="O22" s="73"/>
    </row>
    <row r="23" spans="1:15" x14ac:dyDescent="0.2">
      <c r="A23" s="55">
        <v>66</v>
      </c>
      <c r="B23" s="55" t="b">
        <v>1</v>
      </c>
      <c r="C23" s="55" t="b">
        <v>0</v>
      </c>
      <c r="D23" s="55" t="s">
        <v>24</v>
      </c>
      <c r="E23" s="55" t="s">
        <v>192</v>
      </c>
      <c r="F23" s="55" t="s">
        <v>25</v>
      </c>
      <c r="G23" s="55" t="s">
        <v>497</v>
      </c>
      <c r="H23" s="55" t="s">
        <v>1013</v>
      </c>
      <c r="I23" s="55"/>
      <c r="J23" s="55" t="s">
        <v>1014</v>
      </c>
      <c r="K23" s="55" t="s">
        <v>1016</v>
      </c>
      <c r="L23" s="55" t="s">
        <v>1046</v>
      </c>
      <c r="M23" s="55"/>
      <c r="N23" s="59" t="s">
        <v>1034</v>
      </c>
      <c r="O23" s="77" t="s">
        <v>1937</v>
      </c>
    </row>
    <row r="24" spans="1:15" x14ac:dyDescent="0.2">
      <c r="A24" s="55">
        <v>67</v>
      </c>
      <c r="B24" s="55" t="b">
        <v>1</v>
      </c>
      <c r="C24" s="55" t="b">
        <v>0</v>
      </c>
      <c r="D24" s="55" t="s">
        <v>24</v>
      </c>
      <c r="E24" s="55" t="s">
        <v>192</v>
      </c>
      <c r="F24" s="55" t="s">
        <v>43</v>
      </c>
      <c r="G24" s="55" t="s">
        <v>347</v>
      </c>
      <c r="H24" s="55" t="s">
        <v>1013</v>
      </c>
      <c r="I24" s="55"/>
      <c r="J24" s="55" t="s">
        <v>1036</v>
      </c>
      <c r="K24" s="55" t="s">
        <v>1050</v>
      </c>
      <c r="L24" s="55"/>
      <c r="M24" s="55"/>
      <c r="N24" s="59" t="s">
        <v>1045</v>
      </c>
      <c r="O24" s="73"/>
    </row>
    <row r="25" spans="1:15" x14ac:dyDescent="0.2">
      <c r="A25" s="55">
        <v>68</v>
      </c>
      <c r="B25" s="55" t="b">
        <v>1</v>
      </c>
      <c r="C25" s="55" t="b">
        <v>0</v>
      </c>
      <c r="D25" s="55" t="s">
        <v>24</v>
      </c>
      <c r="E25" s="55" t="s">
        <v>192</v>
      </c>
      <c r="F25" s="55" t="s">
        <v>43</v>
      </c>
      <c r="G25" s="55" t="s">
        <v>348</v>
      </c>
      <c r="H25" s="55" t="s">
        <v>1013</v>
      </c>
      <c r="I25" s="55"/>
      <c r="J25" s="55" t="s">
        <v>1036</v>
      </c>
      <c r="K25" s="55" t="s">
        <v>1051</v>
      </c>
      <c r="L25" s="55"/>
      <c r="M25" s="55"/>
      <c r="N25" s="59" t="s">
        <v>1045</v>
      </c>
      <c r="O25" s="73"/>
    </row>
    <row r="26" spans="1:15" x14ac:dyDescent="0.2">
      <c r="A26" s="55">
        <v>69</v>
      </c>
      <c r="B26" s="55" t="b">
        <v>1</v>
      </c>
      <c r="C26" s="55" t="b">
        <v>0</v>
      </c>
      <c r="D26" s="55" t="s">
        <v>24</v>
      </c>
      <c r="E26" s="55" t="s">
        <v>192</v>
      </c>
      <c r="F26" s="55" t="s">
        <v>43</v>
      </c>
      <c r="G26" s="55" t="s">
        <v>338</v>
      </c>
      <c r="H26" s="55" t="s">
        <v>1013</v>
      </c>
      <c r="I26" s="55"/>
      <c r="J26" s="55" t="s">
        <v>1036</v>
      </c>
      <c r="K26" s="55" t="s">
        <v>1040</v>
      </c>
      <c r="L26" s="55"/>
      <c r="M26" s="55"/>
      <c r="N26" s="59" t="s">
        <v>1045</v>
      </c>
      <c r="O26" s="73"/>
    </row>
    <row r="27" spans="1:15" x14ac:dyDescent="0.2">
      <c r="A27" s="55">
        <v>70</v>
      </c>
      <c r="B27" s="55" t="b">
        <v>1</v>
      </c>
      <c r="C27" s="55" t="b">
        <v>0</v>
      </c>
      <c r="D27" s="55" t="s">
        <v>24</v>
      </c>
      <c r="E27" s="55" t="s">
        <v>192</v>
      </c>
      <c r="F27" s="55" t="s">
        <v>66</v>
      </c>
      <c r="G27" s="55" t="s">
        <v>497</v>
      </c>
      <c r="H27" s="81" t="s">
        <v>1013</v>
      </c>
      <c r="I27" s="81" t="s">
        <v>1113</v>
      </c>
      <c r="J27" s="55"/>
      <c r="K27" s="55"/>
      <c r="L27" s="55"/>
      <c r="M27" s="55"/>
      <c r="N27" s="55"/>
      <c r="O27" s="73"/>
    </row>
    <row r="28" spans="1:15" x14ac:dyDescent="0.2">
      <c r="A28" s="55">
        <v>71</v>
      </c>
      <c r="B28" s="55" t="b">
        <v>1</v>
      </c>
      <c r="C28" s="55" t="b">
        <v>0</v>
      </c>
      <c r="D28" s="55" t="s">
        <v>24</v>
      </c>
      <c r="E28" s="55" t="s">
        <v>192</v>
      </c>
      <c r="F28" s="55" t="s">
        <v>44</v>
      </c>
      <c r="G28" s="55" t="s">
        <v>326</v>
      </c>
      <c r="H28" s="55" t="s">
        <v>1013</v>
      </c>
      <c r="I28" s="55"/>
      <c r="J28" s="55" t="s">
        <v>1036</v>
      </c>
      <c r="K28" s="55" t="s">
        <v>1052</v>
      </c>
      <c r="L28" s="55"/>
      <c r="M28" s="55"/>
      <c r="N28" s="59" t="s">
        <v>1045</v>
      </c>
      <c r="O28" s="73"/>
    </row>
    <row r="29" spans="1:15" x14ac:dyDescent="0.2">
      <c r="A29" s="55">
        <v>72</v>
      </c>
      <c r="B29" s="55" t="b">
        <v>1</v>
      </c>
      <c r="C29" s="55" t="b">
        <v>0</v>
      </c>
      <c r="D29" s="55" t="s">
        <v>24</v>
      </c>
      <c r="E29" s="55" t="s">
        <v>192</v>
      </c>
      <c r="F29" s="55" t="s">
        <v>44</v>
      </c>
      <c r="G29" s="55" t="s">
        <v>327</v>
      </c>
      <c r="H29" s="55" t="s">
        <v>1013</v>
      </c>
      <c r="I29" s="55"/>
      <c r="J29" s="55" t="s">
        <v>1036</v>
      </c>
      <c r="K29" s="55" t="s">
        <v>1037</v>
      </c>
      <c r="L29" s="55"/>
      <c r="M29" s="55"/>
      <c r="N29" s="59" t="s">
        <v>1045</v>
      </c>
      <c r="O29" s="73"/>
    </row>
    <row r="30" spans="1:15" x14ac:dyDescent="0.2">
      <c r="A30" s="55">
        <v>73</v>
      </c>
      <c r="B30" s="55" t="b">
        <v>1</v>
      </c>
      <c r="C30" s="55" t="b">
        <v>0</v>
      </c>
      <c r="D30" s="55" t="s">
        <v>24</v>
      </c>
      <c r="E30" s="55" t="s">
        <v>192</v>
      </c>
      <c r="F30" s="55" t="s">
        <v>181</v>
      </c>
      <c r="G30" s="55" t="s">
        <v>497</v>
      </c>
      <c r="H30" s="81" t="s">
        <v>1013</v>
      </c>
      <c r="I30" s="81" t="s">
        <v>1113</v>
      </c>
      <c r="J30" s="55"/>
      <c r="K30" s="55"/>
      <c r="L30" s="55"/>
      <c r="M30" s="55"/>
      <c r="N30" s="55"/>
      <c r="O30" s="73"/>
    </row>
    <row r="31" spans="1:15" x14ac:dyDescent="0.2">
      <c r="A31" s="55">
        <v>74</v>
      </c>
      <c r="B31" s="55" t="b">
        <v>1</v>
      </c>
      <c r="C31" s="55" t="b">
        <v>0</v>
      </c>
      <c r="D31" s="55" t="s">
        <v>24</v>
      </c>
      <c r="E31" s="55" t="s">
        <v>192</v>
      </c>
      <c r="F31" s="55" t="s">
        <v>26</v>
      </c>
      <c r="G31" s="55" t="s">
        <v>497</v>
      </c>
      <c r="H31" s="55" t="s">
        <v>1013</v>
      </c>
      <c r="I31" s="55"/>
      <c r="J31" s="55" t="s">
        <v>1014</v>
      </c>
      <c r="K31" s="55" t="s">
        <v>1017</v>
      </c>
      <c r="L31" s="55" t="s">
        <v>1046</v>
      </c>
      <c r="M31" s="55"/>
      <c r="N31" s="59" t="s">
        <v>1034</v>
      </c>
      <c r="O31" s="73"/>
    </row>
    <row r="32" spans="1:15" x14ac:dyDescent="0.2">
      <c r="A32" s="55">
        <v>75</v>
      </c>
      <c r="B32" s="55" t="b">
        <v>1</v>
      </c>
      <c r="C32" s="55" t="b">
        <v>0</v>
      </c>
      <c r="D32" s="55" t="s">
        <v>24</v>
      </c>
      <c r="E32" s="55" t="s">
        <v>192</v>
      </c>
      <c r="F32" s="55" t="s">
        <v>45</v>
      </c>
      <c r="G32" s="55" t="s">
        <v>336</v>
      </c>
      <c r="H32" s="55" t="s">
        <v>1013</v>
      </c>
      <c r="I32" s="55"/>
      <c r="J32" s="55" t="s">
        <v>1036</v>
      </c>
      <c r="K32" s="55" t="s">
        <v>1038</v>
      </c>
      <c r="L32" s="55"/>
      <c r="M32" s="55"/>
      <c r="N32" s="59" t="s">
        <v>1045</v>
      </c>
      <c r="O32" s="73"/>
    </row>
    <row r="33" spans="1:15" x14ac:dyDescent="0.2">
      <c r="A33" s="55">
        <v>76</v>
      </c>
      <c r="B33" s="55" t="b">
        <v>1</v>
      </c>
      <c r="C33" s="55" t="b">
        <v>0</v>
      </c>
      <c r="D33" s="55" t="s">
        <v>24</v>
      </c>
      <c r="E33" s="55" t="s">
        <v>192</v>
      </c>
      <c r="F33" s="55" t="s">
        <v>184</v>
      </c>
      <c r="G33" s="55" t="s">
        <v>497</v>
      </c>
      <c r="H33" s="81" t="s">
        <v>1013</v>
      </c>
      <c r="I33" s="81" t="s">
        <v>1113</v>
      </c>
      <c r="J33" s="55"/>
      <c r="K33" s="55"/>
      <c r="L33" s="55"/>
      <c r="M33" s="55"/>
      <c r="N33" s="55"/>
      <c r="O33" s="73"/>
    </row>
    <row r="34" spans="1:15" x14ac:dyDescent="0.2">
      <c r="A34" s="55">
        <v>77</v>
      </c>
      <c r="B34" s="55" t="b">
        <v>1</v>
      </c>
      <c r="C34" s="55" t="b">
        <v>0</v>
      </c>
      <c r="D34" s="55" t="s">
        <v>24</v>
      </c>
      <c r="E34" s="55" t="s">
        <v>192</v>
      </c>
      <c r="F34" s="55" t="s">
        <v>27</v>
      </c>
      <c r="G34" s="55" t="s">
        <v>497</v>
      </c>
      <c r="H34" s="55" t="s">
        <v>1013</v>
      </c>
      <c r="I34" s="55"/>
      <c r="J34" s="55" t="s">
        <v>1014</v>
      </c>
      <c r="K34" s="55" t="s">
        <v>1018</v>
      </c>
      <c r="L34" s="55" t="s">
        <v>1046</v>
      </c>
      <c r="M34" s="55"/>
      <c r="N34" s="59" t="s">
        <v>1034</v>
      </c>
      <c r="O34" s="73"/>
    </row>
    <row r="35" spans="1:15" x14ac:dyDescent="0.2">
      <c r="A35" s="55">
        <v>78</v>
      </c>
      <c r="B35" s="55" t="b">
        <v>1</v>
      </c>
      <c r="C35" s="55" t="b">
        <v>0</v>
      </c>
      <c r="D35" s="55" t="s">
        <v>24</v>
      </c>
      <c r="E35" s="55" t="s">
        <v>192</v>
      </c>
      <c r="F35" s="55" t="s">
        <v>46</v>
      </c>
      <c r="G35" s="55" t="s">
        <v>336</v>
      </c>
      <c r="H35" s="55" t="s">
        <v>1013</v>
      </c>
      <c r="I35" s="55"/>
      <c r="J35" s="55" t="s">
        <v>1036</v>
      </c>
      <c r="K35" s="55" t="s">
        <v>1038</v>
      </c>
      <c r="L35" s="55"/>
      <c r="M35" s="55"/>
      <c r="N35" s="59" t="s">
        <v>1045</v>
      </c>
      <c r="O35" s="73"/>
    </row>
    <row r="36" spans="1:15" x14ac:dyDescent="0.2">
      <c r="A36" s="55">
        <v>79</v>
      </c>
      <c r="B36" s="55" t="b">
        <v>1</v>
      </c>
      <c r="C36" s="55" t="b">
        <v>0</v>
      </c>
      <c r="D36" s="55" t="s">
        <v>24</v>
      </c>
      <c r="E36" s="55" t="s">
        <v>192</v>
      </c>
      <c r="F36" s="55" t="s">
        <v>185</v>
      </c>
      <c r="G36" s="55" t="s">
        <v>497</v>
      </c>
      <c r="H36" s="81" t="s">
        <v>1013</v>
      </c>
      <c r="I36" s="81" t="s">
        <v>1113</v>
      </c>
      <c r="J36" s="55"/>
      <c r="K36" s="55"/>
      <c r="L36" s="55"/>
      <c r="M36" s="55"/>
      <c r="N36" s="55"/>
      <c r="O36" s="73"/>
    </row>
    <row r="37" spans="1:15" x14ac:dyDescent="0.2">
      <c r="A37" s="55">
        <v>80</v>
      </c>
      <c r="B37" s="55" t="b">
        <v>1</v>
      </c>
      <c r="C37" s="55" t="b">
        <v>0</v>
      </c>
      <c r="D37" s="55" t="s">
        <v>24</v>
      </c>
      <c r="E37" s="55" t="s">
        <v>192</v>
      </c>
      <c r="F37" s="55" t="s">
        <v>28</v>
      </c>
      <c r="G37" s="55" t="s">
        <v>497</v>
      </c>
      <c r="H37" s="55" t="s">
        <v>1013</v>
      </c>
      <c r="I37" s="55"/>
      <c r="J37" s="55" t="s">
        <v>1014</v>
      </c>
      <c r="K37" s="55" t="s">
        <v>1019</v>
      </c>
      <c r="L37" s="55" t="s">
        <v>1046</v>
      </c>
      <c r="M37" s="55"/>
      <c r="N37" s="59" t="s">
        <v>1034</v>
      </c>
      <c r="O37" s="73"/>
    </row>
    <row r="38" spans="1:15" x14ac:dyDescent="0.2">
      <c r="A38" s="55">
        <v>81</v>
      </c>
      <c r="B38" s="55" t="b">
        <v>1</v>
      </c>
      <c r="C38" s="55" t="b">
        <v>0</v>
      </c>
      <c r="D38" s="55" t="s">
        <v>24</v>
      </c>
      <c r="E38" s="55" t="s">
        <v>192</v>
      </c>
      <c r="F38" s="55" t="s">
        <v>47</v>
      </c>
      <c r="G38" s="55" t="s">
        <v>349</v>
      </c>
      <c r="H38" s="55" t="s">
        <v>1013</v>
      </c>
      <c r="I38" s="55"/>
      <c r="J38" s="55" t="s">
        <v>1036</v>
      </c>
      <c r="K38" s="55" t="s">
        <v>1053</v>
      </c>
      <c r="L38" s="55"/>
      <c r="M38" s="55"/>
      <c r="N38" s="59" t="s">
        <v>1045</v>
      </c>
      <c r="O38" s="73"/>
    </row>
    <row r="39" spans="1:15" x14ac:dyDescent="0.2">
      <c r="A39" s="55">
        <v>82</v>
      </c>
      <c r="B39" s="55" t="b">
        <v>1</v>
      </c>
      <c r="C39" s="55" t="b">
        <v>0</v>
      </c>
      <c r="D39" s="55" t="s">
        <v>24</v>
      </c>
      <c r="E39" s="55" t="s">
        <v>192</v>
      </c>
      <c r="F39" s="55" t="s">
        <v>47</v>
      </c>
      <c r="G39" s="55" t="s">
        <v>350</v>
      </c>
      <c r="H39" s="55" t="s">
        <v>1013</v>
      </c>
      <c r="I39" s="55"/>
      <c r="J39" s="55" t="s">
        <v>1036</v>
      </c>
      <c r="K39" s="55" t="s">
        <v>1039</v>
      </c>
      <c r="L39" s="55"/>
      <c r="M39" s="55"/>
      <c r="N39" s="59" t="s">
        <v>1045</v>
      </c>
      <c r="O39" s="73"/>
    </row>
    <row r="40" spans="1:15" x14ac:dyDescent="0.2">
      <c r="A40" s="55">
        <v>83</v>
      </c>
      <c r="B40" s="55" t="b">
        <v>1</v>
      </c>
      <c r="C40" s="55" t="b">
        <v>0</v>
      </c>
      <c r="D40" s="55" t="s">
        <v>24</v>
      </c>
      <c r="E40" s="55" t="s">
        <v>192</v>
      </c>
      <c r="F40" s="55" t="s">
        <v>47</v>
      </c>
      <c r="G40" s="55" t="s">
        <v>351</v>
      </c>
      <c r="H40" s="55" t="s">
        <v>1013</v>
      </c>
      <c r="I40" s="55"/>
      <c r="J40" s="55" t="s">
        <v>1036</v>
      </c>
      <c r="K40" s="55" t="s">
        <v>1054</v>
      </c>
      <c r="L40" s="55"/>
      <c r="M40" s="55"/>
      <c r="N40" s="59" t="s">
        <v>1045</v>
      </c>
      <c r="O40" s="73"/>
    </row>
    <row r="41" spans="1:15" x14ac:dyDescent="0.2">
      <c r="A41" s="55">
        <v>84</v>
      </c>
      <c r="B41" s="55" t="b">
        <v>1</v>
      </c>
      <c r="C41" s="55" t="b">
        <v>0</v>
      </c>
      <c r="D41" s="55" t="s">
        <v>24</v>
      </c>
      <c r="E41" s="55" t="s">
        <v>192</v>
      </c>
      <c r="F41" s="55" t="s">
        <v>47</v>
      </c>
      <c r="G41" s="55" t="s">
        <v>352</v>
      </c>
      <c r="H41" s="55" t="s">
        <v>1013</v>
      </c>
      <c r="I41" s="55"/>
      <c r="J41" s="55" t="s">
        <v>1036</v>
      </c>
      <c r="K41" s="55" t="s">
        <v>1055</v>
      </c>
      <c r="L41" s="55"/>
      <c r="M41" s="55"/>
      <c r="N41" s="59" t="s">
        <v>1045</v>
      </c>
      <c r="O41" s="73"/>
    </row>
    <row r="42" spans="1:15" x14ac:dyDescent="0.2">
      <c r="A42" s="55">
        <v>85</v>
      </c>
      <c r="B42" s="55" t="b">
        <v>1</v>
      </c>
      <c r="C42" s="55" t="b">
        <v>0</v>
      </c>
      <c r="D42" s="55" t="s">
        <v>24</v>
      </c>
      <c r="E42" s="55" t="s">
        <v>192</v>
      </c>
      <c r="F42" s="55" t="s">
        <v>47</v>
      </c>
      <c r="G42" s="55" t="s">
        <v>353</v>
      </c>
      <c r="H42" s="55" t="s">
        <v>1013</v>
      </c>
      <c r="I42" s="55"/>
      <c r="J42" s="55" t="s">
        <v>1036</v>
      </c>
      <c r="K42" s="55" t="s">
        <v>1056</v>
      </c>
      <c r="L42" s="55"/>
      <c r="M42" s="55"/>
      <c r="N42" s="59" t="s">
        <v>1045</v>
      </c>
      <c r="O42" s="73"/>
    </row>
    <row r="43" spans="1:15" x14ac:dyDescent="0.2">
      <c r="A43" s="55">
        <v>86</v>
      </c>
      <c r="B43" s="55" t="b">
        <v>1</v>
      </c>
      <c r="C43" s="55" t="b">
        <v>0</v>
      </c>
      <c r="D43" s="55" t="s">
        <v>24</v>
      </c>
      <c r="E43" s="55" t="s">
        <v>192</v>
      </c>
      <c r="F43" s="55" t="s">
        <v>186</v>
      </c>
      <c r="G43" s="55" t="s">
        <v>497</v>
      </c>
      <c r="H43" s="81" t="s">
        <v>1013</v>
      </c>
      <c r="I43" s="81" t="s">
        <v>1113</v>
      </c>
      <c r="J43" s="55"/>
      <c r="K43" s="55"/>
      <c r="L43" s="55"/>
      <c r="M43" s="55"/>
      <c r="N43" s="55"/>
      <c r="O43" s="73"/>
    </row>
    <row r="44" spans="1:15" x14ac:dyDescent="0.2">
      <c r="A44" s="55">
        <v>87</v>
      </c>
      <c r="B44" s="55" t="b">
        <v>1</v>
      </c>
      <c r="C44" s="55" t="b">
        <v>0</v>
      </c>
      <c r="D44" s="55" t="s">
        <v>24</v>
      </c>
      <c r="E44" s="55" t="s">
        <v>192</v>
      </c>
      <c r="F44" s="55" t="s">
        <v>29</v>
      </c>
      <c r="G44" s="55" t="s">
        <v>497</v>
      </c>
      <c r="H44" s="55" t="s">
        <v>1013</v>
      </c>
      <c r="I44" s="55"/>
      <c r="J44" s="55" t="s">
        <v>1014</v>
      </c>
      <c r="K44" s="55" t="s">
        <v>1020</v>
      </c>
      <c r="L44" s="55" t="s">
        <v>1046</v>
      </c>
      <c r="M44" s="55"/>
      <c r="N44" s="59" t="s">
        <v>1034</v>
      </c>
      <c r="O44" s="73"/>
    </row>
    <row r="45" spans="1:15" x14ac:dyDescent="0.2">
      <c r="A45" s="55">
        <v>88</v>
      </c>
      <c r="B45" s="55" t="b">
        <v>1</v>
      </c>
      <c r="C45" s="55" t="b">
        <v>0</v>
      </c>
      <c r="D45" s="55" t="s">
        <v>24</v>
      </c>
      <c r="E45" s="55" t="s">
        <v>192</v>
      </c>
      <c r="F45" s="55" t="s">
        <v>48</v>
      </c>
      <c r="G45" s="55" t="s">
        <v>336</v>
      </c>
      <c r="H45" s="55" t="s">
        <v>1013</v>
      </c>
      <c r="I45" s="55"/>
      <c r="J45" s="55" t="s">
        <v>1036</v>
      </c>
      <c r="K45" s="55" t="s">
        <v>1038</v>
      </c>
      <c r="L45" s="55"/>
      <c r="M45" s="55"/>
      <c r="N45" s="59" t="s">
        <v>1045</v>
      </c>
      <c r="O45" s="73"/>
    </row>
    <row r="46" spans="1:15" x14ac:dyDescent="0.2">
      <c r="A46" s="55">
        <v>89</v>
      </c>
      <c r="B46" s="55" t="b">
        <v>1</v>
      </c>
      <c r="C46" s="55" t="b">
        <v>0</v>
      </c>
      <c r="D46" s="55" t="s">
        <v>24</v>
      </c>
      <c r="E46" s="55" t="s">
        <v>192</v>
      </c>
      <c r="F46" s="55" t="s">
        <v>48</v>
      </c>
      <c r="G46" s="55" t="s">
        <v>337</v>
      </c>
      <c r="H46" s="55" t="s">
        <v>1013</v>
      </c>
      <c r="I46" s="55"/>
      <c r="J46" s="55" t="s">
        <v>1036</v>
      </c>
      <c r="K46" s="55" t="s">
        <v>1057</v>
      </c>
      <c r="L46" s="55"/>
      <c r="M46" s="55"/>
      <c r="N46" s="59" t="s">
        <v>1045</v>
      </c>
      <c r="O46" s="73"/>
    </row>
    <row r="47" spans="1:15" x14ac:dyDescent="0.2">
      <c r="A47" s="55">
        <v>90</v>
      </c>
      <c r="B47" s="55" t="b">
        <v>1</v>
      </c>
      <c r="C47" s="55" t="b">
        <v>0</v>
      </c>
      <c r="D47" s="55" t="s">
        <v>24</v>
      </c>
      <c r="E47" s="55" t="s">
        <v>192</v>
      </c>
      <c r="F47" s="55" t="s">
        <v>48</v>
      </c>
      <c r="G47" s="55" t="s">
        <v>338</v>
      </c>
      <c r="H47" s="55" t="s">
        <v>1013</v>
      </c>
      <c r="I47" s="55"/>
      <c r="J47" s="55" t="s">
        <v>1036</v>
      </c>
      <c r="K47" s="55" t="s">
        <v>1040</v>
      </c>
      <c r="L47" s="55"/>
      <c r="M47" s="55"/>
      <c r="N47" s="59" t="s">
        <v>1045</v>
      </c>
      <c r="O47" s="73"/>
    </row>
    <row r="48" spans="1:15" x14ac:dyDescent="0.2">
      <c r="A48" s="55">
        <v>91</v>
      </c>
      <c r="B48" s="55" t="b">
        <v>1</v>
      </c>
      <c r="C48" s="55" t="b">
        <v>0</v>
      </c>
      <c r="D48" s="55" t="s">
        <v>24</v>
      </c>
      <c r="E48" s="55" t="s">
        <v>192</v>
      </c>
      <c r="F48" s="55" t="s">
        <v>79</v>
      </c>
      <c r="G48" s="55" t="s">
        <v>497</v>
      </c>
      <c r="H48" s="81" t="s">
        <v>1013</v>
      </c>
      <c r="I48" s="81" t="s">
        <v>1113</v>
      </c>
      <c r="J48" s="55"/>
      <c r="K48" s="55"/>
      <c r="L48" s="55"/>
      <c r="M48" s="55"/>
      <c r="N48" s="55"/>
      <c r="O48" s="73"/>
    </row>
    <row r="49" spans="1:15" x14ac:dyDescent="0.2">
      <c r="A49" s="55">
        <v>92</v>
      </c>
      <c r="B49" s="55" t="b">
        <v>1</v>
      </c>
      <c r="C49" s="55" t="b">
        <v>0</v>
      </c>
      <c r="D49" s="55" t="s">
        <v>24</v>
      </c>
      <c r="E49" s="55" t="s">
        <v>192</v>
      </c>
      <c r="F49" s="55" t="s">
        <v>30</v>
      </c>
      <c r="G49" s="55" t="s">
        <v>497</v>
      </c>
      <c r="H49" s="55" t="s">
        <v>1013</v>
      </c>
      <c r="I49" s="55"/>
      <c r="J49" s="55" t="s">
        <v>1014</v>
      </c>
      <c r="K49" s="55" t="s">
        <v>1021</v>
      </c>
      <c r="L49" s="55" t="s">
        <v>1046</v>
      </c>
      <c r="M49" s="55"/>
      <c r="N49" s="59" t="s">
        <v>1034</v>
      </c>
      <c r="O49" s="73"/>
    </row>
    <row r="50" spans="1:15" x14ac:dyDescent="0.2">
      <c r="A50" s="55">
        <v>93</v>
      </c>
      <c r="B50" s="55" t="b">
        <v>1</v>
      </c>
      <c r="C50" s="55" t="b">
        <v>0</v>
      </c>
      <c r="D50" s="55" t="s">
        <v>24</v>
      </c>
      <c r="E50" s="55" t="s">
        <v>192</v>
      </c>
      <c r="F50" s="55" t="s">
        <v>49</v>
      </c>
      <c r="G50" s="55" t="s">
        <v>369</v>
      </c>
      <c r="H50" s="55" t="s">
        <v>1013</v>
      </c>
      <c r="I50" s="55"/>
      <c r="J50" s="55" t="s">
        <v>1036</v>
      </c>
      <c r="K50" s="55" t="s">
        <v>1058</v>
      </c>
      <c r="L50" s="55"/>
      <c r="M50" s="55"/>
      <c r="N50" s="59" t="s">
        <v>1045</v>
      </c>
      <c r="O50" s="73"/>
    </row>
    <row r="51" spans="1:15" x14ac:dyDescent="0.2">
      <c r="A51" s="55">
        <v>94</v>
      </c>
      <c r="B51" s="55" t="b">
        <v>1</v>
      </c>
      <c r="C51" s="55" t="b">
        <v>0</v>
      </c>
      <c r="D51" s="55" t="s">
        <v>24</v>
      </c>
      <c r="E51" s="55" t="s">
        <v>192</v>
      </c>
      <c r="F51" s="55" t="s">
        <v>49</v>
      </c>
      <c r="G51" s="55" t="s">
        <v>370</v>
      </c>
      <c r="H51" s="55" t="s">
        <v>1013</v>
      </c>
      <c r="I51" s="55"/>
      <c r="J51" s="55" t="s">
        <v>1036</v>
      </c>
      <c r="K51" s="55" t="s">
        <v>1041</v>
      </c>
      <c r="L51" s="55"/>
      <c r="M51" s="55"/>
      <c r="N51" s="59" t="s">
        <v>1045</v>
      </c>
      <c r="O51" s="73"/>
    </row>
    <row r="52" spans="1:15" x14ac:dyDescent="0.2">
      <c r="A52" s="55">
        <v>95</v>
      </c>
      <c r="B52" s="55" t="b">
        <v>1</v>
      </c>
      <c r="C52" s="55" t="b">
        <v>0</v>
      </c>
      <c r="D52" s="55" t="s">
        <v>24</v>
      </c>
      <c r="E52" s="55" t="s">
        <v>192</v>
      </c>
      <c r="F52" s="55" t="s">
        <v>49</v>
      </c>
      <c r="G52" s="55" t="s">
        <v>371</v>
      </c>
      <c r="H52" s="55" t="s">
        <v>1013</v>
      </c>
      <c r="I52" s="55"/>
      <c r="J52" s="55" t="s">
        <v>1036</v>
      </c>
      <c r="K52" s="55" t="s">
        <v>1059</v>
      </c>
      <c r="L52" s="55"/>
      <c r="M52" s="55"/>
      <c r="N52" s="59" t="s">
        <v>1045</v>
      </c>
      <c r="O52" s="73"/>
    </row>
    <row r="53" spans="1:15" x14ac:dyDescent="0.2">
      <c r="A53" s="55">
        <v>96</v>
      </c>
      <c r="B53" s="55" t="b">
        <v>1</v>
      </c>
      <c r="C53" s="55" t="b">
        <v>0</v>
      </c>
      <c r="D53" s="55" t="s">
        <v>24</v>
      </c>
      <c r="E53" s="55" t="s">
        <v>192</v>
      </c>
      <c r="F53" s="55" t="s">
        <v>49</v>
      </c>
      <c r="G53" s="55" t="s">
        <v>372</v>
      </c>
      <c r="H53" s="55" t="s">
        <v>1013</v>
      </c>
      <c r="I53" s="55"/>
      <c r="J53" s="55" t="s">
        <v>1036</v>
      </c>
      <c r="K53" s="55" t="s">
        <v>1060</v>
      </c>
      <c r="L53" s="55"/>
      <c r="M53" s="55"/>
      <c r="N53" s="59" t="s">
        <v>1045</v>
      </c>
      <c r="O53" s="73"/>
    </row>
    <row r="54" spans="1:15" x14ac:dyDescent="0.2">
      <c r="A54" s="55">
        <v>97</v>
      </c>
      <c r="B54" s="55" t="b">
        <v>1</v>
      </c>
      <c r="C54" s="55" t="b">
        <v>0</v>
      </c>
      <c r="D54" s="55" t="s">
        <v>24</v>
      </c>
      <c r="E54" s="55" t="s">
        <v>192</v>
      </c>
      <c r="F54" s="55" t="s">
        <v>49</v>
      </c>
      <c r="G54" s="55" t="s">
        <v>373</v>
      </c>
      <c r="H54" s="55" t="s">
        <v>1013</v>
      </c>
      <c r="I54" s="55"/>
      <c r="J54" s="55" t="s">
        <v>1036</v>
      </c>
      <c r="K54" s="55" t="s">
        <v>1061</v>
      </c>
      <c r="L54" s="55"/>
      <c r="M54" s="55"/>
      <c r="N54" s="59" t="s">
        <v>1045</v>
      </c>
      <c r="O54" s="73"/>
    </row>
    <row r="55" spans="1:15" x14ac:dyDescent="0.2">
      <c r="A55" s="55">
        <v>98</v>
      </c>
      <c r="B55" s="55" t="b">
        <v>1</v>
      </c>
      <c r="C55" s="55" t="b">
        <v>0</v>
      </c>
      <c r="D55" s="55" t="s">
        <v>24</v>
      </c>
      <c r="E55" s="55" t="s">
        <v>192</v>
      </c>
      <c r="F55" s="55" t="s">
        <v>49</v>
      </c>
      <c r="G55" s="55" t="s">
        <v>363</v>
      </c>
      <c r="H55" s="55" t="s">
        <v>1013</v>
      </c>
      <c r="I55" s="55"/>
      <c r="J55" s="55" t="s">
        <v>1036</v>
      </c>
      <c r="K55" s="55" t="s">
        <v>1062</v>
      </c>
      <c r="L55" s="55"/>
      <c r="M55" s="55"/>
      <c r="N55" s="59" t="s">
        <v>1045</v>
      </c>
      <c r="O55" s="73"/>
    </row>
    <row r="56" spans="1:15" x14ac:dyDescent="0.2">
      <c r="A56" s="55">
        <v>99</v>
      </c>
      <c r="B56" s="55" t="b">
        <v>1</v>
      </c>
      <c r="C56" s="55" t="b">
        <v>0</v>
      </c>
      <c r="D56" s="55" t="s">
        <v>24</v>
      </c>
      <c r="E56" s="55" t="s">
        <v>192</v>
      </c>
      <c r="F56" s="55" t="s">
        <v>49</v>
      </c>
      <c r="G56" s="55" t="s">
        <v>364</v>
      </c>
      <c r="H56" s="55" t="s">
        <v>1013</v>
      </c>
      <c r="I56" s="55"/>
      <c r="J56" s="55" t="s">
        <v>1036</v>
      </c>
      <c r="K56" s="55" t="s">
        <v>1042</v>
      </c>
      <c r="L56" s="55"/>
      <c r="M56" s="55"/>
      <c r="N56" s="59" t="s">
        <v>1045</v>
      </c>
      <c r="O56" s="73"/>
    </row>
    <row r="57" spans="1:15" x14ac:dyDescent="0.2">
      <c r="A57" s="55">
        <v>100</v>
      </c>
      <c r="B57" s="55" t="b">
        <v>1</v>
      </c>
      <c r="C57" s="55" t="b">
        <v>0</v>
      </c>
      <c r="D57" s="55" t="s">
        <v>24</v>
      </c>
      <c r="E57" s="55" t="s">
        <v>192</v>
      </c>
      <c r="F57" s="55" t="s">
        <v>49</v>
      </c>
      <c r="G57" s="55" t="s">
        <v>365</v>
      </c>
      <c r="H57" s="55" t="s">
        <v>1013</v>
      </c>
      <c r="I57" s="55"/>
      <c r="J57" s="55" t="s">
        <v>1036</v>
      </c>
      <c r="K57" s="55" t="s">
        <v>1063</v>
      </c>
      <c r="L57" s="55"/>
      <c r="M57" s="55"/>
      <c r="N57" s="59" t="s">
        <v>1045</v>
      </c>
      <c r="O57" s="73"/>
    </row>
    <row r="58" spans="1:15" x14ac:dyDescent="0.2">
      <c r="A58" s="55">
        <v>101</v>
      </c>
      <c r="B58" s="55" t="b">
        <v>1</v>
      </c>
      <c r="C58" s="55" t="b">
        <v>0</v>
      </c>
      <c r="D58" s="55" t="s">
        <v>24</v>
      </c>
      <c r="E58" s="55" t="s">
        <v>192</v>
      </c>
      <c r="F58" s="55" t="s">
        <v>49</v>
      </c>
      <c r="G58" s="55" t="s">
        <v>366</v>
      </c>
      <c r="H58" s="55" t="s">
        <v>1013</v>
      </c>
      <c r="I58" s="55"/>
      <c r="J58" s="55" t="s">
        <v>1036</v>
      </c>
      <c r="K58" s="55" t="s">
        <v>1064</v>
      </c>
      <c r="L58" s="55"/>
      <c r="M58" s="55"/>
      <c r="N58" s="59" t="s">
        <v>1045</v>
      </c>
      <c r="O58" s="73"/>
    </row>
    <row r="59" spans="1:15" x14ac:dyDescent="0.2">
      <c r="A59" s="55">
        <v>102</v>
      </c>
      <c r="B59" s="55" t="b">
        <v>1</v>
      </c>
      <c r="C59" s="55" t="b">
        <v>0</v>
      </c>
      <c r="D59" s="55" t="s">
        <v>24</v>
      </c>
      <c r="E59" s="55" t="s">
        <v>192</v>
      </c>
      <c r="F59" s="55" t="s">
        <v>85</v>
      </c>
      <c r="G59" s="55" t="s">
        <v>497</v>
      </c>
      <c r="H59" s="81" t="s">
        <v>1013</v>
      </c>
      <c r="I59" s="81" t="s">
        <v>1113</v>
      </c>
      <c r="J59" s="55"/>
      <c r="K59" s="55"/>
      <c r="L59" s="55"/>
      <c r="M59" s="55"/>
      <c r="N59" s="55"/>
      <c r="O59" s="73"/>
    </row>
    <row r="60" spans="1:15" x14ac:dyDescent="0.2">
      <c r="A60" s="55">
        <v>103</v>
      </c>
      <c r="B60" s="55" t="b">
        <v>1</v>
      </c>
      <c r="C60" s="55" t="b">
        <v>0</v>
      </c>
      <c r="D60" s="55" t="s">
        <v>24</v>
      </c>
      <c r="E60" s="55" t="s">
        <v>192</v>
      </c>
      <c r="F60" s="55" t="s">
        <v>153</v>
      </c>
      <c r="G60" s="55" t="s">
        <v>357</v>
      </c>
      <c r="H60" s="55" t="s">
        <v>1013</v>
      </c>
      <c r="I60" s="55"/>
      <c r="J60" s="55" t="s">
        <v>1091</v>
      </c>
      <c r="K60" s="55" t="s">
        <v>1469</v>
      </c>
      <c r="L60" s="55"/>
      <c r="M60" s="55"/>
      <c r="N60" s="59" t="s">
        <v>1468</v>
      </c>
      <c r="O60" s="73"/>
    </row>
    <row r="61" spans="1:15" x14ac:dyDescent="0.2">
      <c r="A61" s="55">
        <v>104</v>
      </c>
      <c r="B61" s="55" t="b">
        <v>1</v>
      </c>
      <c r="C61" s="55" t="b">
        <v>0</v>
      </c>
      <c r="D61" s="55" t="s">
        <v>24</v>
      </c>
      <c r="E61" s="55" t="s">
        <v>192</v>
      </c>
      <c r="F61" s="55" t="s">
        <v>153</v>
      </c>
      <c r="G61" s="55" t="s">
        <v>358</v>
      </c>
      <c r="H61" s="55" t="s">
        <v>1013</v>
      </c>
      <c r="I61" s="55"/>
      <c r="J61" s="55" t="s">
        <v>1091</v>
      </c>
      <c r="K61" s="55" t="s">
        <v>1470</v>
      </c>
      <c r="L61" s="55"/>
      <c r="M61" s="55"/>
      <c r="N61" s="59" t="s">
        <v>1468</v>
      </c>
      <c r="O61" s="73"/>
    </row>
    <row r="62" spans="1:15" x14ac:dyDescent="0.2">
      <c r="A62" s="55">
        <v>105</v>
      </c>
      <c r="B62" s="55" t="b">
        <v>1</v>
      </c>
      <c r="C62" s="55" t="b">
        <v>0</v>
      </c>
      <c r="D62" s="55" t="s">
        <v>24</v>
      </c>
      <c r="E62" s="55" t="s">
        <v>192</v>
      </c>
      <c r="F62" s="55" t="s">
        <v>153</v>
      </c>
      <c r="G62" s="55" t="s">
        <v>359</v>
      </c>
      <c r="H62" s="55" t="s">
        <v>1013</v>
      </c>
      <c r="I62" s="55"/>
      <c r="J62" s="55" t="s">
        <v>1091</v>
      </c>
      <c r="K62" s="55" t="s">
        <v>1471</v>
      </c>
      <c r="L62" s="55"/>
      <c r="M62" s="55"/>
      <c r="N62" s="59" t="s">
        <v>1468</v>
      </c>
      <c r="O62" s="73"/>
    </row>
    <row r="63" spans="1:15" x14ac:dyDescent="0.2">
      <c r="A63" s="55">
        <v>106</v>
      </c>
      <c r="B63" s="55" t="b">
        <v>1</v>
      </c>
      <c r="C63" s="55" t="b">
        <v>0</v>
      </c>
      <c r="D63" s="55" t="s">
        <v>24</v>
      </c>
      <c r="E63" s="55" t="s">
        <v>192</v>
      </c>
      <c r="F63" s="55" t="s">
        <v>153</v>
      </c>
      <c r="G63" s="55" t="s">
        <v>360</v>
      </c>
      <c r="H63" s="55" t="s">
        <v>1013</v>
      </c>
      <c r="I63" s="55"/>
      <c r="J63" s="55" t="s">
        <v>1091</v>
      </c>
      <c r="K63" s="55" t="s">
        <v>1473</v>
      </c>
      <c r="L63" s="55"/>
      <c r="M63" s="55"/>
      <c r="N63" s="59" t="s">
        <v>1468</v>
      </c>
      <c r="O63" s="73"/>
    </row>
    <row r="64" spans="1:15" x14ac:dyDescent="0.2">
      <c r="A64" s="55">
        <v>107</v>
      </c>
      <c r="B64" s="55" t="b">
        <v>1</v>
      </c>
      <c r="C64" s="55" t="b">
        <v>0</v>
      </c>
      <c r="D64" s="55" t="s">
        <v>24</v>
      </c>
      <c r="E64" s="55" t="s">
        <v>192</v>
      </c>
      <c r="F64" s="55" t="s">
        <v>153</v>
      </c>
      <c r="G64" s="55" t="s">
        <v>361</v>
      </c>
      <c r="H64" s="55" t="s">
        <v>1013</v>
      </c>
      <c r="I64" s="55"/>
      <c r="J64" s="55" t="s">
        <v>1091</v>
      </c>
      <c r="K64" s="55" t="s">
        <v>1472</v>
      </c>
      <c r="L64" s="55"/>
      <c r="M64" s="55"/>
      <c r="N64" s="59" t="s">
        <v>1468</v>
      </c>
      <c r="O64" s="73"/>
    </row>
    <row r="65" spans="1:15" x14ac:dyDescent="0.2">
      <c r="A65" s="55">
        <v>108</v>
      </c>
      <c r="B65" s="55" t="b">
        <v>1</v>
      </c>
      <c r="C65" s="55" t="b">
        <v>0</v>
      </c>
      <c r="D65" s="55" t="s">
        <v>24</v>
      </c>
      <c r="E65" s="55" t="s">
        <v>192</v>
      </c>
      <c r="F65" s="55" t="s">
        <v>153</v>
      </c>
      <c r="G65" s="55" t="s">
        <v>362</v>
      </c>
      <c r="H65" s="55" t="s">
        <v>1013</v>
      </c>
      <c r="I65" s="55"/>
      <c r="J65" s="55" t="s">
        <v>1091</v>
      </c>
      <c r="K65" s="55" t="s">
        <v>362</v>
      </c>
      <c r="L65" s="55"/>
      <c r="M65" s="55"/>
      <c r="N65" s="59" t="s">
        <v>1468</v>
      </c>
      <c r="O65" s="73"/>
    </row>
    <row r="66" spans="1:15" x14ac:dyDescent="0.2">
      <c r="A66" s="55">
        <v>109</v>
      </c>
      <c r="B66" s="55" t="b">
        <v>1</v>
      </c>
      <c r="C66" s="55" t="b">
        <v>0</v>
      </c>
      <c r="D66" s="55" t="s">
        <v>24</v>
      </c>
      <c r="E66" s="55" t="s">
        <v>192</v>
      </c>
      <c r="F66" s="55" t="s">
        <v>31</v>
      </c>
      <c r="G66" s="55" t="s">
        <v>497</v>
      </c>
      <c r="H66" s="55" t="s">
        <v>1013</v>
      </c>
      <c r="I66" s="55"/>
      <c r="J66" s="55" t="s">
        <v>1014</v>
      </c>
      <c r="K66" s="55" t="s">
        <v>1022</v>
      </c>
      <c r="L66" s="55" t="s">
        <v>1046</v>
      </c>
      <c r="M66" s="55"/>
      <c r="N66" s="59" t="s">
        <v>1034</v>
      </c>
      <c r="O66" s="73"/>
    </row>
    <row r="67" spans="1:15" x14ac:dyDescent="0.2">
      <c r="A67" s="55">
        <v>110</v>
      </c>
      <c r="B67" s="55" t="b">
        <v>1</v>
      </c>
      <c r="C67" s="55" t="b">
        <v>0</v>
      </c>
      <c r="D67" s="55" t="s">
        <v>24</v>
      </c>
      <c r="E67" s="55" t="s">
        <v>192</v>
      </c>
      <c r="F67" s="55" t="s">
        <v>50</v>
      </c>
      <c r="G67" s="55" t="s">
        <v>363</v>
      </c>
      <c r="H67" s="55" t="s">
        <v>1013</v>
      </c>
      <c r="I67" s="55"/>
      <c r="J67" s="55" t="s">
        <v>1036</v>
      </c>
      <c r="K67" s="55" t="s">
        <v>1062</v>
      </c>
      <c r="L67" s="55"/>
      <c r="M67" s="55"/>
      <c r="N67" s="59" t="s">
        <v>1045</v>
      </c>
      <c r="O67" s="73"/>
    </row>
    <row r="68" spans="1:15" x14ac:dyDescent="0.2">
      <c r="A68" s="55">
        <v>111</v>
      </c>
      <c r="B68" s="55" t="b">
        <v>1</v>
      </c>
      <c r="C68" s="55" t="b">
        <v>0</v>
      </c>
      <c r="D68" s="55" t="s">
        <v>24</v>
      </c>
      <c r="E68" s="55" t="s">
        <v>192</v>
      </c>
      <c r="F68" s="55" t="s">
        <v>50</v>
      </c>
      <c r="G68" s="55" t="s">
        <v>364</v>
      </c>
      <c r="H68" s="55" t="s">
        <v>1013</v>
      </c>
      <c r="I68" s="55"/>
      <c r="J68" s="55" t="s">
        <v>1036</v>
      </c>
      <c r="K68" s="55" t="s">
        <v>1042</v>
      </c>
      <c r="L68" s="55"/>
      <c r="M68" s="55"/>
      <c r="N68" s="59" t="s">
        <v>1045</v>
      </c>
      <c r="O68" s="73"/>
    </row>
    <row r="69" spans="1:15" x14ac:dyDescent="0.2">
      <c r="A69" s="55">
        <v>112</v>
      </c>
      <c r="B69" s="55" t="b">
        <v>1</v>
      </c>
      <c r="C69" s="55" t="b">
        <v>0</v>
      </c>
      <c r="D69" s="55" t="s">
        <v>24</v>
      </c>
      <c r="E69" s="55" t="s">
        <v>192</v>
      </c>
      <c r="F69" s="55" t="s">
        <v>50</v>
      </c>
      <c r="G69" s="55" t="s">
        <v>1151</v>
      </c>
      <c r="H69" s="55" t="s">
        <v>1013</v>
      </c>
      <c r="I69" s="55"/>
      <c r="J69" s="55" t="s">
        <v>1036</v>
      </c>
      <c r="K69" s="55" t="s">
        <v>1374</v>
      </c>
      <c r="L69" s="55"/>
      <c r="M69" s="55"/>
      <c r="N69" s="59" t="s">
        <v>1045</v>
      </c>
      <c r="O69" s="73"/>
    </row>
    <row r="70" spans="1:15" x14ac:dyDescent="0.2">
      <c r="A70" s="55">
        <v>113</v>
      </c>
      <c r="B70" s="55" t="b">
        <v>1</v>
      </c>
      <c r="C70" s="55" t="b">
        <v>0</v>
      </c>
      <c r="D70" s="55" t="s">
        <v>24</v>
      </c>
      <c r="E70" s="55" t="s">
        <v>192</v>
      </c>
      <c r="F70" s="55" t="s">
        <v>50</v>
      </c>
      <c r="G70" s="55" t="s">
        <v>366</v>
      </c>
      <c r="H70" s="55" t="s">
        <v>1013</v>
      </c>
      <c r="I70" s="55"/>
      <c r="J70" s="55" t="s">
        <v>1036</v>
      </c>
      <c r="K70" s="55" t="s">
        <v>1064</v>
      </c>
      <c r="L70" s="55"/>
      <c r="M70" s="55"/>
      <c r="N70" s="59" t="s">
        <v>1045</v>
      </c>
      <c r="O70" s="73"/>
    </row>
    <row r="71" spans="1:15" x14ac:dyDescent="0.2">
      <c r="A71" s="55">
        <v>114</v>
      </c>
      <c r="B71" s="55" t="b">
        <v>1</v>
      </c>
      <c r="C71" s="55" t="b">
        <v>0</v>
      </c>
      <c r="D71" s="55" t="s">
        <v>24</v>
      </c>
      <c r="E71" s="55" t="s">
        <v>192</v>
      </c>
      <c r="F71" s="55" t="s">
        <v>154</v>
      </c>
      <c r="G71" s="55" t="s">
        <v>497</v>
      </c>
      <c r="H71" s="81" t="s">
        <v>1013</v>
      </c>
      <c r="I71" s="81" t="s">
        <v>1113</v>
      </c>
      <c r="J71" s="55"/>
      <c r="K71" s="55"/>
      <c r="L71" s="55"/>
      <c r="M71" s="55"/>
      <c r="N71" s="55"/>
      <c r="O71" s="73"/>
    </row>
    <row r="72" spans="1:15" x14ac:dyDescent="0.2">
      <c r="A72" s="55">
        <v>115</v>
      </c>
      <c r="B72" s="55" t="b">
        <v>1</v>
      </c>
      <c r="C72" s="55" t="b">
        <v>0</v>
      </c>
      <c r="D72" s="55" t="s">
        <v>24</v>
      </c>
      <c r="E72" s="55" t="s">
        <v>192</v>
      </c>
      <c r="F72" s="55" t="s">
        <v>1150</v>
      </c>
      <c r="G72" s="55" t="s">
        <v>497</v>
      </c>
      <c r="H72" s="55" t="s">
        <v>1013</v>
      </c>
      <c r="I72" s="55"/>
      <c r="J72" s="55" t="s">
        <v>1014</v>
      </c>
      <c r="K72" s="55" t="s">
        <v>1023</v>
      </c>
      <c r="L72" s="55" t="s">
        <v>1046</v>
      </c>
      <c r="M72" s="55"/>
      <c r="N72" s="59" t="s">
        <v>1034</v>
      </c>
      <c r="O72" s="73"/>
    </row>
    <row r="73" spans="1:15" x14ac:dyDescent="0.2">
      <c r="A73" s="55">
        <v>116</v>
      </c>
      <c r="B73" s="55" t="b">
        <v>1</v>
      </c>
      <c r="C73" s="55" t="b">
        <v>0</v>
      </c>
      <c r="D73" s="55" t="s">
        <v>24</v>
      </c>
      <c r="E73" s="55" t="s">
        <v>192</v>
      </c>
      <c r="F73" s="55" t="s">
        <v>1149</v>
      </c>
      <c r="G73" s="55" t="s">
        <v>328</v>
      </c>
      <c r="H73" s="55" t="s">
        <v>1013</v>
      </c>
      <c r="I73" s="55"/>
      <c r="J73" s="55" t="s">
        <v>1036</v>
      </c>
      <c r="K73" s="55" t="s">
        <v>1043</v>
      </c>
      <c r="L73" s="55"/>
      <c r="M73" s="55"/>
      <c r="N73" s="59" t="s">
        <v>1045</v>
      </c>
      <c r="O73" s="73"/>
    </row>
    <row r="74" spans="1:15" x14ac:dyDescent="0.2">
      <c r="A74" s="55">
        <v>117</v>
      </c>
      <c r="B74" s="55" t="b">
        <v>1</v>
      </c>
      <c r="C74" s="55" t="b">
        <v>0</v>
      </c>
      <c r="D74" s="55" t="s">
        <v>24</v>
      </c>
      <c r="E74" s="55" t="s">
        <v>192</v>
      </c>
      <c r="F74" s="55" t="s">
        <v>1149</v>
      </c>
      <c r="G74" s="55" t="s">
        <v>329</v>
      </c>
      <c r="H74" s="55" t="s">
        <v>1013</v>
      </c>
      <c r="I74" s="55"/>
      <c r="J74" s="55" t="s">
        <v>1036</v>
      </c>
      <c r="K74" s="55" t="s">
        <v>1065</v>
      </c>
      <c r="L74" s="55"/>
      <c r="M74" s="55"/>
      <c r="N74" s="59" t="s">
        <v>1045</v>
      </c>
      <c r="O74" s="73"/>
    </row>
    <row r="75" spans="1:15" x14ac:dyDescent="0.2">
      <c r="A75" s="55">
        <v>118</v>
      </c>
      <c r="B75" s="55" t="b">
        <v>1</v>
      </c>
      <c r="C75" s="55" t="b">
        <v>0</v>
      </c>
      <c r="D75" s="55" t="s">
        <v>24</v>
      </c>
      <c r="E75" s="55" t="s">
        <v>192</v>
      </c>
      <c r="F75" s="55" t="s">
        <v>1149</v>
      </c>
      <c r="G75" s="55" t="s">
        <v>330</v>
      </c>
      <c r="H75" s="55" t="s">
        <v>1013</v>
      </c>
      <c r="I75" s="55"/>
      <c r="J75" s="55" t="s">
        <v>1036</v>
      </c>
      <c r="K75" s="55" t="s">
        <v>1044</v>
      </c>
      <c r="L75" s="55"/>
      <c r="M75" s="55"/>
      <c r="N75" s="59" t="s">
        <v>1045</v>
      </c>
      <c r="O75" s="73"/>
    </row>
    <row r="76" spans="1:15" x14ac:dyDescent="0.2">
      <c r="A76" s="55">
        <v>119</v>
      </c>
      <c r="B76" s="55" t="b">
        <v>1</v>
      </c>
      <c r="C76" s="55" t="b">
        <v>0</v>
      </c>
      <c r="D76" s="55" t="s">
        <v>24</v>
      </c>
      <c r="E76" s="55" t="s">
        <v>192</v>
      </c>
      <c r="F76" s="55" t="s">
        <v>1149</v>
      </c>
      <c r="G76" s="55" t="s">
        <v>331</v>
      </c>
      <c r="H76" s="55" t="s">
        <v>1013</v>
      </c>
      <c r="I76" s="55"/>
      <c r="J76" s="55" t="s">
        <v>1036</v>
      </c>
      <c r="K76" s="55" t="s">
        <v>1066</v>
      </c>
      <c r="L76" s="55"/>
      <c r="M76" s="55"/>
      <c r="N76" s="59" t="s">
        <v>1045</v>
      </c>
      <c r="O76" s="73"/>
    </row>
    <row r="77" spans="1:15" x14ac:dyDescent="0.2">
      <c r="A77" s="55">
        <v>120</v>
      </c>
      <c r="B77" s="55" t="b">
        <v>1</v>
      </c>
      <c r="C77" s="55" t="b">
        <v>0</v>
      </c>
      <c r="D77" s="55" t="s">
        <v>24</v>
      </c>
      <c r="E77" s="55" t="s">
        <v>192</v>
      </c>
      <c r="F77" s="55" t="s">
        <v>1149</v>
      </c>
      <c r="G77" s="55" t="s">
        <v>332</v>
      </c>
      <c r="H77" s="55" t="s">
        <v>1013</v>
      </c>
      <c r="I77" s="55"/>
      <c r="J77" s="55" t="s">
        <v>1036</v>
      </c>
      <c r="K77" s="55" t="s">
        <v>1067</v>
      </c>
      <c r="L77" s="55"/>
      <c r="M77" s="55"/>
      <c r="N77" s="59" t="s">
        <v>1045</v>
      </c>
      <c r="O77" s="73"/>
    </row>
    <row r="78" spans="1:15" x14ac:dyDescent="0.2">
      <c r="A78" s="55">
        <v>121</v>
      </c>
      <c r="B78" s="55" t="b">
        <v>1</v>
      </c>
      <c r="C78" s="55" t="b">
        <v>0</v>
      </c>
      <c r="D78" s="55" t="s">
        <v>24</v>
      </c>
      <c r="E78" s="55" t="s">
        <v>192</v>
      </c>
      <c r="F78" s="55" t="s">
        <v>1149</v>
      </c>
      <c r="G78" s="55" t="s">
        <v>333</v>
      </c>
      <c r="H78" s="55" t="s">
        <v>1013</v>
      </c>
      <c r="I78" s="55"/>
      <c r="J78" s="55" t="s">
        <v>1036</v>
      </c>
      <c r="K78" s="55" t="s">
        <v>1068</v>
      </c>
      <c r="L78" s="55"/>
      <c r="M78" s="55"/>
      <c r="N78" s="59" t="s">
        <v>1045</v>
      </c>
      <c r="O78" s="73"/>
    </row>
    <row r="79" spans="1:15" x14ac:dyDescent="0.2">
      <c r="A79" s="55">
        <v>122</v>
      </c>
      <c r="B79" s="55" t="b">
        <v>1</v>
      </c>
      <c r="C79" s="55" t="b">
        <v>0</v>
      </c>
      <c r="D79" s="55" t="s">
        <v>24</v>
      </c>
      <c r="E79" s="55" t="s">
        <v>192</v>
      </c>
      <c r="F79" s="55" t="s">
        <v>1149</v>
      </c>
      <c r="G79" s="55" t="s">
        <v>1152</v>
      </c>
      <c r="H79" s="55" t="s">
        <v>1013</v>
      </c>
      <c r="I79" s="55"/>
      <c r="J79" s="55" t="s">
        <v>1036</v>
      </c>
      <c r="K79" s="55" t="s">
        <v>1288</v>
      </c>
      <c r="L79" s="55"/>
      <c r="M79" s="55"/>
      <c r="N79" s="59" t="s">
        <v>1045</v>
      </c>
      <c r="O79" s="73"/>
    </row>
    <row r="80" spans="1:15" x14ac:dyDescent="0.2">
      <c r="A80" s="55">
        <v>123</v>
      </c>
      <c r="B80" s="55" t="b">
        <v>1</v>
      </c>
      <c r="C80" s="55" t="b">
        <v>0</v>
      </c>
      <c r="D80" s="55" t="s">
        <v>24</v>
      </c>
      <c r="E80" s="55" t="s">
        <v>192</v>
      </c>
      <c r="F80" s="55" t="s">
        <v>1149</v>
      </c>
      <c r="G80" s="55" t="s">
        <v>1153</v>
      </c>
      <c r="H80" s="55" t="s">
        <v>1013</v>
      </c>
      <c r="I80" s="55"/>
      <c r="J80" s="55" t="s">
        <v>1036</v>
      </c>
      <c r="K80" s="55" t="s">
        <v>1289</v>
      </c>
      <c r="L80" s="55"/>
      <c r="M80" s="55"/>
      <c r="N80" s="59" t="s">
        <v>1045</v>
      </c>
      <c r="O80" s="73"/>
    </row>
    <row r="81" spans="1:15" x14ac:dyDescent="0.2">
      <c r="A81" s="55">
        <v>124</v>
      </c>
      <c r="B81" s="55" t="b">
        <v>1</v>
      </c>
      <c r="C81" s="55" t="b">
        <v>0</v>
      </c>
      <c r="D81" s="55" t="s">
        <v>24</v>
      </c>
      <c r="E81" s="55" t="s">
        <v>192</v>
      </c>
      <c r="F81" s="55" t="s">
        <v>1148</v>
      </c>
      <c r="G81" s="55" t="s">
        <v>497</v>
      </c>
      <c r="H81" s="81" t="s">
        <v>1013</v>
      </c>
      <c r="I81" s="81" t="s">
        <v>1113</v>
      </c>
      <c r="J81" s="55"/>
      <c r="K81" s="55"/>
      <c r="L81" s="55"/>
      <c r="M81" s="55"/>
      <c r="N81" s="55"/>
      <c r="O81" s="73"/>
    </row>
    <row r="82" spans="1:15" x14ac:dyDescent="0.2">
      <c r="A82" s="55">
        <v>125</v>
      </c>
      <c r="B82" s="55" t="b">
        <v>1</v>
      </c>
      <c r="C82" s="55" t="b">
        <v>0</v>
      </c>
      <c r="D82" s="55" t="s">
        <v>24</v>
      </c>
      <c r="E82" s="55" t="s">
        <v>192</v>
      </c>
      <c r="F82" s="55" t="s">
        <v>32</v>
      </c>
      <c r="G82" s="55" t="s">
        <v>497</v>
      </c>
      <c r="H82" s="55" t="s">
        <v>1013</v>
      </c>
      <c r="I82" s="55"/>
      <c r="J82" s="55" t="s">
        <v>1014</v>
      </c>
      <c r="K82" s="55" t="s">
        <v>1024</v>
      </c>
      <c r="L82" s="55" t="s">
        <v>1046</v>
      </c>
      <c r="M82" s="55"/>
      <c r="N82" s="59" t="s">
        <v>1034</v>
      </c>
      <c r="O82" s="73"/>
    </row>
    <row r="83" spans="1:15" x14ac:dyDescent="0.2">
      <c r="A83" s="55">
        <v>126</v>
      </c>
      <c r="B83" s="55" t="b">
        <v>1</v>
      </c>
      <c r="C83" s="55" t="b">
        <v>0</v>
      </c>
      <c r="D83" s="55" t="s">
        <v>24</v>
      </c>
      <c r="E83" s="55" t="s">
        <v>192</v>
      </c>
      <c r="F83" s="55" t="s">
        <v>51</v>
      </c>
      <c r="G83" s="55" t="s">
        <v>339</v>
      </c>
      <c r="H83" s="55" t="s">
        <v>1013</v>
      </c>
      <c r="I83" s="55"/>
      <c r="J83" s="55" t="s">
        <v>1036</v>
      </c>
      <c r="K83" s="55" t="s">
        <v>1069</v>
      </c>
      <c r="L83" s="55"/>
      <c r="M83" s="55"/>
      <c r="N83" s="59" t="s">
        <v>1045</v>
      </c>
      <c r="O83" s="73"/>
    </row>
    <row r="84" spans="1:15" x14ac:dyDescent="0.2">
      <c r="A84" s="55">
        <v>127</v>
      </c>
      <c r="B84" s="55" t="b">
        <v>1</v>
      </c>
      <c r="C84" s="55" t="b">
        <v>0</v>
      </c>
      <c r="D84" s="55" t="s">
        <v>24</v>
      </c>
      <c r="E84" s="55" t="s">
        <v>192</v>
      </c>
      <c r="F84" s="55" t="s">
        <v>103</v>
      </c>
      <c r="G84" s="55" t="s">
        <v>497</v>
      </c>
      <c r="H84" s="81" t="s">
        <v>1013</v>
      </c>
      <c r="I84" s="81" t="s">
        <v>1113</v>
      </c>
      <c r="J84" s="55"/>
      <c r="K84" s="55"/>
      <c r="L84" s="55"/>
      <c r="M84" s="55"/>
      <c r="N84" s="55"/>
      <c r="O84" s="73"/>
    </row>
    <row r="85" spans="1:15" x14ac:dyDescent="0.2">
      <c r="A85" s="55">
        <v>128</v>
      </c>
      <c r="B85" s="55" t="b">
        <v>1</v>
      </c>
      <c r="C85" s="55" t="b">
        <v>0</v>
      </c>
      <c r="D85" s="55" t="s">
        <v>24</v>
      </c>
      <c r="E85" s="55" t="s">
        <v>192</v>
      </c>
      <c r="F85" s="55" t="s">
        <v>52</v>
      </c>
      <c r="G85" s="55" t="s">
        <v>497</v>
      </c>
      <c r="H85" s="55" t="s">
        <v>1013</v>
      </c>
      <c r="I85" s="55"/>
      <c r="J85" s="55" t="s">
        <v>1014</v>
      </c>
      <c r="K85" s="55" t="s">
        <v>1035</v>
      </c>
      <c r="L85" s="55" t="s">
        <v>1046</v>
      </c>
      <c r="M85" s="55"/>
      <c r="N85" s="59" t="s">
        <v>1034</v>
      </c>
      <c r="O85" s="73"/>
    </row>
    <row r="86" spans="1:15" x14ac:dyDescent="0.2">
      <c r="A86" s="55">
        <v>129</v>
      </c>
      <c r="B86" s="55" t="b">
        <v>1</v>
      </c>
      <c r="C86" s="55" t="b">
        <v>0</v>
      </c>
      <c r="D86" s="55" t="s">
        <v>24</v>
      </c>
      <c r="E86" s="55" t="s">
        <v>192</v>
      </c>
      <c r="F86" s="55" t="s">
        <v>176</v>
      </c>
      <c r="G86" s="55" t="s">
        <v>497</v>
      </c>
      <c r="H86" s="81" t="s">
        <v>1013</v>
      </c>
      <c r="I86" s="81" t="s">
        <v>1113</v>
      </c>
      <c r="J86" s="55"/>
      <c r="K86" s="55"/>
      <c r="L86" s="55"/>
      <c r="M86" s="55"/>
      <c r="N86" s="55"/>
      <c r="O86" s="73"/>
    </row>
    <row r="87" spans="1:15" x14ac:dyDescent="0.2">
      <c r="A87" s="55">
        <v>130</v>
      </c>
      <c r="B87" s="55" t="b">
        <v>1</v>
      </c>
      <c r="C87" s="55" t="b">
        <v>0</v>
      </c>
      <c r="D87" s="55" t="s">
        <v>24</v>
      </c>
      <c r="E87" s="55" t="s">
        <v>192</v>
      </c>
      <c r="F87" s="55" t="s">
        <v>106</v>
      </c>
      <c r="G87" s="55" t="s">
        <v>311</v>
      </c>
      <c r="H87" s="81" t="s">
        <v>1013</v>
      </c>
      <c r="I87" s="81" t="s">
        <v>1113</v>
      </c>
      <c r="J87" s="55"/>
      <c r="K87" s="55"/>
      <c r="L87" s="55"/>
      <c r="M87" s="55"/>
      <c r="N87" s="55"/>
      <c r="O87" s="73"/>
    </row>
    <row r="88" spans="1:15" x14ac:dyDescent="0.2">
      <c r="A88" s="55">
        <v>131</v>
      </c>
      <c r="B88" s="55" t="b">
        <v>1</v>
      </c>
      <c r="C88" s="55" t="b">
        <v>0</v>
      </c>
      <c r="D88" s="55" t="s">
        <v>24</v>
      </c>
      <c r="E88" s="55" t="s">
        <v>192</v>
      </c>
      <c r="F88" s="55" t="s">
        <v>106</v>
      </c>
      <c r="G88" s="55" t="s">
        <v>312</v>
      </c>
      <c r="H88" s="81" t="s">
        <v>1013</v>
      </c>
      <c r="I88" s="81" t="s">
        <v>1113</v>
      </c>
      <c r="J88" s="55"/>
      <c r="K88" s="55"/>
      <c r="L88" s="55"/>
      <c r="M88" s="55"/>
      <c r="N88" s="55"/>
      <c r="O88" s="73"/>
    </row>
    <row r="89" spans="1:15" x14ac:dyDescent="0.2">
      <c r="A89" s="55">
        <v>132</v>
      </c>
      <c r="B89" s="55" t="b">
        <v>1</v>
      </c>
      <c r="C89" s="55" t="b">
        <v>0</v>
      </c>
      <c r="D89" s="55" t="s">
        <v>24</v>
      </c>
      <c r="E89" s="55" t="s">
        <v>192</v>
      </c>
      <c r="F89" s="55" t="s">
        <v>106</v>
      </c>
      <c r="G89" s="55" t="s">
        <v>313</v>
      </c>
      <c r="H89" s="81" t="s">
        <v>1013</v>
      </c>
      <c r="I89" s="81" t="s">
        <v>1113</v>
      </c>
      <c r="J89" s="55"/>
      <c r="K89" s="55"/>
      <c r="L89" s="55"/>
      <c r="M89" s="55"/>
      <c r="N89" s="55"/>
      <c r="O89" s="73"/>
    </row>
    <row r="90" spans="1:15" x14ac:dyDescent="0.2">
      <c r="A90" s="55">
        <v>133</v>
      </c>
      <c r="B90" s="55" t="b">
        <v>1</v>
      </c>
      <c r="C90" s="55" t="b">
        <v>0</v>
      </c>
      <c r="D90" s="55" t="s">
        <v>24</v>
      </c>
      <c r="E90" s="55" t="s">
        <v>192</v>
      </c>
      <c r="F90" s="55" t="s">
        <v>33</v>
      </c>
      <c r="G90" s="55" t="s">
        <v>497</v>
      </c>
      <c r="H90" s="55" t="s">
        <v>1013</v>
      </c>
      <c r="I90" s="55"/>
      <c r="J90" s="55" t="s">
        <v>1014</v>
      </c>
      <c r="K90" s="55" t="s">
        <v>1025</v>
      </c>
      <c r="L90" s="55" t="s">
        <v>1046</v>
      </c>
      <c r="M90" s="55"/>
      <c r="N90" s="59" t="s">
        <v>1034</v>
      </c>
      <c r="O90" s="73"/>
    </row>
    <row r="91" spans="1:15" x14ac:dyDescent="0.2">
      <c r="A91" s="55">
        <v>134</v>
      </c>
      <c r="B91" s="55" t="b">
        <v>1</v>
      </c>
      <c r="C91" s="55" t="b">
        <v>0</v>
      </c>
      <c r="D91" s="55" t="s">
        <v>24</v>
      </c>
      <c r="E91" s="55" t="s">
        <v>192</v>
      </c>
      <c r="F91" s="55" t="s">
        <v>53</v>
      </c>
      <c r="G91" s="55" t="s">
        <v>322</v>
      </c>
      <c r="H91" s="55" t="s">
        <v>1013</v>
      </c>
      <c r="I91" s="55"/>
      <c r="J91" s="55" t="s">
        <v>1036</v>
      </c>
      <c r="K91" s="55" t="s">
        <v>1047</v>
      </c>
      <c r="L91" s="55"/>
      <c r="M91" s="55"/>
      <c r="N91" s="59" t="s">
        <v>1045</v>
      </c>
      <c r="O91" s="73"/>
    </row>
    <row r="92" spans="1:15" x14ac:dyDescent="0.2">
      <c r="A92" s="55">
        <v>135</v>
      </c>
      <c r="B92" s="55" t="b">
        <v>1</v>
      </c>
      <c r="C92" s="55" t="b">
        <v>0</v>
      </c>
      <c r="D92" s="55" t="s">
        <v>24</v>
      </c>
      <c r="E92" s="55" t="s">
        <v>192</v>
      </c>
      <c r="F92" s="55" t="s">
        <v>53</v>
      </c>
      <c r="G92" s="55" t="s">
        <v>1221</v>
      </c>
      <c r="H92" s="55" t="s">
        <v>1013</v>
      </c>
      <c r="I92" s="55"/>
      <c r="J92" s="55" t="s">
        <v>1036</v>
      </c>
      <c r="K92" s="55" t="s">
        <v>1290</v>
      </c>
      <c r="L92" s="55"/>
      <c r="M92" s="55"/>
      <c r="N92" s="59" t="s">
        <v>1045</v>
      </c>
      <c r="O92" s="73"/>
    </row>
    <row r="93" spans="1:15" x14ac:dyDescent="0.2">
      <c r="A93" s="55">
        <v>136</v>
      </c>
      <c r="B93" s="55" t="b">
        <v>1</v>
      </c>
      <c r="C93" s="55" t="b">
        <v>0</v>
      </c>
      <c r="D93" s="55" t="s">
        <v>24</v>
      </c>
      <c r="E93" s="55" t="s">
        <v>192</v>
      </c>
      <c r="F93" s="55" t="s">
        <v>53</v>
      </c>
      <c r="G93" s="55" t="s">
        <v>323</v>
      </c>
      <c r="H93" s="55" t="s">
        <v>1013</v>
      </c>
      <c r="I93" s="55"/>
      <c r="J93" s="55" t="s">
        <v>1036</v>
      </c>
      <c r="K93" s="55" t="s">
        <v>1070</v>
      </c>
      <c r="L93" s="55"/>
      <c r="M93" s="55"/>
      <c r="N93" s="59" t="s">
        <v>1045</v>
      </c>
      <c r="O93" s="73"/>
    </row>
    <row r="94" spans="1:15" x14ac:dyDescent="0.2">
      <c r="A94" s="55">
        <v>137</v>
      </c>
      <c r="B94" s="55" t="b">
        <v>1</v>
      </c>
      <c r="C94" s="55" t="b">
        <v>0</v>
      </c>
      <c r="D94" s="55" t="s">
        <v>24</v>
      </c>
      <c r="E94" s="55" t="s">
        <v>192</v>
      </c>
      <c r="F94" s="55" t="s">
        <v>53</v>
      </c>
      <c r="G94" s="55" t="s">
        <v>324</v>
      </c>
      <c r="H94" s="55" t="s">
        <v>1013</v>
      </c>
      <c r="I94" s="55"/>
      <c r="J94" s="55" t="s">
        <v>1036</v>
      </c>
      <c r="K94" s="55" t="s">
        <v>1071</v>
      </c>
      <c r="L94" s="55"/>
      <c r="M94" s="55"/>
      <c r="N94" s="59" t="s">
        <v>1045</v>
      </c>
      <c r="O94" s="73"/>
    </row>
    <row r="95" spans="1:15" x14ac:dyDescent="0.2">
      <c r="A95" s="55">
        <v>138</v>
      </c>
      <c r="B95" s="55" t="b">
        <v>1</v>
      </c>
      <c r="C95" s="55" t="b">
        <v>0</v>
      </c>
      <c r="D95" s="55" t="s">
        <v>24</v>
      </c>
      <c r="E95" s="55" t="s">
        <v>192</v>
      </c>
      <c r="F95" s="55" t="s">
        <v>53</v>
      </c>
      <c r="G95" s="55" t="s">
        <v>325</v>
      </c>
      <c r="H95" s="55" t="s">
        <v>1013</v>
      </c>
      <c r="I95" s="55"/>
      <c r="J95" s="55" t="s">
        <v>1036</v>
      </c>
      <c r="K95" s="55" t="s">
        <v>1072</v>
      </c>
      <c r="L95" s="55"/>
      <c r="M95" s="55"/>
      <c r="N95" s="59" t="s">
        <v>1045</v>
      </c>
      <c r="O95" s="73"/>
    </row>
    <row r="96" spans="1:15" x14ac:dyDescent="0.2">
      <c r="A96" s="55">
        <v>139</v>
      </c>
      <c r="B96" s="55" t="b">
        <v>1</v>
      </c>
      <c r="C96" s="55" t="b">
        <v>0</v>
      </c>
      <c r="D96" s="55" t="s">
        <v>24</v>
      </c>
      <c r="E96" s="55" t="s">
        <v>192</v>
      </c>
      <c r="F96" s="55" t="s">
        <v>182</v>
      </c>
      <c r="G96" s="55" t="s">
        <v>497</v>
      </c>
      <c r="H96" s="81" t="s">
        <v>1013</v>
      </c>
      <c r="I96" s="81" t="s">
        <v>1113</v>
      </c>
      <c r="J96" s="55"/>
      <c r="K96" s="55"/>
      <c r="L96" s="55"/>
      <c r="M96" s="55"/>
      <c r="N96" s="55"/>
      <c r="O96" s="73"/>
    </row>
    <row r="97" spans="1:15" x14ac:dyDescent="0.2">
      <c r="A97" s="55">
        <v>140</v>
      </c>
      <c r="B97" s="55" t="b">
        <v>1</v>
      </c>
      <c r="C97" s="55" t="b">
        <v>0</v>
      </c>
      <c r="D97" s="55" t="s">
        <v>24</v>
      </c>
      <c r="E97" s="55" t="s">
        <v>192</v>
      </c>
      <c r="F97" s="55" t="s">
        <v>156</v>
      </c>
      <c r="G97" s="55" t="s">
        <v>314</v>
      </c>
      <c r="H97" s="81" t="s">
        <v>1013</v>
      </c>
      <c r="I97" s="81" t="s">
        <v>1113</v>
      </c>
      <c r="J97" s="55"/>
      <c r="K97" s="55"/>
      <c r="L97" s="55"/>
      <c r="M97" s="55"/>
      <c r="N97" s="55"/>
      <c r="O97" s="73"/>
    </row>
    <row r="98" spans="1:15" x14ac:dyDescent="0.2">
      <c r="A98" s="55">
        <v>141</v>
      </c>
      <c r="B98" s="55" t="b">
        <v>1</v>
      </c>
      <c r="C98" s="55" t="b">
        <v>0</v>
      </c>
      <c r="D98" s="55" t="s">
        <v>24</v>
      </c>
      <c r="E98" s="55" t="s">
        <v>192</v>
      </c>
      <c r="F98" s="55" t="s">
        <v>156</v>
      </c>
      <c r="G98" s="55" t="s">
        <v>315</v>
      </c>
      <c r="H98" s="81" t="s">
        <v>1013</v>
      </c>
      <c r="I98" s="81" t="s">
        <v>1113</v>
      </c>
      <c r="J98" s="55"/>
      <c r="K98" s="55"/>
      <c r="L98" s="55"/>
      <c r="M98" s="55"/>
      <c r="N98" s="55"/>
      <c r="O98" s="73"/>
    </row>
    <row r="99" spans="1:15" x14ac:dyDescent="0.2">
      <c r="A99" s="55">
        <v>142</v>
      </c>
      <c r="B99" s="55" t="b">
        <v>1</v>
      </c>
      <c r="C99" s="55" t="b">
        <v>0</v>
      </c>
      <c r="D99" s="55" t="s">
        <v>24</v>
      </c>
      <c r="E99" s="55" t="s">
        <v>192</v>
      </c>
      <c r="F99" s="55" t="s">
        <v>156</v>
      </c>
      <c r="G99" s="55" t="s">
        <v>316</v>
      </c>
      <c r="H99" s="81" t="s">
        <v>1013</v>
      </c>
      <c r="I99" s="81" t="s">
        <v>1113</v>
      </c>
      <c r="J99" s="55"/>
      <c r="K99" s="55"/>
      <c r="L99" s="55"/>
      <c r="M99" s="55"/>
      <c r="N99" s="55"/>
      <c r="O99" s="73"/>
    </row>
    <row r="100" spans="1:15" x14ac:dyDescent="0.2">
      <c r="A100" s="55">
        <v>143</v>
      </c>
      <c r="B100" s="55" t="b">
        <v>1</v>
      </c>
      <c r="C100" s="55" t="b">
        <v>0</v>
      </c>
      <c r="D100" s="55" t="s">
        <v>24</v>
      </c>
      <c r="E100" s="55" t="s">
        <v>192</v>
      </c>
      <c r="F100" s="55" t="s">
        <v>156</v>
      </c>
      <c r="G100" s="55" t="s">
        <v>317</v>
      </c>
      <c r="H100" s="81" t="s">
        <v>1013</v>
      </c>
      <c r="I100" s="81" t="s">
        <v>1113</v>
      </c>
      <c r="J100" s="55"/>
      <c r="K100" s="55"/>
      <c r="L100" s="55"/>
      <c r="M100" s="55"/>
      <c r="N100" s="55"/>
      <c r="O100" s="73"/>
    </row>
    <row r="101" spans="1:15" x14ac:dyDescent="0.2">
      <c r="A101" s="55">
        <v>144</v>
      </c>
      <c r="B101" s="55" t="b">
        <v>1</v>
      </c>
      <c r="C101" s="55" t="b">
        <v>0</v>
      </c>
      <c r="D101" s="55" t="s">
        <v>24</v>
      </c>
      <c r="E101" s="55" t="s">
        <v>192</v>
      </c>
      <c r="F101" s="55" t="s">
        <v>156</v>
      </c>
      <c r="G101" s="55" t="s">
        <v>318</v>
      </c>
      <c r="H101" s="81" t="s">
        <v>1013</v>
      </c>
      <c r="I101" s="81" t="s">
        <v>1113</v>
      </c>
      <c r="J101" s="55"/>
      <c r="K101" s="55"/>
      <c r="L101" s="55"/>
      <c r="M101" s="55"/>
      <c r="N101" s="55"/>
      <c r="O101" s="73"/>
    </row>
    <row r="102" spans="1:15" x14ac:dyDescent="0.2">
      <c r="A102" s="55">
        <v>145</v>
      </c>
      <c r="B102" s="55" t="b">
        <v>1</v>
      </c>
      <c r="C102" s="55" t="b">
        <v>0</v>
      </c>
      <c r="D102" s="55" t="s">
        <v>24</v>
      </c>
      <c r="E102" s="55" t="s">
        <v>192</v>
      </c>
      <c r="F102" s="55" t="s">
        <v>156</v>
      </c>
      <c r="G102" s="55" t="s">
        <v>319</v>
      </c>
      <c r="H102" s="81" t="s">
        <v>1013</v>
      </c>
      <c r="I102" s="81" t="s">
        <v>1113</v>
      </c>
      <c r="J102" s="55"/>
      <c r="K102" s="55"/>
      <c r="L102" s="55"/>
      <c r="M102" s="55"/>
      <c r="N102" s="55"/>
      <c r="O102" s="73"/>
    </row>
    <row r="103" spans="1:15" x14ac:dyDescent="0.2">
      <c r="A103" s="55">
        <v>146</v>
      </c>
      <c r="B103" s="55" t="b">
        <v>1</v>
      </c>
      <c r="C103" s="55" t="b">
        <v>0</v>
      </c>
      <c r="D103" s="55" t="s">
        <v>24</v>
      </c>
      <c r="E103" s="55" t="s">
        <v>192</v>
      </c>
      <c r="F103" s="55" t="s">
        <v>156</v>
      </c>
      <c r="G103" s="55" t="s">
        <v>320</v>
      </c>
      <c r="H103" s="81" t="s">
        <v>1013</v>
      </c>
      <c r="I103" s="81" t="s">
        <v>1113</v>
      </c>
      <c r="J103" s="55"/>
      <c r="K103" s="55"/>
      <c r="L103" s="55"/>
      <c r="M103" s="55"/>
      <c r="N103" s="55"/>
      <c r="O103" s="73"/>
    </row>
    <row r="104" spans="1:15" x14ac:dyDescent="0.2">
      <c r="A104" s="55">
        <v>147</v>
      </c>
      <c r="B104" s="55" t="b">
        <v>1</v>
      </c>
      <c r="C104" s="55" t="b">
        <v>0</v>
      </c>
      <c r="D104" s="55" t="s">
        <v>24</v>
      </c>
      <c r="E104" s="55" t="s">
        <v>192</v>
      </c>
      <c r="F104" s="55" t="s">
        <v>156</v>
      </c>
      <c r="G104" s="55" t="s">
        <v>321</v>
      </c>
      <c r="H104" s="81" t="s">
        <v>1013</v>
      </c>
      <c r="I104" s="81" t="s">
        <v>1113</v>
      </c>
      <c r="J104" s="55"/>
      <c r="K104" s="55"/>
      <c r="L104" s="55"/>
      <c r="M104" s="55"/>
      <c r="N104" s="55"/>
      <c r="O104" s="73"/>
    </row>
    <row r="105" spans="1:15" x14ac:dyDescent="0.2">
      <c r="A105" s="55">
        <v>148</v>
      </c>
      <c r="B105" s="55" t="b">
        <v>1</v>
      </c>
      <c r="C105" s="55" t="b">
        <v>0</v>
      </c>
      <c r="D105" s="55" t="s">
        <v>24</v>
      </c>
      <c r="E105" s="55" t="s">
        <v>192</v>
      </c>
      <c r="F105" s="55" t="s">
        <v>34</v>
      </c>
      <c r="G105" s="55" t="s">
        <v>497</v>
      </c>
      <c r="H105" s="55" t="s">
        <v>1013</v>
      </c>
      <c r="I105" s="55"/>
      <c r="J105" s="55" t="s">
        <v>1014</v>
      </c>
      <c r="K105" s="55" t="s">
        <v>1026</v>
      </c>
      <c r="L105" s="55" t="s">
        <v>1046</v>
      </c>
      <c r="M105" s="55"/>
      <c r="N105" s="59" t="s">
        <v>1034</v>
      </c>
      <c r="O105" s="73"/>
    </row>
    <row r="106" spans="1:15" x14ac:dyDescent="0.2">
      <c r="A106" s="55">
        <v>149</v>
      </c>
      <c r="B106" s="55" t="b">
        <v>1</v>
      </c>
      <c r="C106" s="55" t="b">
        <v>0</v>
      </c>
      <c r="D106" s="55" t="s">
        <v>24</v>
      </c>
      <c r="E106" s="55" t="s">
        <v>192</v>
      </c>
      <c r="F106" s="55" t="s">
        <v>54</v>
      </c>
      <c r="G106" s="55" t="s">
        <v>354</v>
      </c>
      <c r="H106" s="55" t="s">
        <v>1013</v>
      </c>
      <c r="I106" s="55"/>
      <c r="J106" s="55" t="s">
        <v>1036</v>
      </c>
      <c r="K106" s="55" t="s">
        <v>1073</v>
      </c>
      <c r="L106" s="55"/>
      <c r="M106" s="55"/>
      <c r="N106" s="59" t="s">
        <v>1045</v>
      </c>
      <c r="O106" s="73"/>
    </row>
    <row r="107" spans="1:15" x14ac:dyDescent="0.2">
      <c r="A107" s="55">
        <v>150</v>
      </c>
      <c r="B107" s="55" t="b">
        <v>1</v>
      </c>
      <c r="C107" s="55" t="b">
        <v>0</v>
      </c>
      <c r="D107" s="55" t="s">
        <v>24</v>
      </c>
      <c r="E107" s="55" t="s">
        <v>192</v>
      </c>
      <c r="F107" s="55" t="s">
        <v>54</v>
      </c>
      <c r="G107" s="55" t="s">
        <v>355</v>
      </c>
      <c r="H107" s="55" t="s">
        <v>1013</v>
      </c>
      <c r="I107" s="55"/>
      <c r="J107" s="55" t="s">
        <v>1036</v>
      </c>
      <c r="K107" s="55" t="s">
        <v>1074</v>
      </c>
      <c r="L107" s="55"/>
      <c r="M107" s="55"/>
      <c r="N107" s="59" t="s">
        <v>1045</v>
      </c>
      <c r="O107" s="73"/>
    </row>
    <row r="108" spans="1:15" x14ac:dyDescent="0.2">
      <c r="A108" s="55">
        <v>151</v>
      </c>
      <c r="B108" s="55" t="b">
        <v>1</v>
      </c>
      <c r="C108" s="55" t="b">
        <v>0</v>
      </c>
      <c r="D108" s="55" t="s">
        <v>24</v>
      </c>
      <c r="E108" s="55" t="s">
        <v>192</v>
      </c>
      <c r="F108" s="55" t="s">
        <v>54</v>
      </c>
      <c r="G108" s="55" t="s">
        <v>356</v>
      </c>
      <c r="H108" s="55" t="s">
        <v>1013</v>
      </c>
      <c r="I108" s="55"/>
      <c r="J108" s="55" t="s">
        <v>1036</v>
      </c>
      <c r="K108" s="55" t="s">
        <v>1075</v>
      </c>
      <c r="L108" s="55"/>
      <c r="M108" s="55"/>
      <c r="N108" s="59" t="s">
        <v>1045</v>
      </c>
      <c r="O108" s="73"/>
    </row>
    <row r="109" spans="1:15" x14ac:dyDescent="0.2">
      <c r="A109" s="55">
        <v>152</v>
      </c>
      <c r="B109" s="55" t="b">
        <v>1</v>
      </c>
      <c r="C109" s="55" t="b">
        <v>0</v>
      </c>
      <c r="D109" s="55" t="s">
        <v>24</v>
      </c>
      <c r="E109" s="55" t="s">
        <v>192</v>
      </c>
      <c r="F109" s="55" t="s">
        <v>54</v>
      </c>
      <c r="G109" s="55" t="s">
        <v>1222</v>
      </c>
      <c r="H109" s="55" t="s">
        <v>1013</v>
      </c>
      <c r="I109" s="55"/>
      <c r="J109" s="55" t="s">
        <v>1036</v>
      </c>
      <c r="K109" s="55" t="s">
        <v>1372</v>
      </c>
      <c r="L109" s="55"/>
      <c r="M109" s="55"/>
      <c r="N109" s="59" t="s">
        <v>1045</v>
      </c>
      <c r="O109" s="73"/>
    </row>
    <row r="110" spans="1:15" x14ac:dyDescent="0.2">
      <c r="A110" s="55">
        <v>153</v>
      </c>
      <c r="B110" s="55" t="b">
        <v>1</v>
      </c>
      <c r="C110" s="55" t="b">
        <v>0</v>
      </c>
      <c r="D110" s="55" t="s">
        <v>24</v>
      </c>
      <c r="E110" s="55" t="s">
        <v>192</v>
      </c>
      <c r="F110" s="55" t="s">
        <v>54</v>
      </c>
      <c r="G110" s="55" t="s">
        <v>341</v>
      </c>
      <c r="H110" s="55" t="s">
        <v>1013</v>
      </c>
      <c r="I110" s="55"/>
      <c r="J110" s="55" t="s">
        <v>1036</v>
      </c>
      <c r="K110" s="55" t="s">
        <v>1076</v>
      </c>
      <c r="L110" s="55"/>
      <c r="M110" s="55"/>
      <c r="N110" s="59" t="s">
        <v>1045</v>
      </c>
      <c r="O110" s="73"/>
    </row>
    <row r="111" spans="1:15" x14ac:dyDescent="0.2">
      <c r="A111" s="55">
        <v>154</v>
      </c>
      <c r="B111" s="55" t="b">
        <v>1</v>
      </c>
      <c r="C111" s="55" t="b">
        <v>0</v>
      </c>
      <c r="D111" s="55" t="s">
        <v>24</v>
      </c>
      <c r="E111" s="55" t="s">
        <v>192</v>
      </c>
      <c r="F111" s="55" t="s">
        <v>118</v>
      </c>
      <c r="G111" s="55" t="s">
        <v>497</v>
      </c>
      <c r="H111" s="81" t="s">
        <v>1013</v>
      </c>
      <c r="I111" s="81" t="s">
        <v>1113</v>
      </c>
      <c r="J111" s="55"/>
      <c r="K111" s="55"/>
      <c r="L111" s="55"/>
      <c r="M111" s="55"/>
      <c r="N111" s="55"/>
      <c r="O111" s="73"/>
    </row>
    <row r="112" spans="1:15" x14ac:dyDescent="0.2">
      <c r="A112" s="55">
        <v>155</v>
      </c>
      <c r="B112" s="55" t="b">
        <v>1</v>
      </c>
      <c r="C112" s="55" t="b">
        <v>0</v>
      </c>
      <c r="D112" s="55" t="s">
        <v>24</v>
      </c>
      <c r="E112" s="55" t="s">
        <v>192</v>
      </c>
      <c r="F112" s="55" t="s">
        <v>56</v>
      </c>
      <c r="G112" s="55" t="s">
        <v>326</v>
      </c>
      <c r="H112" s="55" t="s">
        <v>1013</v>
      </c>
      <c r="I112" s="55"/>
      <c r="J112" s="55" t="s">
        <v>1036</v>
      </c>
      <c r="K112" s="55" t="s">
        <v>1052</v>
      </c>
      <c r="L112" s="55"/>
      <c r="M112" s="55"/>
      <c r="N112" s="59" t="s">
        <v>1045</v>
      </c>
      <c r="O112" s="73"/>
    </row>
    <row r="113" spans="1:15" x14ac:dyDescent="0.2">
      <c r="A113" s="55">
        <v>156</v>
      </c>
      <c r="B113" s="55" t="b">
        <v>1</v>
      </c>
      <c r="C113" s="55" t="b">
        <v>0</v>
      </c>
      <c r="D113" s="55" t="s">
        <v>24</v>
      </c>
      <c r="E113" s="55" t="s">
        <v>192</v>
      </c>
      <c r="F113" s="55" t="s">
        <v>56</v>
      </c>
      <c r="G113" s="55" t="s">
        <v>327</v>
      </c>
      <c r="H113" s="55" t="s">
        <v>1013</v>
      </c>
      <c r="I113" s="55"/>
      <c r="J113" s="55" t="s">
        <v>1036</v>
      </c>
      <c r="K113" s="55" t="s">
        <v>1037</v>
      </c>
      <c r="L113" s="55"/>
      <c r="M113" s="55"/>
      <c r="N113" s="59" t="s">
        <v>1045</v>
      </c>
      <c r="O113" s="73"/>
    </row>
    <row r="114" spans="1:15" x14ac:dyDescent="0.2">
      <c r="A114" s="55">
        <v>157</v>
      </c>
      <c r="B114" s="55" t="b">
        <v>1</v>
      </c>
      <c r="C114" s="55" t="b">
        <v>0</v>
      </c>
      <c r="D114" s="55" t="s">
        <v>24</v>
      </c>
      <c r="E114" s="55" t="s">
        <v>192</v>
      </c>
      <c r="F114" s="55" t="s">
        <v>57</v>
      </c>
      <c r="G114" s="55" t="s">
        <v>326</v>
      </c>
      <c r="H114" s="55" t="s">
        <v>1013</v>
      </c>
      <c r="I114" s="55"/>
      <c r="J114" s="55" t="s">
        <v>1036</v>
      </c>
      <c r="K114" s="55" t="s">
        <v>1052</v>
      </c>
      <c r="L114" s="55"/>
      <c r="M114" s="55"/>
      <c r="N114" s="59" t="s">
        <v>1045</v>
      </c>
      <c r="O114" s="73"/>
    </row>
    <row r="115" spans="1:15" x14ac:dyDescent="0.2">
      <c r="A115" s="55">
        <v>158</v>
      </c>
      <c r="B115" s="55" t="b">
        <v>1</v>
      </c>
      <c r="C115" s="55" t="b">
        <v>0</v>
      </c>
      <c r="D115" s="55" t="s">
        <v>24</v>
      </c>
      <c r="E115" s="55" t="s">
        <v>192</v>
      </c>
      <c r="F115" s="55" t="s">
        <v>57</v>
      </c>
      <c r="G115" s="55" t="s">
        <v>327</v>
      </c>
      <c r="H115" s="55" t="s">
        <v>1013</v>
      </c>
      <c r="I115" s="55"/>
      <c r="J115" s="55" t="s">
        <v>1036</v>
      </c>
      <c r="K115" s="55" t="s">
        <v>1037</v>
      </c>
      <c r="L115" s="55"/>
      <c r="M115" s="55"/>
      <c r="N115" s="59" t="s">
        <v>1045</v>
      </c>
      <c r="O115" s="73"/>
    </row>
    <row r="116" spans="1:15" x14ac:dyDescent="0.2">
      <c r="A116" s="55">
        <v>159</v>
      </c>
      <c r="B116" s="55" t="b">
        <v>1</v>
      </c>
      <c r="C116" s="55" t="b">
        <v>0</v>
      </c>
      <c r="D116" s="55" t="s">
        <v>24</v>
      </c>
      <c r="E116" s="55" t="s">
        <v>192</v>
      </c>
      <c r="F116" s="55" t="s">
        <v>180</v>
      </c>
      <c r="G116" s="55" t="s">
        <v>497</v>
      </c>
      <c r="H116" s="81" t="s">
        <v>1013</v>
      </c>
      <c r="I116" s="81" t="s">
        <v>1113</v>
      </c>
      <c r="J116" s="55"/>
      <c r="K116" s="55"/>
      <c r="L116" s="55"/>
      <c r="M116" s="55"/>
      <c r="N116" s="55"/>
      <c r="O116" s="73"/>
    </row>
    <row r="117" spans="1:15" x14ac:dyDescent="0.2">
      <c r="A117" s="55">
        <v>160</v>
      </c>
      <c r="B117" s="55" t="b">
        <v>1</v>
      </c>
      <c r="C117" s="55" t="b">
        <v>0</v>
      </c>
      <c r="D117" s="55" t="s">
        <v>24</v>
      </c>
      <c r="E117" s="55" t="s">
        <v>192</v>
      </c>
      <c r="F117" s="55" t="s">
        <v>177</v>
      </c>
      <c r="G117" s="55" t="s">
        <v>497</v>
      </c>
      <c r="H117" s="81" t="s">
        <v>1013</v>
      </c>
      <c r="I117" s="81" t="s">
        <v>1113</v>
      </c>
      <c r="J117" s="55"/>
      <c r="K117" s="55"/>
      <c r="L117" s="55"/>
      <c r="M117" s="55"/>
      <c r="N117" s="55"/>
      <c r="O117" s="73"/>
    </row>
    <row r="118" spans="1:15" x14ac:dyDescent="0.2">
      <c r="A118" s="55">
        <v>161</v>
      </c>
      <c r="B118" s="55" t="b">
        <v>1</v>
      </c>
      <c r="C118" s="55" t="b">
        <v>0</v>
      </c>
      <c r="D118" s="55" t="s">
        <v>24</v>
      </c>
      <c r="E118" s="55" t="s">
        <v>192</v>
      </c>
      <c r="F118" s="55" t="s">
        <v>183</v>
      </c>
      <c r="G118" s="55" t="s">
        <v>314</v>
      </c>
      <c r="H118" s="81" t="s">
        <v>1013</v>
      </c>
      <c r="I118" s="81" t="s">
        <v>1113</v>
      </c>
      <c r="J118" s="55"/>
      <c r="K118" s="55"/>
      <c r="L118" s="55"/>
      <c r="M118" s="55"/>
      <c r="N118" s="55"/>
      <c r="O118" s="73"/>
    </row>
    <row r="119" spans="1:15" x14ac:dyDescent="0.2">
      <c r="A119" s="55">
        <v>162</v>
      </c>
      <c r="B119" s="55" t="b">
        <v>1</v>
      </c>
      <c r="C119" s="55" t="b">
        <v>0</v>
      </c>
      <c r="D119" s="55" t="s">
        <v>24</v>
      </c>
      <c r="E119" s="55" t="s">
        <v>192</v>
      </c>
      <c r="F119" s="55" t="s">
        <v>183</v>
      </c>
      <c r="G119" s="55" t="s">
        <v>315</v>
      </c>
      <c r="H119" s="81" t="s">
        <v>1013</v>
      </c>
      <c r="I119" s="81" t="s">
        <v>1113</v>
      </c>
      <c r="J119" s="55"/>
      <c r="K119" s="55"/>
      <c r="L119" s="55"/>
      <c r="M119" s="55"/>
      <c r="N119" s="55"/>
      <c r="O119" s="73"/>
    </row>
    <row r="120" spans="1:15" x14ac:dyDescent="0.2">
      <c r="A120" s="55">
        <v>163</v>
      </c>
      <c r="B120" s="55" t="b">
        <v>1</v>
      </c>
      <c r="C120" s="55" t="b">
        <v>0</v>
      </c>
      <c r="D120" s="55" t="s">
        <v>24</v>
      </c>
      <c r="E120" s="55" t="s">
        <v>192</v>
      </c>
      <c r="F120" s="55" t="s">
        <v>183</v>
      </c>
      <c r="G120" s="55" t="s">
        <v>316</v>
      </c>
      <c r="H120" s="81" t="s">
        <v>1013</v>
      </c>
      <c r="I120" s="81" t="s">
        <v>1113</v>
      </c>
      <c r="J120" s="55"/>
      <c r="K120" s="55"/>
      <c r="L120" s="55"/>
      <c r="M120" s="55"/>
      <c r="N120" s="55"/>
      <c r="O120" s="73"/>
    </row>
    <row r="121" spans="1:15" x14ac:dyDescent="0.2">
      <c r="A121" s="55">
        <v>164</v>
      </c>
      <c r="B121" s="55" t="b">
        <v>1</v>
      </c>
      <c r="C121" s="55" t="b">
        <v>0</v>
      </c>
      <c r="D121" s="55" t="s">
        <v>24</v>
      </c>
      <c r="E121" s="55" t="s">
        <v>192</v>
      </c>
      <c r="F121" s="55" t="s">
        <v>183</v>
      </c>
      <c r="G121" s="55" t="s">
        <v>317</v>
      </c>
      <c r="H121" s="81" t="s">
        <v>1013</v>
      </c>
      <c r="I121" s="81" t="s">
        <v>1113</v>
      </c>
      <c r="J121" s="55"/>
      <c r="K121" s="55"/>
      <c r="L121" s="55"/>
      <c r="M121" s="55"/>
      <c r="N121" s="55"/>
      <c r="O121" s="73"/>
    </row>
    <row r="122" spans="1:15" x14ac:dyDescent="0.2">
      <c r="A122" s="55">
        <v>165</v>
      </c>
      <c r="B122" s="55" t="b">
        <v>1</v>
      </c>
      <c r="C122" s="55" t="b">
        <v>0</v>
      </c>
      <c r="D122" s="55" t="s">
        <v>24</v>
      </c>
      <c r="E122" s="55" t="s">
        <v>192</v>
      </c>
      <c r="F122" s="55" t="s">
        <v>183</v>
      </c>
      <c r="G122" s="55" t="s">
        <v>318</v>
      </c>
      <c r="H122" s="81" t="s">
        <v>1013</v>
      </c>
      <c r="I122" s="81" t="s">
        <v>1113</v>
      </c>
      <c r="J122" s="55"/>
      <c r="K122" s="55"/>
      <c r="L122" s="55"/>
      <c r="M122" s="55"/>
      <c r="N122" s="55"/>
      <c r="O122" s="73"/>
    </row>
    <row r="123" spans="1:15" x14ac:dyDescent="0.2">
      <c r="A123" s="55">
        <v>166</v>
      </c>
      <c r="B123" s="55" t="b">
        <v>1</v>
      </c>
      <c r="C123" s="55" t="b">
        <v>0</v>
      </c>
      <c r="D123" s="55" t="s">
        <v>24</v>
      </c>
      <c r="E123" s="55" t="s">
        <v>192</v>
      </c>
      <c r="F123" s="55" t="s">
        <v>183</v>
      </c>
      <c r="G123" s="55" t="s">
        <v>319</v>
      </c>
      <c r="H123" s="81" t="s">
        <v>1013</v>
      </c>
      <c r="I123" s="81" t="s">
        <v>1113</v>
      </c>
      <c r="J123" s="55"/>
      <c r="K123" s="55"/>
      <c r="L123" s="55"/>
      <c r="M123" s="55"/>
      <c r="N123" s="55"/>
      <c r="O123" s="73"/>
    </row>
    <row r="124" spans="1:15" x14ac:dyDescent="0.2">
      <c r="A124" s="55">
        <v>167</v>
      </c>
      <c r="B124" s="55" t="b">
        <v>1</v>
      </c>
      <c r="C124" s="55" t="b">
        <v>0</v>
      </c>
      <c r="D124" s="55" t="s">
        <v>24</v>
      </c>
      <c r="E124" s="55" t="s">
        <v>192</v>
      </c>
      <c r="F124" s="55" t="s">
        <v>183</v>
      </c>
      <c r="G124" s="55" t="s">
        <v>320</v>
      </c>
      <c r="H124" s="81" t="s">
        <v>1013</v>
      </c>
      <c r="I124" s="81" t="s">
        <v>1113</v>
      </c>
      <c r="J124" s="55"/>
      <c r="K124" s="55"/>
      <c r="L124" s="55"/>
      <c r="M124" s="55"/>
      <c r="N124" s="55"/>
      <c r="O124" s="73"/>
    </row>
    <row r="125" spans="1:15" x14ac:dyDescent="0.2">
      <c r="A125" s="55">
        <v>168</v>
      </c>
      <c r="B125" s="55" t="b">
        <v>1</v>
      </c>
      <c r="C125" s="55" t="b">
        <v>0</v>
      </c>
      <c r="D125" s="55" t="s">
        <v>24</v>
      </c>
      <c r="E125" s="55" t="s">
        <v>192</v>
      </c>
      <c r="F125" s="55" t="s">
        <v>183</v>
      </c>
      <c r="G125" s="55" t="s">
        <v>321</v>
      </c>
      <c r="H125" s="81" t="s">
        <v>1013</v>
      </c>
      <c r="I125" s="81" t="s">
        <v>1113</v>
      </c>
      <c r="J125" s="55"/>
      <c r="K125" s="55"/>
      <c r="L125" s="55"/>
      <c r="M125" s="55"/>
      <c r="N125" s="55"/>
      <c r="O125" s="73"/>
    </row>
    <row r="126" spans="1:15" x14ac:dyDescent="0.2">
      <c r="A126" s="55">
        <v>169</v>
      </c>
      <c r="B126" s="55" t="b">
        <v>1</v>
      </c>
      <c r="C126" s="55" t="b">
        <v>0</v>
      </c>
      <c r="D126" s="55" t="s">
        <v>24</v>
      </c>
      <c r="E126" s="55" t="s">
        <v>192</v>
      </c>
      <c r="F126" s="55" t="s">
        <v>1147</v>
      </c>
      <c r="G126" s="55" t="s">
        <v>497</v>
      </c>
      <c r="H126" s="55" t="s">
        <v>1013</v>
      </c>
      <c r="I126" s="55"/>
      <c r="J126" s="55" t="s">
        <v>1014</v>
      </c>
      <c r="K126" s="55" t="s">
        <v>1023</v>
      </c>
      <c r="L126" s="55" t="s">
        <v>1046</v>
      </c>
      <c r="M126" s="55"/>
      <c r="N126" s="59" t="s">
        <v>1034</v>
      </c>
      <c r="O126" s="73"/>
    </row>
    <row r="127" spans="1:15" x14ac:dyDescent="0.2">
      <c r="A127" s="55">
        <v>170</v>
      </c>
      <c r="B127" s="55" t="b">
        <v>1</v>
      </c>
      <c r="C127" s="55" t="b">
        <v>0</v>
      </c>
      <c r="D127" s="55" t="s">
        <v>24</v>
      </c>
      <c r="E127" s="55" t="s">
        <v>192</v>
      </c>
      <c r="F127" s="55" t="s">
        <v>1146</v>
      </c>
      <c r="G127" s="55" t="s">
        <v>328</v>
      </c>
      <c r="H127" s="55" t="s">
        <v>1013</v>
      </c>
      <c r="I127" s="55"/>
      <c r="J127" s="55" t="s">
        <v>1036</v>
      </c>
      <c r="K127" s="55" t="s">
        <v>1043</v>
      </c>
      <c r="L127" s="55"/>
      <c r="M127" s="55"/>
      <c r="N127" s="59" t="s">
        <v>1045</v>
      </c>
      <c r="O127" s="73"/>
    </row>
    <row r="128" spans="1:15" x14ac:dyDescent="0.2">
      <c r="A128" s="55">
        <v>171</v>
      </c>
      <c r="B128" s="55" t="b">
        <v>1</v>
      </c>
      <c r="C128" s="55" t="b">
        <v>0</v>
      </c>
      <c r="D128" s="55" t="s">
        <v>24</v>
      </c>
      <c r="E128" s="55" t="s">
        <v>192</v>
      </c>
      <c r="F128" s="55" t="s">
        <v>1146</v>
      </c>
      <c r="G128" s="55" t="s">
        <v>329</v>
      </c>
      <c r="H128" s="55" t="s">
        <v>1013</v>
      </c>
      <c r="I128" s="55"/>
      <c r="J128" s="55" t="s">
        <v>1036</v>
      </c>
      <c r="K128" s="55" t="s">
        <v>1065</v>
      </c>
      <c r="L128" s="55"/>
      <c r="M128" s="55"/>
      <c r="N128" s="59" t="s">
        <v>1045</v>
      </c>
      <c r="O128" s="73"/>
    </row>
    <row r="129" spans="1:15" x14ac:dyDescent="0.2">
      <c r="A129" s="55">
        <v>172</v>
      </c>
      <c r="B129" s="55" t="b">
        <v>1</v>
      </c>
      <c r="C129" s="55" t="b">
        <v>0</v>
      </c>
      <c r="D129" s="55" t="s">
        <v>24</v>
      </c>
      <c r="E129" s="55" t="s">
        <v>192</v>
      </c>
      <c r="F129" s="55" t="s">
        <v>1146</v>
      </c>
      <c r="G129" s="55" t="s">
        <v>330</v>
      </c>
      <c r="H129" s="55" t="s">
        <v>1013</v>
      </c>
      <c r="I129" s="55"/>
      <c r="J129" s="55" t="s">
        <v>1036</v>
      </c>
      <c r="K129" s="55" t="s">
        <v>1044</v>
      </c>
      <c r="L129" s="55"/>
      <c r="M129" s="55"/>
      <c r="N129" s="59" t="s">
        <v>1045</v>
      </c>
      <c r="O129" s="73"/>
    </row>
    <row r="130" spans="1:15" x14ac:dyDescent="0.2">
      <c r="A130" s="55">
        <v>173</v>
      </c>
      <c r="B130" s="55" t="b">
        <v>1</v>
      </c>
      <c r="C130" s="55" t="b">
        <v>0</v>
      </c>
      <c r="D130" s="55" t="s">
        <v>24</v>
      </c>
      <c r="E130" s="55" t="s">
        <v>192</v>
      </c>
      <c r="F130" s="55" t="s">
        <v>1146</v>
      </c>
      <c r="G130" s="55" t="s">
        <v>331</v>
      </c>
      <c r="H130" s="55" t="s">
        <v>1013</v>
      </c>
      <c r="I130" s="55"/>
      <c r="J130" s="55" t="s">
        <v>1036</v>
      </c>
      <c r="K130" s="55" t="s">
        <v>1066</v>
      </c>
      <c r="L130" s="55"/>
      <c r="M130" s="55"/>
      <c r="N130" s="59" t="s">
        <v>1045</v>
      </c>
      <c r="O130" s="73"/>
    </row>
    <row r="131" spans="1:15" x14ac:dyDescent="0.2">
      <c r="A131" s="55">
        <v>174</v>
      </c>
      <c r="B131" s="55" t="b">
        <v>1</v>
      </c>
      <c r="C131" s="55" t="b">
        <v>0</v>
      </c>
      <c r="D131" s="55" t="s">
        <v>24</v>
      </c>
      <c r="E131" s="55" t="s">
        <v>192</v>
      </c>
      <c r="F131" s="55" t="s">
        <v>1146</v>
      </c>
      <c r="G131" s="55" t="s">
        <v>332</v>
      </c>
      <c r="H131" s="55" t="s">
        <v>1013</v>
      </c>
      <c r="I131" s="55"/>
      <c r="J131" s="55" t="s">
        <v>1036</v>
      </c>
      <c r="K131" s="55" t="s">
        <v>1067</v>
      </c>
      <c r="L131" s="55"/>
      <c r="M131" s="55"/>
      <c r="N131" s="59" t="s">
        <v>1045</v>
      </c>
      <c r="O131" s="73"/>
    </row>
    <row r="132" spans="1:15" x14ac:dyDescent="0.2">
      <c r="A132" s="55">
        <v>175</v>
      </c>
      <c r="B132" s="55" t="b">
        <v>1</v>
      </c>
      <c r="C132" s="55" t="b">
        <v>0</v>
      </c>
      <c r="D132" s="55" t="s">
        <v>24</v>
      </c>
      <c r="E132" s="55" t="s">
        <v>192</v>
      </c>
      <c r="F132" s="55" t="s">
        <v>1146</v>
      </c>
      <c r="G132" s="55" t="s">
        <v>333</v>
      </c>
      <c r="H132" s="55" t="s">
        <v>1013</v>
      </c>
      <c r="I132" s="55"/>
      <c r="J132" s="55" t="s">
        <v>1036</v>
      </c>
      <c r="K132" s="55" t="s">
        <v>1068</v>
      </c>
      <c r="L132" s="55"/>
      <c r="M132" s="55"/>
      <c r="N132" s="59" t="s">
        <v>1045</v>
      </c>
      <c r="O132" s="73"/>
    </row>
    <row r="133" spans="1:15" x14ac:dyDescent="0.2">
      <c r="A133" s="55">
        <v>176</v>
      </c>
      <c r="B133" s="55" t="b">
        <v>1</v>
      </c>
      <c r="C133" s="55" t="b">
        <v>0</v>
      </c>
      <c r="D133" s="55" t="s">
        <v>24</v>
      </c>
      <c r="E133" s="55" t="s">
        <v>192</v>
      </c>
      <c r="F133" s="55" t="s">
        <v>1146</v>
      </c>
      <c r="G133" s="55" t="s">
        <v>1152</v>
      </c>
      <c r="H133" s="55" t="s">
        <v>1013</v>
      </c>
      <c r="I133" s="55"/>
      <c r="J133" s="55" t="s">
        <v>1036</v>
      </c>
      <c r="K133" s="55" t="s">
        <v>1288</v>
      </c>
      <c r="L133" s="55"/>
      <c r="M133" s="55"/>
      <c r="N133" s="59" t="s">
        <v>1045</v>
      </c>
      <c r="O133" s="73"/>
    </row>
    <row r="134" spans="1:15" x14ac:dyDescent="0.2">
      <c r="A134" s="55">
        <v>177</v>
      </c>
      <c r="B134" s="55" t="b">
        <v>1</v>
      </c>
      <c r="C134" s="55" t="b">
        <v>0</v>
      </c>
      <c r="D134" s="55" t="s">
        <v>24</v>
      </c>
      <c r="E134" s="55" t="s">
        <v>192</v>
      </c>
      <c r="F134" s="55" t="s">
        <v>1146</v>
      </c>
      <c r="G134" s="55" t="s">
        <v>1153</v>
      </c>
      <c r="H134" s="55" t="s">
        <v>1013</v>
      </c>
      <c r="I134" s="55"/>
      <c r="J134" s="55" t="s">
        <v>1036</v>
      </c>
      <c r="K134" s="55" t="s">
        <v>1289</v>
      </c>
      <c r="L134" s="55"/>
      <c r="M134" s="55"/>
      <c r="N134" s="59" t="s">
        <v>1045</v>
      </c>
      <c r="O134" s="73"/>
    </row>
    <row r="135" spans="1:15" x14ac:dyDescent="0.2">
      <c r="A135" s="55">
        <v>178</v>
      </c>
      <c r="B135" s="55" t="b">
        <v>1</v>
      </c>
      <c r="C135" s="55" t="b">
        <v>0</v>
      </c>
      <c r="D135" s="55" t="s">
        <v>24</v>
      </c>
      <c r="E135" s="55" t="s">
        <v>192</v>
      </c>
      <c r="F135" s="55" t="s">
        <v>1145</v>
      </c>
      <c r="G135" s="55" t="s">
        <v>497</v>
      </c>
      <c r="H135" s="81" t="s">
        <v>1013</v>
      </c>
      <c r="I135" s="81" t="s">
        <v>1113</v>
      </c>
      <c r="J135" s="55"/>
      <c r="K135" s="55"/>
      <c r="L135" s="55"/>
      <c r="M135" s="55"/>
      <c r="N135" s="55"/>
      <c r="O135" s="73"/>
    </row>
    <row r="136" spans="1:15" x14ac:dyDescent="0.2">
      <c r="A136" s="55">
        <v>179</v>
      </c>
      <c r="B136" s="55" t="b">
        <v>1</v>
      </c>
      <c r="C136" s="55" t="b">
        <v>0</v>
      </c>
      <c r="D136" s="55" t="s">
        <v>24</v>
      </c>
      <c r="E136" s="55" t="s">
        <v>192</v>
      </c>
      <c r="F136" s="55" t="s">
        <v>35</v>
      </c>
      <c r="G136" s="55" t="s">
        <v>497</v>
      </c>
      <c r="H136" s="55" t="s">
        <v>1013</v>
      </c>
      <c r="I136" s="55"/>
      <c r="J136" s="55" t="s">
        <v>1014</v>
      </c>
      <c r="K136" s="55" t="s">
        <v>1027</v>
      </c>
      <c r="L136" s="55" t="s">
        <v>1046</v>
      </c>
      <c r="M136" s="55"/>
      <c r="N136" s="59" t="s">
        <v>1034</v>
      </c>
      <c r="O136" s="73"/>
    </row>
    <row r="137" spans="1:15" x14ac:dyDescent="0.2">
      <c r="A137" s="55">
        <v>180</v>
      </c>
      <c r="B137" s="55" t="b">
        <v>1</v>
      </c>
      <c r="C137" s="55" t="b">
        <v>0</v>
      </c>
      <c r="D137" s="55" t="s">
        <v>24</v>
      </c>
      <c r="E137" s="55" t="s">
        <v>192</v>
      </c>
      <c r="F137" s="55" t="s">
        <v>59</v>
      </c>
      <c r="G137" s="55" t="s">
        <v>340</v>
      </c>
      <c r="H137" s="55" t="s">
        <v>1013</v>
      </c>
      <c r="I137" s="55"/>
      <c r="J137" s="55" t="s">
        <v>1036</v>
      </c>
      <c r="K137" s="55" t="s">
        <v>1048</v>
      </c>
      <c r="L137" s="55"/>
      <c r="M137" s="55"/>
      <c r="N137" s="59" t="s">
        <v>1045</v>
      </c>
      <c r="O137" s="73"/>
    </row>
    <row r="138" spans="1:15" x14ac:dyDescent="0.2">
      <c r="A138" s="55">
        <v>181</v>
      </c>
      <c r="B138" s="55" t="b">
        <v>1</v>
      </c>
      <c r="C138" s="55" t="b">
        <v>0</v>
      </c>
      <c r="D138" s="55" t="s">
        <v>24</v>
      </c>
      <c r="E138" s="55" t="s">
        <v>192</v>
      </c>
      <c r="F138" s="55" t="s">
        <v>59</v>
      </c>
      <c r="G138" s="55" t="s">
        <v>341</v>
      </c>
      <c r="H138" s="55" t="s">
        <v>1013</v>
      </c>
      <c r="I138" s="55"/>
      <c r="J138" s="55" t="s">
        <v>1036</v>
      </c>
      <c r="K138" s="55" t="s">
        <v>1076</v>
      </c>
      <c r="L138" s="55"/>
      <c r="M138" s="55"/>
      <c r="N138" s="59" t="s">
        <v>1045</v>
      </c>
      <c r="O138" s="73"/>
    </row>
    <row r="139" spans="1:15" x14ac:dyDescent="0.2">
      <c r="A139" s="55">
        <v>182</v>
      </c>
      <c r="B139" s="55" t="b">
        <v>1</v>
      </c>
      <c r="C139" s="55" t="b">
        <v>0</v>
      </c>
      <c r="D139" s="55" t="s">
        <v>24</v>
      </c>
      <c r="E139" s="55" t="s">
        <v>192</v>
      </c>
      <c r="F139" s="55" t="s">
        <v>129</v>
      </c>
      <c r="G139" s="55" t="s">
        <v>497</v>
      </c>
      <c r="H139" s="81" t="s">
        <v>1013</v>
      </c>
      <c r="I139" s="81" t="s">
        <v>1113</v>
      </c>
      <c r="J139" s="55"/>
      <c r="K139" s="55"/>
      <c r="L139" s="55"/>
      <c r="M139" s="55"/>
      <c r="N139" s="55"/>
      <c r="O139" s="73"/>
    </row>
    <row r="140" spans="1:15" x14ac:dyDescent="0.2">
      <c r="A140" s="55">
        <v>183</v>
      </c>
      <c r="B140" s="55" t="b">
        <v>1</v>
      </c>
      <c r="C140" s="55" t="b">
        <v>0</v>
      </c>
      <c r="D140" s="55" t="s">
        <v>24</v>
      </c>
      <c r="E140" s="55" t="s">
        <v>192</v>
      </c>
      <c r="F140" s="55" t="s">
        <v>36</v>
      </c>
      <c r="G140" s="55" t="s">
        <v>497</v>
      </c>
      <c r="H140" s="55" t="s">
        <v>1013</v>
      </c>
      <c r="I140" s="55"/>
      <c r="J140" s="55" t="s">
        <v>1014</v>
      </c>
      <c r="K140" s="55" t="s">
        <v>1028</v>
      </c>
      <c r="L140" s="55" t="s">
        <v>1046</v>
      </c>
      <c r="M140" s="55"/>
      <c r="N140" s="59" t="s">
        <v>1034</v>
      </c>
      <c r="O140" s="73"/>
    </row>
    <row r="141" spans="1:15" x14ac:dyDescent="0.2">
      <c r="A141" s="55">
        <v>184</v>
      </c>
      <c r="B141" s="55" t="b">
        <v>1</v>
      </c>
      <c r="C141" s="55" t="b">
        <v>0</v>
      </c>
      <c r="D141" s="55" t="s">
        <v>24</v>
      </c>
      <c r="E141" s="55" t="s">
        <v>192</v>
      </c>
      <c r="F141" s="55" t="s">
        <v>60</v>
      </c>
      <c r="G141" s="55" t="s">
        <v>336</v>
      </c>
      <c r="H141" s="55" t="s">
        <v>1013</v>
      </c>
      <c r="I141" s="55"/>
      <c r="J141" s="55" t="s">
        <v>1036</v>
      </c>
      <c r="K141" s="55" t="s">
        <v>1038</v>
      </c>
      <c r="L141" s="55"/>
      <c r="M141" s="55"/>
      <c r="N141" s="59" t="s">
        <v>1045</v>
      </c>
      <c r="O141" s="73"/>
    </row>
    <row r="142" spans="1:15" x14ac:dyDescent="0.2">
      <c r="A142" s="55">
        <v>185</v>
      </c>
      <c r="B142" s="55" t="b">
        <v>1</v>
      </c>
      <c r="C142" s="55" t="b">
        <v>0</v>
      </c>
      <c r="D142" s="55" t="s">
        <v>24</v>
      </c>
      <c r="E142" s="55" t="s">
        <v>192</v>
      </c>
      <c r="F142" s="55" t="s">
        <v>60</v>
      </c>
      <c r="G142" s="55" t="s">
        <v>341</v>
      </c>
      <c r="H142" s="55" t="s">
        <v>1013</v>
      </c>
      <c r="I142" s="55"/>
      <c r="J142" s="55" t="s">
        <v>1036</v>
      </c>
      <c r="K142" s="55" t="s">
        <v>1076</v>
      </c>
      <c r="L142" s="55"/>
      <c r="M142" s="55"/>
      <c r="N142" s="59" t="s">
        <v>1045</v>
      </c>
      <c r="O142" s="73"/>
    </row>
    <row r="143" spans="1:15" x14ac:dyDescent="0.2">
      <c r="A143" s="55">
        <v>186</v>
      </c>
      <c r="B143" s="55" t="b">
        <v>1</v>
      </c>
      <c r="C143" s="55" t="b">
        <v>0</v>
      </c>
      <c r="D143" s="55" t="s">
        <v>24</v>
      </c>
      <c r="E143" s="55" t="s">
        <v>192</v>
      </c>
      <c r="F143" s="55" t="s">
        <v>60</v>
      </c>
      <c r="G143" s="55" t="s">
        <v>342</v>
      </c>
      <c r="H143" s="55" t="s">
        <v>1013</v>
      </c>
      <c r="I143" s="55"/>
      <c r="J143" s="55" t="s">
        <v>1036</v>
      </c>
      <c r="K143" s="55" t="s">
        <v>1077</v>
      </c>
      <c r="L143" s="55"/>
      <c r="M143" s="55"/>
      <c r="N143" s="59" t="s">
        <v>1045</v>
      </c>
      <c r="O143" s="73"/>
    </row>
    <row r="144" spans="1:15" x14ac:dyDescent="0.2">
      <c r="A144" s="55">
        <v>187</v>
      </c>
      <c r="B144" s="55" t="b">
        <v>1</v>
      </c>
      <c r="C144" s="55" t="b">
        <v>0</v>
      </c>
      <c r="D144" s="55" t="s">
        <v>24</v>
      </c>
      <c r="E144" s="55" t="s">
        <v>192</v>
      </c>
      <c r="F144" s="55" t="s">
        <v>188</v>
      </c>
      <c r="G144" s="55" t="s">
        <v>497</v>
      </c>
      <c r="H144" s="81" t="s">
        <v>1013</v>
      </c>
      <c r="I144" s="81" t="s">
        <v>1113</v>
      </c>
      <c r="J144" s="55"/>
      <c r="K144" s="55"/>
      <c r="L144" s="55"/>
      <c r="M144" s="55"/>
      <c r="N144" s="55"/>
      <c r="O144" s="73"/>
    </row>
    <row r="145" spans="1:15" x14ac:dyDescent="0.2">
      <c r="A145" s="55">
        <v>188</v>
      </c>
      <c r="B145" s="55" t="b">
        <v>1</v>
      </c>
      <c r="C145" s="55" t="b">
        <v>0</v>
      </c>
      <c r="D145" s="55" t="s">
        <v>24</v>
      </c>
      <c r="E145" s="55" t="s">
        <v>192</v>
      </c>
      <c r="F145" s="55" t="s">
        <v>37</v>
      </c>
      <c r="G145" s="55" t="s">
        <v>497</v>
      </c>
      <c r="H145" s="55" t="s">
        <v>1013</v>
      </c>
      <c r="I145" s="55"/>
      <c r="J145" s="55" t="s">
        <v>1014</v>
      </c>
      <c r="K145" s="55" t="s">
        <v>1029</v>
      </c>
      <c r="L145" s="55" t="s">
        <v>1046</v>
      </c>
      <c r="M145" s="55"/>
      <c r="N145" s="59" t="s">
        <v>1034</v>
      </c>
      <c r="O145" s="73"/>
    </row>
    <row r="146" spans="1:15" x14ac:dyDescent="0.2">
      <c r="A146" s="55">
        <v>189</v>
      </c>
      <c r="B146" s="55" t="b">
        <v>1</v>
      </c>
      <c r="C146" s="55" t="b">
        <v>0</v>
      </c>
      <c r="D146" s="55" t="s">
        <v>24</v>
      </c>
      <c r="E146" s="55" t="s">
        <v>192</v>
      </c>
      <c r="F146" s="55" t="s">
        <v>61</v>
      </c>
      <c r="G146" s="55" t="s">
        <v>1223</v>
      </c>
      <c r="H146" s="55" t="s">
        <v>1013</v>
      </c>
      <c r="I146" s="55"/>
      <c r="J146" s="55" t="s">
        <v>1036</v>
      </c>
      <c r="K146" s="55" t="s">
        <v>1373</v>
      </c>
      <c r="L146" s="55"/>
      <c r="M146" s="55"/>
      <c r="N146" s="59" t="s">
        <v>1045</v>
      </c>
      <c r="O146" s="73"/>
    </row>
    <row r="147" spans="1:15" x14ac:dyDescent="0.2">
      <c r="A147" s="55">
        <v>190</v>
      </c>
      <c r="B147" s="55" t="b">
        <v>1</v>
      </c>
      <c r="C147" s="55" t="b">
        <v>0</v>
      </c>
      <c r="D147" s="55" t="s">
        <v>24</v>
      </c>
      <c r="E147" s="55" t="s">
        <v>192</v>
      </c>
      <c r="F147" s="55" t="s">
        <v>61</v>
      </c>
      <c r="G147" s="55" t="s">
        <v>343</v>
      </c>
      <c r="H147" s="55" t="s">
        <v>1013</v>
      </c>
      <c r="I147" s="55"/>
      <c r="J147" s="55" t="s">
        <v>1036</v>
      </c>
      <c r="K147" s="55" t="s">
        <v>1078</v>
      </c>
      <c r="L147" s="55"/>
      <c r="M147" s="55"/>
      <c r="N147" s="59" t="s">
        <v>1045</v>
      </c>
      <c r="O147" s="73"/>
    </row>
    <row r="148" spans="1:15" x14ac:dyDescent="0.2">
      <c r="A148" s="55">
        <v>191</v>
      </c>
      <c r="B148" s="55" t="b">
        <v>1</v>
      </c>
      <c r="C148" s="55" t="b">
        <v>0</v>
      </c>
      <c r="D148" s="55" t="s">
        <v>24</v>
      </c>
      <c r="E148" s="55" t="s">
        <v>192</v>
      </c>
      <c r="F148" s="55" t="s">
        <v>61</v>
      </c>
      <c r="G148" s="55" t="s">
        <v>344</v>
      </c>
      <c r="H148" s="55" t="s">
        <v>1013</v>
      </c>
      <c r="I148" s="55"/>
      <c r="J148" s="55" t="s">
        <v>1036</v>
      </c>
      <c r="K148" s="55" t="s">
        <v>1079</v>
      </c>
      <c r="L148" s="55"/>
      <c r="M148" s="55"/>
      <c r="N148" s="59" t="s">
        <v>1045</v>
      </c>
      <c r="O148" s="73"/>
    </row>
    <row r="149" spans="1:15" x14ac:dyDescent="0.2">
      <c r="A149" s="55">
        <v>192</v>
      </c>
      <c r="B149" s="55" t="b">
        <v>1</v>
      </c>
      <c r="C149" s="55" t="b">
        <v>0</v>
      </c>
      <c r="D149" s="55" t="s">
        <v>24</v>
      </c>
      <c r="E149" s="55" t="s">
        <v>192</v>
      </c>
      <c r="F149" s="55" t="s">
        <v>61</v>
      </c>
      <c r="G149" s="55" t="s">
        <v>345</v>
      </c>
      <c r="H149" s="55" t="s">
        <v>1013</v>
      </c>
      <c r="I149" s="55"/>
      <c r="J149" s="55" t="s">
        <v>1036</v>
      </c>
      <c r="K149" s="55" t="s">
        <v>1080</v>
      </c>
      <c r="L149" s="55"/>
      <c r="M149" s="55"/>
      <c r="N149" s="59" t="s">
        <v>1045</v>
      </c>
      <c r="O149" s="73"/>
    </row>
    <row r="150" spans="1:15" x14ac:dyDescent="0.2">
      <c r="A150" s="55">
        <v>193</v>
      </c>
      <c r="B150" s="55" t="b">
        <v>1</v>
      </c>
      <c r="C150" s="55" t="b">
        <v>0</v>
      </c>
      <c r="D150" s="55" t="s">
        <v>24</v>
      </c>
      <c r="E150" s="55" t="s">
        <v>192</v>
      </c>
      <c r="F150" s="55" t="s">
        <v>61</v>
      </c>
      <c r="G150" s="55" t="s">
        <v>346</v>
      </c>
      <c r="H150" s="55" t="s">
        <v>1013</v>
      </c>
      <c r="I150" s="55"/>
      <c r="J150" s="55" t="s">
        <v>1036</v>
      </c>
      <c r="K150" s="55" t="s">
        <v>1081</v>
      </c>
      <c r="L150" s="55"/>
      <c r="M150" s="55"/>
      <c r="N150" s="59" t="s">
        <v>1045</v>
      </c>
      <c r="O150" s="73"/>
    </row>
    <row r="151" spans="1:15" x14ac:dyDescent="0.2">
      <c r="A151" s="55">
        <v>194</v>
      </c>
      <c r="B151" s="55" t="b">
        <v>1</v>
      </c>
      <c r="C151" s="55" t="b">
        <v>0</v>
      </c>
      <c r="D151" s="55" t="s">
        <v>24</v>
      </c>
      <c r="E151" s="55" t="s">
        <v>192</v>
      </c>
      <c r="F151" s="55" t="s">
        <v>187</v>
      </c>
      <c r="G151" s="55" t="s">
        <v>497</v>
      </c>
      <c r="H151" s="81" t="s">
        <v>1013</v>
      </c>
      <c r="I151" s="81" t="s">
        <v>1113</v>
      </c>
      <c r="J151" s="55"/>
      <c r="K151" s="55"/>
      <c r="L151" s="55"/>
      <c r="M151" s="55"/>
      <c r="N151" s="55"/>
      <c r="O151" s="73"/>
    </row>
    <row r="152" spans="1:15" x14ac:dyDescent="0.2">
      <c r="A152" s="55">
        <v>195</v>
      </c>
      <c r="B152" s="55" t="b">
        <v>1</v>
      </c>
      <c r="C152" s="55" t="b">
        <v>0</v>
      </c>
      <c r="D152" s="55" t="s">
        <v>24</v>
      </c>
      <c r="E152" s="55" t="s">
        <v>192</v>
      </c>
      <c r="F152" s="55" t="s">
        <v>38</v>
      </c>
      <c r="G152" s="55" t="s">
        <v>497</v>
      </c>
      <c r="H152" s="55" t="s">
        <v>1013</v>
      </c>
      <c r="I152" s="55"/>
      <c r="J152" s="55" t="s">
        <v>1014</v>
      </c>
      <c r="K152" s="55" t="s">
        <v>1030</v>
      </c>
      <c r="L152" s="55" t="s">
        <v>1046</v>
      </c>
      <c r="M152" s="55"/>
      <c r="N152" s="59" t="s">
        <v>1034</v>
      </c>
      <c r="O152" s="73"/>
    </row>
    <row r="153" spans="1:15" x14ac:dyDescent="0.2">
      <c r="A153" s="55">
        <v>196</v>
      </c>
      <c r="B153" s="55" t="b">
        <v>1</v>
      </c>
      <c r="C153" s="55" t="b">
        <v>0</v>
      </c>
      <c r="D153" s="55" t="s">
        <v>24</v>
      </c>
      <c r="E153" s="55" t="s">
        <v>192</v>
      </c>
      <c r="F153" s="55" t="s">
        <v>62</v>
      </c>
      <c r="G153" s="55" t="s">
        <v>340</v>
      </c>
      <c r="H153" s="55" t="s">
        <v>1013</v>
      </c>
      <c r="I153" s="55"/>
      <c r="J153" s="55" t="s">
        <v>1036</v>
      </c>
      <c r="K153" s="55" t="s">
        <v>1048</v>
      </c>
      <c r="L153" s="55"/>
      <c r="M153" s="55"/>
      <c r="N153" s="59" t="s">
        <v>1045</v>
      </c>
      <c r="O153" s="73"/>
    </row>
    <row r="154" spans="1:15" x14ac:dyDescent="0.2">
      <c r="A154" s="55">
        <v>197</v>
      </c>
      <c r="B154" s="55" t="b">
        <v>1</v>
      </c>
      <c r="C154" s="55" t="b">
        <v>0</v>
      </c>
      <c r="D154" s="55" t="s">
        <v>24</v>
      </c>
      <c r="E154" s="55" t="s">
        <v>192</v>
      </c>
      <c r="F154" s="55" t="s">
        <v>62</v>
      </c>
      <c r="G154" s="55" t="s">
        <v>341</v>
      </c>
      <c r="H154" s="55" t="s">
        <v>1013</v>
      </c>
      <c r="I154" s="55"/>
      <c r="J154" s="55" t="s">
        <v>1036</v>
      </c>
      <c r="K154" s="55" t="s">
        <v>1076</v>
      </c>
      <c r="L154" s="55"/>
      <c r="M154" s="55"/>
      <c r="N154" s="59" t="s">
        <v>1045</v>
      </c>
      <c r="O154" s="73"/>
    </row>
    <row r="155" spans="1:15" x14ac:dyDescent="0.2">
      <c r="A155" s="55">
        <v>198</v>
      </c>
      <c r="B155" s="55" t="b">
        <v>1</v>
      </c>
      <c r="C155" s="55" t="b">
        <v>0</v>
      </c>
      <c r="D155" s="55" t="s">
        <v>24</v>
      </c>
      <c r="E155" s="55" t="s">
        <v>192</v>
      </c>
      <c r="F155" s="55" t="s">
        <v>189</v>
      </c>
      <c r="G155" s="55" t="s">
        <v>497</v>
      </c>
      <c r="H155" s="81" t="s">
        <v>1013</v>
      </c>
      <c r="I155" s="81" t="s">
        <v>1113</v>
      </c>
      <c r="J155" s="55"/>
      <c r="K155" s="55"/>
      <c r="L155" s="55"/>
      <c r="M155" s="55"/>
      <c r="N155" s="55"/>
      <c r="O155" s="73"/>
    </row>
    <row r="156" spans="1:15" x14ac:dyDescent="0.2">
      <c r="A156" s="55">
        <v>199</v>
      </c>
      <c r="B156" s="55" t="b">
        <v>1</v>
      </c>
      <c r="C156" s="55" t="b">
        <v>0</v>
      </c>
      <c r="D156" s="55" t="s">
        <v>24</v>
      </c>
      <c r="E156" s="55" t="s">
        <v>192</v>
      </c>
      <c r="F156" s="55" t="s">
        <v>39</v>
      </c>
      <c r="G156" s="55" t="s">
        <v>497</v>
      </c>
      <c r="H156" s="55" t="s">
        <v>1013</v>
      </c>
      <c r="I156" s="55"/>
      <c r="J156" s="55" t="s">
        <v>1014</v>
      </c>
      <c r="K156" s="55" t="s">
        <v>1031</v>
      </c>
      <c r="L156" s="55" t="s">
        <v>1046</v>
      </c>
      <c r="M156" s="55"/>
      <c r="N156" s="59" t="s">
        <v>1034</v>
      </c>
      <c r="O156" s="73"/>
    </row>
    <row r="157" spans="1:15" x14ac:dyDescent="0.2">
      <c r="A157" s="55">
        <v>200</v>
      </c>
      <c r="B157" s="55" t="b">
        <v>1</v>
      </c>
      <c r="C157" s="55" t="b">
        <v>0</v>
      </c>
      <c r="D157" s="55" t="s">
        <v>24</v>
      </c>
      <c r="E157" s="55" t="s">
        <v>192</v>
      </c>
      <c r="F157" s="55" t="s">
        <v>63</v>
      </c>
      <c r="G157" s="55" t="s">
        <v>340</v>
      </c>
      <c r="H157" s="55" t="s">
        <v>1013</v>
      </c>
      <c r="I157" s="55"/>
      <c r="J157" s="55" t="s">
        <v>1036</v>
      </c>
      <c r="K157" s="55" t="s">
        <v>1048</v>
      </c>
      <c r="L157" s="55"/>
      <c r="M157" s="55"/>
      <c r="N157" s="59" t="s">
        <v>1045</v>
      </c>
      <c r="O157" s="73"/>
    </row>
    <row r="158" spans="1:15" x14ac:dyDescent="0.2">
      <c r="A158" s="55">
        <v>201</v>
      </c>
      <c r="B158" s="55" t="b">
        <v>1</v>
      </c>
      <c r="C158" s="55" t="b">
        <v>0</v>
      </c>
      <c r="D158" s="55" t="s">
        <v>24</v>
      </c>
      <c r="E158" s="55" t="s">
        <v>192</v>
      </c>
      <c r="F158" s="55" t="s">
        <v>63</v>
      </c>
      <c r="G158" s="55" t="s">
        <v>341</v>
      </c>
      <c r="H158" s="55" t="s">
        <v>1013</v>
      </c>
      <c r="I158" s="55"/>
      <c r="J158" s="55" t="s">
        <v>1036</v>
      </c>
      <c r="K158" s="55" t="s">
        <v>1076</v>
      </c>
      <c r="L158" s="55"/>
      <c r="M158" s="55"/>
      <c r="N158" s="59" t="s">
        <v>1045</v>
      </c>
      <c r="O158" s="73"/>
    </row>
    <row r="159" spans="1:15" x14ac:dyDescent="0.2">
      <c r="A159" s="55">
        <v>202</v>
      </c>
      <c r="B159" s="55" t="b">
        <v>1</v>
      </c>
      <c r="C159" s="55" t="b">
        <v>0</v>
      </c>
      <c r="D159" s="55" t="s">
        <v>24</v>
      </c>
      <c r="E159" s="55" t="s">
        <v>192</v>
      </c>
      <c r="F159" s="55" t="s">
        <v>190</v>
      </c>
      <c r="G159" s="55" t="s">
        <v>497</v>
      </c>
      <c r="H159" s="81" t="s">
        <v>1013</v>
      </c>
      <c r="I159" s="81" t="s">
        <v>1113</v>
      </c>
      <c r="J159" s="55"/>
      <c r="K159" s="55"/>
      <c r="L159" s="55"/>
      <c r="M159" s="55"/>
      <c r="N159" s="55"/>
      <c r="O159" s="73"/>
    </row>
    <row r="160" spans="1:15" x14ac:dyDescent="0.2">
      <c r="A160" s="55">
        <v>203</v>
      </c>
      <c r="B160" s="55" t="b">
        <v>1</v>
      </c>
      <c r="C160" s="55" t="b">
        <v>0</v>
      </c>
      <c r="D160" s="55" t="s">
        <v>24</v>
      </c>
      <c r="E160" s="55" t="s">
        <v>192</v>
      </c>
      <c r="F160" s="55" t="s">
        <v>40</v>
      </c>
      <c r="G160" s="55" t="s">
        <v>497</v>
      </c>
      <c r="H160" s="55" t="s">
        <v>1013</v>
      </c>
      <c r="I160" s="55"/>
      <c r="J160" s="55" t="s">
        <v>1014</v>
      </c>
      <c r="K160" s="55" t="s">
        <v>1032</v>
      </c>
      <c r="L160" s="55" t="s">
        <v>1046</v>
      </c>
      <c r="M160" s="55"/>
      <c r="N160" s="59" t="s">
        <v>1034</v>
      </c>
      <c r="O160" s="73"/>
    </row>
    <row r="161" spans="1:15" x14ac:dyDescent="0.2">
      <c r="A161" s="55">
        <v>204</v>
      </c>
      <c r="B161" s="55" t="b">
        <v>1</v>
      </c>
      <c r="C161" s="55" t="b">
        <v>0</v>
      </c>
      <c r="D161" s="55" t="s">
        <v>24</v>
      </c>
      <c r="E161" s="55" t="s">
        <v>192</v>
      </c>
      <c r="F161" s="55" t="s">
        <v>64</v>
      </c>
      <c r="G161" s="55" t="s">
        <v>334</v>
      </c>
      <c r="H161" s="55" t="s">
        <v>1013</v>
      </c>
      <c r="I161" s="55"/>
      <c r="J161" s="55" t="s">
        <v>1036</v>
      </c>
      <c r="K161" s="55" t="s">
        <v>1049</v>
      </c>
      <c r="L161" s="55"/>
      <c r="M161" s="55"/>
      <c r="N161" s="59" t="s">
        <v>1045</v>
      </c>
      <c r="O161" s="73"/>
    </row>
    <row r="162" spans="1:15" x14ac:dyDescent="0.2">
      <c r="A162" s="55">
        <v>205</v>
      </c>
      <c r="B162" s="55" t="b">
        <v>1</v>
      </c>
      <c r="C162" s="55" t="b">
        <v>0</v>
      </c>
      <c r="D162" s="55" t="s">
        <v>24</v>
      </c>
      <c r="E162" s="55" t="s">
        <v>192</v>
      </c>
      <c r="F162" s="55" t="s">
        <v>64</v>
      </c>
      <c r="G162" s="55" t="s">
        <v>335</v>
      </c>
      <c r="H162" s="55" t="s">
        <v>1013</v>
      </c>
      <c r="I162" s="55"/>
      <c r="J162" s="55" t="s">
        <v>1036</v>
      </c>
      <c r="K162" s="55" t="s">
        <v>1082</v>
      </c>
      <c r="L162" s="55"/>
      <c r="M162" s="55"/>
      <c r="N162" s="59" t="s">
        <v>1045</v>
      </c>
      <c r="O162" s="73"/>
    </row>
    <row r="163" spans="1:15" x14ac:dyDescent="0.2">
      <c r="A163" s="55">
        <v>206</v>
      </c>
      <c r="B163" s="55" t="b">
        <v>1</v>
      </c>
      <c r="C163" s="55" t="b">
        <v>0</v>
      </c>
      <c r="D163" s="55" t="s">
        <v>24</v>
      </c>
      <c r="E163" s="55" t="s">
        <v>192</v>
      </c>
      <c r="F163" s="55" t="s">
        <v>191</v>
      </c>
      <c r="G163" s="55" t="s">
        <v>497</v>
      </c>
      <c r="H163" s="81" t="s">
        <v>1013</v>
      </c>
      <c r="I163" s="81" t="s">
        <v>1113</v>
      </c>
      <c r="J163" s="55"/>
      <c r="K163" s="55"/>
      <c r="L163" s="55"/>
      <c r="M163" s="55"/>
      <c r="N163" s="55"/>
      <c r="O163" s="73"/>
    </row>
    <row r="164" spans="1:15" x14ac:dyDescent="0.2">
      <c r="A164" s="55">
        <v>207</v>
      </c>
      <c r="B164" s="55" t="b">
        <v>1</v>
      </c>
      <c r="C164" s="55" t="b">
        <v>0</v>
      </c>
      <c r="D164" s="55" t="s">
        <v>24</v>
      </c>
      <c r="E164" s="55" t="s">
        <v>192</v>
      </c>
      <c r="F164" s="55" t="s">
        <v>159</v>
      </c>
      <c r="G164" s="55" t="s">
        <v>368</v>
      </c>
      <c r="H164" s="55" t="s">
        <v>1013</v>
      </c>
      <c r="I164" s="55"/>
      <c r="J164" s="55" t="s">
        <v>1091</v>
      </c>
      <c r="K164" s="55" t="s">
        <v>368</v>
      </c>
      <c r="L164" s="55"/>
      <c r="M164" s="55"/>
      <c r="N164" s="59" t="s">
        <v>1468</v>
      </c>
      <c r="O164" s="73"/>
    </row>
    <row r="165" spans="1:15" x14ac:dyDescent="0.2">
      <c r="A165" s="55">
        <v>208</v>
      </c>
      <c r="B165" s="55" t="b">
        <v>1</v>
      </c>
      <c r="C165" s="55" t="b">
        <v>0</v>
      </c>
      <c r="D165" s="55" t="s">
        <v>24</v>
      </c>
      <c r="E165" s="55" t="s">
        <v>192</v>
      </c>
      <c r="F165" s="55" t="s">
        <v>41</v>
      </c>
      <c r="G165" s="55" t="s">
        <v>497</v>
      </c>
      <c r="H165" s="55" t="s">
        <v>1013</v>
      </c>
      <c r="I165" s="55"/>
      <c r="J165" s="55" t="s">
        <v>1014</v>
      </c>
      <c r="K165" s="55" t="s">
        <v>1033</v>
      </c>
      <c r="L165" s="55" t="s">
        <v>1046</v>
      </c>
      <c r="M165" s="55"/>
      <c r="N165" s="59" t="s">
        <v>1034</v>
      </c>
      <c r="O165" s="73"/>
    </row>
    <row r="166" spans="1:15" x14ac:dyDescent="0.2">
      <c r="A166" s="55">
        <v>209</v>
      </c>
      <c r="B166" s="55" t="b">
        <v>1</v>
      </c>
      <c r="C166" s="55" t="b">
        <v>0</v>
      </c>
      <c r="D166" s="55" t="s">
        <v>24</v>
      </c>
      <c r="E166" s="55" t="s">
        <v>192</v>
      </c>
      <c r="F166" s="55" t="s">
        <v>65</v>
      </c>
      <c r="G166" s="55" t="s">
        <v>367</v>
      </c>
      <c r="H166" s="55" t="s">
        <v>1013</v>
      </c>
      <c r="I166" s="55"/>
      <c r="J166" s="55" t="s">
        <v>1036</v>
      </c>
      <c r="K166" s="55" t="s">
        <v>1083</v>
      </c>
      <c r="L166" s="55"/>
      <c r="M166" s="55"/>
      <c r="N166" s="59" t="s">
        <v>1045</v>
      </c>
      <c r="O166" s="73"/>
    </row>
    <row r="167" spans="1:15" x14ac:dyDescent="0.2">
      <c r="A167" s="55">
        <v>210</v>
      </c>
      <c r="B167" s="55" t="b">
        <v>1</v>
      </c>
      <c r="C167" s="55" t="b">
        <v>0</v>
      </c>
      <c r="D167" s="55" t="s">
        <v>24</v>
      </c>
      <c r="E167" s="55" t="s">
        <v>192</v>
      </c>
      <c r="F167" s="55" t="s">
        <v>160</v>
      </c>
      <c r="G167" s="55" t="s">
        <v>497</v>
      </c>
      <c r="H167" s="81" t="s">
        <v>1013</v>
      </c>
      <c r="I167" s="81" t="s">
        <v>1113</v>
      </c>
      <c r="J167" s="55"/>
      <c r="K167" s="55"/>
      <c r="L167" s="55"/>
      <c r="M167" s="55"/>
      <c r="N167" s="55"/>
      <c r="O167" s="73"/>
    </row>
    <row r="168" spans="1:15" x14ac:dyDescent="0.2">
      <c r="A168" s="55">
        <v>211</v>
      </c>
      <c r="B168" s="55" t="b">
        <v>1</v>
      </c>
      <c r="C168" s="55" t="b">
        <v>0</v>
      </c>
      <c r="D168" s="55" t="s">
        <v>24</v>
      </c>
      <c r="E168" s="55" t="s">
        <v>192</v>
      </c>
      <c r="F168" s="55" t="s">
        <v>161</v>
      </c>
      <c r="G168" s="55" t="s">
        <v>307</v>
      </c>
      <c r="H168" s="55" t="s">
        <v>1013</v>
      </c>
      <c r="I168" s="55"/>
      <c r="J168" s="55" t="s">
        <v>1036</v>
      </c>
      <c r="K168" s="55" t="s">
        <v>1375</v>
      </c>
      <c r="L168" s="55"/>
      <c r="M168" s="55"/>
      <c r="N168" s="59" t="s">
        <v>1045</v>
      </c>
      <c r="O168" s="73"/>
    </row>
    <row r="169" spans="1:15" x14ac:dyDescent="0.2">
      <c r="A169" s="55">
        <v>212</v>
      </c>
      <c r="B169" s="55" t="b">
        <v>1</v>
      </c>
      <c r="C169" s="55" t="b">
        <v>0</v>
      </c>
      <c r="D169" s="55" t="s">
        <v>24</v>
      </c>
      <c r="E169" s="55" t="s">
        <v>192</v>
      </c>
      <c r="F169" s="55" t="s">
        <v>161</v>
      </c>
      <c r="G169" s="55" t="s">
        <v>308</v>
      </c>
      <c r="H169" s="55" t="s">
        <v>1013</v>
      </c>
      <c r="I169" s="55"/>
      <c r="J169" s="55" t="s">
        <v>1036</v>
      </c>
      <c r="K169" s="55" t="s">
        <v>1376</v>
      </c>
      <c r="L169" s="55"/>
      <c r="M169" s="55"/>
      <c r="N169" s="59" t="s">
        <v>1045</v>
      </c>
      <c r="O169" s="73"/>
    </row>
    <row r="170" spans="1:15" x14ac:dyDescent="0.2">
      <c r="A170" s="55">
        <v>213</v>
      </c>
      <c r="B170" s="55" t="b">
        <v>1</v>
      </c>
      <c r="C170" s="55" t="b">
        <v>0</v>
      </c>
      <c r="D170" s="55" t="s">
        <v>24</v>
      </c>
      <c r="E170" s="55" t="s">
        <v>192</v>
      </c>
      <c r="F170" s="55" t="s">
        <v>161</v>
      </c>
      <c r="G170" s="55" t="s">
        <v>309</v>
      </c>
      <c r="H170" s="55" t="s">
        <v>1013</v>
      </c>
      <c r="I170" s="55"/>
      <c r="J170" s="55" t="s">
        <v>1036</v>
      </c>
      <c r="K170" s="55" t="s">
        <v>1377</v>
      </c>
      <c r="L170" s="55"/>
      <c r="M170" s="55"/>
      <c r="N170" s="59" t="s">
        <v>1045</v>
      </c>
      <c r="O170" s="73"/>
    </row>
    <row r="171" spans="1:15" x14ac:dyDescent="0.2">
      <c r="A171" s="55">
        <v>214</v>
      </c>
      <c r="B171" s="55" t="b">
        <v>1</v>
      </c>
      <c r="C171" s="55" t="b">
        <v>0</v>
      </c>
      <c r="D171" s="55" t="s">
        <v>24</v>
      </c>
      <c r="E171" s="55" t="s">
        <v>192</v>
      </c>
      <c r="F171" s="55" t="s">
        <v>161</v>
      </c>
      <c r="G171" s="55" t="s">
        <v>310</v>
      </c>
      <c r="H171" s="55" t="s">
        <v>1013</v>
      </c>
      <c r="I171" s="55"/>
      <c r="J171" s="55" t="s">
        <v>1036</v>
      </c>
      <c r="K171" s="55" t="s">
        <v>1378</v>
      </c>
      <c r="L171" s="55"/>
      <c r="M171" s="55"/>
      <c r="N171" s="59" t="s">
        <v>1045</v>
      </c>
      <c r="O171" s="73"/>
    </row>
    <row r="172" spans="1:15" x14ac:dyDescent="0.2">
      <c r="A172" s="55">
        <v>215</v>
      </c>
      <c r="B172" s="55" t="b">
        <v>1</v>
      </c>
      <c r="C172" s="55" t="b">
        <v>0</v>
      </c>
      <c r="D172" s="55" t="s">
        <v>24</v>
      </c>
      <c r="E172" s="55" t="s">
        <v>192</v>
      </c>
      <c r="F172" s="55" t="s">
        <v>162</v>
      </c>
      <c r="G172" s="55" t="s">
        <v>497</v>
      </c>
      <c r="H172" s="81" t="s">
        <v>1013</v>
      </c>
      <c r="I172" s="81" t="s">
        <v>1113</v>
      </c>
      <c r="J172" s="55"/>
      <c r="K172" s="55"/>
      <c r="L172" s="55"/>
      <c r="M172" s="55"/>
      <c r="N172" s="55"/>
      <c r="O172" s="73"/>
    </row>
    <row r="173" spans="1:15" x14ac:dyDescent="0.2">
      <c r="A173" s="55">
        <v>217</v>
      </c>
      <c r="B173" s="55" t="b">
        <v>1</v>
      </c>
      <c r="C173" s="55" t="b">
        <v>0</v>
      </c>
      <c r="D173" s="55" t="s">
        <v>24</v>
      </c>
      <c r="E173" s="55" t="s">
        <v>192</v>
      </c>
      <c r="F173" s="55" t="s">
        <v>133</v>
      </c>
      <c r="G173" s="55" t="s">
        <v>497</v>
      </c>
      <c r="H173" s="81" t="s">
        <v>1013</v>
      </c>
      <c r="I173" s="81" t="s">
        <v>1113</v>
      </c>
      <c r="J173" s="55"/>
      <c r="K173" s="55"/>
      <c r="L173" s="55"/>
      <c r="M173" s="55"/>
      <c r="N173" s="55"/>
      <c r="O173" s="73"/>
    </row>
    <row r="174" spans="1:15" x14ac:dyDescent="0.2">
      <c r="A174" s="55">
        <v>218</v>
      </c>
      <c r="B174" s="55" t="b">
        <v>1</v>
      </c>
      <c r="C174" s="55" t="b">
        <v>0</v>
      </c>
      <c r="D174" s="55" t="s">
        <v>24</v>
      </c>
      <c r="E174" s="55" t="s">
        <v>192</v>
      </c>
      <c r="F174" s="55" t="s">
        <v>130</v>
      </c>
      <c r="G174" s="55" t="s">
        <v>300</v>
      </c>
      <c r="H174" s="81" t="s">
        <v>1013</v>
      </c>
      <c r="I174" s="81" t="s">
        <v>1113</v>
      </c>
      <c r="J174" s="55"/>
      <c r="K174" s="55"/>
      <c r="L174" s="55"/>
      <c r="M174" s="55"/>
      <c r="N174" s="55"/>
      <c r="O174" s="73"/>
    </row>
    <row r="175" spans="1:15" x14ac:dyDescent="0.2">
      <c r="A175" s="55">
        <v>219</v>
      </c>
      <c r="B175" s="55" t="b">
        <v>1</v>
      </c>
      <c r="C175" s="55" t="b">
        <v>0</v>
      </c>
      <c r="D175" s="55" t="s">
        <v>24</v>
      </c>
      <c r="E175" s="55" t="s">
        <v>192</v>
      </c>
      <c r="F175" s="55" t="s">
        <v>130</v>
      </c>
      <c r="G175" s="55" t="s">
        <v>301</v>
      </c>
      <c r="H175" s="81" t="s">
        <v>1013</v>
      </c>
      <c r="I175" s="81" t="s">
        <v>1113</v>
      </c>
      <c r="J175" s="55"/>
      <c r="K175" s="55"/>
      <c r="L175" s="55"/>
      <c r="M175" s="55"/>
      <c r="N175" s="55"/>
      <c r="O175" s="73"/>
    </row>
    <row r="176" spans="1:15" x14ac:dyDescent="0.2">
      <c r="A176" s="55">
        <v>220</v>
      </c>
      <c r="B176" s="55" t="b">
        <v>1</v>
      </c>
      <c r="C176" s="55" t="b">
        <v>0</v>
      </c>
      <c r="D176" s="55" t="s">
        <v>24</v>
      </c>
      <c r="E176" s="55" t="s">
        <v>192</v>
      </c>
      <c r="F176" s="55" t="s">
        <v>130</v>
      </c>
      <c r="G176" s="55" t="s">
        <v>302</v>
      </c>
      <c r="H176" s="81" t="s">
        <v>1013</v>
      </c>
      <c r="I176" s="81" t="s">
        <v>1113</v>
      </c>
      <c r="J176" s="55"/>
      <c r="K176" s="55"/>
      <c r="L176" s="55"/>
      <c r="M176" s="55"/>
      <c r="N176" s="55"/>
      <c r="O176" s="73"/>
    </row>
    <row r="177" spans="1:15" x14ac:dyDescent="0.2">
      <c r="A177" s="55">
        <v>221</v>
      </c>
      <c r="B177" s="55" t="b">
        <v>1</v>
      </c>
      <c r="C177" s="55" t="b">
        <v>0</v>
      </c>
      <c r="D177" s="55" t="s">
        <v>24</v>
      </c>
      <c r="E177" s="55" t="s">
        <v>192</v>
      </c>
      <c r="F177" s="55" t="s">
        <v>130</v>
      </c>
      <c r="G177" s="55" t="s">
        <v>303</v>
      </c>
      <c r="H177" s="81" t="s">
        <v>1013</v>
      </c>
      <c r="I177" s="81" t="s">
        <v>1113</v>
      </c>
      <c r="J177" s="55"/>
      <c r="K177" s="55"/>
      <c r="L177" s="55"/>
      <c r="M177" s="55"/>
      <c r="N177" s="55"/>
      <c r="O177" s="73"/>
    </row>
    <row r="178" spans="1:15" x14ac:dyDescent="0.2">
      <c r="A178" s="55">
        <v>222</v>
      </c>
      <c r="B178" s="55" t="b">
        <v>1</v>
      </c>
      <c r="C178" s="55" t="b">
        <v>0</v>
      </c>
      <c r="D178" s="55" t="s">
        <v>24</v>
      </c>
      <c r="E178" s="55" t="s">
        <v>192</v>
      </c>
      <c r="F178" s="55" t="s">
        <v>130</v>
      </c>
      <c r="G178" s="55" t="s">
        <v>304</v>
      </c>
      <c r="H178" s="81" t="s">
        <v>1013</v>
      </c>
      <c r="I178" s="81" t="s">
        <v>1113</v>
      </c>
      <c r="J178" s="55"/>
      <c r="K178" s="55"/>
      <c r="L178" s="55"/>
      <c r="M178" s="55"/>
      <c r="N178" s="55"/>
      <c r="O178" s="73"/>
    </row>
    <row r="179" spans="1:15" x14ac:dyDescent="0.2">
      <c r="A179" s="55">
        <v>223</v>
      </c>
      <c r="B179" s="55" t="b">
        <v>1</v>
      </c>
      <c r="C179" s="55" t="b">
        <v>0</v>
      </c>
      <c r="D179" s="55" t="s">
        <v>24</v>
      </c>
      <c r="E179" s="55" t="s">
        <v>192</v>
      </c>
      <c r="F179" s="55" t="s">
        <v>130</v>
      </c>
      <c r="G179" s="55" t="s">
        <v>305</v>
      </c>
      <c r="H179" s="81" t="s">
        <v>1013</v>
      </c>
      <c r="I179" s="81" t="s">
        <v>1113</v>
      </c>
      <c r="J179" s="55"/>
      <c r="K179" s="55"/>
      <c r="L179" s="55"/>
      <c r="M179" s="55"/>
      <c r="N179" s="55"/>
      <c r="O179" s="73"/>
    </row>
    <row r="180" spans="1:15" x14ac:dyDescent="0.2">
      <c r="A180" s="55">
        <v>224</v>
      </c>
      <c r="B180" s="55" t="b">
        <v>1</v>
      </c>
      <c r="C180" s="55" t="b">
        <v>0</v>
      </c>
      <c r="D180" s="55" t="s">
        <v>24</v>
      </c>
      <c r="E180" s="55" t="s">
        <v>192</v>
      </c>
      <c r="F180" s="55" t="s">
        <v>130</v>
      </c>
      <c r="G180" s="55" t="s">
        <v>306</v>
      </c>
      <c r="H180" s="81" t="s">
        <v>1013</v>
      </c>
      <c r="I180" s="81" t="s">
        <v>1113</v>
      </c>
      <c r="J180" s="55"/>
      <c r="K180" s="55"/>
      <c r="L180" s="55"/>
      <c r="M180" s="55"/>
      <c r="N180" s="55"/>
      <c r="O180" s="73"/>
    </row>
    <row r="181" spans="1:15" s="57" customFormat="1" x14ac:dyDescent="0.2">
      <c r="A181" s="56">
        <v>225</v>
      </c>
      <c r="B181" s="56"/>
      <c r="C181" s="56"/>
      <c r="D181" s="56" t="s">
        <v>1198</v>
      </c>
      <c r="E181" s="56" t="s">
        <v>192</v>
      </c>
      <c r="F181" s="56" t="s">
        <v>1202</v>
      </c>
      <c r="G181" s="56" t="s">
        <v>497</v>
      </c>
      <c r="H181" s="56" t="s">
        <v>1013</v>
      </c>
      <c r="I181" s="56"/>
      <c r="J181" s="56" t="s">
        <v>9</v>
      </c>
      <c r="K181" s="56" t="s">
        <v>1860</v>
      </c>
      <c r="L181" s="56"/>
      <c r="M181" s="56"/>
      <c r="N181" s="76" t="s">
        <v>1862</v>
      </c>
      <c r="O181" s="75" t="s">
        <v>1938</v>
      </c>
    </row>
    <row r="182" spans="1:15" s="57" customFormat="1" x14ac:dyDescent="0.2">
      <c r="A182" s="56">
        <v>228</v>
      </c>
      <c r="B182" s="56"/>
      <c r="C182" s="56"/>
      <c r="D182" s="56" t="s">
        <v>1198</v>
      </c>
      <c r="E182" s="56" t="s">
        <v>192</v>
      </c>
      <c r="F182" s="56" t="s">
        <v>1199</v>
      </c>
      <c r="G182" s="56" t="s">
        <v>497</v>
      </c>
      <c r="H182" s="56" t="s">
        <v>1013</v>
      </c>
      <c r="I182" s="56"/>
      <c r="J182" s="56" t="s">
        <v>1091</v>
      </c>
      <c r="K182" s="56" t="s">
        <v>1762</v>
      </c>
      <c r="L182" s="56"/>
      <c r="M182" s="56"/>
      <c r="N182" s="76" t="s">
        <v>1763</v>
      </c>
      <c r="O182" s="75"/>
    </row>
    <row r="183" spans="1:15" x14ac:dyDescent="0.2">
      <c r="A183" s="55">
        <v>237</v>
      </c>
      <c r="B183" s="55" t="b">
        <v>1</v>
      </c>
      <c r="C183" s="55" t="b">
        <v>0</v>
      </c>
      <c r="D183" s="55" t="s">
        <v>149</v>
      </c>
      <c r="E183" s="55" t="s">
        <v>192</v>
      </c>
      <c r="F183" s="55" t="s">
        <v>151</v>
      </c>
      <c r="G183" s="55" t="s">
        <v>364</v>
      </c>
      <c r="H183" s="55" t="s">
        <v>1013</v>
      </c>
      <c r="I183" s="55"/>
      <c r="J183" s="55" t="s">
        <v>1036</v>
      </c>
      <c r="K183" s="55" t="s">
        <v>1042</v>
      </c>
      <c r="L183" s="55"/>
      <c r="M183" s="55"/>
      <c r="N183" s="59" t="s">
        <v>1045</v>
      </c>
      <c r="O183" s="73"/>
    </row>
    <row r="184" spans="1:15" x14ac:dyDescent="0.2">
      <c r="A184" s="55">
        <v>238</v>
      </c>
      <c r="B184" s="55" t="b">
        <v>1</v>
      </c>
      <c r="C184" s="55" t="b">
        <v>0</v>
      </c>
      <c r="D184" s="55" t="s">
        <v>149</v>
      </c>
      <c r="E184" s="55" t="s">
        <v>192</v>
      </c>
      <c r="F184" s="55" t="s">
        <v>151</v>
      </c>
      <c r="G184" s="55" t="s">
        <v>365</v>
      </c>
      <c r="H184" s="55" t="s">
        <v>1013</v>
      </c>
      <c r="I184" s="55"/>
      <c r="J184" s="55" t="s">
        <v>1036</v>
      </c>
      <c r="K184" s="55" t="s">
        <v>1063</v>
      </c>
      <c r="L184" s="55"/>
      <c r="M184" s="55"/>
      <c r="N184" s="59" t="s">
        <v>1045</v>
      </c>
      <c r="O184" s="73"/>
    </row>
    <row r="185" spans="1:15" x14ac:dyDescent="0.2">
      <c r="A185" s="55">
        <v>239</v>
      </c>
      <c r="B185" s="55" t="b">
        <v>1</v>
      </c>
      <c r="C185" s="55" t="b">
        <v>0</v>
      </c>
      <c r="D185" s="55" t="s">
        <v>149</v>
      </c>
      <c r="E185" s="55" t="s">
        <v>192</v>
      </c>
      <c r="F185" s="55" t="s">
        <v>151</v>
      </c>
      <c r="G185" s="55" t="s">
        <v>369</v>
      </c>
      <c r="H185" s="55" t="s">
        <v>1013</v>
      </c>
      <c r="I185" s="55"/>
      <c r="J185" s="55" t="s">
        <v>1036</v>
      </c>
      <c r="K185" s="55" t="s">
        <v>1058</v>
      </c>
      <c r="L185" s="55"/>
      <c r="M185" s="55"/>
      <c r="N185" s="59" t="s">
        <v>1045</v>
      </c>
      <c r="O185" s="73"/>
    </row>
    <row r="186" spans="1:15" x14ac:dyDescent="0.2">
      <c r="A186" s="55">
        <v>240</v>
      </c>
      <c r="B186" s="55" t="b">
        <v>1</v>
      </c>
      <c r="C186" s="55" t="b">
        <v>0</v>
      </c>
      <c r="D186" s="55" t="s">
        <v>149</v>
      </c>
      <c r="E186" s="55" t="s">
        <v>192</v>
      </c>
      <c r="F186" s="55" t="s">
        <v>151</v>
      </c>
      <c r="G186" s="55" t="s">
        <v>370</v>
      </c>
      <c r="H186" s="55" t="s">
        <v>1013</v>
      </c>
      <c r="I186" s="55"/>
      <c r="J186" s="55" t="s">
        <v>1036</v>
      </c>
      <c r="K186" s="55" t="s">
        <v>1041</v>
      </c>
      <c r="L186" s="55"/>
      <c r="M186" s="55"/>
      <c r="N186" s="59" t="s">
        <v>1045</v>
      </c>
      <c r="O186" s="73"/>
    </row>
    <row r="187" spans="1:15" x14ac:dyDescent="0.2">
      <c r="A187" s="55">
        <v>241</v>
      </c>
      <c r="B187" s="55" t="b">
        <v>1</v>
      </c>
      <c r="C187" s="55" t="b">
        <v>0</v>
      </c>
      <c r="D187" s="55" t="s">
        <v>149</v>
      </c>
      <c r="E187" s="55" t="s">
        <v>192</v>
      </c>
      <c r="F187" s="55" t="s">
        <v>151</v>
      </c>
      <c r="G187" s="55" t="s">
        <v>371</v>
      </c>
      <c r="H187" s="55" t="s">
        <v>1013</v>
      </c>
      <c r="I187" s="55"/>
      <c r="J187" s="55" t="s">
        <v>1036</v>
      </c>
      <c r="K187" s="55" t="s">
        <v>1059</v>
      </c>
      <c r="L187" s="55"/>
      <c r="M187" s="55"/>
      <c r="N187" s="59" t="s">
        <v>1045</v>
      </c>
      <c r="O187" s="73"/>
    </row>
    <row r="188" spans="1:15" x14ac:dyDescent="0.2">
      <c r="A188" s="55">
        <v>242</v>
      </c>
      <c r="B188" s="55" t="b">
        <v>1</v>
      </c>
      <c r="C188" s="55" t="b">
        <v>0</v>
      </c>
      <c r="D188" s="55" t="s">
        <v>149</v>
      </c>
      <c r="E188" s="55" t="s">
        <v>192</v>
      </c>
      <c r="F188" s="55" t="s">
        <v>151</v>
      </c>
      <c r="G188" s="55" t="s">
        <v>372</v>
      </c>
      <c r="H188" s="55" t="s">
        <v>1013</v>
      </c>
      <c r="I188" s="55"/>
      <c r="J188" s="55" t="s">
        <v>1036</v>
      </c>
      <c r="K188" s="55" t="s">
        <v>1060</v>
      </c>
      <c r="L188" s="55"/>
      <c r="M188" s="55"/>
      <c r="N188" s="59" t="s">
        <v>1045</v>
      </c>
      <c r="O188" s="73"/>
    </row>
    <row r="189" spans="1:15" x14ac:dyDescent="0.2">
      <c r="A189" s="55">
        <v>243</v>
      </c>
      <c r="B189" s="55" t="b">
        <v>1</v>
      </c>
      <c r="C189" s="55" t="b">
        <v>0</v>
      </c>
      <c r="D189" s="55" t="s">
        <v>149</v>
      </c>
      <c r="E189" s="55" t="s">
        <v>192</v>
      </c>
      <c r="F189" s="55" t="s">
        <v>151</v>
      </c>
      <c r="G189" s="55" t="s">
        <v>373</v>
      </c>
      <c r="H189" s="55" t="s">
        <v>1013</v>
      </c>
      <c r="I189" s="55"/>
      <c r="J189" s="55" t="s">
        <v>1036</v>
      </c>
      <c r="K189" s="55" t="s">
        <v>1061</v>
      </c>
      <c r="L189" s="55"/>
      <c r="M189" s="55"/>
      <c r="N189" s="59" t="s">
        <v>1045</v>
      </c>
      <c r="O189" s="73"/>
    </row>
    <row r="190" spans="1:15" x14ac:dyDescent="0.2">
      <c r="A190" s="55">
        <v>244</v>
      </c>
      <c r="B190" s="55" t="b">
        <v>1</v>
      </c>
      <c r="C190" s="55" t="b">
        <v>0</v>
      </c>
      <c r="D190" s="55" t="s">
        <v>149</v>
      </c>
      <c r="E190" s="55" t="s">
        <v>192</v>
      </c>
      <c r="F190" s="55" t="s">
        <v>152</v>
      </c>
      <c r="G190" s="55"/>
      <c r="H190" s="81" t="s">
        <v>1013</v>
      </c>
      <c r="I190" s="81" t="s">
        <v>1113</v>
      </c>
      <c r="J190" s="55"/>
      <c r="K190" s="55"/>
      <c r="L190" s="55"/>
      <c r="M190" s="55"/>
      <c r="N190" s="55"/>
      <c r="O190" s="73"/>
    </row>
    <row r="191" spans="1:15" x14ac:dyDescent="0.2">
      <c r="A191" s="55">
        <v>245</v>
      </c>
      <c r="B191" s="55" t="b">
        <v>1</v>
      </c>
      <c r="C191" s="55" t="b">
        <v>0</v>
      </c>
      <c r="D191" s="55" t="s">
        <v>149</v>
      </c>
      <c r="E191" s="55" t="s">
        <v>192</v>
      </c>
      <c r="F191" s="55" t="s">
        <v>1203</v>
      </c>
      <c r="G191" s="55" t="s">
        <v>1239</v>
      </c>
      <c r="H191" s="81" t="s">
        <v>1013</v>
      </c>
      <c r="I191" s="81" t="s">
        <v>1113</v>
      </c>
      <c r="J191" s="55"/>
      <c r="K191" s="55"/>
      <c r="L191" s="55"/>
      <c r="M191" s="55"/>
      <c r="N191" s="55"/>
      <c r="O191" s="73"/>
    </row>
    <row r="192" spans="1:15" x14ac:dyDescent="0.2">
      <c r="A192" s="55">
        <v>246</v>
      </c>
      <c r="B192" s="55" t="b">
        <v>1</v>
      </c>
      <c r="C192" s="55" t="b">
        <v>0</v>
      </c>
      <c r="D192" s="55" t="s">
        <v>149</v>
      </c>
      <c r="E192" s="55" t="s">
        <v>192</v>
      </c>
      <c r="F192" s="55" t="s">
        <v>1203</v>
      </c>
      <c r="G192" s="55" t="s">
        <v>1240</v>
      </c>
      <c r="H192" s="81" t="s">
        <v>1013</v>
      </c>
      <c r="I192" s="81" t="s">
        <v>1113</v>
      </c>
      <c r="J192" s="55"/>
      <c r="K192" s="55"/>
      <c r="L192" s="55"/>
      <c r="M192" s="55"/>
      <c r="N192" s="55"/>
      <c r="O192" s="73"/>
    </row>
    <row r="193" spans="1:15" s="57" customFormat="1" x14ac:dyDescent="0.2">
      <c r="A193" s="56">
        <v>247</v>
      </c>
      <c r="B193" s="56"/>
      <c r="C193" s="56"/>
      <c r="D193" s="56" t="s">
        <v>149</v>
      </c>
      <c r="E193" s="56" t="s">
        <v>192</v>
      </c>
      <c r="F193" s="56" t="s">
        <v>155</v>
      </c>
      <c r="G193" s="56"/>
      <c r="H193" s="56" t="s">
        <v>1013</v>
      </c>
      <c r="I193" s="56"/>
      <c r="J193" s="56" t="s">
        <v>1091</v>
      </c>
      <c r="K193" s="56" t="s">
        <v>1527</v>
      </c>
      <c r="L193" s="56"/>
      <c r="M193" s="56"/>
      <c r="N193" s="76" t="s">
        <v>1526</v>
      </c>
      <c r="O193" s="78" t="s">
        <v>1943</v>
      </c>
    </row>
    <row r="194" spans="1:15" s="57" customFormat="1" x14ac:dyDescent="0.2">
      <c r="A194" s="56">
        <v>248</v>
      </c>
      <c r="B194" s="56"/>
      <c r="C194" s="56"/>
      <c r="D194" s="56" t="s">
        <v>149</v>
      </c>
      <c r="E194" s="56" t="s">
        <v>192</v>
      </c>
      <c r="F194" s="56" t="s">
        <v>122</v>
      </c>
      <c r="G194" s="56" t="s">
        <v>497</v>
      </c>
      <c r="H194" s="56" t="s">
        <v>1013</v>
      </c>
      <c r="I194" s="56"/>
      <c r="J194" s="56" t="s">
        <v>1297</v>
      </c>
      <c r="K194" s="56" t="s">
        <v>1429</v>
      </c>
      <c r="L194" s="56"/>
      <c r="M194" s="56"/>
      <c r="N194" s="76" t="s">
        <v>1526</v>
      </c>
      <c r="O194" s="75" t="s">
        <v>1955</v>
      </c>
    </row>
    <row r="195" spans="1:15" s="57" customFormat="1" x14ac:dyDescent="0.2">
      <c r="A195" s="56">
        <v>266</v>
      </c>
      <c r="B195" s="56"/>
      <c r="C195" s="56"/>
      <c r="D195" s="56" t="s">
        <v>113</v>
      </c>
      <c r="E195" s="56" t="s">
        <v>192</v>
      </c>
      <c r="F195" s="56" t="s">
        <v>1167</v>
      </c>
      <c r="G195" s="56" t="s">
        <v>497</v>
      </c>
      <c r="H195" s="82" t="s">
        <v>1013</v>
      </c>
      <c r="I195" s="82" t="s">
        <v>1113</v>
      </c>
      <c r="J195" s="56"/>
      <c r="K195" s="56"/>
      <c r="L195" s="56"/>
      <c r="M195" s="56"/>
      <c r="N195" s="76" t="s">
        <v>1764</v>
      </c>
      <c r="O195" s="74" t="s">
        <v>1944</v>
      </c>
    </row>
    <row r="196" spans="1:15" x14ac:dyDescent="0.2">
      <c r="A196" s="55">
        <v>276</v>
      </c>
      <c r="B196" s="55" t="b">
        <v>1</v>
      </c>
      <c r="C196" s="55" t="b">
        <v>0</v>
      </c>
      <c r="D196" s="55" t="s">
        <v>113</v>
      </c>
      <c r="E196" s="55" t="s">
        <v>192</v>
      </c>
      <c r="F196" s="55" t="s">
        <v>131</v>
      </c>
      <c r="G196" s="55" t="s">
        <v>277</v>
      </c>
      <c r="H196" s="81" t="s">
        <v>1013</v>
      </c>
      <c r="I196" s="81" t="s">
        <v>1113</v>
      </c>
      <c r="J196" s="55"/>
      <c r="K196" s="55"/>
      <c r="L196" s="55"/>
      <c r="M196" s="55"/>
      <c r="N196" s="59" t="s">
        <v>1673</v>
      </c>
      <c r="O196" s="73" t="s">
        <v>1946</v>
      </c>
    </row>
    <row r="197" spans="1:15" x14ac:dyDescent="0.2">
      <c r="A197" s="55">
        <v>277</v>
      </c>
      <c r="B197" s="55" t="b">
        <v>1</v>
      </c>
      <c r="C197" s="55" t="b">
        <v>0</v>
      </c>
      <c r="D197" s="55" t="s">
        <v>113</v>
      </c>
      <c r="E197" s="55" t="s">
        <v>192</v>
      </c>
      <c r="F197" s="55" t="s">
        <v>131</v>
      </c>
      <c r="G197" s="55" t="s">
        <v>278</v>
      </c>
      <c r="H197" s="81" t="s">
        <v>1013</v>
      </c>
      <c r="I197" s="81" t="s">
        <v>1113</v>
      </c>
      <c r="J197" s="55"/>
      <c r="K197" s="55"/>
      <c r="L197" s="55"/>
      <c r="M197" s="55"/>
      <c r="N197" s="59" t="s">
        <v>1673</v>
      </c>
      <c r="O197" s="73" t="s">
        <v>1946</v>
      </c>
    </row>
    <row r="198" spans="1:15" x14ac:dyDescent="0.2">
      <c r="A198" s="55">
        <v>278</v>
      </c>
      <c r="B198" s="55" t="b">
        <v>1</v>
      </c>
      <c r="C198" s="55" t="b">
        <v>0</v>
      </c>
      <c r="D198" s="55" t="s">
        <v>113</v>
      </c>
      <c r="E198" s="55" t="s">
        <v>192</v>
      </c>
      <c r="F198" s="55" t="s">
        <v>131</v>
      </c>
      <c r="G198" s="55" t="s">
        <v>279</v>
      </c>
      <c r="H198" s="81" t="s">
        <v>1013</v>
      </c>
      <c r="I198" s="81" t="s">
        <v>1113</v>
      </c>
      <c r="J198" s="55"/>
      <c r="K198" s="55"/>
      <c r="L198" s="55"/>
      <c r="M198" s="55"/>
      <c r="N198" s="59" t="s">
        <v>1673</v>
      </c>
      <c r="O198" s="73" t="s">
        <v>1946</v>
      </c>
    </row>
    <row r="199" spans="1:15" x14ac:dyDescent="0.2">
      <c r="A199" s="55">
        <v>279</v>
      </c>
      <c r="B199" s="55" t="b">
        <v>1</v>
      </c>
      <c r="C199" s="55" t="b">
        <v>0</v>
      </c>
      <c r="D199" s="55" t="s">
        <v>113</v>
      </c>
      <c r="E199" s="55" t="s">
        <v>192</v>
      </c>
      <c r="F199" s="55" t="s">
        <v>131</v>
      </c>
      <c r="G199" s="55" t="s">
        <v>280</v>
      </c>
      <c r="H199" s="81" t="s">
        <v>1013</v>
      </c>
      <c r="I199" s="81" t="s">
        <v>1113</v>
      </c>
      <c r="J199" s="55"/>
      <c r="K199" s="55"/>
      <c r="L199" s="55"/>
      <c r="M199" s="55"/>
      <c r="N199" s="59" t="s">
        <v>1673</v>
      </c>
      <c r="O199" s="73" t="s">
        <v>1946</v>
      </c>
    </row>
    <row r="200" spans="1:15" x14ac:dyDescent="0.2">
      <c r="A200" s="55">
        <v>280</v>
      </c>
      <c r="B200" s="55" t="b">
        <v>1</v>
      </c>
      <c r="C200" s="55" t="b">
        <v>0</v>
      </c>
      <c r="D200" s="55" t="s">
        <v>113</v>
      </c>
      <c r="E200" s="55" t="s">
        <v>192</v>
      </c>
      <c r="F200" s="55" t="s">
        <v>131</v>
      </c>
      <c r="G200" s="55" t="s">
        <v>281</v>
      </c>
      <c r="H200" s="81" t="s">
        <v>1013</v>
      </c>
      <c r="I200" s="81" t="s">
        <v>1113</v>
      </c>
      <c r="J200" s="55"/>
      <c r="K200" s="55"/>
      <c r="L200" s="55"/>
      <c r="M200" s="55"/>
      <c r="N200" s="59" t="s">
        <v>1673</v>
      </c>
      <c r="O200" s="73" t="s">
        <v>1946</v>
      </c>
    </row>
    <row r="201" spans="1:15" x14ac:dyDescent="0.2">
      <c r="A201" s="55">
        <v>281</v>
      </c>
      <c r="B201" s="55" t="b">
        <v>1</v>
      </c>
      <c r="C201" s="55" t="b">
        <v>0</v>
      </c>
      <c r="D201" s="55" t="s">
        <v>113</v>
      </c>
      <c r="E201" s="55" t="s">
        <v>192</v>
      </c>
      <c r="F201" s="55" t="s">
        <v>131</v>
      </c>
      <c r="G201" s="55" t="s">
        <v>1213</v>
      </c>
      <c r="H201" s="81" t="s">
        <v>1013</v>
      </c>
      <c r="I201" s="81" t="s">
        <v>1113</v>
      </c>
      <c r="J201" s="55"/>
      <c r="K201" s="55"/>
      <c r="L201" s="55"/>
      <c r="M201" s="55"/>
      <c r="N201" s="59" t="s">
        <v>1673</v>
      </c>
      <c r="O201" s="73" t="s">
        <v>1946</v>
      </c>
    </row>
    <row r="202" spans="1:15" x14ac:dyDescent="0.2">
      <c r="A202" s="55">
        <v>282</v>
      </c>
      <c r="B202" s="55" t="b">
        <v>1</v>
      </c>
      <c r="C202" s="55" t="b">
        <v>0</v>
      </c>
      <c r="D202" s="55" t="s">
        <v>113</v>
      </c>
      <c r="E202" s="55" t="s">
        <v>192</v>
      </c>
      <c r="F202" s="55" t="s">
        <v>131</v>
      </c>
      <c r="G202" s="55" t="s">
        <v>1214</v>
      </c>
      <c r="H202" s="81" t="s">
        <v>1013</v>
      </c>
      <c r="I202" s="81" t="s">
        <v>1113</v>
      </c>
      <c r="J202" s="55"/>
      <c r="K202" s="55"/>
      <c r="L202" s="55"/>
      <c r="M202" s="55"/>
      <c r="N202" s="59" t="s">
        <v>1673</v>
      </c>
      <c r="O202" s="73" t="s">
        <v>1946</v>
      </c>
    </row>
    <row r="203" spans="1:15" x14ac:dyDescent="0.2">
      <c r="A203" s="55">
        <v>283</v>
      </c>
      <c r="B203" s="55" t="b">
        <v>1</v>
      </c>
      <c r="C203" s="55" t="b">
        <v>0</v>
      </c>
      <c r="D203" s="55" t="s">
        <v>113</v>
      </c>
      <c r="E203" s="55" t="s">
        <v>192</v>
      </c>
      <c r="F203" s="55" t="s">
        <v>131</v>
      </c>
      <c r="G203" s="55" t="s">
        <v>282</v>
      </c>
      <c r="H203" s="81" t="s">
        <v>1013</v>
      </c>
      <c r="I203" s="81" t="s">
        <v>1113</v>
      </c>
      <c r="J203" s="55"/>
      <c r="K203" s="55"/>
      <c r="L203" s="55"/>
      <c r="M203" s="55"/>
      <c r="N203" s="59" t="s">
        <v>1673</v>
      </c>
      <c r="O203" s="73" t="s">
        <v>1946</v>
      </c>
    </row>
    <row r="204" spans="1:15" x14ac:dyDescent="0.2">
      <c r="A204" s="55">
        <v>284</v>
      </c>
      <c r="B204" s="55" t="b">
        <v>1</v>
      </c>
      <c r="C204" s="55" t="b">
        <v>0</v>
      </c>
      <c r="D204" s="55" t="s">
        <v>113</v>
      </c>
      <c r="E204" s="55" t="s">
        <v>192</v>
      </c>
      <c r="F204" s="55" t="s">
        <v>131</v>
      </c>
      <c r="G204" s="55" t="s">
        <v>283</v>
      </c>
      <c r="H204" s="81" t="s">
        <v>1013</v>
      </c>
      <c r="I204" s="81" t="s">
        <v>1113</v>
      </c>
      <c r="J204" s="55"/>
      <c r="K204" s="55"/>
      <c r="L204" s="55"/>
      <c r="M204" s="55"/>
      <c r="N204" s="59" t="s">
        <v>1673</v>
      </c>
      <c r="O204" s="73" t="s">
        <v>1946</v>
      </c>
    </row>
    <row r="205" spans="1:15" x14ac:dyDescent="0.2">
      <c r="A205" s="55">
        <v>285</v>
      </c>
      <c r="B205" s="55" t="b">
        <v>1</v>
      </c>
      <c r="C205" s="55" t="b">
        <v>0</v>
      </c>
      <c r="D205" s="55" t="s">
        <v>113</v>
      </c>
      <c r="E205" s="55" t="s">
        <v>192</v>
      </c>
      <c r="F205" s="55" t="s">
        <v>131</v>
      </c>
      <c r="G205" s="55" t="s">
        <v>1215</v>
      </c>
      <c r="H205" s="81" t="s">
        <v>1013</v>
      </c>
      <c r="I205" s="81" t="s">
        <v>1113</v>
      </c>
      <c r="J205" s="55"/>
      <c r="K205" s="55"/>
      <c r="L205" s="55"/>
      <c r="M205" s="55"/>
      <c r="N205" s="59" t="s">
        <v>1673</v>
      </c>
      <c r="O205" s="73" t="s">
        <v>1946</v>
      </c>
    </row>
    <row r="206" spans="1:15" x14ac:dyDescent="0.2">
      <c r="A206" s="55">
        <v>286</v>
      </c>
      <c r="B206" s="55" t="b">
        <v>1</v>
      </c>
      <c r="C206" s="55" t="b">
        <v>0</v>
      </c>
      <c r="D206" s="55" t="s">
        <v>113</v>
      </c>
      <c r="E206" s="55" t="s">
        <v>192</v>
      </c>
      <c r="F206" s="55" t="s">
        <v>131</v>
      </c>
      <c r="G206" s="55" t="s">
        <v>1216</v>
      </c>
      <c r="H206" s="81" t="s">
        <v>1013</v>
      </c>
      <c r="I206" s="81" t="s">
        <v>1113</v>
      </c>
      <c r="J206" s="55"/>
      <c r="K206" s="55"/>
      <c r="L206" s="55"/>
      <c r="M206" s="55"/>
      <c r="N206" s="59" t="s">
        <v>1673</v>
      </c>
      <c r="O206" s="73" t="s">
        <v>1946</v>
      </c>
    </row>
    <row r="207" spans="1:15" x14ac:dyDescent="0.2">
      <c r="A207" s="55">
        <v>332</v>
      </c>
      <c r="B207" s="55" t="b">
        <v>1</v>
      </c>
      <c r="C207" s="55" t="b">
        <v>0</v>
      </c>
      <c r="D207" s="55" t="s">
        <v>113</v>
      </c>
      <c r="E207" s="55" t="s">
        <v>192</v>
      </c>
      <c r="F207" s="55" t="s">
        <v>1168</v>
      </c>
      <c r="G207" s="55" t="s">
        <v>497</v>
      </c>
      <c r="H207" s="81" t="s">
        <v>1013</v>
      </c>
      <c r="I207" s="81" t="s">
        <v>1113</v>
      </c>
      <c r="J207" s="55"/>
      <c r="K207" s="55"/>
      <c r="L207" s="55"/>
      <c r="M207" s="55"/>
      <c r="N207" s="59" t="s">
        <v>1779</v>
      </c>
      <c r="O207" s="73"/>
    </row>
    <row r="208" spans="1:15" s="57" customFormat="1" x14ac:dyDescent="0.2">
      <c r="A208" s="56">
        <v>610</v>
      </c>
      <c r="B208" s="56"/>
      <c r="C208" s="56"/>
      <c r="D208" s="56" t="s">
        <v>113</v>
      </c>
      <c r="E208" s="56" t="s">
        <v>192</v>
      </c>
      <c r="F208" s="56" t="s">
        <v>122</v>
      </c>
      <c r="G208" s="83" t="s">
        <v>497</v>
      </c>
      <c r="H208" s="56" t="s">
        <v>1013</v>
      </c>
      <c r="I208" s="56"/>
      <c r="J208" s="56" t="s">
        <v>1297</v>
      </c>
      <c r="K208" s="56" t="s">
        <v>1429</v>
      </c>
      <c r="L208" s="56"/>
      <c r="M208" s="56"/>
      <c r="N208" s="76" t="s">
        <v>1432</v>
      </c>
      <c r="O208" s="75" t="s">
        <v>1956</v>
      </c>
    </row>
    <row r="209" spans="1:15" x14ac:dyDescent="0.2">
      <c r="A209" s="55">
        <v>611</v>
      </c>
      <c r="B209" s="55" t="b">
        <v>1</v>
      </c>
      <c r="C209" s="55" t="b">
        <v>0</v>
      </c>
      <c r="D209" s="55" t="s">
        <v>113</v>
      </c>
      <c r="E209" s="55" t="s">
        <v>192</v>
      </c>
      <c r="F209" s="55" t="s">
        <v>136</v>
      </c>
      <c r="G209" s="55" t="s">
        <v>214</v>
      </c>
      <c r="H209" s="81" t="s">
        <v>1013</v>
      </c>
      <c r="I209" s="81" t="s">
        <v>1113</v>
      </c>
      <c r="J209" s="55"/>
      <c r="K209" s="55"/>
      <c r="L209" s="55"/>
      <c r="M209" s="55"/>
      <c r="N209" s="59" t="s">
        <v>1673</v>
      </c>
      <c r="O209" s="79" t="s">
        <v>1957</v>
      </c>
    </row>
    <row r="210" spans="1:15" x14ac:dyDescent="0.2">
      <c r="A210" s="55">
        <v>612</v>
      </c>
      <c r="B210" s="55" t="b">
        <v>1</v>
      </c>
      <c r="C210" s="55" t="b">
        <v>0</v>
      </c>
      <c r="D210" s="55" t="s">
        <v>113</v>
      </c>
      <c r="E210" s="55" t="s">
        <v>192</v>
      </c>
      <c r="F210" s="55" t="s">
        <v>136</v>
      </c>
      <c r="G210" s="55" t="s">
        <v>215</v>
      </c>
      <c r="H210" s="81" t="s">
        <v>1013</v>
      </c>
      <c r="I210" s="81" t="s">
        <v>1113</v>
      </c>
      <c r="J210" s="55"/>
      <c r="K210" s="55"/>
      <c r="L210" s="55"/>
      <c r="M210" s="55"/>
      <c r="N210" s="59" t="s">
        <v>1673</v>
      </c>
      <c r="O210" s="79" t="s">
        <v>1957</v>
      </c>
    </row>
    <row r="211" spans="1:15" x14ac:dyDescent="0.2">
      <c r="A211" s="55">
        <v>613</v>
      </c>
      <c r="B211" s="55" t="b">
        <v>1</v>
      </c>
      <c r="C211" s="55" t="b">
        <v>0</v>
      </c>
      <c r="D211" s="55" t="s">
        <v>113</v>
      </c>
      <c r="E211" s="55" t="s">
        <v>192</v>
      </c>
      <c r="F211" s="55" t="s">
        <v>136</v>
      </c>
      <c r="G211" s="55" t="s">
        <v>216</v>
      </c>
      <c r="H211" s="81" t="s">
        <v>1013</v>
      </c>
      <c r="I211" s="81" t="s">
        <v>1113</v>
      </c>
      <c r="J211" s="55"/>
      <c r="K211" s="55"/>
      <c r="L211" s="55"/>
      <c r="M211" s="55"/>
      <c r="N211" s="59" t="s">
        <v>1673</v>
      </c>
      <c r="O211" s="79" t="s">
        <v>1957</v>
      </c>
    </row>
    <row r="212" spans="1:15" x14ac:dyDescent="0.2">
      <c r="A212" s="55">
        <v>614</v>
      </c>
      <c r="B212" s="55" t="b">
        <v>1</v>
      </c>
      <c r="C212" s="55" t="b">
        <v>0</v>
      </c>
      <c r="D212" s="55" t="s">
        <v>113</v>
      </c>
      <c r="E212" s="55" t="s">
        <v>192</v>
      </c>
      <c r="F212" s="55" t="s">
        <v>136</v>
      </c>
      <c r="G212" s="55" t="s">
        <v>217</v>
      </c>
      <c r="H212" s="81" t="s">
        <v>1013</v>
      </c>
      <c r="I212" s="81" t="s">
        <v>1113</v>
      </c>
      <c r="J212" s="55"/>
      <c r="K212" s="55"/>
      <c r="L212" s="55"/>
      <c r="M212" s="55"/>
      <c r="N212" s="59" t="s">
        <v>1673</v>
      </c>
      <c r="O212" s="79" t="s">
        <v>1957</v>
      </c>
    </row>
    <row r="213" spans="1:15" x14ac:dyDescent="0.2">
      <c r="A213" s="55">
        <v>615</v>
      </c>
      <c r="B213" s="55" t="b">
        <v>1</v>
      </c>
      <c r="C213" s="55" t="b">
        <v>0</v>
      </c>
      <c r="D213" s="55" t="s">
        <v>113</v>
      </c>
      <c r="E213" s="55" t="s">
        <v>192</v>
      </c>
      <c r="F213" s="55" t="s">
        <v>136</v>
      </c>
      <c r="G213" s="55" t="s">
        <v>218</v>
      </c>
      <c r="H213" s="81" t="s">
        <v>1013</v>
      </c>
      <c r="I213" s="81" t="s">
        <v>1113</v>
      </c>
      <c r="J213" s="55"/>
      <c r="K213" s="55"/>
      <c r="L213" s="55"/>
      <c r="M213" s="55"/>
      <c r="N213" s="59" t="s">
        <v>1673</v>
      </c>
      <c r="O213" s="79" t="s">
        <v>1957</v>
      </c>
    </row>
    <row r="214" spans="1:15" x14ac:dyDescent="0.2">
      <c r="A214" s="55">
        <v>616</v>
      </c>
      <c r="B214" s="55" t="b">
        <v>1</v>
      </c>
      <c r="C214" s="55" t="b">
        <v>0</v>
      </c>
      <c r="D214" s="55" t="s">
        <v>113</v>
      </c>
      <c r="E214" s="55" t="s">
        <v>192</v>
      </c>
      <c r="F214" s="55" t="s">
        <v>136</v>
      </c>
      <c r="G214" s="55" t="s">
        <v>219</v>
      </c>
      <c r="H214" s="81" t="s">
        <v>1013</v>
      </c>
      <c r="I214" s="81" t="s">
        <v>1113</v>
      </c>
      <c r="J214" s="55"/>
      <c r="K214" s="55"/>
      <c r="L214" s="55"/>
      <c r="M214" s="55"/>
      <c r="N214" s="59" t="s">
        <v>1673</v>
      </c>
      <c r="O214" s="79" t="s">
        <v>1957</v>
      </c>
    </row>
    <row r="215" spans="1:15" x14ac:dyDescent="0.2">
      <c r="A215" s="55">
        <v>617</v>
      </c>
      <c r="B215" s="55" t="b">
        <v>1</v>
      </c>
      <c r="C215" s="55" t="b">
        <v>0</v>
      </c>
      <c r="D215" s="55" t="s">
        <v>113</v>
      </c>
      <c r="E215" s="55" t="s">
        <v>192</v>
      </c>
      <c r="F215" s="55" t="s">
        <v>136</v>
      </c>
      <c r="G215" s="55" t="s">
        <v>220</v>
      </c>
      <c r="H215" s="81" t="s">
        <v>1013</v>
      </c>
      <c r="I215" s="81" t="s">
        <v>1113</v>
      </c>
      <c r="J215" s="55"/>
      <c r="K215" s="55"/>
      <c r="L215" s="55"/>
      <c r="M215" s="55"/>
      <c r="N215" s="59" t="s">
        <v>1673</v>
      </c>
      <c r="O215" s="79" t="s">
        <v>1957</v>
      </c>
    </row>
    <row r="216" spans="1:15" x14ac:dyDescent="0.2">
      <c r="A216" s="55">
        <v>618</v>
      </c>
      <c r="B216" s="55" t="b">
        <v>1</v>
      </c>
      <c r="C216" s="55" t="b">
        <v>0</v>
      </c>
      <c r="D216" s="55" t="s">
        <v>113</v>
      </c>
      <c r="E216" s="55" t="s">
        <v>192</v>
      </c>
      <c r="F216" s="55" t="s">
        <v>136</v>
      </c>
      <c r="G216" s="55" t="s">
        <v>1206</v>
      </c>
      <c r="H216" s="81" t="s">
        <v>1013</v>
      </c>
      <c r="I216" s="81" t="s">
        <v>1113</v>
      </c>
      <c r="J216" s="55"/>
      <c r="K216" s="55"/>
      <c r="L216" s="55"/>
      <c r="M216" s="55"/>
      <c r="N216" s="59" t="s">
        <v>1673</v>
      </c>
      <c r="O216" s="79" t="s">
        <v>1957</v>
      </c>
    </row>
    <row r="217" spans="1:15" x14ac:dyDescent="0.2">
      <c r="A217" s="55">
        <v>619</v>
      </c>
      <c r="B217" s="55" t="b">
        <v>1</v>
      </c>
      <c r="C217" s="55" t="b">
        <v>0</v>
      </c>
      <c r="D217" s="55" t="s">
        <v>113</v>
      </c>
      <c r="E217" s="55" t="s">
        <v>192</v>
      </c>
      <c r="F217" s="55" t="s">
        <v>136</v>
      </c>
      <c r="G217" s="55" t="s">
        <v>221</v>
      </c>
      <c r="H217" s="81" t="s">
        <v>1013</v>
      </c>
      <c r="I217" s="81" t="s">
        <v>1113</v>
      </c>
      <c r="J217" s="55"/>
      <c r="K217" s="55"/>
      <c r="L217" s="55"/>
      <c r="M217" s="55"/>
      <c r="N217" s="59" t="s">
        <v>1673</v>
      </c>
      <c r="O217" s="79" t="s">
        <v>1957</v>
      </c>
    </row>
    <row r="218" spans="1:15" x14ac:dyDescent="0.2">
      <c r="A218" s="55">
        <v>620</v>
      </c>
      <c r="B218" s="55" t="b">
        <v>1</v>
      </c>
      <c r="C218" s="55" t="b">
        <v>0</v>
      </c>
      <c r="D218" s="55" t="s">
        <v>113</v>
      </c>
      <c r="E218" s="55" t="s">
        <v>192</v>
      </c>
      <c r="F218" s="55" t="s">
        <v>136</v>
      </c>
      <c r="G218" s="55" t="s">
        <v>222</v>
      </c>
      <c r="H218" s="81" t="s">
        <v>1013</v>
      </c>
      <c r="I218" s="81" t="s">
        <v>1113</v>
      </c>
      <c r="J218" s="55"/>
      <c r="K218" s="55"/>
      <c r="L218" s="55"/>
      <c r="M218" s="55"/>
      <c r="N218" s="59" t="s">
        <v>1673</v>
      </c>
      <c r="O218" s="79" t="s">
        <v>1957</v>
      </c>
    </row>
    <row r="219" spans="1:15" x14ac:dyDescent="0.2">
      <c r="A219" s="55">
        <v>621</v>
      </c>
      <c r="B219" s="55" t="b">
        <v>1</v>
      </c>
      <c r="C219" s="55" t="b">
        <v>0</v>
      </c>
      <c r="D219" s="55" t="s">
        <v>113</v>
      </c>
      <c r="E219" s="55" t="s">
        <v>192</v>
      </c>
      <c r="F219" s="55" t="s">
        <v>137</v>
      </c>
      <c r="G219" s="55" t="s">
        <v>497</v>
      </c>
      <c r="H219" s="55" t="s">
        <v>1013</v>
      </c>
      <c r="I219" s="55"/>
      <c r="J219" s="55" t="s">
        <v>9</v>
      </c>
      <c r="K219" s="55" t="s">
        <v>1691</v>
      </c>
      <c r="L219" s="55"/>
      <c r="M219" s="55"/>
      <c r="N219" s="59" t="s">
        <v>1693</v>
      </c>
      <c r="O219" s="79" t="s">
        <v>1958</v>
      </c>
    </row>
    <row r="220" spans="1:15" s="57" customFormat="1" x14ac:dyDescent="0.2">
      <c r="A220" s="56">
        <v>648</v>
      </c>
      <c r="B220" s="56"/>
      <c r="C220" s="56"/>
      <c r="D220" s="56" t="s">
        <v>113</v>
      </c>
      <c r="E220" s="56" t="s">
        <v>192</v>
      </c>
      <c r="F220" s="56" t="s">
        <v>120</v>
      </c>
      <c r="G220" s="83" t="s">
        <v>497</v>
      </c>
      <c r="H220" s="56" t="s">
        <v>1013</v>
      </c>
      <c r="I220" s="56"/>
      <c r="J220" s="56" t="s">
        <v>1623</v>
      </c>
      <c r="K220" s="56" t="s">
        <v>1428</v>
      </c>
      <c r="L220" s="56"/>
      <c r="M220" s="56"/>
      <c r="N220" s="80" t="s">
        <v>1786</v>
      </c>
      <c r="O220" s="74"/>
    </row>
    <row r="221" spans="1:15" x14ac:dyDescent="0.2">
      <c r="A221" s="55">
        <v>650</v>
      </c>
      <c r="B221" s="55" t="b">
        <v>1</v>
      </c>
      <c r="C221" s="55" t="b">
        <v>0</v>
      </c>
      <c r="D221" s="55" t="s">
        <v>113</v>
      </c>
      <c r="E221" s="55" t="s">
        <v>192</v>
      </c>
      <c r="F221" s="55" t="s">
        <v>124</v>
      </c>
      <c r="G221" s="55" t="s">
        <v>207</v>
      </c>
      <c r="H221" s="55" t="s">
        <v>1013</v>
      </c>
      <c r="I221" s="55"/>
      <c r="J221" s="55" t="s">
        <v>1036</v>
      </c>
      <c r="K221" s="55" t="s">
        <v>1298</v>
      </c>
      <c r="L221" s="55"/>
      <c r="M221" s="55"/>
      <c r="N221" s="59" t="s">
        <v>1045</v>
      </c>
      <c r="O221" s="73"/>
    </row>
    <row r="222" spans="1:15" x14ac:dyDescent="0.2">
      <c r="A222" s="55">
        <v>651</v>
      </c>
      <c r="B222" s="55" t="b">
        <v>1</v>
      </c>
      <c r="C222" s="55" t="b">
        <v>0</v>
      </c>
      <c r="D222" s="55" t="s">
        <v>113</v>
      </c>
      <c r="E222" s="55" t="s">
        <v>192</v>
      </c>
      <c r="F222" s="55" t="s">
        <v>124</v>
      </c>
      <c r="G222" s="55" t="s">
        <v>208</v>
      </c>
      <c r="H222" s="55" t="s">
        <v>1013</v>
      </c>
      <c r="I222" s="55"/>
      <c r="J222" s="55" t="s">
        <v>1036</v>
      </c>
      <c r="K222" s="55" t="s">
        <v>1299</v>
      </c>
      <c r="L222" s="55"/>
      <c r="M222" s="55"/>
      <c r="N222" s="59" t="s">
        <v>1045</v>
      </c>
      <c r="O222" s="73"/>
    </row>
    <row r="223" spans="1:15" x14ac:dyDescent="0.2">
      <c r="A223" s="55">
        <v>652</v>
      </c>
      <c r="B223" s="55" t="b">
        <v>1</v>
      </c>
      <c r="C223" s="55" t="b">
        <v>0</v>
      </c>
      <c r="D223" s="55" t="s">
        <v>113</v>
      </c>
      <c r="E223" s="55" t="s">
        <v>192</v>
      </c>
      <c r="F223" s="55" t="s">
        <v>124</v>
      </c>
      <c r="G223" s="55" t="s">
        <v>209</v>
      </c>
      <c r="H223" s="55" t="s">
        <v>1013</v>
      </c>
      <c r="I223" s="55"/>
      <c r="J223" s="55" t="s">
        <v>1036</v>
      </c>
      <c r="K223" s="55" t="s">
        <v>1300</v>
      </c>
      <c r="L223" s="55"/>
      <c r="M223" s="55"/>
      <c r="N223" s="59" t="s">
        <v>1045</v>
      </c>
      <c r="O223" s="73"/>
    </row>
    <row r="224" spans="1:15" x14ac:dyDescent="0.2">
      <c r="A224" s="55">
        <v>653</v>
      </c>
      <c r="B224" s="55" t="b">
        <v>1</v>
      </c>
      <c r="C224" s="55" t="b">
        <v>0</v>
      </c>
      <c r="D224" s="55" t="s">
        <v>113</v>
      </c>
      <c r="E224" s="55" t="s">
        <v>192</v>
      </c>
      <c r="F224" s="55" t="s">
        <v>124</v>
      </c>
      <c r="G224" s="55" t="s">
        <v>210</v>
      </c>
      <c r="H224" s="55" t="s">
        <v>1013</v>
      </c>
      <c r="I224" s="55"/>
      <c r="J224" s="55" t="s">
        <v>1036</v>
      </c>
      <c r="K224" s="55" t="s">
        <v>1301</v>
      </c>
      <c r="L224" s="55"/>
      <c r="M224" s="55"/>
      <c r="N224" s="59" t="s">
        <v>1045</v>
      </c>
      <c r="O224" s="73"/>
    </row>
    <row r="225" spans="1:15" x14ac:dyDescent="0.2">
      <c r="A225" s="55">
        <v>654</v>
      </c>
      <c r="B225" s="55" t="b">
        <v>1</v>
      </c>
      <c r="C225" s="55" t="b">
        <v>0</v>
      </c>
      <c r="D225" s="55" t="s">
        <v>113</v>
      </c>
      <c r="E225" s="55" t="s">
        <v>192</v>
      </c>
      <c r="F225" s="55" t="s">
        <v>124</v>
      </c>
      <c r="G225" s="55" t="s">
        <v>211</v>
      </c>
      <c r="H225" s="55" t="s">
        <v>1013</v>
      </c>
      <c r="I225" s="55"/>
      <c r="J225" s="55" t="s">
        <v>1036</v>
      </c>
      <c r="K225" s="55" t="s">
        <v>1304</v>
      </c>
      <c r="L225" s="55"/>
      <c r="M225" s="55"/>
      <c r="N225" s="59" t="s">
        <v>1045</v>
      </c>
      <c r="O225" s="73"/>
    </row>
    <row r="226" spans="1:15" x14ac:dyDescent="0.2">
      <c r="A226" s="55">
        <v>655</v>
      </c>
      <c r="B226" s="55" t="b">
        <v>1</v>
      </c>
      <c r="C226" s="55" t="b">
        <v>0</v>
      </c>
      <c r="D226" s="55" t="s">
        <v>113</v>
      </c>
      <c r="E226" s="55" t="s">
        <v>192</v>
      </c>
      <c r="F226" s="55" t="s">
        <v>124</v>
      </c>
      <c r="G226" s="55" t="s">
        <v>212</v>
      </c>
      <c r="H226" s="55" t="s">
        <v>1013</v>
      </c>
      <c r="I226" s="55"/>
      <c r="J226" s="55" t="s">
        <v>1036</v>
      </c>
      <c r="K226" s="55" t="s">
        <v>1302</v>
      </c>
      <c r="L226" s="55"/>
      <c r="M226" s="55"/>
      <c r="N226" s="59" t="s">
        <v>1045</v>
      </c>
      <c r="O226" s="73"/>
    </row>
    <row r="227" spans="1:15" x14ac:dyDescent="0.2">
      <c r="A227" s="55">
        <v>656</v>
      </c>
      <c r="B227" s="55" t="b">
        <v>1</v>
      </c>
      <c r="C227" s="55" t="b">
        <v>0</v>
      </c>
      <c r="D227" s="55" t="s">
        <v>113</v>
      </c>
      <c r="E227" s="55" t="s">
        <v>192</v>
      </c>
      <c r="F227" s="55" t="s">
        <v>124</v>
      </c>
      <c r="G227" s="55" t="s">
        <v>213</v>
      </c>
      <c r="H227" s="55" t="s">
        <v>1013</v>
      </c>
      <c r="I227" s="55"/>
      <c r="J227" s="55" t="s">
        <v>1036</v>
      </c>
      <c r="K227" s="55" t="s">
        <v>1303</v>
      </c>
      <c r="L227" s="55"/>
      <c r="M227" s="55"/>
      <c r="N227" s="59" t="s">
        <v>1045</v>
      </c>
      <c r="O227" s="73"/>
    </row>
    <row r="228" spans="1:15" x14ac:dyDescent="0.2">
      <c r="A228" s="55">
        <v>657</v>
      </c>
      <c r="B228" s="55" t="b">
        <v>1</v>
      </c>
      <c r="C228" s="55" t="b">
        <v>0</v>
      </c>
      <c r="D228" s="55" t="s">
        <v>113</v>
      </c>
      <c r="E228" s="55" t="s">
        <v>192</v>
      </c>
      <c r="F228" s="55" t="s">
        <v>179</v>
      </c>
      <c r="G228" s="55" t="s">
        <v>497</v>
      </c>
      <c r="H228" s="81" t="s">
        <v>1013</v>
      </c>
      <c r="I228" s="81" t="s">
        <v>1113</v>
      </c>
      <c r="J228" s="55"/>
      <c r="K228" s="55"/>
      <c r="L228" s="55"/>
      <c r="M228" s="55"/>
      <c r="N228" s="59" t="s">
        <v>1398</v>
      </c>
      <c r="O228" s="73"/>
    </row>
    <row r="229" spans="1:15" x14ac:dyDescent="0.2">
      <c r="A229" s="55">
        <v>660</v>
      </c>
      <c r="B229" s="55" t="b">
        <v>1</v>
      </c>
      <c r="C229" s="55" t="b">
        <v>0</v>
      </c>
      <c r="D229" s="55" t="s">
        <v>113</v>
      </c>
      <c r="E229" s="55" t="s">
        <v>192</v>
      </c>
      <c r="F229" s="55" t="s">
        <v>127</v>
      </c>
      <c r="G229" s="55" t="s">
        <v>223</v>
      </c>
      <c r="H229" s="55" t="s">
        <v>1013</v>
      </c>
      <c r="I229" s="55"/>
      <c r="J229" s="55" t="s">
        <v>1036</v>
      </c>
      <c r="K229" s="55" t="s">
        <v>1307</v>
      </c>
      <c r="L229" s="55"/>
      <c r="M229" s="55"/>
      <c r="N229" s="59" t="s">
        <v>1045</v>
      </c>
      <c r="O229" s="73"/>
    </row>
    <row r="230" spans="1:15" x14ac:dyDescent="0.2">
      <c r="A230" s="55">
        <v>661</v>
      </c>
      <c r="B230" s="55" t="b">
        <v>1</v>
      </c>
      <c r="C230" s="55" t="b">
        <v>0</v>
      </c>
      <c r="D230" s="55" t="s">
        <v>113</v>
      </c>
      <c r="E230" s="55" t="s">
        <v>192</v>
      </c>
      <c r="F230" s="55" t="s">
        <v>127</v>
      </c>
      <c r="G230" s="55" t="s">
        <v>224</v>
      </c>
      <c r="H230" s="55" t="s">
        <v>1013</v>
      </c>
      <c r="I230" s="55"/>
      <c r="J230" s="55" t="s">
        <v>1036</v>
      </c>
      <c r="K230" s="55" t="s">
        <v>1306</v>
      </c>
      <c r="L230" s="55"/>
      <c r="M230" s="55"/>
      <c r="N230" s="59" t="s">
        <v>1045</v>
      </c>
      <c r="O230" s="73"/>
    </row>
    <row r="231" spans="1:15" x14ac:dyDescent="0.2">
      <c r="A231" s="55">
        <v>662</v>
      </c>
      <c r="B231" s="55" t="b">
        <v>1</v>
      </c>
      <c r="C231" s="55" t="b">
        <v>0</v>
      </c>
      <c r="D231" s="55" t="s">
        <v>113</v>
      </c>
      <c r="E231" s="55" t="s">
        <v>192</v>
      </c>
      <c r="F231" s="55" t="s">
        <v>127</v>
      </c>
      <c r="G231" s="55" t="s">
        <v>225</v>
      </c>
      <c r="H231" s="55" t="s">
        <v>1013</v>
      </c>
      <c r="I231" s="55"/>
      <c r="J231" s="55" t="s">
        <v>1036</v>
      </c>
      <c r="K231" s="55" t="s">
        <v>1305</v>
      </c>
      <c r="L231" s="55"/>
      <c r="M231" s="55"/>
      <c r="N231" s="59" t="s">
        <v>1045</v>
      </c>
      <c r="O231" s="73"/>
    </row>
    <row r="232" spans="1:15" x14ac:dyDescent="0.2">
      <c r="A232" s="55">
        <v>663</v>
      </c>
      <c r="B232" s="55" t="b">
        <v>1</v>
      </c>
      <c r="C232" s="55" t="b">
        <v>0</v>
      </c>
      <c r="D232" s="55" t="s">
        <v>113</v>
      </c>
      <c r="E232" s="55" t="s">
        <v>192</v>
      </c>
      <c r="F232" s="55" t="s">
        <v>178</v>
      </c>
      <c r="G232" s="55" t="s">
        <v>497</v>
      </c>
      <c r="H232" s="81" t="s">
        <v>1013</v>
      </c>
      <c r="I232" s="81" t="s">
        <v>1113</v>
      </c>
      <c r="J232" s="55"/>
      <c r="K232" s="55"/>
      <c r="L232" s="55"/>
      <c r="M232" s="55"/>
      <c r="N232" s="59" t="s">
        <v>1398</v>
      </c>
      <c r="O232" s="73"/>
    </row>
    <row r="233" spans="1:15" x14ac:dyDescent="0.2">
      <c r="A233" s="55">
        <v>664</v>
      </c>
      <c r="B233" s="55" t="b">
        <v>1</v>
      </c>
      <c r="C233" s="55" t="b">
        <v>0</v>
      </c>
      <c r="D233" s="55" t="s">
        <v>113</v>
      </c>
      <c r="E233" s="55" t="s">
        <v>192</v>
      </c>
      <c r="F233" s="55" t="s">
        <v>1161</v>
      </c>
      <c r="G233" s="55" t="s">
        <v>200</v>
      </c>
      <c r="H233" s="81" t="s">
        <v>1013</v>
      </c>
      <c r="I233" s="81" t="s">
        <v>1113</v>
      </c>
      <c r="J233" s="55"/>
      <c r="K233" s="55"/>
      <c r="L233" s="55"/>
      <c r="M233" s="55"/>
      <c r="N233" s="59" t="s">
        <v>1793</v>
      </c>
      <c r="O233" s="73" t="s">
        <v>1926</v>
      </c>
    </row>
    <row r="234" spans="1:15" x14ac:dyDescent="0.2">
      <c r="A234" s="55">
        <v>665</v>
      </c>
      <c r="B234" s="55" t="b">
        <v>1</v>
      </c>
      <c r="C234" s="55" t="b">
        <v>0</v>
      </c>
      <c r="D234" s="55" t="s">
        <v>113</v>
      </c>
      <c r="E234" s="55" t="s">
        <v>192</v>
      </c>
      <c r="F234" s="55" t="s">
        <v>1161</v>
      </c>
      <c r="G234" s="55" t="s">
        <v>201</v>
      </c>
      <c r="H234" s="81" t="s">
        <v>1013</v>
      </c>
      <c r="I234" s="81" t="s">
        <v>1113</v>
      </c>
      <c r="J234" s="55"/>
      <c r="K234" s="55"/>
      <c r="L234" s="55"/>
      <c r="M234" s="55"/>
      <c r="N234" s="59" t="s">
        <v>1793</v>
      </c>
      <c r="O234" s="73" t="s">
        <v>1926</v>
      </c>
    </row>
    <row r="235" spans="1:15" x14ac:dyDescent="0.2">
      <c r="A235" s="55">
        <v>666</v>
      </c>
      <c r="B235" s="55" t="b">
        <v>1</v>
      </c>
      <c r="C235" s="55" t="b">
        <v>0</v>
      </c>
      <c r="D235" s="55" t="s">
        <v>113</v>
      </c>
      <c r="E235" s="55" t="s">
        <v>192</v>
      </c>
      <c r="F235" s="55" t="s">
        <v>1161</v>
      </c>
      <c r="G235" s="55" t="s">
        <v>202</v>
      </c>
      <c r="H235" s="81" t="s">
        <v>1013</v>
      </c>
      <c r="I235" s="81" t="s">
        <v>1113</v>
      </c>
      <c r="J235" s="55"/>
      <c r="K235" s="55"/>
      <c r="L235" s="55"/>
      <c r="M235" s="55"/>
      <c r="N235" s="59" t="s">
        <v>1793</v>
      </c>
      <c r="O235" s="73" t="s">
        <v>1926</v>
      </c>
    </row>
    <row r="236" spans="1:15" x14ac:dyDescent="0.2">
      <c r="A236" s="55">
        <v>713</v>
      </c>
      <c r="B236" s="55" t="b">
        <v>1</v>
      </c>
      <c r="C236" s="55" t="b">
        <v>0</v>
      </c>
      <c r="D236" s="55" t="s">
        <v>16</v>
      </c>
      <c r="E236" s="55" t="s">
        <v>192</v>
      </c>
      <c r="F236" s="55" t="s">
        <v>67</v>
      </c>
      <c r="G236" s="55" t="s">
        <v>497</v>
      </c>
      <c r="H236" s="81" t="s">
        <v>1013</v>
      </c>
      <c r="I236" s="81" t="s">
        <v>1113</v>
      </c>
      <c r="J236" s="55"/>
      <c r="K236" s="55"/>
      <c r="L236" s="55"/>
      <c r="M236" s="55"/>
      <c r="N236" s="59" t="s">
        <v>1798</v>
      </c>
      <c r="O236" s="73" t="s">
        <v>1927</v>
      </c>
    </row>
    <row r="237" spans="1:15" x14ac:dyDescent="0.2">
      <c r="A237" s="55">
        <v>714</v>
      </c>
      <c r="B237" s="55" t="b">
        <v>1</v>
      </c>
      <c r="C237" s="55" t="b">
        <v>0</v>
      </c>
      <c r="D237" s="55" t="s">
        <v>16</v>
      </c>
      <c r="E237" s="55" t="s">
        <v>192</v>
      </c>
      <c r="F237" s="55" t="s">
        <v>80</v>
      </c>
      <c r="G237" s="55" t="s">
        <v>497</v>
      </c>
      <c r="H237" s="81" t="s">
        <v>1013</v>
      </c>
      <c r="I237" s="81" t="s">
        <v>1113</v>
      </c>
      <c r="J237" s="55"/>
      <c r="K237" s="55"/>
      <c r="L237" s="55"/>
      <c r="M237" s="55"/>
      <c r="N237" s="59" t="s">
        <v>1798</v>
      </c>
      <c r="O237" s="73" t="s">
        <v>1927</v>
      </c>
    </row>
    <row r="238" spans="1:15" s="57" customFormat="1" x14ac:dyDescent="0.2">
      <c r="A238" s="56">
        <v>720</v>
      </c>
      <c r="B238" s="56"/>
      <c r="C238" s="56"/>
      <c r="D238" s="56" t="s">
        <v>16</v>
      </c>
      <c r="E238" s="56" t="s">
        <v>192</v>
      </c>
      <c r="F238" s="56" t="s">
        <v>42</v>
      </c>
      <c r="G238" s="56" t="s">
        <v>374</v>
      </c>
      <c r="H238" s="56" t="s">
        <v>1013</v>
      </c>
      <c r="I238" s="56"/>
      <c r="J238" s="56" t="s">
        <v>1397</v>
      </c>
      <c r="K238" s="56" t="s">
        <v>1408</v>
      </c>
      <c r="L238" s="56"/>
      <c r="M238" s="56"/>
      <c r="N238" s="76" t="s">
        <v>1399</v>
      </c>
      <c r="O238" s="78" t="s">
        <v>1927</v>
      </c>
    </row>
    <row r="239" spans="1:15" s="57" customFormat="1" x14ac:dyDescent="0.2">
      <c r="A239" s="56">
        <v>721</v>
      </c>
      <c r="B239" s="56"/>
      <c r="C239" s="56"/>
      <c r="D239" s="56" t="s">
        <v>16</v>
      </c>
      <c r="E239" s="56" t="s">
        <v>192</v>
      </c>
      <c r="F239" s="56" t="s">
        <v>42</v>
      </c>
      <c r="G239" s="56" t="s">
        <v>375</v>
      </c>
      <c r="H239" s="56" t="s">
        <v>1013</v>
      </c>
      <c r="I239" s="56"/>
      <c r="J239" s="56" t="s">
        <v>1397</v>
      </c>
      <c r="K239" s="56" t="s">
        <v>1409</v>
      </c>
      <c r="L239" s="56"/>
      <c r="M239" s="56"/>
      <c r="N239" s="76" t="s">
        <v>1399</v>
      </c>
      <c r="O239" s="78" t="s">
        <v>1927</v>
      </c>
    </row>
    <row r="240" spans="1:15" s="57" customFormat="1" x14ac:dyDescent="0.2">
      <c r="A240" s="56">
        <v>722</v>
      </c>
      <c r="B240" s="56"/>
      <c r="C240" s="56"/>
      <c r="D240" s="56" t="s">
        <v>16</v>
      </c>
      <c r="E240" s="56" t="s">
        <v>192</v>
      </c>
      <c r="F240" s="56" t="s">
        <v>42</v>
      </c>
      <c r="G240" s="56" t="s">
        <v>376</v>
      </c>
      <c r="H240" s="56" t="s">
        <v>1013</v>
      </c>
      <c r="I240" s="56"/>
      <c r="J240" s="56" t="s">
        <v>1397</v>
      </c>
      <c r="K240" s="56" t="s">
        <v>1410</v>
      </c>
      <c r="L240" s="56"/>
      <c r="M240" s="56"/>
      <c r="N240" s="76" t="s">
        <v>1399</v>
      </c>
      <c r="O240" s="78" t="s">
        <v>1927</v>
      </c>
    </row>
    <row r="241" spans="1:15" s="57" customFormat="1" x14ac:dyDescent="0.2">
      <c r="A241" s="56">
        <v>723</v>
      </c>
      <c r="B241" s="56"/>
      <c r="C241" s="56"/>
      <c r="D241" s="56" t="s">
        <v>16</v>
      </c>
      <c r="E241" s="56" t="s">
        <v>192</v>
      </c>
      <c r="F241" s="56" t="s">
        <v>42</v>
      </c>
      <c r="G241" s="56" t="s">
        <v>377</v>
      </c>
      <c r="H241" s="56" t="s">
        <v>1013</v>
      </c>
      <c r="I241" s="56"/>
      <c r="J241" s="56" t="s">
        <v>1397</v>
      </c>
      <c r="K241" s="56" t="s">
        <v>1411</v>
      </c>
      <c r="L241" s="56"/>
      <c r="M241" s="56"/>
      <c r="N241" s="76" t="s">
        <v>1399</v>
      </c>
      <c r="O241" s="78" t="s">
        <v>1927</v>
      </c>
    </row>
    <row r="242" spans="1:15" s="57" customFormat="1" x14ac:dyDescent="0.2">
      <c r="A242" s="56">
        <v>724</v>
      </c>
      <c r="B242" s="56"/>
      <c r="C242" s="56"/>
      <c r="D242" s="56" t="s">
        <v>16</v>
      </c>
      <c r="E242" s="56" t="s">
        <v>192</v>
      </c>
      <c r="F242" s="56" t="s">
        <v>42</v>
      </c>
      <c r="G242" s="56" t="s">
        <v>378</v>
      </c>
      <c r="H242" s="56" t="s">
        <v>1013</v>
      </c>
      <c r="I242" s="56"/>
      <c r="J242" s="56" t="s">
        <v>1397</v>
      </c>
      <c r="K242" s="56" t="s">
        <v>1412</v>
      </c>
      <c r="L242" s="56"/>
      <c r="M242" s="56"/>
      <c r="N242" s="76" t="s">
        <v>1399</v>
      </c>
      <c r="O242" s="78" t="s">
        <v>1927</v>
      </c>
    </row>
    <row r="243" spans="1:15" s="57" customFormat="1" x14ac:dyDescent="0.2">
      <c r="A243" s="56">
        <v>725</v>
      </c>
      <c r="B243" s="56"/>
      <c r="C243" s="56"/>
      <c r="D243" s="56" t="s">
        <v>16</v>
      </c>
      <c r="E243" s="56" t="s">
        <v>192</v>
      </c>
      <c r="F243" s="56" t="s">
        <v>42</v>
      </c>
      <c r="G243" s="56" t="s">
        <v>379</v>
      </c>
      <c r="H243" s="56" t="s">
        <v>1013</v>
      </c>
      <c r="I243" s="56"/>
      <c r="J243" s="56" t="s">
        <v>1397</v>
      </c>
      <c r="K243" s="56" t="s">
        <v>1413</v>
      </c>
      <c r="L243" s="56"/>
      <c r="M243" s="56"/>
      <c r="N243" s="76" t="s">
        <v>1399</v>
      </c>
      <c r="O243" s="78" t="s">
        <v>1927</v>
      </c>
    </row>
    <row r="244" spans="1:15" s="57" customFormat="1" x14ac:dyDescent="0.2">
      <c r="A244" s="56">
        <v>726</v>
      </c>
      <c r="B244" s="56"/>
      <c r="C244" s="56"/>
      <c r="D244" s="56" t="s">
        <v>16</v>
      </c>
      <c r="E244" s="56" t="s">
        <v>192</v>
      </c>
      <c r="F244" s="56" t="s">
        <v>42</v>
      </c>
      <c r="G244" s="56" t="s">
        <v>380</v>
      </c>
      <c r="H244" s="56" t="s">
        <v>1013</v>
      </c>
      <c r="I244" s="56"/>
      <c r="J244" s="56" t="s">
        <v>1397</v>
      </c>
      <c r="K244" s="56" t="s">
        <v>1414</v>
      </c>
      <c r="L244" s="56"/>
      <c r="M244" s="56"/>
      <c r="N244" s="76" t="s">
        <v>1399</v>
      </c>
      <c r="O244" s="78" t="s">
        <v>1927</v>
      </c>
    </row>
    <row r="245" spans="1:15" s="57" customFormat="1" x14ac:dyDescent="0.2">
      <c r="A245" s="56">
        <v>727</v>
      </c>
      <c r="B245" s="56"/>
      <c r="C245" s="56"/>
      <c r="D245" s="56" t="s">
        <v>16</v>
      </c>
      <c r="E245" s="56" t="s">
        <v>192</v>
      </c>
      <c r="F245" s="56" t="s">
        <v>42</v>
      </c>
      <c r="G245" s="56" t="s">
        <v>197</v>
      </c>
      <c r="H245" s="56" t="s">
        <v>1013</v>
      </c>
      <c r="I245" s="56"/>
      <c r="J245" s="56" t="s">
        <v>1397</v>
      </c>
      <c r="K245" s="56" t="s">
        <v>1406</v>
      </c>
      <c r="L245" s="56"/>
      <c r="M245" s="56"/>
      <c r="N245" s="76" t="s">
        <v>1399</v>
      </c>
      <c r="O245" s="78" t="s">
        <v>1927</v>
      </c>
    </row>
    <row r="246" spans="1:15" s="57" customFormat="1" x14ac:dyDescent="0.2">
      <c r="A246" s="56">
        <v>728</v>
      </c>
      <c r="B246" s="56"/>
      <c r="C246" s="56"/>
      <c r="D246" s="56" t="s">
        <v>16</v>
      </c>
      <c r="E246" s="56" t="s">
        <v>192</v>
      </c>
      <c r="F246" s="56" t="s">
        <v>42</v>
      </c>
      <c r="G246" s="56" t="s">
        <v>381</v>
      </c>
      <c r="H246" s="56" t="s">
        <v>1013</v>
      </c>
      <c r="I246" s="56"/>
      <c r="J246" s="56" t="s">
        <v>1397</v>
      </c>
      <c r="K246" s="56" t="s">
        <v>1415</v>
      </c>
      <c r="L246" s="56"/>
      <c r="M246" s="56"/>
      <c r="N246" s="76" t="s">
        <v>1399</v>
      </c>
      <c r="O246" s="78" t="s">
        <v>1927</v>
      </c>
    </row>
    <row r="247" spans="1:15" s="57" customFormat="1" x14ac:dyDescent="0.2">
      <c r="A247" s="56">
        <v>729</v>
      </c>
      <c r="B247" s="56"/>
      <c r="C247" s="56"/>
      <c r="D247" s="56" t="s">
        <v>16</v>
      </c>
      <c r="E247" s="56" t="s">
        <v>192</v>
      </c>
      <c r="F247" s="56" t="s">
        <v>42</v>
      </c>
      <c r="G247" s="56" t="s">
        <v>382</v>
      </c>
      <c r="H247" s="56" t="s">
        <v>1013</v>
      </c>
      <c r="I247" s="56"/>
      <c r="J247" s="56" t="s">
        <v>1397</v>
      </c>
      <c r="K247" s="56" t="s">
        <v>1402</v>
      </c>
      <c r="L247" s="56"/>
      <c r="M247" s="56"/>
      <c r="N247" s="76" t="s">
        <v>1399</v>
      </c>
      <c r="O247" s="78" t="s">
        <v>1927</v>
      </c>
    </row>
    <row r="248" spans="1:15" s="57" customFormat="1" x14ac:dyDescent="0.2">
      <c r="A248" s="56">
        <v>730</v>
      </c>
      <c r="B248" s="56"/>
      <c r="C248" s="56"/>
      <c r="D248" s="56" t="s">
        <v>16</v>
      </c>
      <c r="E248" s="56" t="s">
        <v>192</v>
      </c>
      <c r="F248" s="56" t="s">
        <v>109</v>
      </c>
      <c r="G248" s="56"/>
      <c r="H248" s="56" t="s">
        <v>1013</v>
      </c>
      <c r="I248" s="56"/>
      <c r="J248" s="56" t="s">
        <v>9</v>
      </c>
      <c r="K248" s="56" t="s">
        <v>1395</v>
      </c>
      <c r="L248" s="56"/>
      <c r="M248" s="56"/>
      <c r="N248" s="76" t="s">
        <v>1396</v>
      </c>
      <c r="O248" s="78" t="s">
        <v>1927</v>
      </c>
    </row>
    <row r="249" spans="1:15" s="57" customFormat="1" x14ac:dyDescent="0.2">
      <c r="A249" s="56">
        <v>731</v>
      </c>
      <c r="B249" s="56"/>
      <c r="C249" s="56"/>
      <c r="D249" s="56" t="s">
        <v>16</v>
      </c>
      <c r="E249" s="56" t="s">
        <v>192</v>
      </c>
      <c r="F249" s="56" t="s">
        <v>132</v>
      </c>
      <c r="G249" s="56" t="s">
        <v>497</v>
      </c>
      <c r="H249" s="56" t="s">
        <v>1013</v>
      </c>
      <c r="I249" s="56"/>
      <c r="J249" s="56" t="s">
        <v>1336</v>
      </c>
      <c r="K249" s="56" t="s">
        <v>1616</v>
      </c>
      <c r="L249" s="56"/>
      <c r="M249" s="56"/>
      <c r="N249" s="76" t="s">
        <v>1614</v>
      </c>
      <c r="O249" s="74"/>
    </row>
    <row r="250" spans="1:15" s="57" customFormat="1" x14ac:dyDescent="0.2">
      <c r="A250" s="56">
        <v>733</v>
      </c>
      <c r="B250" s="56"/>
      <c r="C250" s="56"/>
      <c r="D250" s="56" t="s">
        <v>16</v>
      </c>
      <c r="E250" s="56" t="s">
        <v>192</v>
      </c>
      <c r="F250" s="56" t="s">
        <v>1185</v>
      </c>
      <c r="G250" s="56" t="s">
        <v>497</v>
      </c>
      <c r="H250" s="56" t="s">
        <v>1013</v>
      </c>
      <c r="I250" s="56"/>
      <c r="J250" s="56" t="s">
        <v>1336</v>
      </c>
      <c r="K250" s="56" t="s">
        <v>1813</v>
      </c>
      <c r="L250" s="56"/>
      <c r="M250" s="56"/>
      <c r="N250" s="76" t="s">
        <v>1814</v>
      </c>
      <c r="O250" s="74"/>
    </row>
    <row r="251" spans="1:15" s="57" customFormat="1" x14ac:dyDescent="0.2">
      <c r="A251" s="56">
        <v>741</v>
      </c>
      <c r="B251" s="56"/>
      <c r="C251" s="56"/>
      <c r="D251" s="56" t="s">
        <v>16</v>
      </c>
      <c r="E251" s="56" t="s">
        <v>192</v>
      </c>
      <c r="F251" s="56" t="s">
        <v>21</v>
      </c>
      <c r="G251" s="56" t="s">
        <v>497</v>
      </c>
      <c r="H251" s="56" t="s">
        <v>1013</v>
      </c>
      <c r="I251" s="56"/>
      <c r="J251" s="56" t="s">
        <v>1623</v>
      </c>
      <c r="K251" s="56" t="s">
        <v>1624</v>
      </c>
      <c r="L251" s="56"/>
      <c r="M251" s="56"/>
      <c r="N251" s="76" t="s">
        <v>1628</v>
      </c>
      <c r="O251" s="75" t="s">
        <v>1927</v>
      </c>
    </row>
    <row r="252" spans="1:15" s="57" customFormat="1" x14ac:dyDescent="0.2">
      <c r="A252" s="56">
        <v>829</v>
      </c>
      <c r="B252" s="56"/>
      <c r="C252" s="56"/>
      <c r="D252" s="56" t="s">
        <v>16</v>
      </c>
      <c r="E252" s="56" t="s">
        <v>192</v>
      </c>
      <c r="F252" s="56" t="s">
        <v>135</v>
      </c>
      <c r="G252" s="56" t="s">
        <v>497</v>
      </c>
      <c r="H252" s="56" t="s">
        <v>1013</v>
      </c>
      <c r="I252" s="56"/>
      <c r="J252" s="56" t="s">
        <v>1014</v>
      </c>
      <c r="K252" s="56" t="s">
        <v>1625</v>
      </c>
      <c r="L252" s="56"/>
      <c r="M252" s="56"/>
      <c r="N252" s="76" t="s">
        <v>1626</v>
      </c>
      <c r="O252" s="75" t="s">
        <v>1927</v>
      </c>
    </row>
    <row r="253" spans="1:15" s="57" customFormat="1" x14ac:dyDescent="0.2">
      <c r="A253" s="56">
        <v>833</v>
      </c>
      <c r="B253" s="56"/>
      <c r="C253" s="56"/>
      <c r="D253" s="56" t="s">
        <v>1170</v>
      </c>
      <c r="E253" s="56" t="s">
        <v>192</v>
      </c>
      <c r="F253" s="56" t="s">
        <v>1176</v>
      </c>
      <c r="G253" s="56" t="s">
        <v>497</v>
      </c>
      <c r="H253" s="56" t="s">
        <v>1013</v>
      </c>
      <c r="I253" s="56"/>
      <c r="J253" s="56" t="s">
        <v>1336</v>
      </c>
      <c r="K253" s="56" t="s">
        <v>1617</v>
      </c>
      <c r="L253" s="56"/>
      <c r="M253" s="56"/>
      <c r="N253" s="76" t="s">
        <v>1614</v>
      </c>
      <c r="O253" s="75" t="s">
        <v>1927</v>
      </c>
    </row>
    <row r="254" spans="1:15" s="57" customFormat="1" x14ac:dyDescent="0.2">
      <c r="A254" s="56">
        <v>837</v>
      </c>
      <c r="B254" s="56"/>
      <c r="C254" s="56"/>
      <c r="D254" s="56" t="s">
        <v>1170</v>
      </c>
      <c r="E254" s="56" t="s">
        <v>192</v>
      </c>
      <c r="F254" s="56" t="s">
        <v>1180</v>
      </c>
      <c r="G254" s="56" t="s">
        <v>497</v>
      </c>
      <c r="H254" s="56" t="s">
        <v>1013</v>
      </c>
      <c r="I254" s="56"/>
      <c r="J254" s="56" t="s">
        <v>1623</v>
      </c>
      <c r="K254" s="56" t="s">
        <v>1624</v>
      </c>
      <c r="L254" s="56"/>
      <c r="M254" s="56"/>
      <c r="N254" s="76" t="s">
        <v>1627</v>
      </c>
      <c r="O254" s="75" t="s">
        <v>1927</v>
      </c>
    </row>
    <row r="255" spans="1:15" x14ac:dyDescent="0.2">
      <c r="A255" s="55">
        <v>839</v>
      </c>
      <c r="B255" s="55" t="b">
        <v>1</v>
      </c>
      <c r="C255" s="55" t="b">
        <v>0</v>
      </c>
      <c r="D255" s="55" t="s">
        <v>1170</v>
      </c>
      <c r="E255" s="55" t="s">
        <v>192</v>
      </c>
      <c r="F255" s="55" t="s">
        <v>1184</v>
      </c>
      <c r="G255" s="55" t="s">
        <v>497</v>
      </c>
      <c r="H255" s="81" t="s">
        <v>1013</v>
      </c>
      <c r="I255" s="81" t="s">
        <v>1113</v>
      </c>
      <c r="J255" s="55"/>
      <c r="K255" s="55"/>
      <c r="L255" s="55"/>
      <c r="M255" s="55"/>
      <c r="N255" s="73"/>
      <c r="O255" s="73"/>
    </row>
    <row r="256" spans="1:15" x14ac:dyDescent="0.2">
      <c r="A256" s="55">
        <v>842</v>
      </c>
      <c r="B256" s="55" t="b">
        <v>1</v>
      </c>
      <c r="C256" s="55" t="b">
        <v>0</v>
      </c>
      <c r="D256" s="55" t="s">
        <v>1170</v>
      </c>
      <c r="E256" s="55" t="s">
        <v>192</v>
      </c>
      <c r="F256" s="55" t="s">
        <v>1182</v>
      </c>
      <c r="G256" s="55" t="s">
        <v>497</v>
      </c>
      <c r="H256" s="81" t="s">
        <v>1013</v>
      </c>
      <c r="I256" s="81" t="s">
        <v>1113</v>
      </c>
      <c r="J256" s="55"/>
      <c r="K256" s="55"/>
      <c r="L256" s="55"/>
      <c r="M256" s="55"/>
      <c r="N256" s="73"/>
      <c r="O256" s="73"/>
    </row>
    <row r="257" spans="1:15" x14ac:dyDescent="0.2">
      <c r="A257" s="55">
        <v>843</v>
      </c>
      <c r="B257" s="55" t="b">
        <v>1</v>
      </c>
      <c r="C257" s="55" t="b">
        <v>0</v>
      </c>
      <c r="D257" s="55" t="s">
        <v>1170</v>
      </c>
      <c r="E257" s="55" t="s">
        <v>192</v>
      </c>
      <c r="F257" s="55" t="s">
        <v>1172</v>
      </c>
      <c r="G257" s="55" t="s">
        <v>497</v>
      </c>
      <c r="H257" s="81" t="s">
        <v>1013</v>
      </c>
      <c r="I257" s="81" t="s">
        <v>1113</v>
      </c>
      <c r="J257" s="55"/>
      <c r="K257" s="55"/>
      <c r="L257" s="55"/>
      <c r="M257" s="55"/>
      <c r="N257" s="73"/>
      <c r="O257" s="73"/>
    </row>
    <row r="258" spans="1:15" s="57" customFormat="1" x14ac:dyDescent="0.2">
      <c r="A258" s="56">
        <v>847</v>
      </c>
      <c r="B258" s="56"/>
      <c r="C258" s="56"/>
      <c r="D258" s="56" t="s">
        <v>1189</v>
      </c>
      <c r="E258" s="56" t="s">
        <v>192</v>
      </c>
      <c r="F258" s="56" t="s">
        <v>1191</v>
      </c>
      <c r="G258" s="56" t="s">
        <v>497</v>
      </c>
      <c r="H258" s="82" t="s">
        <v>1013</v>
      </c>
      <c r="I258" s="82"/>
      <c r="J258" s="56" t="s">
        <v>1623</v>
      </c>
      <c r="K258" s="56" t="s">
        <v>1845</v>
      </c>
      <c r="L258" s="56"/>
      <c r="M258" s="56"/>
      <c r="N258" s="74"/>
      <c r="O258" s="74"/>
    </row>
    <row r="259" spans="1:15" s="57" customFormat="1" x14ac:dyDescent="0.2">
      <c r="A259" s="56">
        <v>848</v>
      </c>
      <c r="B259" s="56"/>
      <c r="C259" s="56"/>
      <c r="D259" s="56" t="s">
        <v>1189</v>
      </c>
      <c r="E259" s="56" t="s">
        <v>192</v>
      </c>
      <c r="F259" s="56" t="s">
        <v>1190</v>
      </c>
      <c r="G259" s="56" t="s">
        <v>497</v>
      </c>
      <c r="H259" s="56" t="s">
        <v>1013</v>
      </c>
      <c r="I259" s="56"/>
      <c r="J259" s="56" t="s">
        <v>9</v>
      </c>
      <c r="K259" s="56" t="s">
        <v>1861</v>
      </c>
      <c r="L259" s="56"/>
      <c r="M259" s="56"/>
      <c r="N259" s="76" t="s">
        <v>1863</v>
      </c>
      <c r="O259" s="74"/>
    </row>
  </sheetData>
  <pageMargins left="0.7" right="0.7" top="0.75" bottom="0.75" header="0.3" footer="0.3"/>
  <pageSetup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F7F3-EB33-C64C-8956-945FAC941EB4}">
  <dimension ref="A1:Q121"/>
  <sheetViews>
    <sheetView tabSelected="1" workbookViewId="0">
      <pane ySplit="1" topLeftCell="A2" activePane="bottomLeft" state="frozen"/>
      <selection pane="bottomLeft" activeCell="N105" sqref="N105"/>
    </sheetView>
  </sheetViews>
  <sheetFormatPr baseColWidth="10" defaultRowHeight="16" x14ac:dyDescent="0.2"/>
  <cols>
    <col min="1" max="3" width="10.83203125" style="61"/>
    <col min="4" max="4" width="60.1640625" style="61" customWidth="1"/>
    <col min="5" max="5" width="19" style="61" customWidth="1"/>
    <col min="6" max="6" width="18.83203125" style="61" customWidth="1"/>
    <col min="7" max="7" width="17.33203125" style="61" customWidth="1"/>
    <col min="8" max="8" width="26" style="61" customWidth="1"/>
    <col min="9" max="9" width="64.1640625" style="61" customWidth="1"/>
    <col min="10" max="10" width="10.83203125" style="61"/>
    <col min="11" max="12" width="29.1640625" style="61" customWidth="1"/>
    <col min="13" max="13" width="62.1640625" style="61" customWidth="1"/>
    <col min="14" max="14" width="61" style="61" customWidth="1"/>
    <col min="15" max="15" width="10.83203125" style="61"/>
    <col min="16" max="16384" width="10.83203125" style="58"/>
  </cols>
  <sheetData>
    <row r="1" spans="1:17" s="68" customFormat="1" x14ac:dyDescent="0.2">
      <c r="A1" s="68" t="s">
        <v>1925</v>
      </c>
      <c r="B1" s="68" t="s">
        <v>0</v>
      </c>
      <c r="C1" s="68" t="s">
        <v>1084</v>
      </c>
      <c r="D1" s="68" t="s">
        <v>1085</v>
      </c>
      <c r="E1" s="68" t="s">
        <v>1086</v>
      </c>
      <c r="F1" s="68" t="s">
        <v>1087</v>
      </c>
      <c r="G1" s="68" t="s">
        <v>1088</v>
      </c>
      <c r="H1" s="68" t="s">
        <v>1089</v>
      </c>
      <c r="I1" s="68" t="s">
        <v>2032</v>
      </c>
      <c r="J1" s="64" t="s">
        <v>1903</v>
      </c>
      <c r="K1" s="64" t="s">
        <v>1902</v>
      </c>
      <c r="L1" s="64" t="s">
        <v>2027</v>
      </c>
      <c r="M1" s="64" t="s">
        <v>1899</v>
      </c>
      <c r="N1" s="64" t="s">
        <v>1900</v>
      </c>
      <c r="O1" s="64" t="s">
        <v>1901</v>
      </c>
      <c r="P1" s="64" t="s">
        <v>1095</v>
      </c>
      <c r="Q1" s="64" t="s">
        <v>1947</v>
      </c>
    </row>
    <row r="2" spans="1:17" x14ac:dyDescent="0.2">
      <c r="A2" s="61" t="b">
        <v>1</v>
      </c>
      <c r="B2" s="61" t="b">
        <v>1</v>
      </c>
      <c r="C2" s="61" t="s">
        <v>192</v>
      </c>
      <c r="D2" s="61" t="s">
        <v>66</v>
      </c>
      <c r="F2" s="61" t="s">
        <v>1013</v>
      </c>
      <c r="I2" s="61" t="s">
        <v>1016</v>
      </c>
      <c r="J2" s="61" t="s">
        <v>1104</v>
      </c>
      <c r="K2" s="61" t="s">
        <v>1106</v>
      </c>
      <c r="M2" s="61" t="s">
        <v>1096</v>
      </c>
      <c r="N2" s="61" t="s">
        <v>1100</v>
      </c>
      <c r="O2" s="61" t="s">
        <v>1111</v>
      </c>
      <c r="P2" s="61" t="s">
        <v>1112</v>
      </c>
    </row>
    <row r="3" spans="1:17" x14ac:dyDescent="0.2">
      <c r="A3" s="61" t="b">
        <v>1</v>
      </c>
      <c r="B3" s="61" t="b">
        <v>1</v>
      </c>
      <c r="C3" s="61" t="s">
        <v>192</v>
      </c>
      <c r="D3" s="61" t="s">
        <v>79</v>
      </c>
      <c r="F3" s="61" t="s">
        <v>1013</v>
      </c>
      <c r="I3" s="61" t="s">
        <v>1020</v>
      </c>
      <c r="J3" s="61" t="s">
        <v>1104</v>
      </c>
      <c r="K3" s="61" t="s">
        <v>1107</v>
      </c>
      <c r="M3" s="61" t="s">
        <v>1097</v>
      </c>
      <c r="N3" s="61" t="s">
        <v>1101</v>
      </c>
      <c r="O3" s="61" t="s">
        <v>1111</v>
      </c>
      <c r="P3" s="61" t="s">
        <v>1112</v>
      </c>
    </row>
    <row r="4" spans="1:17" x14ac:dyDescent="0.2">
      <c r="A4" s="61" t="b">
        <v>1</v>
      </c>
      <c r="B4" s="61" t="b">
        <v>1</v>
      </c>
      <c r="C4" s="61" t="s">
        <v>192</v>
      </c>
      <c r="D4" s="61" t="s">
        <v>85</v>
      </c>
      <c r="F4" s="61" t="s">
        <v>1013</v>
      </c>
      <c r="I4" s="61" t="s">
        <v>1021</v>
      </c>
      <c r="J4" s="61" t="s">
        <v>1105</v>
      </c>
      <c r="K4" s="61" t="s">
        <v>1108</v>
      </c>
      <c r="M4" s="61" t="s">
        <v>1098</v>
      </c>
      <c r="N4" s="61" t="s">
        <v>1102</v>
      </c>
      <c r="O4" s="61" t="s">
        <v>1111</v>
      </c>
      <c r="P4" s="61" t="s">
        <v>1112</v>
      </c>
    </row>
    <row r="5" spans="1:17" x14ac:dyDescent="0.2">
      <c r="A5" s="61" t="b">
        <v>1</v>
      </c>
      <c r="B5" s="61" t="b">
        <v>1</v>
      </c>
      <c r="C5" s="61" t="s">
        <v>192</v>
      </c>
      <c r="D5" s="61" t="s">
        <v>103</v>
      </c>
      <c r="F5" s="61" t="s">
        <v>1013</v>
      </c>
      <c r="I5" s="61" t="s">
        <v>1024</v>
      </c>
      <c r="J5" s="61" t="s">
        <v>1104</v>
      </c>
      <c r="K5" s="61" t="s">
        <v>1109</v>
      </c>
      <c r="M5" s="61" t="s">
        <v>1099</v>
      </c>
      <c r="N5" s="61" t="s">
        <v>1103</v>
      </c>
      <c r="O5" s="61" t="s">
        <v>1111</v>
      </c>
      <c r="P5" s="61" t="s">
        <v>1112</v>
      </c>
    </row>
    <row r="6" spans="1:17" x14ac:dyDescent="0.2">
      <c r="P6" s="61"/>
    </row>
    <row r="7" spans="1:17" x14ac:dyDescent="0.2">
      <c r="A7" s="61" t="b">
        <v>1</v>
      </c>
      <c r="B7" s="61" t="b">
        <v>1</v>
      </c>
      <c r="C7" s="61" t="s">
        <v>192</v>
      </c>
      <c r="D7" s="61" t="s">
        <v>106</v>
      </c>
      <c r="E7" s="61" t="s">
        <v>311</v>
      </c>
      <c r="F7" s="61" t="s">
        <v>1013</v>
      </c>
      <c r="G7" s="61" t="s">
        <v>311</v>
      </c>
      <c r="J7" s="61" t="s">
        <v>1104</v>
      </c>
      <c r="K7" s="61" t="s">
        <v>1114</v>
      </c>
      <c r="M7" s="61" t="s">
        <v>1906</v>
      </c>
      <c r="N7" s="61" t="s">
        <v>1115</v>
      </c>
      <c r="O7" s="61" t="s">
        <v>1110</v>
      </c>
      <c r="P7" s="61"/>
    </row>
    <row r="8" spans="1:17" x14ac:dyDescent="0.2">
      <c r="A8" s="61" t="b">
        <v>1</v>
      </c>
      <c r="B8" s="61" t="b">
        <v>1</v>
      </c>
      <c r="C8" s="61" t="s">
        <v>192</v>
      </c>
      <c r="D8" s="61" t="s">
        <v>106</v>
      </c>
      <c r="E8" s="61" t="s">
        <v>312</v>
      </c>
      <c r="F8" s="61" t="s">
        <v>1013</v>
      </c>
      <c r="G8" s="61" t="s">
        <v>312</v>
      </c>
      <c r="J8" s="61" t="s">
        <v>1104</v>
      </c>
      <c r="K8" s="61" t="s">
        <v>1114</v>
      </c>
      <c r="M8" s="61" t="s">
        <v>1906</v>
      </c>
      <c r="N8" s="61" t="s">
        <v>1115</v>
      </c>
      <c r="O8" s="61" t="s">
        <v>1110</v>
      </c>
      <c r="P8" s="61"/>
    </row>
    <row r="9" spans="1:17" x14ac:dyDescent="0.2">
      <c r="A9" s="61" t="b">
        <v>1</v>
      </c>
      <c r="B9" s="61" t="b">
        <v>1</v>
      </c>
      <c r="C9" s="61" t="s">
        <v>192</v>
      </c>
      <c r="D9" s="61" t="s">
        <v>106</v>
      </c>
      <c r="E9" s="61" t="s">
        <v>313</v>
      </c>
      <c r="F9" s="61" t="s">
        <v>1013</v>
      </c>
      <c r="G9" s="61" t="s">
        <v>313</v>
      </c>
      <c r="J9" s="61" t="s">
        <v>1104</v>
      </c>
      <c r="K9" s="61" t="s">
        <v>1114</v>
      </c>
      <c r="M9" s="61" t="s">
        <v>1906</v>
      </c>
      <c r="N9" s="61" t="s">
        <v>1115</v>
      </c>
      <c r="O9" s="61" t="s">
        <v>1110</v>
      </c>
      <c r="P9" s="61"/>
    </row>
    <row r="10" spans="1:17" x14ac:dyDescent="0.2">
      <c r="P10" s="61"/>
    </row>
    <row r="11" spans="1:17" x14ac:dyDescent="0.2">
      <c r="A11" s="61" t="b">
        <v>1</v>
      </c>
      <c r="B11" s="61" t="b">
        <v>1</v>
      </c>
      <c r="C11" s="61" t="s">
        <v>192</v>
      </c>
      <c r="D11" s="61" t="s">
        <v>118</v>
      </c>
      <c r="F11" s="61" t="s">
        <v>1013</v>
      </c>
      <c r="I11" s="61" t="s">
        <v>1026</v>
      </c>
      <c r="J11" s="61" t="s">
        <v>1104</v>
      </c>
      <c r="K11" s="61" t="s">
        <v>1116</v>
      </c>
      <c r="M11" s="61" t="s">
        <v>1132</v>
      </c>
      <c r="N11" s="61" t="s">
        <v>1127</v>
      </c>
      <c r="O11" s="61" t="s">
        <v>1111</v>
      </c>
      <c r="P11" s="61"/>
    </row>
    <row r="12" spans="1:17" x14ac:dyDescent="0.2">
      <c r="A12" s="61" t="b">
        <v>1</v>
      </c>
      <c r="B12" s="61" t="b">
        <v>1</v>
      </c>
      <c r="C12" s="61" t="s">
        <v>192</v>
      </c>
      <c r="D12" s="61" t="s">
        <v>129</v>
      </c>
      <c r="F12" s="61" t="s">
        <v>1013</v>
      </c>
      <c r="I12" s="61" t="s">
        <v>1027</v>
      </c>
      <c r="J12" s="61" t="s">
        <v>1104</v>
      </c>
      <c r="K12" s="61" t="s">
        <v>1117</v>
      </c>
      <c r="M12" s="61" t="s">
        <v>1131</v>
      </c>
      <c r="N12" s="61" t="s">
        <v>1128</v>
      </c>
      <c r="O12" s="61" t="s">
        <v>1111</v>
      </c>
      <c r="P12" s="61"/>
    </row>
    <row r="13" spans="1:17" x14ac:dyDescent="0.2">
      <c r="P13" s="61"/>
    </row>
    <row r="14" spans="1:17" x14ac:dyDescent="0.2">
      <c r="A14" s="61" t="b">
        <v>1</v>
      </c>
      <c r="B14" s="61" t="b">
        <v>1</v>
      </c>
      <c r="C14" s="61" t="s">
        <v>192</v>
      </c>
      <c r="D14" s="61" t="s">
        <v>130</v>
      </c>
      <c r="E14" s="61" t="s">
        <v>300</v>
      </c>
      <c r="F14" s="61" t="s">
        <v>1013</v>
      </c>
      <c r="G14" s="61" t="s">
        <v>1119</v>
      </c>
      <c r="J14" s="61" t="s">
        <v>1104</v>
      </c>
      <c r="K14" s="61" t="s">
        <v>1118</v>
      </c>
      <c r="M14" s="61" t="s">
        <v>1907</v>
      </c>
      <c r="N14" s="61" t="s">
        <v>1129</v>
      </c>
      <c r="O14" s="61" t="s">
        <v>1111</v>
      </c>
      <c r="P14" s="61"/>
    </row>
    <row r="15" spans="1:17" x14ac:dyDescent="0.2">
      <c r="A15" s="61" t="b">
        <v>1</v>
      </c>
      <c r="B15" s="61" t="b">
        <v>1</v>
      </c>
      <c r="C15" s="61" t="s">
        <v>192</v>
      </c>
      <c r="D15" s="61" t="s">
        <v>130</v>
      </c>
      <c r="E15" s="61" t="s">
        <v>301</v>
      </c>
      <c r="F15" s="61" t="s">
        <v>1013</v>
      </c>
      <c r="G15" s="61" t="s">
        <v>1120</v>
      </c>
      <c r="J15" s="61" t="s">
        <v>1104</v>
      </c>
      <c r="K15" s="61" t="s">
        <v>1118</v>
      </c>
      <c r="M15" s="61" t="s">
        <v>1907</v>
      </c>
      <c r="N15" s="61" t="s">
        <v>1129</v>
      </c>
      <c r="O15" s="61" t="s">
        <v>1111</v>
      </c>
      <c r="P15" s="61"/>
    </row>
    <row r="16" spans="1:17" x14ac:dyDescent="0.2">
      <c r="A16" s="61" t="b">
        <v>1</v>
      </c>
      <c r="B16" s="61" t="b">
        <v>1</v>
      </c>
      <c r="C16" s="61" t="s">
        <v>192</v>
      </c>
      <c r="D16" s="61" t="s">
        <v>130</v>
      </c>
      <c r="E16" s="61" t="s">
        <v>302</v>
      </c>
      <c r="F16" s="61" t="s">
        <v>1013</v>
      </c>
      <c r="G16" s="61" t="s">
        <v>1121</v>
      </c>
      <c r="J16" s="61" t="s">
        <v>1104</v>
      </c>
      <c r="K16" s="61" t="s">
        <v>1118</v>
      </c>
      <c r="M16" s="61" t="s">
        <v>1907</v>
      </c>
      <c r="N16" s="61" t="s">
        <v>1129</v>
      </c>
      <c r="O16" s="61" t="s">
        <v>1111</v>
      </c>
      <c r="P16" s="61"/>
    </row>
    <row r="17" spans="1:16" x14ac:dyDescent="0.2">
      <c r="A17" s="61" t="b">
        <v>1</v>
      </c>
      <c r="B17" s="61" t="b">
        <v>1</v>
      </c>
      <c r="C17" s="61" t="s">
        <v>192</v>
      </c>
      <c r="D17" s="61" t="s">
        <v>130</v>
      </c>
      <c r="E17" s="61" t="s">
        <v>303</v>
      </c>
      <c r="F17" s="61" t="s">
        <v>1013</v>
      </c>
      <c r="G17" s="61" t="s">
        <v>1122</v>
      </c>
      <c r="J17" s="61" t="s">
        <v>1104</v>
      </c>
      <c r="K17" s="61" t="s">
        <v>1118</v>
      </c>
      <c r="M17" s="61" t="s">
        <v>1907</v>
      </c>
      <c r="N17" s="61" t="s">
        <v>1129</v>
      </c>
      <c r="O17" s="61" t="s">
        <v>1111</v>
      </c>
      <c r="P17" s="61"/>
    </row>
    <row r="18" spans="1:16" x14ac:dyDescent="0.2">
      <c r="A18" s="61" t="b">
        <v>1</v>
      </c>
      <c r="B18" s="61" t="b">
        <v>1</v>
      </c>
      <c r="C18" s="61" t="s">
        <v>192</v>
      </c>
      <c r="D18" s="61" t="s">
        <v>130</v>
      </c>
      <c r="E18" s="61" t="s">
        <v>304</v>
      </c>
      <c r="F18" s="61" t="s">
        <v>1013</v>
      </c>
      <c r="G18" s="61" t="s">
        <v>1123</v>
      </c>
      <c r="J18" s="61" t="s">
        <v>1104</v>
      </c>
      <c r="K18" s="61" t="s">
        <v>1118</v>
      </c>
      <c r="M18" s="61" t="s">
        <v>1907</v>
      </c>
      <c r="N18" s="61" t="s">
        <v>1129</v>
      </c>
      <c r="O18" s="61" t="s">
        <v>1111</v>
      </c>
      <c r="P18" s="61"/>
    </row>
    <row r="19" spans="1:16" x14ac:dyDescent="0.2">
      <c r="A19" s="61" t="b">
        <v>1</v>
      </c>
      <c r="B19" s="61" t="b">
        <v>1</v>
      </c>
      <c r="C19" s="61" t="s">
        <v>192</v>
      </c>
      <c r="D19" s="61" t="s">
        <v>130</v>
      </c>
      <c r="E19" s="61" t="s">
        <v>305</v>
      </c>
      <c r="F19" s="61" t="s">
        <v>1013</v>
      </c>
      <c r="G19" s="61" t="s">
        <v>1124</v>
      </c>
      <c r="J19" s="61" t="s">
        <v>1104</v>
      </c>
      <c r="K19" s="61" t="s">
        <v>1118</v>
      </c>
      <c r="M19" s="61" t="s">
        <v>1907</v>
      </c>
      <c r="N19" s="61" t="s">
        <v>1129</v>
      </c>
      <c r="O19" s="61" t="s">
        <v>1111</v>
      </c>
      <c r="P19" s="61"/>
    </row>
    <row r="20" spans="1:16" x14ac:dyDescent="0.2">
      <c r="A20" s="61" t="b">
        <v>1</v>
      </c>
      <c r="B20" s="61" t="b">
        <v>1</v>
      </c>
      <c r="C20" s="61" t="s">
        <v>192</v>
      </c>
      <c r="D20" s="61" t="s">
        <v>130</v>
      </c>
      <c r="E20" s="61" t="s">
        <v>306</v>
      </c>
      <c r="F20" s="61" t="s">
        <v>1013</v>
      </c>
      <c r="G20" s="61" t="s">
        <v>1125</v>
      </c>
      <c r="J20" s="61" t="s">
        <v>1104</v>
      </c>
      <c r="K20" s="61" t="s">
        <v>1118</v>
      </c>
      <c r="M20" s="61" t="s">
        <v>1907</v>
      </c>
      <c r="N20" s="61" t="s">
        <v>1129</v>
      </c>
      <c r="O20" s="61" t="s">
        <v>1111</v>
      </c>
      <c r="P20" s="61"/>
    </row>
    <row r="21" spans="1:16" x14ac:dyDescent="0.2">
      <c r="P21" s="61"/>
    </row>
    <row r="22" spans="1:16" x14ac:dyDescent="0.2">
      <c r="A22" s="61" t="b">
        <v>1</v>
      </c>
      <c r="B22" s="61" t="b">
        <v>1</v>
      </c>
      <c r="C22" s="61" t="s">
        <v>192</v>
      </c>
      <c r="D22" s="61" t="s">
        <v>133</v>
      </c>
      <c r="F22" s="61" t="s">
        <v>1013</v>
      </c>
      <c r="I22" s="61" t="s">
        <v>1532</v>
      </c>
      <c r="J22" s="61" t="s">
        <v>1104</v>
      </c>
      <c r="K22" s="61" t="s">
        <v>1126</v>
      </c>
      <c r="M22" s="61" t="s">
        <v>1130</v>
      </c>
      <c r="N22" s="61" t="s">
        <v>1129</v>
      </c>
      <c r="O22" s="61" t="s">
        <v>1111</v>
      </c>
      <c r="P22" s="61"/>
    </row>
    <row r="23" spans="1:16" x14ac:dyDescent="0.2">
      <c r="P23" s="61"/>
    </row>
    <row r="24" spans="1:16" x14ac:dyDescent="0.2">
      <c r="A24" s="61" t="b">
        <v>1</v>
      </c>
      <c r="B24" s="61" t="b">
        <v>1</v>
      </c>
      <c r="C24" s="61" t="s">
        <v>192</v>
      </c>
      <c r="D24" s="61" t="s">
        <v>156</v>
      </c>
      <c r="E24" s="61" t="s">
        <v>314</v>
      </c>
      <c r="F24" s="61" t="s">
        <v>1013</v>
      </c>
      <c r="G24" s="61" t="s">
        <v>1138</v>
      </c>
      <c r="J24" s="61" t="s">
        <v>1104</v>
      </c>
      <c r="K24" s="61" t="s">
        <v>1137</v>
      </c>
      <c r="M24" s="61" t="s">
        <v>1908</v>
      </c>
      <c r="N24" s="61" t="s">
        <v>1115</v>
      </c>
      <c r="O24" s="61" t="s">
        <v>1110</v>
      </c>
      <c r="P24" s="61"/>
    </row>
    <row r="25" spans="1:16" x14ac:dyDescent="0.2">
      <c r="A25" s="61" t="b">
        <v>1</v>
      </c>
      <c r="B25" s="61" t="b">
        <v>1</v>
      </c>
      <c r="C25" s="61" t="s">
        <v>192</v>
      </c>
      <c r="D25" s="61" t="s">
        <v>156</v>
      </c>
      <c r="E25" s="61" t="s">
        <v>315</v>
      </c>
      <c r="F25" s="61" t="s">
        <v>1013</v>
      </c>
      <c r="G25" s="61" t="s">
        <v>1138</v>
      </c>
      <c r="J25" s="61" t="s">
        <v>1104</v>
      </c>
      <c r="K25" s="61" t="s">
        <v>1137</v>
      </c>
      <c r="M25" s="61" t="s">
        <v>1908</v>
      </c>
      <c r="N25" s="61" t="s">
        <v>1115</v>
      </c>
      <c r="O25" s="61" t="s">
        <v>1110</v>
      </c>
      <c r="P25" s="61"/>
    </row>
    <row r="26" spans="1:16" x14ac:dyDescent="0.2">
      <c r="A26" s="61" t="b">
        <v>1</v>
      </c>
      <c r="B26" s="61" t="b">
        <v>1</v>
      </c>
      <c r="C26" s="61" t="s">
        <v>192</v>
      </c>
      <c r="D26" s="61" t="s">
        <v>156</v>
      </c>
      <c r="E26" s="61" t="s">
        <v>316</v>
      </c>
      <c r="F26" s="61" t="s">
        <v>1013</v>
      </c>
      <c r="G26" s="61" t="s">
        <v>1140</v>
      </c>
      <c r="J26" s="61" t="s">
        <v>1104</v>
      </c>
      <c r="K26" s="61" t="s">
        <v>1137</v>
      </c>
      <c r="M26" s="61" t="s">
        <v>1908</v>
      </c>
      <c r="N26" s="61" t="s">
        <v>1115</v>
      </c>
      <c r="O26" s="61" t="s">
        <v>1110</v>
      </c>
      <c r="P26" s="61"/>
    </row>
    <row r="27" spans="1:16" x14ac:dyDescent="0.2">
      <c r="A27" s="61" t="b">
        <v>1</v>
      </c>
      <c r="B27" s="61" t="b">
        <v>1</v>
      </c>
      <c r="C27" s="61" t="s">
        <v>192</v>
      </c>
      <c r="D27" s="61" t="s">
        <v>156</v>
      </c>
      <c r="E27" s="61" t="s">
        <v>317</v>
      </c>
      <c r="F27" s="61" t="s">
        <v>1013</v>
      </c>
      <c r="G27" s="61" t="s">
        <v>1139</v>
      </c>
      <c r="J27" s="61" t="s">
        <v>1104</v>
      </c>
      <c r="K27" s="61" t="s">
        <v>1137</v>
      </c>
      <c r="M27" s="61" t="s">
        <v>1908</v>
      </c>
      <c r="N27" s="61" t="s">
        <v>1115</v>
      </c>
      <c r="O27" s="61" t="s">
        <v>1110</v>
      </c>
      <c r="P27" s="61"/>
    </row>
    <row r="28" spans="1:16" x14ac:dyDescent="0.2">
      <c r="A28" s="61" t="b">
        <v>1</v>
      </c>
      <c r="B28" s="61" t="b">
        <v>1</v>
      </c>
      <c r="C28" s="61" t="s">
        <v>192</v>
      </c>
      <c r="D28" s="61" t="s">
        <v>156</v>
      </c>
      <c r="E28" s="61" t="s">
        <v>318</v>
      </c>
      <c r="F28" s="61" t="s">
        <v>1013</v>
      </c>
      <c r="G28" s="61" t="s">
        <v>1140</v>
      </c>
      <c r="J28" s="61" t="s">
        <v>1104</v>
      </c>
      <c r="K28" s="61" t="s">
        <v>1137</v>
      </c>
      <c r="M28" s="61" t="s">
        <v>1908</v>
      </c>
      <c r="N28" s="61" t="s">
        <v>1115</v>
      </c>
      <c r="O28" s="61" t="s">
        <v>1110</v>
      </c>
      <c r="P28" s="61"/>
    </row>
    <row r="29" spans="1:16" x14ac:dyDescent="0.2">
      <c r="A29" s="61" t="b">
        <v>1</v>
      </c>
      <c r="B29" s="61" t="b">
        <v>1</v>
      </c>
      <c r="C29" s="61" t="s">
        <v>192</v>
      </c>
      <c r="D29" s="61" t="s">
        <v>156</v>
      </c>
      <c r="E29" s="61" t="s">
        <v>319</v>
      </c>
      <c r="F29" s="61" t="s">
        <v>1013</v>
      </c>
      <c r="G29" s="61" t="s">
        <v>1141</v>
      </c>
      <c r="J29" s="61" t="s">
        <v>1104</v>
      </c>
      <c r="K29" s="61" t="s">
        <v>1137</v>
      </c>
      <c r="M29" s="61" t="s">
        <v>1908</v>
      </c>
      <c r="N29" s="61" t="s">
        <v>1115</v>
      </c>
      <c r="O29" s="61" t="s">
        <v>1110</v>
      </c>
      <c r="P29" s="61"/>
    </row>
    <row r="30" spans="1:16" x14ac:dyDescent="0.2">
      <c r="A30" s="61" t="b">
        <v>1</v>
      </c>
      <c r="B30" s="61" t="b">
        <v>1</v>
      </c>
      <c r="C30" s="61" t="s">
        <v>192</v>
      </c>
      <c r="D30" s="61" t="s">
        <v>156</v>
      </c>
      <c r="E30" s="61" t="s">
        <v>320</v>
      </c>
      <c r="F30" s="61" t="s">
        <v>1013</v>
      </c>
      <c r="G30" s="61" t="s">
        <v>1143</v>
      </c>
      <c r="J30" s="61" t="s">
        <v>1104</v>
      </c>
      <c r="K30" s="61" t="s">
        <v>1137</v>
      </c>
      <c r="M30" s="61" t="s">
        <v>1908</v>
      </c>
      <c r="N30" s="61" t="s">
        <v>1115</v>
      </c>
      <c r="O30" s="61" t="s">
        <v>1110</v>
      </c>
      <c r="P30" s="61"/>
    </row>
    <row r="31" spans="1:16" x14ac:dyDescent="0.2">
      <c r="A31" s="61" t="b">
        <v>1</v>
      </c>
      <c r="B31" s="61" t="b">
        <v>1</v>
      </c>
      <c r="C31" s="61" t="s">
        <v>192</v>
      </c>
      <c r="D31" s="61" t="s">
        <v>156</v>
      </c>
      <c r="E31" s="61" t="s">
        <v>321</v>
      </c>
      <c r="F31" s="61" t="s">
        <v>1013</v>
      </c>
      <c r="G31" s="61" t="s">
        <v>1142</v>
      </c>
      <c r="J31" s="61" t="s">
        <v>1104</v>
      </c>
      <c r="K31" s="61" t="s">
        <v>1137</v>
      </c>
      <c r="M31" s="61" t="s">
        <v>1908</v>
      </c>
      <c r="N31" s="61" t="s">
        <v>1115</v>
      </c>
      <c r="O31" s="61" t="s">
        <v>1110</v>
      </c>
      <c r="P31" s="61"/>
    </row>
    <row r="32" spans="1:16" x14ac:dyDescent="0.2">
      <c r="P32" s="61"/>
    </row>
    <row r="33" spans="1:16" x14ac:dyDescent="0.2">
      <c r="A33" s="61" t="b">
        <v>1</v>
      </c>
      <c r="B33" s="61" t="b">
        <v>1</v>
      </c>
      <c r="C33" s="61" t="s">
        <v>192</v>
      </c>
      <c r="D33" s="61" t="s">
        <v>183</v>
      </c>
      <c r="E33" s="61" t="s">
        <v>314</v>
      </c>
      <c r="F33" s="61" t="s">
        <v>1013</v>
      </c>
      <c r="G33" s="61" t="s">
        <v>1138</v>
      </c>
      <c r="J33" s="61" t="s">
        <v>1104</v>
      </c>
      <c r="K33" s="61" t="s">
        <v>1144</v>
      </c>
      <c r="M33" s="61" t="s">
        <v>1909</v>
      </c>
      <c r="N33" s="61" t="s">
        <v>1115</v>
      </c>
      <c r="O33" s="61" t="s">
        <v>1110</v>
      </c>
      <c r="P33" s="61"/>
    </row>
    <row r="34" spans="1:16" x14ac:dyDescent="0.2">
      <c r="A34" s="61" t="b">
        <v>1</v>
      </c>
      <c r="B34" s="61" t="b">
        <v>1</v>
      </c>
      <c r="C34" s="61" t="s">
        <v>192</v>
      </c>
      <c r="D34" s="61" t="s">
        <v>183</v>
      </c>
      <c r="E34" s="61" t="s">
        <v>315</v>
      </c>
      <c r="F34" s="61" t="s">
        <v>1013</v>
      </c>
      <c r="G34" s="61" t="s">
        <v>1138</v>
      </c>
      <c r="J34" s="61" t="s">
        <v>1104</v>
      </c>
      <c r="K34" s="61" t="s">
        <v>1144</v>
      </c>
      <c r="M34" s="61" t="s">
        <v>1909</v>
      </c>
      <c r="N34" s="61" t="s">
        <v>1115</v>
      </c>
      <c r="O34" s="61" t="s">
        <v>1110</v>
      </c>
      <c r="P34" s="61"/>
    </row>
    <row r="35" spans="1:16" x14ac:dyDescent="0.2">
      <c r="A35" s="61" t="b">
        <v>1</v>
      </c>
      <c r="B35" s="61" t="b">
        <v>1</v>
      </c>
      <c r="C35" s="61" t="s">
        <v>192</v>
      </c>
      <c r="D35" s="61" t="s">
        <v>183</v>
      </c>
      <c r="E35" s="61" t="s">
        <v>316</v>
      </c>
      <c r="F35" s="61" t="s">
        <v>1013</v>
      </c>
      <c r="G35" s="61" t="s">
        <v>1140</v>
      </c>
      <c r="J35" s="61" t="s">
        <v>1104</v>
      </c>
      <c r="K35" s="61" t="s">
        <v>1144</v>
      </c>
      <c r="M35" s="61" t="s">
        <v>1909</v>
      </c>
      <c r="N35" s="61" t="s">
        <v>1115</v>
      </c>
      <c r="O35" s="61" t="s">
        <v>1110</v>
      </c>
      <c r="P35" s="61"/>
    </row>
    <row r="36" spans="1:16" x14ac:dyDescent="0.2">
      <c r="A36" s="61" t="b">
        <v>1</v>
      </c>
      <c r="B36" s="61" t="b">
        <v>1</v>
      </c>
      <c r="C36" s="61" t="s">
        <v>192</v>
      </c>
      <c r="D36" s="61" t="s">
        <v>183</v>
      </c>
      <c r="E36" s="61" t="s">
        <v>317</v>
      </c>
      <c r="F36" s="61" t="s">
        <v>1013</v>
      </c>
      <c r="G36" s="61" t="s">
        <v>1139</v>
      </c>
      <c r="J36" s="61" t="s">
        <v>1104</v>
      </c>
      <c r="K36" s="61" t="s">
        <v>1144</v>
      </c>
      <c r="M36" s="61" t="s">
        <v>1909</v>
      </c>
      <c r="N36" s="61" t="s">
        <v>1115</v>
      </c>
      <c r="O36" s="61" t="s">
        <v>1110</v>
      </c>
      <c r="P36" s="61"/>
    </row>
    <row r="37" spans="1:16" x14ac:dyDescent="0.2">
      <c r="A37" s="61" t="b">
        <v>1</v>
      </c>
      <c r="B37" s="61" t="b">
        <v>1</v>
      </c>
      <c r="C37" s="61" t="s">
        <v>192</v>
      </c>
      <c r="D37" s="61" t="s">
        <v>183</v>
      </c>
      <c r="E37" s="61" t="s">
        <v>318</v>
      </c>
      <c r="F37" s="61" t="s">
        <v>1013</v>
      </c>
      <c r="G37" s="61" t="s">
        <v>1140</v>
      </c>
      <c r="J37" s="61" t="s">
        <v>1104</v>
      </c>
      <c r="K37" s="61" t="s">
        <v>1144</v>
      </c>
      <c r="M37" s="61" t="s">
        <v>1909</v>
      </c>
      <c r="N37" s="61" t="s">
        <v>1115</v>
      </c>
      <c r="O37" s="61" t="s">
        <v>1110</v>
      </c>
      <c r="P37" s="61"/>
    </row>
    <row r="38" spans="1:16" x14ac:dyDescent="0.2">
      <c r="A38" s="61" t="b">
        <v>1</v>
      </c>
      <c r="B38" s="61" t="b">
        <v>1</v>
      </c>
      <c r="C38" s="61" t="s">
        <v>192</v>
      </c>
      <c r="D38" s="61" t="s">
        <v>183</v>
      </c>
      <c r="E38" s="61" t="s">
        <v>319</v>
      </c>
      <c r="F38" s="61" t="s">
        <v>1013</v>
      </c>
      <c r="G38" s="61" t="s">
        <v>1141</v>
      </c>
      <c r="J38" s="61" t="s">
        <v>1104</v>
      </c>
      <c r="K38" s="61" t="s">
        <v>1144</v>
      </c>
      <c r="M38" s="61" t="s">
        <v>1909</v>
      </c>
      <c r="N38" s="61" t="s">
        <v>1115</v>
      </c>
      <c r="O38" s="61" t="s">
        <v>1110</v>
      </c>
      <c r="P38" s="61"/>
    </row>
    <row r="39" spans="1:16" x14ac:dyDescent="0.2">
      <c r="A39" s="61" t="b">
        <v>1</v>
      </c>
      <c r="B39" s="61" t="b">
        <v>1</v>
      </c>
      <c r="C39" s="61" t="s">
        <v>192</v>
      </c>
      <c r="D39" s="61" t="s">
        <v>183</v>
      </c>
      <c r="E39" s="61" t="s">
        <v>320</v>
      </c>
      <c r="F39" s="61" t="s">
        <v>1013</v>
      </c>
      <c r="G39" s="61" t="s">
        <v>1143</v>
      </c>
      <c r="J39" s="61" t="s">
        <v>1104</v>
      </c>
      <c r="K39" s="61" t="s">
        <v>1144</v>
      </c>
      <c r="M39" s="61" t="s">
        <v>1909</v>
      </c>
      <c r="N39" s="61" t="s">
        <v>1115</v>
      </c>
      <c r="O39" s="61" t="s">
        <v>1110</v>
      </c>
      <c r="P39" s="61"/>
    </row>
    <row r="40" spans="1:16" x14ac:dyDescent="0.2">
      <c r="A40" s="61" t="b">
        <v>1</v>
      </c>
      <c r="B40" s="61" t="b">
        <v>1</v>
      </c>
      <c r="C40" s="61" t="s">
        <v>192</v>
      </c>
      <c r="D40" s="61" t="s">
        <v>183</v>
      </c>
      <c r="E40" s="61" t="s">
        <v>321</v>
      </c>
      <c r="F40" s="61" t="s">
        <v>1013</v>
      </c>
      <c r="G40" s="61" t="s">
        <v>1142</v>
      </c>
      <c r="J40" s="61" t="s">
        <v>1104</v>
      </c>
      <c r="K40" s="61" t="s">
        <v>1144</v>
      </c>
      <c r="M40" s="61" t="s">
        <v>1909</v>
      </c>
      <c r="N40" s="61" t="s">
        <v>1115</v>
      </c>
      <c r="O40" s="61" t="s">
        <v>1110</v>
      </c>
      <c r="P40" s="61"/>
    </row>
    <row r="41" spans="1:16" x14ac:dyDescent="0.2">
      <c r="P41" s="61"/>
    </row>
    <row r="42" spans="1:16" x14ac:dyDescent="0.2">
      <c r="A42" s="61" t="b">
        <v>1</v>
      </c>
      <c r="B42" s="61" t="b">
        <v>1</v>
      </c>
      <c r="C42" s="61" t="s">
        <v>192</v>
      </c>
      <c r="D42" s="61" t="s">
        <v>12</v>
      </c>
      <c r="F42" s="61" t="s">
        <v>1013</v>
      </c>
      <c r="J42" s="61" t="s">
        <v>1105</v>
      </c>
      <c r="K42" s="61" t="s">
        <v>1444</v>
      </c>
      <c r="M42" s="61" t="s">
        <v>1448</v>
      </c>
      <c r="N42" s="61" t="s">
        <v>1115</v>
      </c>
      <c r="O42" s="61" t="s">
        <v>1111</v>
      </c>
      <c r="P42" s="61"/>
    </row>
    <row r="43" spans="1:16" x14ac:dyDescent="0.2">
      <c r="A43" s="61" t="b">
        <v>1</v>
      </c>
      <c r="B43" s="61" t="b">
        <v>1</v>
      </c>
      <c r="C43" s="61" t="s">
        <v>192</v>
      </c>
      <c r="D43" s="61" t="s">
        <v>20</v>
      </c>
      <c r="F43" s="61" t="s">
        <v>1013</v>
      </c>
      <c r="J43" s="61" t="s">
        <v>1105</v>
      </c>
      <c r="K43" s="61" t="s">
        <v>1445</v>
      </c>
      <c r="M43" s="61" t="s">
        <v>1449</v>
      </c>
      <c r="N43" s="61" t="s">
        <v>1115</v>
      </c>
      <c r="O43" s="61" t="s">
        <v>1111</v>
      </c>
      <c r="P43" s="61"/>
    </row>
    <row r="44" spans="1:16" x14ac:dyDescent="0.2">
      <c r="A44" s="61" t="b">
        <v>1</v>
      </c>
      <c r="B44" s="61" t="b">
        <v>1</v>
      </c>
      <c r="C44" s="61" t="s">
        <v>192</v>
      </c>
      <c r="D44" s="61" t="s">
        <v>22</v>
      </c>
      <c r="F44" s="61" t="s">
        <v>1013</v>
      </c>
      <c r="J44" s="61" t="s">
        <v>1105</v>
      </c>
      <c r="K44" s="61" t="s">
        <v>1446</v>
      </c>
      <c r="M44" s="61" t="s">
        <v>1450</v>
      </c>
      <c r="N44" s="61" t="s">
        <v>1048</v>
      </c>
      <c r="O44" s="61" t="s">
        <v>1111</v>
      </c>
      <c r="P44" s="61"/>
    </row>
    <row r="45" spans="1:16" x14ac:dyDescent="0.2">
      <c r="A45" s="61" t="b">
        <v>1</v>
      </c>
      <c r="B45" s="61" t="b">
        <v>1</v>
      </c>
      <c r="C45" s="61" t="s">
        <v>192</v>
      </c>
      <c r="D45" s="61" t="s">
        <v>23</v>
      </c>
      <c r="F45" s="61" t="s">
        <v>1013</v>
      </c>
      <c r="J45" s="61" t="s">
        <v>1105</v>
      </c>
      <c r="K45" s="61" t="s">
        <v>1447</v>
      </c>
      <c r="M45" s="61" t="s">
        <v>1451</v>
      </c>
      <c r="N45" s="61" t="s">
        <v>1115</v>
      </c>
      <c r="O45" s="61" t="s">
        <v>1111</v>
      </c>
      <c r="P45" s="61"/>
    </row>
    <row r="46" spans="1:16" x14ac:dyDescent="0.2">
      <c r="A46" s="61" t="b">
        <v>1</v>
      </c>
      <c r="B46" s="61" t="b">
        <v>1</v>
      </c>
      <c r="C46" s="61" t="s">
        <v>192</v>
      </c>
      <c r="D46" s="61" t="s">
        <v>55</v>
      </c>
      <c r="F46" s="61" t="s">
        <v>1013</v>
      </c>
      <c r="J46" s="61" t="s">
        <v>1105</v>
      </c>
      <c r="K46" s="61" t="s">
        <v>1436</v>
      </c>
      <c r="M46" s="61" t="s">
        <v>1452</v>
      </c>
      <c r="N46" s="61" t="s">
        <v>1461</v>
      </c>
      <c r="O46" s="61" t="s">
        <v>1111</v>
      </c>
      <c r="P46" s="61"/>
    </row>
    <row r="47" spans="1:16" x14ac:dyDescent="0.2">
      <c r="A47" s="61" t="b">
        <v>1</v>
      </c>
      <c r="B47" s="61" t="b">
        <v>1</v>
      </c>
      <c r="C47" s="61" t="s">
        <v>192</v>
      </c>
      <c r="D47" s="61" t="s">
        <v>58</v>
      </c>
      <c r="F47" s="61" t="s">
        <v>1013</v>
      </c>
      <c r="J47" s="61" t="s">
        <v>1105</v>
      </c>
      <c r="K47" s="61" t="s">
        <v>1462</v>
      </c>
      <c r="M47" s="61" t="s">
        <v>1453</v>
      </c>
      <c r="N47" s="61" t="s">
        <v>1463</v>
      </c>
      <c r="O47" s="61" t="s">
        <v>1111</v>
      </c>
      <c r="P47" s="61"/>
    </row>
    <row r="48" spans="1:16" x14ac:dyDescent="0.2">
      <c r="A48" s="61" t="b">
        <v>1</v>
      </c>
      <c r="B48" s="61" t="b">
        <v>1</v>
      </c>
      <c r="C48" s="61" t="s">
        <v>192</v>
      </c>
      <c r="D48" s="61" t="s">
        <v>71</v>
      </c>
      <c r="F48" s="61" t="s">
        <v>1013</v>
      </c>
      <c r="J48" s="61" t="s">
        <v>1105</v>
      </c>
      <c r="K48" s="61" t="s">
        <v>1437</v>
      </c>
      <c r="M48" s="61" t="s">
        <v>1454</v>
      </c>
      <c r="N48" s="61" t="s">
        <v>1464</v>
      </c>
      <c r="O48" s="61" t="s">
        <v>1111</v>
      </c>
      <c r="P48" s="61"/>
    </row>
    <row r="49" spans="1:17" x14ac:dyDescent="0.2">
      <c r="A49" s="61" t="b">
        <v>1</v>
      </c>
      <c r="B49" s="61" t="b">
        <v>1</v>
      </c>
      <c r="C49" s="61" t="s">
        <v>192</v>
      </c>
      <c r="D49" s="61" t="s">
        <v>72</v>
      </c>
      <c r="F49" s="61" t="s">
        <v>1013</v>
      </c>
      <c r="J49" s="61" t="s">
        <v>1105</v>
      </c>
      <c r="K49" s="61" t="s">
        <v>1438</v>
      </c>
      <c r="M49" s="61" t="s">
        <v>1455</v>
      </c>
      <c r="N49" s="61" t="s">
        <v>1115</v>
      </c>
      <c r="O49" s="61" t="s">
        <v>1111</v>
      </c>
      <c r="P49" s="61"/>
    </row>
    <row r="50" spans="1:17" x14ac:dyDescent="0.2">
      <c r="A50" s="61" t="b">
        <v>1</v>
      </c>
      <c r="B50" s="61" t="b">
        <v>1</v>
      </c>
      <c r="C50" s="61" t="s">
        <v>192</v>
      </c>
      <c r="D50" s="61" t="s">
        <v>73</v>
      </c>
      <c r="F50" s="61" t="s">
        <v>1013</v>
      </c>
      <c r="J50" s="61" t="s">
        <v>1105</v>
      </c>
      <c r="K50" s="61" t="s">
        <v>1439</v>
      </c>
      <c r="M50" s="61" t="s">
        <v>1456</v>
      </c>
      <c r="N50" s="61" t="s">
        <v>1115</v>
      </c>
      <c r="O50" s="61" t="s">
        <v>1111</v>
      </c>
      <c r="P50" s="61"/>
    </row>
    <row r="51" spans="1:17" x14ac:dyDescent="0.2">
      <c r="A51" s="61" t="b">
        <v>1</v>
      </c>
      <c r="B51" s="61" t="b">
        <v>1</v>
      </c>
      <c r="C51" s="61" t="s">
        <v>192</v>
      </c>
      <c r="D51" s="61" t="s">
        <v>74</v>
      </c>
      <c r="F51" s="61" t="s">
        <v>1013</v>
      </c>
      <c r="J51" s="61" t="s">
        <v>1105</v>
      </c>
      <c r="K51" s="61" t="s">
        <v>1440</v>
      </c>
      <c r="M51" s="61" t="s">
        <v>1457</v>
      </c>
      <c r="N51" s="61" t="s">
        <v>1115</v>
      </c>
      <c r="O51" s="61" t="s">
        <v>1111</v>
      </c>
      <c r="P51" s="61"/>
    </row>
    <row r="52" spans="1:17" x14ac:dyDescent="0.2">
      <c r="A52" s="61" t="b">
        <v>1</v>
      </c>
      <c r="B52" s="61" t="b">
        <v>1</v>
      </c>
      <c r="C52" s="61" t="s">
        <v>192</v>
      </c>
      <c r="D52" s="61" t="s">
        <v>76</v>
      </c>
      <c r="F52" s="61" t="s">
        <v>1013</v>
      </c>
      <c r="J52" s="61" t="s">
        <v>1105</v>
      </c>
      <c r="K52" s="61" t="s">
        <v>1441</v>
      </c>
      <c r="M52" s="61" t="s">
        <v>1458</v>
      </c>
      <c r="N52" s="61" t="s">
        <v>1048</v>
      </c>
      <c r="O52" s="61" t="s">
        <v>1111</v>
      </c>
      <c r="P52" s="61"/>
    </row>
    <row r="53" spans="1:17" x14ac:dyDescent="0.2">
      <c r="A53" s="61" t="b">
        <v>1</v>
      </c>
      <c r="B53" s="61" t="b">
        <v>1</v>
      </c>
      <c r="C53" s="61" t="s">
        <v>192</v>
      </c>
      <c r="D53" s="61" t="s">
        <v>77</v>
      </c>
      <c r="F53" s="61" t="s">
        <v>1013</v>
      </c>
      <c r="J53" s="61" t="s">
        <v>1105</v>
      </c>
      <c r="K53" s="61" t="s">
        <v>1442</v>
      </c>
      <c r="M53" s="61" t="s">
        <v>1459</v>
      </c>
      <c r="N53" s="61" t="s">
        <v>1048</v>
      </c>
      <c r="O53" s="61" t="s">
        <v>1111</v>
      </c>
      <c r="P53" s="61"/>
    </row>
    <row r="54" spans="1:17" x14ac:dyDescent="0.2">
      <c r="A54" s="61" t="b">
        <v>1</v>
      </c>
      <c r="B54" s="61" t="b">
        <v>1</v>
      </c>
      <c r="C54" s="61" t="s">
        <v>192</v>
      </c>
      <c r="D54" s="61" t="s">
        <v>99</v>
      </c>
      <c r="F54" s="61" t="s">
        <v>1013</v>
      </c>
      <c r="J54" s="61" t="s">
        <v>1105</v>
      </c>
      <c r="K54" s="61" t="s">
        <v>1443</v>
      </c>
      <c r="M54" s="61" t="s">
        <v>1460</v>
      </c>
      <c r="N54" s="61" t="s">
        <v>1115</v>
      </c>
      <c r="O54" s="61" t="s">
        <v>1111</v>
      </c>
      <c r="P54" s="61"/>
    </row>
    <row r="55" spans="1:17" x14ac:dyDescent="0.2">
      <c r="A55" s="61" t="b">
        <v>1</v>
      </c>
      <c r="B55" s="61" t="b">
        <v>1</v>
      </c>
      <c r="C55" s="61" t="s">
        <v>192</v>
      </c>
      <c r="D55" s="61" t="s">
        <v>111</v>
      </c>
      <c r="F55" s="61" t="s">
        <v>1013</v>
      </c>
      <c r="J55" s="61" t="s">
        <v>1105</v>
      </c>
      <c r="K55" s="61" t="s">
        <v>1527</v>
      </c>
      <c r="L55" s="61" t="s">
        <v>2028</v>
      </c>
      <c r="M55" s="61" t="s">
        <v>1466</v>
      </c>
      <c r="N55" s="61" t="s">
        <v>1748</v>
      </c>
      <c r="O55" s="61" t="s">
        <v>1111</v>
      </c>
      <c r="P55" s="67" t="s">
        <v>1750</v>
      </c>
      <c r="Q55" s="41" t="s">
        <v>2029</v>
      </c>
    </row>
    <row r="56" spans="1:17" x14ac:dyDescent="0.2">
      <c r="A56" s="61" t="b">
        <v>1</v>
      </c>
      <c r="B56" s="61" t="b">
        <v>1</v>
      </c>
      <c r="C56" s="61" t="s">
        <v>192</v>
      </c>
      <c r="D56" s="61" t="s">
        <v>112</v>
      </c>
      <c r="F56" s="61" t="s">
        <v>1013</v>
      </c>
      <c r="J56" s="61" t="s">
        <v>1105</v>
      </c>
      <c r="K56" s="61" t="s">
        <v>1527</v>
      </c>
      <c r="L56" s="61" t="s">
        <v>2028</v>
      </c>
      <c r="M56" s="61" t="s">
        <v>1467</v>
      </c>
      <c r="N56" s="61" t="s">
        <v>1749</v>
      </c>
      <c r="O56" s="61" t="s">
        <v>1111</v>
      </c>
      <c r="P56" s="67" t="s">
        <v>1750</v>
      </c>
      <c r="Q56" s="41" t="s">
        <v>2029</v>
      </c>
    </row>
    <row r="57" spans="1:17" x14ac:dyDescent="0.2">
      <c r="A57" s="61" t="b">
        <v>1</v>
      </c>
      <c r="B57" s="61" t="b">
        <v>1</v>
      </c>
      <c r="C57" s="61" t="s">
        <v>192</v>
      </c>
      <c r="D57" s="61" t="s">
        <v>154</v>
      </c>
      <c r="F57" s="61" t="s">
        <v>1013</v>
      </c>
      <c r="I57" s="61" t="s">
        <v>1022</v>
      </c>
      <c r="J57" s="61" t="s">
        <v>1105</v>
      </c>
      <c r="K57" s="61" t="s">
        <v>1474</v>
      </c>
      <c r="M57" s="61" t="s">
        <v>1919</v>
      </c>
      <c r="N57" s="61" t="s">
        <v>1475</v>
      </c>
      <c r="O57" s="61" t="s">
        <v>1111</v>
      </c>
      <c r="P57" s="61"/>
    </row>
    <row r="58" spans="1:17" x14ac:dyDescent="0.2">
      <c r="A58" s="61" t="b">
        <v>1</v>
      </c>
      <c r="B58" s="61" t="b">
        <v>1</v>
      </c>
      <c r="C58" s="61" t="s">
        <v>192</v>
      </c>
      <c r="D58" s="61" t="s">
        <v>160</v>
      </c>
      <c r="F58" s="61" t="s">
        <v>1013</v>
      </c>
      <c r="I58" s="61" t="s">
        <v>1033</v>
      </c>
      <c r="J58" s="61" t="s">
        <v>1105</v>
      </c>
      <c r="K58" s="61" t="s">
        <v>1476</v>
      </c>
      <c r="M58" s="61" t="s">
        <v>1477</v>
      </c>
      <c r="N58" s="61" t="s">
        <v>1478</v>
      </c>
      <c r="O58" s="61" t="s">
        <v>1111</v>
      </c>
      <c r="P58" s="61"/>
    </row>
    <row r="59" spans="1:17" x14ac:dyDescent="0.2">
      <c r="A59" s="61" t="b">
        <v>1</v>
      </c>
      <c r="B59" s="61" t="b">
        <v>1</v>
      </c>
      <c r="C59" s="61" t="s">
        <v>192</v>
      </c>
      <c r="D59" s="61" t="s">
        <v>162</v>
      </c>
      <c r="F59" s="61" t="s">
        <v>1013</v>
      </c>
      <c r="J59" s="61" t="s">
        <v>1104</v>
      </c>
      <c r="K59" s="61" t="s">
        <v>1510</v>
      </c>
      <c r="M59" s="61" t="s">
        <v>1479</v>
      </c>
      <c r="N59" s="61" t="s">
        <v>1495</v>
      </c>
      <c r="O59" s="61" t="s">
        <v>1111</v>
      </c>
      <c r="P59" s="61"/>
    </row>
    <row r="60" spans="1:17" x14ac:dyDescent="0.2">
      <c r="A60" s="61" t="b">
        <v>1</v>
      </c>
      <c r="B60" s="61" t="b">
        <v>1</v>
      </c>
      <c r="C60" s="61" t="s">
        <v>192</v>
      </c>
      <c r="D60" s="61" t="s">
        <v>176</v>
      </c>
      <c r="F60" s="61" t="s">
        <v>1013</v>
      </c>
      <c r="I60" s="61" t="s">
        <v>1035</v>
      </c>
      <c r="J60" s="61" t="s">
        <v>1105</v>
      </c>
      <c r="K60" s="61" t="s">
        <v>1511</v>
      </c>
      <c r="M60" s="61" t="s">
        <v>1480</v>
      </c>
      <c r="N60" s="61" t="s">
        <v>1115</v>
      </c>
      <c r="O60" s="61" t="s">
        <v>1111</v>
      </c>
      <c r="P60" s="61"/>
    </row>
    <row r="61" spans="1:17" x14ac:dyDescent="0.2">
      <c r="B61" s="61" t="b">
        <v>1</v>
      </c>
      <c r="C61" s="61" t="s">
        <v>192</v>
      </c>
      <c r="D61" s="61" t="s">
        <v>177</v>
      </c>
      <c r="F61" s="61" t="s">
        <v>1013</v>
      </c>
      <c r="J61" s="61" t="s">
        <v>1105</v>
      </c>
      <c r="K61" s="61" t="s">
        <v>1513</v>
      </c>
      <c r="M61" s="61" t="s">
        <v>1481</v>
      </c>
      <c r="N61" s="61" t="s">
        <v>1497</v>
      </c>
      <c r="O61" s="61" t="s">
        <v>1111</v>
      </c>
      <c r="P61" s="61"/>
    </row>
    <row r="62" spans="1:17" x14ac:dyDescent="0.2">
      <c r="B62" s="61" t="b">
        <v>1</v>
      </c>
      <c r="C62" s="61" t="s">
        <v>192</v>
      </c>
      <c r="D62" s="61" t="s">
        <v>180</v>
      </c>
      <c r="F62" s="61" t="s">
        <v>1013</v>
      </c>
      <c r="J62" s="61" t="s">
        <v>1105</v>
      </c>
      <c r="K62" s="61" t="s">
        <v>1512</v>
      </c>
      <c r="M62" s="61" t="s">
        <v>1482</v>
      </c>
      <c r="N62" s="61" t="s">
        <v>1496</v>
      </c>
      <c r="O62" s="61" t="s">
        <v>1111</v>
      </c>
      <c r="P62" s="61"/>
    </row>
    <row r="63" spans="1:17" x14ac:dyDescent="0.2">
      <c r="A63" s="61" t="b">
        <v>1</v>
      </c>
      <c r="B63" s="61" t="b">
        <v>1</v>
      </c>
      <c r="C63" s="61" t="s">
        <v>192</v>
      </c>
      <c r="D63" s="61" t="s">
        <v>181</v>
      </c>
      <c r="F63" s="61" t="s">
        <v>1013</v>
      </c>
      <c r="J63" s="61" t="s">
        <v>1104</v>
      </c>
      <c r="K63" s="61" t="s">
        <v>1514</v>
      </c>
      <c r="M63" s="61" t="s">
        <v>1483</v>
      </c>
      <c r="N63" s="61" t="s">
        <v>1498</v>
      </c>
      <c r="O63" s="61" t="s">
        <v>1111</v>
      </c>
      <c r="P63" s="61"/>
    </row>
    <row r="64" spans="1:17" x14ac:dyDescent="0.2">
      <c r="A64" s="61" t="b">
        <v>1</v>
      </c>
      <c r="B64" s="61" t="b">
        <v>1</v>
      </c>
      <c r="C64" s="61" t="s">
        <v>192</v>
      </c>
      <c r="D64" s="61" t="s">
        <v>182</v>
      </c>
      <c r="F64" s="61" t="s">
        <v>1013</v>
      </c>
      <c r="I64" s="61" t="s">
        <v>1025</v>
      </c>
      <c r="J64" s="61" t="s">
        <v>1104</v>
      </c>
      <c r="K64" s="61" t="s">
        <v>1515</v>
      </c>
      <c r="M64" s="61" t="s">
        <v>1484</v>
      </c>
      <c r="N64" s="61" t="s">
        <v>1499</v>
      </c>
      <c r="O64" s="61" t="s">
        <v>1111</v>
      </c>
      <c r="P64" s="61"/>
    </row>
    <row r="65" spans="1:16" x14ac:dyDescent="0.2">
      <c r="A65" s="61" t="b">
        <v>1</v>
      </c>
      <c r="B65" s="61" t="b">
        <v>1</v>
      </c>
      <c r="C65" s="61" t="s">
        <v>192</v>
      </c>
      <c r="D65" s="61" t="s">
        <v>184</v>
      </c>
      <c r="F65" s="61" t="s">
        <v>1013</v>
      </c>
      <c r="I65" s="61" t="s">
        <v>1017</v>
      </c>
      <c r="J65" s="61" t="s">
        <v>1105</v>
      </c>
      <c r="K65" s="61" t="s">
        <v>1517</v>
      </c>
      <c r="M65" s="61" t="s">
        <v>1485</v>
      </c>
      <c r="N65" s="61" t="s">
        <v>1500</v>
      </c>
      <c r="O65" s="61" t="s">
        <v>1111</v>
      </c>
      <c r="P65" s="61"/>
    </row>
    <row r="66" spans="1:16" x14ac:dyDescent="0.2">
      <c r="A66" s="61" t="b">
        <v>1</v>
      </c>
      <c r="B66" s="61" t="b">
        <v>1</v>
      </c>
      <c r="C66" s="61" t="s">
        <v>192</v>
      </c>
      <c r="D66" s="61" t="s">
        <v>185</v>
      </c>
      <c r="F66" s="61" t="s">
        <v>1013</v>
      </c>
      <c r="I66" s="61" t="s">
        <v>1018</v>
      </c>
      <c r="J66" s="61" t="s">
        <v>1105</v>
      </c>
      <c r="K66" s="61" t="s">
        <v>1516</v>
      </c>
      <c r="M66" s="61" t="s">
        <v>1486</v>
      </c>
      <c r="N66" s="61" t="s">
        <v>1501</v>
      </c>
      <c r="O66" s="61" t="s">
        <v>1111</v>
      </c>
      <c r="P66" s="61"/>
    </row>
    <row r="67" spans="1:16" x14ac:dyDescent="0.2">
      <c r="A67" s="61" t="b">
        <v>1</v>
      </c>
      <c r="B67" s="61" t="b">
        <v>1</v>
      </c>
      <c r="C67" s="61" t="s">
        <v>192</v>
      </c>
      <c r="D67" s="61" t="s">
        <v>186</v>
      </c>
      <c r="F67" s="61" t="s">
        <v>1013</v>
      </c>
      <c r="I67" s="61" t="s">
        <v>1019</v>
      </c>
      <c r="J67" s="61" t="s">
        <v>1105</v>
      </c>
      <c r="K67" s="61" t="s">
        <v>1518</v>
      </c>
      <c r="M67" s="61" t="s">
        <v>1487</v>
      </c>
      <c r="N67" s="61" t="s">
        <v>1502</v>
      </c>
      <c r="O67" s="61" t="s">
        <v>1111</v>
      </c>
      <c r="P67" s="61"/>
    </row>
    <row r="68" spans="1:16" x14ac:dyDescent="0.2">
      <c r="A68" s="61" t="b">
        <v>1</v>
      </c>
      <c r="B68" s="61" t="b">
        <v>1</v>
      </c>
      <c r="C68" s="61" t="s">
        <v>192</v>
      </c>
      <c r="D68" s="61" t="s">
        <v>1148</v>
      </c>
      <c r="F68" s="61" t="s">
        <v>1013</v>
      </c>
      <c r="I68" s="61" t="s">
        <v>2034</v>
      </c>
      <c r="J68" s="61" t="s">
        <v>1104</v>
      </c>
      <c r="K68" s="61" t="s">
        <v>1524</v>
      </c>
      <c r="M68" s="61" t="s">
        <v>1488</v>
      </c>
      <c r="N68" s="61" t="s">
        <v>1503</v>
      </c>
      <c r="O68" s="61" t="s">
        <v>1110</v>
      </c>
      <c r="P68" s="67" t="s">
        <v>1525</v>
      </c>
    </row>
    <row r="69" spans="1:16" x14ac:dyDescent="0.2">
      <c r="A69" s="61" t="b">
        <v>1</v>
      </c>
      <c r="B69" s="61" t="b">
        <v>1</v>
      </c>
      <c r="C69" s="61" t="s">
        <v>192</v>
      </c>
      <c r="D69" s="61" t="s">
        <v>1145</v>
      </c>
      <c r="F69" s="61" t="s">
        <v>1013</v>
      </c>
      <c r="I69" s="61" t="s">
        <v>2035</v>
      </c>
      <c r="J69" s="61" t="s">
        <v>1104</v>
      </c>
      <c r="K69" s="61" t="s">
        <v>1524</v>
      </c>
      <c r="M69" s="61" t="s">
        <v>1489</v>
      </c>
      <c r="N69" s="61" t="s">
        <v>1504</v>
      </c>
      <c r="O69" s="61" t="s">
        <v>1111</v>
      </c>
      <c r="P69" s="67" t="s">
        <v>1525</v>
      </c>
    </row>
    <row r="70" spans="1:16" x14ac:dyDescent="0.2">
      <c r="A70" s="61" t="b">
        <v>1</v>
      </c>
      <c r="B70" s="61" t="b">
        <v>1</v>
      </c>
      <c r="C70" s="61" t="s">
        <v>192</v>
      </c>
      <c r="D70" s="61" t="s">
        <v>187</v>
      </c>
      <c r="F70" s="61" t="s">
        <v>1013</v>
      </c>
      <c r="I70" s="61" t="s">
        <v>1029</v>
      </c>
      <c r="J70" s="61" t="s">
        <v>1105</v>
      </c>
      <c r="K70" s="61" t="s">
        <v>1519</v>
      </c>
      <c r="M70" s="61" t="s">
        <v>1490</v>
      </c>
      <c r="N70" s="61" t="s">
        <v>1505</v>
      </c>
      <c r="O70" s="61" t="s">
        <v>1111</v>
      </c>
      <c r="P70" s="61"/>
    </row>
    <row r="71" spans="1:16" x14ac:dyDescent="0.2">
      <c r="A71" s="61" t="b">
        <v>1</v>
      </c>
      <c r="B71" s="61" t="b">
        <v>1</v>
      </c>
      <c r="C71" s="61" t="s">
        <v>192</v>
      </c>
      <c r="D71" s="61" t="s">
        <v>188</v>
      </c>
      <c r="F71" s="61" t="s">
        <v>1013</v>
      </c>
      <c r="I71" s="61" t="s">
        <v>1028</v>
      </c>
      <c r="J71" s="61" t="s">
        <v>1105</v>
      </c>
      <c r="K71" s="61" t="s">
        <v>1520</v>
      </c>
      <c r="M71" s="61" t="s">
        <v>1491</v>
      </c>
      <c r="N71" s="61" t="s">
        <v>1506</v>
      </c>
      <c r="O71" s="61" t="s">
        <v>1111</v>
      </c>
      <c r="P71" s="61"/>
    </row>
    <row r="72" spans="1:16" x14ac:dyDescent="0.2">
      <c r="A72" s="61" t="b">
        <v>1</v>
      </c>
      <c r="B72" s="61" t="b">
        <v>1</v>
      </c>
      <c r="C72" s="61" t="s">
        <v>192</v>
      </c>
      <c r="D72" s="61" t="s">
        <v>189</v>
      </c>
      <c r="F72" s="61" t="s">
        <v>1013</v>
      </c>
      <c r="I72" s="61" t="s">
        <v>1030</v>
      </c>
      <c r="J72" s="61" t="s">
        <v>1105</v>
      </c>
      <c r="K72" s="61" t="s">
        <v>1521</v>
      </c>
      <c r="M72" s="61" t="s">
        <v>1492</v>
      </c>
      <c r="N72" s="61" t="s">
        <v>1507</v>
      </c>
      <c r="O72" s="61" t="s">
        <v>1111</v>
      </c>
      <c r="P72" s="61"/>
    </row>
    <row r="73" spans="1:16" x14ac:dyDescent="0.2">
      <c r="A73" s="61" t="b">
        <v>1</v>
      </c>
      <c r="B73" s="61" t="b">
        <v>1</v>
      </c>
      <c r="C73" s="61" t="s">
        <v>192</v>
      </c>
      <c r="D73" s="61" t="s">
        <v>190</v>
      </c>
      <c r="F73" s="61" t="s">
        <v>1013</v>
      </c>
      <c r="I73" s="61" t="s">
        <v>2036</v>
      </c>
      <c r="J73" s="61" t="s">
        <v>1105</v>
      </c>
      <c r="K73" s="61" t="s">
        <v>1522</v>
      </c>
      <c r="M73" s="61" t="s">
        <v>1493</v>
      </c>
      <c r="N73" s="61" t="s">
        <v>1508</v>
      </c>
      <c r="O73" s="61" t="s">
        <v>1111</v>
      </c>
      <c r="P73" s="61"/>
    </row>
    <row r="74" spans="1:16" x14ac:dyDescent="0.2">
      <c r="A74" s="61" t="b">
        <v>1</v>
      </c>
      <c r="B74" s="61" t="b">
        <v>1</v>
      </c>
      <c r="C74" s="61" t="s">
        <v>192</v>
      </c>
      <c r="D74" s="61" t="s">
        <v>191</v>
      </c>
      <c r="F74" s="61" t="s">
        <v>1013</v>
      </c>
      <c r="I74" s="61" t="s">
        <v>1032</v>
      </c>
      <c r="J74" s="61" t="s">
        <v>1105</v>
      </c>
      <c r="K74" s="61" t="s">
        <v>1523</v>
      </c>
      <c r="M74" s="61" t="s">
        <v>1494</v>
      </c>
      <c r="N74" s="61" t="s">
        <v>1509</v>
      </c>
      <c r="O74" s="61" t="s">
        <v>1111</v>
      </c>
      <c r="P74" s="61"/>
    </row>
    <row r="75" spans="1:16" x14ac:dyDescent="0.2">
      <c r="P75" s="61"/>
    </row>
    <row r="76" spans="1:16" x14ac:dyDescent="0.2">
      <c r="A76" s="61" t="b">
        <v>1</v>
      </c>
      <c r="B76" s="61" t="b">
        <v>1</v>
      </c>
      <c r="C76" s="61" t="s">
        <v>192</v>
      </c>
      <c r="D76" s="61" t="s">
        <v>1203</v>
      </c>
      <c r="E76" s="61" t="s">
        <v>1239</v>
      </c>
      <c r="F76" s="61" t="s">
        <v>1013</v>
      </c>
      <c r="G76" s="61" t="b">
        <v>1</v>
      </c>
      <c r="J76" s="61" t="s">
        <v>1105</v>
      </c>
      <c r="K76" s="61" t="s">
        <v>1527</v>
      </c>
      <c r="L76" s="61" t="s">
        <v>2028</v>
      </c>
      <c r="M76" s="61" t="s">
        <v>1942</v>
      </c>
      <c r="N76" s="61" t="s">
        <v>1528</v>
      </c>
      <c r="O76" s="61" t="s">
        <v>1111</v>
      </c>
      <c r="P76" s="67" t="s">
        <v>1534</v>
      </c>
    </row>
    <row r="77" spans="1:16" x14ac:dyDescent="0.2">
      <c r="A77" s="61" t="b">
        <v>1</v>
      </c>
      <c r="B77" s="61" t="b">
        <v>1</v>
      </c>
      <c r="C77" s="61" t="s">
        <v>192</v>
      </c>
      <c r="D77" s="61" t="s">
        <v>1203</v>
      </c>
      <c r="E77" s="61" t="s">
        <v>1240</v>
      </c>
      <c r="F77" s="61" t="s">
        <v>1013</v>
      </c>
      <c r="G77" s="61" t="b">
        <v>0</v>
      </c>
      <c r="J77" s="61" t="s">
        <v>1105</v>
      </c>
      <c r="K77" s="61" t="s">
        <v>1527</v>
      </c>
      <c r="L77" s="61" t="s">
        <v>2028</v>
      </c>
      <c r="M77" s="61" t="s">
        <v>1942</v>
      </c>
      <c r="N77" s="61" t="s">
        <v>1528</v>
      </c>
      <c r="O77" s="61" t="s">
        <v>1111</v>
      </c>
      <c r="P77" s="67" t="s">
        <v>1534</v>
      </c>
    </row>
    <row r="78" spans="1:16" x14ac:dyDescent="0.2">
      <c r="P78" s="67"/>
    </row>
    <row r="79" spans="1:16" x14ac:dyDescent="0.2">
      <c r="A79" s="61" t="b">
        <v>1</v>
      </c>
      <c r="B79" s="61" t="b">
        <v>1</v>
      </c>
      <c r="C79" s="61" t="s">
        <v>192</v>
      </c>
      <c r="D79" s="61" t="s">
        <v>152</v>
      </c>
      <c r="F79" s="61" t="s">
        <v>1013</v>
      </c>
      <c r="J79" s="61" t="s">
        <v>1105</v>
      </c>
      <c r="K79" s="61" t="s">
        <v>1527</v>
      </c>
      <c r="L79" s="61" t="s">
        <v>2028</v>
      </c>
      <c r="M79" s="61" t="s">
        <v>1530</v>
      </c>
      <c r="N79" s="61" t="s">
        <v>1529</v>
      </c>
      <c r="O79" s="61" t="s">
        <v>1111</v>
      </c>
      <c r="P79" s="67" t="s">
        <v>1535</v>
      </c>
    </row>
    <row r="80" spans="1:16" x14ac:dyDescent="0.2">
      <c r="P80" s="61"/>
    </row>
    <row r="81" spans="1:16" x14ac:dyDescent="0.2">
      <c r="A81" s="61" t="b">
        <v>1</v>
      </c>
      <c r="B81" s="61" t="b">
        <v>1</v>
      </c>
      <c r="C81" s="61" t="s">
        <v>192</v>
      </c>
      <c r="D81" s="61" t="s">
        <v>178</v>
      </c>
      <c r="F81" s="61" t="s">
        <v>1013</v>
      </c>
      <c r="J81" s="61" t="s">
        <v>1105</v>
      </c>
      <c r="K81" s="61" t="s">
        <v>1603</v>
      </c>
      <c r="M81" s="61" t="s">
        <v>1608</v>
      </c>
      <c r="N81" s="61" t="s">
        <v>1609</v>
      </c>
      <c r="O81" s="61" t="s">
        <v>1110</v>
      </c>
      <c r="P81" s="67" t="s">
        <v>1607</v>
      </c>
    </row>
    <row r="82" spans="1:16" x14ac:dyDescent="0.2">
      <c r="A82" s="61" t="b">
        <v>1</v>
      </c>
      <c r="B82" s="61" t="b">
        <v>1</v>
      </c>
      <c r="C82" s="61" t="s">
        <v>192</v>
      </c>
      <c r="D82" s="61" t="s">
        <v>179</v>
      </c>
      <c r="F82" s="61" t="s">
        <v>1013</v>
      </c>
      <c r="J82" s="61" t="s">
        <v>1105</v>
      </c>
      <c r="K82" s="61" t="s">
        <v>1604</v>
      </c>
      <c r="M82" s="61" t="s">
        <v>1606</v>
      </c>
      <c r="N82" s="61" t="s">
        <v>1605</v>
      </c>
      <c r="O82" s="61" t="s">
        <v>1110</v>
      </c>
      <c r="P82" s="67" t="s">
        <v>1607</v>
      </c>
    </row>
    <row r="83" spans="1:16" x14ac:dyDescent="0.2">
      <c r="P83" s="61"/>
    </row>
    <row r="84" spans="1:16" x14ac:dyDescent="0.2">
      <c r="A84" s="61" t="b">
        <v>1</v>
      </c>
      <c r="B84" s="61" t="b">
        <v>1</v>
      </c>
      <c r="C84" s="61" t="s">
        <v>192</v>
      </c>
      <c r="D84" s="61" t="s">
        <v>131</v>
      </c>
      <c r="E84" s="61" t="s">
        <v>277</v>
      </c>
      <c r="F84" s="61" t="s">
        <v>1013</v>
      </c>
      <c r="G84" s="61" t="s">
        <v>1674</v>
      </c>
      <c r="H84" s="61" t="s">
        <v>2041</v>
      </c>
      <c r="J84" s="61" t="s">
        <v>1104</v>
      </c>
      <c r="K84" s="61" t="s">
        <v>1685</v>
      </c>
      <c r="M84" s="61" t="s">
        <v>1910</v>
      </c>
      <c r="N84" s="61" t="s">
        <v>1115</v>
      </c>
      <c r="O84" s="61" t="s">
        <v>1110</v>
      </c>
      <c r="P84" s="61"/>
    </row>
    <row r="85" spans="1:16" x14ac:dyDescent="0.2">
      <c r="A85" s="61" t="b">
        <v>1</v>
      </c>
      <c r="B85" s="61" t="b">
        <v>1</v>
      </c>
      <c r="C85" s="61" t="s">
        <v>192</v>
      </c>
      <c r="D85" s="61" t="s">
        <v>131</v>
      </c>
      <c r="E85" s="61" t="s">
        <v>278</v>
      </c>
      <c r="F85" s="61" t="s">
        <v>1013</v>
      </c>
      <c r="G85" s="61" t="s">
        <v>1675</v>
      </c>
      <c r="H85" s="61" t="s">
        <v>2041</v>
      </c>
      <c r="J85" s="61" t="s">
        <v>1104</v>
      </c>
      <c r="K85" s="61" t="s">
        <v>1685</v>
      </c>
      <c r="M85" s="61" t="s">
        <v>1910</v>
      </c>
      <c r="N85" s="61" t="s">
        <v>1115</v>
      </c>
      <c r="O85" s="61" t="s">
        <v>1110</v>
      </c>
      <c r="P85" s="61"/>
    </row>
    <row r="86" spans="1:16" x14ac:dyDescent="0.2">
      <c r="A86" s="61" t="b">
        <v>1</v>
      </c>
      <c r="B86" s="61" t="b">
        <v>1</v>
      </c>
      <c r="C86" s="61" t="s">
        <v>192</v>
      </c>
      <c r="D86" s="61" t="s">
        <v>131</v>
      </c>
      <c r="E86" s="61" t="s">
        <v>279</v>
      </c>
      <c r="F86" s="61" t="s">
        <v>1013</v>
      </c>
      <c r="G86" s="61" t="s">
        <v>1676</v>
      </c>
      <c r="H86" s="61" t="s">
        <v>2041</v>
      </c>
      <c r="J86" s="61" t="s">
        <v>1104</v>
      </c>
      <c r="K86" s="61" t="s">
        <v>1685</v>
      </c>
      <c r="M86" s="61" t="s">
        <v>1910</v>
      </c>
      <c r="N86" s="61" t="s">
        <v>1115</v>
      </c>
      <c r="O86" s="61" t="s">
        <v>1110</v>
      </c>
      <c r="P86" s="61"/>
    </row>
    <row r="87" spans="1:16" x14ac:dyDescent="0.2">
      <c r="A87" s="61" t="b">
        <v>1</v>
      </c>
      <c r="B87" s="61" t="b">
        <v>1</v>
      </c>
      <c r="C87" s="61" t="s">
        <v>192</v>
      </c>
      <c r="D87" s="61" t="s">
        <v>131</v>
      </c>
      <c r="E87" s="61" t="s">
        <v>280</v>
      </c>
      <c r="F87" s="61" t="s">
        <v>1013</v>
      </c>
      <c r="G87" s="61" t="s">
        <v>1677</v>
      </c>
      <c r="H87" s="61" t="s">
        <v>2041</v>
      </c>
      <c r="J87" s="61" t="s">
        <v>1104</v>
      </c>
      <c r="K87" s="61" t="s">
        <v>1685</v>
      </c>
      <c r="M87" s="61" t="s">
        <v>1910</v>
      </c>
      <c r="N87" s="61" t="s">
        <v>1115</v>
      </c>
      <c r="O87" s="61" t="s">
        <v>1110</v>
      </c>
      <c r="P87" s="61"/>
    </row>
    <row r="88" spans="1:16" x14ac:dyDescent="0.2">
      <c r="A88" s="61" t="b">
        <v>1</v>
      </c>
      <c r="B88" s="61" t="b">
        <v>1</v>
      </c>
      <c r="C88" s="61" t="s">
        <v>192</v>
      </c>
      <c r="D88" s="61" t="s">
        <v>131</v>
      </c>
      <c r="E88" s="61" t="s">
        <v>281</v>
      </c>
      <c r="F88" s="61" t="s">
        <v>1013</v>
      </c>
      <c r="G88" s="61" t="s">
        <v>1678</v>
      </c>
      <c r="H88" s="61" t="s">
        <v>2041</v>
      </c>
      <c r="J88" s="61" t="s">
        <v>1104</v>
      </c>
      <c r="K88" s="61" t="s">
        <v>1685</v>
      </c>
      <c r="M88" s="61" t="s">
        <v>1910</v>
      </c>
      <c r="N88" s="61" t="s">
        <v>1115</v>
      </c>
      <c r="O88" s="61" t="s">
        <v>1110</v>
      </c>
      <c r="P88" s="61"/>
    </row>
    <row r="89" spans="1:16" x14ac:dyDescent="0.2">
      <c r="A89" s="61" t="b">
        <v>1</v>
      </c>
      <c r="B89" s="61" t="b">
        <v>1</v>
      </c>
      <c r="C89" s="61" t="s">
        <v>192</v>
      </c>
      <c r="D89" s="61" t="s">
        <v>131</v>
      </c>
      <c r="E89" s="61" t="s">
        <v>1213</v>
      </c>
      <c r="F89" s="61" t="s">
        <v>1013</v>
      </c>
      <c r="G89" s="61" t="s">
        <v>1679</v>
      </c>
      <c r="H89" s="61" t="s">
        <v>2041</v>
      </c>
      <c r="J89" s="61" t="s">
        <v>1104</v>
      </c>
      <c r="K89" s="61" t="s">
        <v>1685</v>
      </c>
      <c r="M89" s="61" t="s">
        <v>1910</v>
      </c>
      <c r="N89" s="61" t="s">
        <v>1115</v>
      </c>
      <c r="O89" s="61" t="s">
        <v>1110</v>
      </c>
      <c r="P89" s="61"/>
    </row>
    <row r="90" spans="1:16" x14ac:dyDescent="0.2">
      <c r="A90" s="61" t="b">
        <v>1</v>
      </c>
      <c r="B90" s="61" t="b">
        <v>1</v>
      </c>
      <c r="C90" s="61" t="s">
        <v>192</v>
      </c>
      <c r="D90" s="61" t="s">
        <v>131</v>
      </c>
      <c r="E90" s="61" t="s">
        <v>1214</v>
      </c>
      <c r="F90" s="61" t="s">
        <v>1013</v>
      </c>
      <c r="G90" s="61" t="s">
        <v>1680</v>
      </c>
      <c r="H90" s="61" t="s">
        <v>2041</v>
      </c>
      <c r="J90" s="61" t="s">
        <v>1104</v>
      </c>
      <c r="K90" s="61" t="s">
        <v>1685</v>
      </c>
      <c r="M90" s="61" t="s">
        <v>1910</v>
      </c>
      <c r="N90" s="61" t="s">
        <v>1115</v>
      </c>
      <c r="O90" s="61" t="s">
        <v>1110</v>
      </c>
      <c r="P90" s="61"/>
    </row>
    <row r="91" spans="1:16" x14ac:dyDescent="0.2">
      <c r="A91" s="61" t="b">
        <v>1</v>
      </c>
      <c r="B91" s="61" t="b">
        <v>1</v>
      </c>
      <c r="C91" s="61" t="s">
        <v>192</v>
      </c>
      <c r="D91" s="61" t="s">
        <v>131</v>
      </c>
      <c r="E91" s="61" t="s">
        <v>282</v>
      </c>
      <c r="F91" s="61" t="s">
        <v>1013</v>
      </c>
      <c r="G91" s="61" t="s">
        <v>1681</v>
      </c>
      <c r="H91" s="61" t="s">
        <v>2041</v>
      </c>
      <c r="J91" s="61" t="s">
        <v>1104</v>
      </c>
      <c r="K91" s="61" t="s">
        <v>1685</v>
      </c>
      <c r="M91" s="61" t="s">
        <v>1910</v>
      </c>
      <c r="N91" s="61" t="s">
        <v>1115</v>
      </c>
      <c r="O91" s="61" t="s">
        <v>1110</v>
      </c>
      <c r="P91" s="61"/>
    </row>
    <row r="92" spans="1:16" x14ac:dyDescent="0.2">
      <c r="A92" s="61" t="b">
        <v>1</v>
      </c>
      <c r="B92" s="61" t="b">
        <v>1</v>
      </c>
      <c r="C92" s="61" t="s">
        <v>192</v>
      </c>
      <c r="D92" s="61" t="s">
        <v>131</v>
      </c>
      <c r="E92" s="61" t="s">
        <v>283</v>
      </c>
      <c r="F92" s="61" t="s">
        <v>1013</v>
      </c>
      <c r="G92" s="61" t="s">
        <v>1682</v>
      </c>
      <c r="H92" s="61" t="s">
        <v>2041</v>
      </c>
      <c r="J92" s="61" t="s">
        <v>1104</v>
      </c>
      <c r="K92" s="61" t="s">
        <v>1685</v>
      </c>
      <c r="M92" s="61" t="s">
        <v>1910</v>
      </c>
      <c r="N92" s="61" t="s">
        <v>1115</v>
      </c>
      <c r="O92" s="61" t="s">
        <v>1110</v>
      </c>
      <c r="P92" s="61"/>
    </row>
    <row r="93" spans="1:16" x14ac:dyDescent="0.2">
      <c r="A93" s="61" t="b">
        <v>1</v>
      </c>
      <c r="B93" s="61" t="b">
        <v>1</v>
      </c>
      <c r="C93" s="61" t="s">
        <v>192</v>
      </c>
      <c r="D93" s="61" t="s">
        <v>131</v>
      </c>
      <c r="E93" s="61" t="s">
        <v>1215</v>
      </c>
      <c r="F93" s="61" t="s">
        <v>1013</v>
      </c>
      <c r="G93" s="61" t="s">
        <v>1683</v>
      </c>
      <c r="H93" s="61" t="s">
        <v>2041</v>
      </c>
      <c r="J93" s="61" t="s">
        <v>1104</v>
      </c>
      <c r="K93" s="61" t="s">
        <v>1685</v>
      </c>
      <c r="M93" s="61" t="s">
        <v>1910</v>
      </c>
      <c r="N93" s="61" t="s">
        <v>1115</v>
      </c>
      <c r="O93" s="61" t="s">
        <v>1110</v>
      </c>
      <c r="P93" s="61"/>
    </row>
    <row r="94" spans="1:16" x14ac:dyDescent="0.2">
      <c r="A94" s="61" t="b">
        <v>1</v>
      </c>
      <c r="B94" s="61" t="b">
        <v>1</v>
      </c>
      <c r="C94" s="61" t="s">
        <v>192</v>
      </c>
      <c r="D94" s="61" t="s">
        <v>131</v>
      </c>
      <c r="E94" s="61" t="s">
        <v>1216</v>
      </c>
      <c r="F94" s="61" t="s">
        <v>1013</v>
      </c>
      <c r="G94" s="61" t="s">
        <v>1684</v>
      </c>
      <c r="H94" s="61" t="s">
        <v>2041</v>
      </c>
      <c r="J94" s="61" t="s">
        <v>1104</v>
      </c>
      <c r="K94" s="61" t="s">
        <v>1685</v>
      </c>
      <c r="M94" s="61" t="s">
        <v>1910</v>
      </c>
      <c r="N94" s="61" t="s">
        <v>1115</v>
      </c>
      <c r="O94" s="61" t="s">
        <v>1110</v>
      </c>
      <c r="P94" s="61"/>
    </row>
    <row r="95" spans="1:16" x14ac:dyDescent="0.2">
      <c r="P95" s="61"/>
    </row>
    <row r="96" spans="1:16" x14ac:dyDescent="0.2">
      <c r="A96" s="61" t="b">
        <v>1</v>
      </c>
      <c r="B96" s="61" t="b">
        <v>1</v>
      </c>
      <c r="C96" s="61" t="s">
        <v>192</v>
      </c>
      <c r="D96" s="61" t="s">
        <v>136</v>
      </c>
      <c r="E96" s="61" t="s">
        <v>214</v>
      </c>
      <c r="F96" s="61" t="s">
        <v>1013</v>
      </c>
      <c r="G96" s="61" t="s">
        <v>1695</v>
      </c>
      <c r="H96" s="61" t="s">
        <v>2042</v>
      </c>
      <c r="J96" s="61" t="s">
        <v>1104</v>
      </c>
      <c r="K96" s="61" t="s">
        <v>1694</v>
      </c>
      <c r="M96" s="61" t="s">
        <v>1911</v>
      </c>
      <c r="N96" s="61" t="s">
        <v>1115</v>
      </c>
      <c r="O96" s="61" t="s">
        <v>1110</v>
      </c>
      <c r="P96" s="67" t="s">
        <v>1705</v>
      </c>
    </row>
    <row r="97" spans="1:16" x14ac:dyDescent="0.2">
      <c r="A97" s="61" t="b">
        <v>1</v>
      </c>
      <c r="B97" s="61" t="b">
        <v>1</v>
      </c>
      <c r="C97" s="61" t="s">
        <v>192</v>
      </c>
      <c r="D97" s="61" t="s">
        <v>136</v>
      </c>
      <c r="E97" s="61" t="s">
        <v>215</v>
      </c>
      <c r="F97" s="61" t="s">
        <v>1013</v>
      </c>
      <c r="G97" s="61" t="s">
        <v>1696</v>
      </c>
      <c r="H97" s="61" t="s">
        <v>2042</v>
      </c>
      <c r="J97" s="61" t="s">
        <v>1104</v>
      </c>
      <c r="K97" s="61" t="s">
        <v>1694</v>
      </c>
      <c r="M97" s="61" t="s">
        <v>1911</v>
      </c>
      <c r="N97" s="61" t="s">
        <v>1115</v>
      </c>
      <c r="O97" s="61" t="s">
        <v>1110</v>
      </c>
      <c r="P97" s="67" t="s">
        <v>1705</v>
      </c>
    </row>
    <row r="98" spans="1:16" x14ac:dyDescent="0.2">
      <c r="A98" s="61" t="b">
        <v>1</v>
      </c>
      <c r="B98" s="61" t="b">
        <v>1</v>
      </c>
      <c r="C98" s="61" t="s">
        <v>192</v>
      </c>
      <c r="D98" s="61" t="s">
        <v>136</v>
      </c>
      <c r="E98" s="61" t="s">
        <v>216</v>
      </c>
      <c r="F98" s="61" t="s">
        <v>1013</v>
      </c>
      <c r="G98" s="61" t="s">
        <v>1697</v>
      </c>
      <c r="H98" s="61" t="s">
        <v>2042</v>
      </c>
      <c r="J98" s="61" t="s">
        <v>1104</v>
      </c>
      <c r="K98" s="61" t="s">
        <v>1694</v>
      </c>
      <c r="M98" s="61" t="s">
        <v>1911</v>
      </c>
      <c r="N98" s="61" t="s">
        <v>1115</v>
      </c>
      <c r="O98" s="61" t="s">
        <v>1110</v>
      </c>
      <c r="P98" s="67" t="s">
        <v>1705</v>
      </c>
    </row>
    <row r="99" spans="1:16" x14ac:dyDescent="0.2">
      <c r="A99" s="61" t="b">
        <v>1</v>
      </c>
      <c r="B99" s="61" t="b">
        <v>1</v>
      </c>
      <c r="C99" s="61" t="s">
        <v>192</v>
      </c>
      <c r="D99" s="61" t="s">
        <v>136</v>
      </c>
      <c r="E99" s="61" t="s">
        <v>217</v>
      </c>
      <c r="F99" s="61" t="s">
        <v>1013</v>
      </c>
      <c r="G99" s="61" t="s">
        <v>1698</v>
      </c>
      <c r="H99" s="61" t="s">
        <v>2042</v>
      </c>
      <c r="J99" s="61" t="s">
        <v>1104</v>
      </c>
      <c r="K99" s="61" t="s">
        <v>1694</v>
      </c>
      <c r="M99" s="61" t="s">
        <v>1911</v>
      </c>
      <c r="N99" s="61" t="s">
        <v>1115</v>
      </c>
      <c r="O99" s="61" t="s">
        <v>1110</v>
      </c>
      <c r="P99" s="67" t="s">
        <v>1705</v>
      </c>
    </row>
    <row r="100" spans="1:16" x14ac:dyDescent="0.2">
      <c r="A100" s="61" t="b">
        <v>1</v>
      </c>
      <c r="B100" s="61" t="b">
        <v>1</v>
      </c>
      <c r="C100" s="61" t="s">
        <v>192</v>
      </c>
      <c r="D100" s="61" t="s">
        <v>136</v>
      </c>
      <c r="E100" s="61" t="s">
        <v>218</v>
      </c>
      <c r="F100" s="61" t="s">
        <v>1013</v>
      </c>
      <c r="G100" s="61" t="s">
        <v>1699</v>
      </c>
      <c r="H100" s="61" t="s">
        <v>2042</v>
      </c>
      <c r="J100" s="61" t="s">
        <v>1104</v>
      </c>
      <c r="K100" s="61" t="s">
        <v>1694</v>
      </c>
      <c r="M100" s="61" t="s">
        <v>1911</v>
      </c>
      <c r="N100" s="61" t="s">
        <v>1115</v>
      </c>
      <c r="O100" s="61" t="s">
        <v>1110</v>
      </c>
      <c r="P100" s="67" t="s">
        <v>1705</v>
      </c>
    </row>
    <row r="101" spans="1:16" x14ac:dyDescent="0.2">
      <c r="A101" s="61" t="b">
        <v>1</v>
      </c>
      <c r="B101" s="61" t="b">
        <v>1</v>
      </c>
      <c r="C101" s="61" t="s">
        <v>192</v>
      </c>
      <c r="D101" s="61" t="s">
        <v>136</v>
      </c>
      <c r="E101" s="61" t="s">
        <v>219</v>
      </c>
      <c r="F101" s="61" t="s">
        <v>1013</v>
      </c>
      <c r="G101" s="61" t="s">
        <v>1700</v>
      </c>
      <c r="H101" s="61" t="s">
        <v>2042</v>
      </c>
      <c r="J101" s="61" t="s">
        <v>1104</v>
      </c>
      <c r="K101" s="61" t="s">
        <v>1694</v>
      </c>
      <c r="M101" s="61" t="s">
        <v>1911</v>
      </c>
      <c r="N101" s="61" t="s">
        <v>1115</v>
      </c>
      <c r="O101" s="61" t="s">
        <v>1110</v>
      </c>
      <c r="P101" s="67" t="s">
        <v>1705</v>
      </c>
    </row>
    <row r="102" spans="1:16" x14ac:dyDescent="0.2">
      <c r="A102" s="61" t="b">
        <v>1</v>
      </c>
      <c r="B102" s="61" t="b">
        <v>1</v>
      </c>
      <c r="C102" s="61" t="s">
        <v>192</v>
      </c>
      <c r="D102" s="61" t="s">
        <v>136</v>
      </c>
      <c r="E102" s="61" t="s">
        <v>220</v>
      </c>
      <c r="F102" s="61" t="s">
        <v>1013</v>
      </c>
      <c r="G102" s="61" t="s">
        <v>1701</v>
      </c>
      <c r="H102" s="61" t="s">
        <v>2042</v>
      </c>
      <c r="J102" s="61" t="s">
        <v>1104</v>
      </c>
      <c r="K102" s="61" t="s">
        <v>1694</v>
      </c>
      <c r="M102" s="61" t="s">
        <v>1911</v>
      </c>
      <c r="N102" s="61" t="s">
        <v>1115</v>
      </c>
      <c r="O102" s="61" t="s">
        <v>1110</v>
      </c>
      <c r="P102" s="67" t="s">
        <v>1705</v>
      </c>
    </row>
    <row r="103" spans="1:16" x14ac:dyDescent="0.2">
      <c r="A103" s="61" t="b">
        <v>1</v>
      </c>
      <c r="B103" s="61" t="b">
        <v>1</v>
      </c>
      <c r="C103" s="61" t="s">
        <v>192</v>
      </c>
      <c r="D103" s="61" t="s">
        <v>136</v>
      </c>
      <c r="E103" s="61" t="s">
        <v>1206</v>
      </c>
      <c r="F103" s="61" t="s">
        <v>1013</v>
      </c>
      <c r="G103" s="61" t="s">
        <v>1702</v>
      </c>
      <c r="H103" s="61" t="s">
        <v>2042</v>
      </c>
      <c r="J103" s="61" t="s">
        <v>1104</v>
      </c>
      <c r="K103" s="61" t="s">
        <v>1694</v>
      </c>
      <c r="M103" s="61" t="s">
        <v>1911</v>
      </c>
      <c r="N103" s="61" t="s">
        <v>1115</v>
      </c>
      <c r="O103" s="61" t="s">
        <v>1110</v>
      </c>
      <c r="P103" s="67" t="s">
        <v>1705</v>
      </c>
    </row>
    <row r="104" spans="1:16" x14ac:dyDescent="0.2">
      <c r="A104" s="61" t="b">
        <v>1</v>
      </c>
      <c r="B104" s="61" t="b">
        <v>1</v>
      </c>
      <c r="C104" s="61" t="s">
        <v>192</v>
      </c>
      <c r="D104" s="61" t="s">
        <v>136</v>
      </c>
      <c r="E104" s="61" t="s">
        <v>221</v>
      </c>
      <c r="F104" s="61" t="s">
        <v>1013</v>
      </c>
      <c r="G104" s="61" t="s">
        <v>1703</v>
      </c>
      <c r="H104" s="61" t="s">
        <v>2042</v>
      </c>
      <c r="J104" s="61" t="s">
        <v>1104</v>
      </c>
      <c r="K104" s="61" t="s">
        <v>1694</v>
      </c>
      <c r="M104" s="61" t="s">
        <v>1911</v>
      </c>
      <c r="N104" s="61" t="s">
        <v>1115</v>
      </c>
      <c r="O104" s="61" t="s">
        <v>1110</v>
      </c>
      <c r="P104" s="67" t="s">
        <v>1705</v>
      </c>
    </row>
    <row r="105" spans="1:16" x14ac:dyDescent="0.2">
      <c r="A105" s="61" t="b">
        <v>1</v>
      </c>
      <c r="B105" s="61" t="b">
        <v>1</v>
      </c>
      <c r="C105" s="61" t="s">
        <v>192</v>
      </c>
      <c r="D105" s="61" t="s">
        <v>136</v>
      </c>
      <c r="E105" s="61" t="s">
        <v>222</v>
      </c>
      <c r="F105" s="61" t="s">
        <v>1013</v>
      </c>
      <c r="G105" s="61" t="s">
        <v>1704</v>
      </c>
      <c r="H105" s="61" t="s">
        <v>2042</v>
      </c>
      <c r="J105" s="61" t="s">
        <v>1104</v>
      </c>
      <c r="K105" s="61" t="s">
        <v>1694</v>
      </c>
      <c r="M105" s="61" t="s">
        <v>1911</v>
      </c>
      <c r="N105" s="61" t="s">
        <v>1115</v>
      </c>
      <c r="O105" s="61" t="s">
        <v>1110</v>
      </c>
      <c r="P105" s="67" t="s">
        <v>1705</v>
      </c>
    </row>
    <row r="106" spans="1:16" x14ac:dyDescent="0.2">
      <c r="P106" s="61"/>
    </row>
    <row r="107" spans="1:16" s="57" customFormat="1" x14ac:dyDescent="0.2">
      <c r="A107" s="69"/>
      <c r="B107" s="69" t="b">
        <v>1</v>
      </c>
      <c r="C107" s="69" t="s">
        <v>192</v>
      </c>
      <c r="D107" s="69" t="s">
        <v>1167</v>
      </c>
      <c r="E107" s="69" t="s">
        <v>1765</v>
      </c>
      <c r="F107" s="69" t="s">
        <v>1013</v>
      </c>
      <c r="G107" s="69"/>
      <c r="H107" s="69" t="s">
        <v>1913</v>
      </c>
      <c r="I107" s="69"/>
      <c r="J107" s="69" t="s">
        <v>1105</v>
      </c>
      <c r="K107" s="69" t="s">
        <v>1765</v>
      </c>
      <c r="L107" s="69"/>
      <c r="M107" s="69" t="b">
        <v>1</v>
      </c>
      <c r="N107" s="69" t="s">
        <v>1528</v>
      </c>
      <c r="O107" s="69" t="s">
        <v>1111</v>
      </c>
      <c r="P107" s="71" t="s">
        <v>1767</v>
      </c>
    </row>
    <row r="108" spans="1:16" s="57" customFormat="1" x14ac:dyDescent="0.2">
      <c r="A108" s="69"/>
      <c r="B108" s="69" t="b">
        <v>1</v>
      </c>
      <c r="C108" s="69" t="s">
        <v>192</v>
      </c>
      <c r="D108" s="69" t="s">
        <v>1167</v>
      </c>
      <c r="E108" s="69" t="s">
        <v>1765</v>
      </c>
      <c r="F108" s="69" t="s">
        <v>1013</v>
      </c>
      <c r="G108" s="69"/>
      <c r="H108" s="69" t="s">
        <v>1913</v>
      </c>
      <c r="I108" s="69"/>
      <c r="J108" s="69" t="s">
        <v>1105</v>
      </c>
      <c r="K108" s="69" t="s">
        <v>1765</v>
      </c>
      <c r="L108" s="69"/>
      <c r="M108" s="69" t="b">
        <v>0</v>
      </c>
      <c r="N108" s="69" t="s">
        <v>1528</v>
      </c>
      <c r="O108" s="69" t="s">
        <v>1111</v>
      </c>
      <c r="P108" s="71" t="s">
        <v>1767</v>
      </c>
    </row>
    <row r="109" spans="1:16" x14ac:dyDescent="0.2">
      <c r="P109" s="61"/>
    </row>
    <row r="110" spans="1:16" x14ac:dyDescent="0.2">
      <c r="A110" s="61" t="b">
        <v>1</v>
      </c>
      <c r="B110" s="61" t="b">
        <v>1</v>
      </c>
      <c r="C110" s="61" t="s">
        <v>192</v>
      </c>
      <c r="D110" s="61" t="s">
        <v>1168</v>
      </c>
      <c r="F110" s="61" t="s">
        <v>1013</v>
      </c>
      <c r="I110" s="61" t="s">
        <v>1777</v>
      </c>
      <c r="J110" s="61" t="s">
        <v>1105</v>
      </c>
      <c r="K110" s="72" t="s">
        <v>1875</v>
      </c>
      <c r="L110" s="72"/>
      <c r="M110" s="61" t="s">
        <v>1780</v>
      </c>
      <c r="N110" s="61" t="s">
        <v>1048</v>
      </c>
      <c r="O110" s="61" t="s">
        <v>1110</v>
      </c>
      <c r="P110" s="67" t="s">
        <v>1876</v>
      </c>
    </row>
    <row r="111" spans="1:16" x14ac:dyDescent="0.2">
      <c r="P111" s="61"/>
    </row>
    <row r="112" spans="1:16" x14ac:dyDescent="0.2">
      <c r="A112" s="61" t="b">
        <v>1</v>
      </c>
      <c r="B112" s="61" t="b">
        <v>1</v>
      </c>
      <c r="C112" s="61" t="s">
        <v>192</v>
      </c>
      <c r="D112" s="61" t="s">
        <v>1161</v>
      </c>
      <c r="E112" s="61" t="s">
        <v>200</v>
      </c>
      <c r="F112" s="61" t="s">
        <v>1013</v>
      </c>
      <c r="G112" s="61" t="s">
        <v>1797</v>
      </c>
      <c r="J112" s="61" t="s">
        <v>1105</v>
      </c>
      <c r="K112" s="61" t="s">
        <v>1794</v>
      </c>
      <c r="M112" s="61" t="s">
        <v>1912</v>
      </c>
      <c r="P112" s="67" t="s">
        <v>1793</v>
      </c>
    </row>
    <row r="113" spans="1:16" x14ac:dyDescent="0.2">
      <c r="A113" s="61" t="b">
        <v>1</v>
      </c>
      <c r="B113" s="61" t="b">
        <v>1</v>
      </c>
      <c r="C113" s="61" t="s">
        <v>192</v>
      </c>
      <c r="D113" s="61" t="s">
        <v>1161</v>
      </c>
      <c r="E113" s="61" t="s">
        <v>201</v>
      </c>
      <c r="F113" s="61" t="s">
        <v>1013</v>
      </c>
      <c r="G113" s="61" t="s">
        <v>1796</v>
      </c>
      <c r="J113" s="61" t="s">
        <v>1105</v>
      </c>
      <c r="K113" s="61" t="s">
        <v>1794</v>
      </c>
      <c r="M113" s="61" t="s">
        <v>1912</v>
      </c>
      <c r="P113" s="67" t="s">
        <v>1793</v>
      </c>
    </row>
    <row r="114" spans="1:16" x14ac:dyDescent="0.2">
      <c r="A114" s="61" t="b">
        <v>1</v>
      </c>
      <c r="B114" s="61" t="b">
        <v>1</v>
      </c>
      <c r="C114" s="61" t="s">
        <v>192</v>
      </c>
      <c r="D114" s="61" t="s">
        <v>1161</v>
      </c>
      <c r="E114" s="61" t="s">
        <v>202</v>
      </c>
      <c r="F114" s="61" t="s">
        <v>1013</v>
      </c>
      <c r="G114" s="61" t="s">
        <v>1795</v>
      </c>
      <c r="J114" s="61" t="s">
        <v>1105</v>
      </c>
      <c r="K114" s="61" t="s">
        <v>1794</v>
      </c>
      <c r="M114" s="61" t="s">
        <v>1912</v>
      </c>
      <c r="P114" s="67" t="s">
        <v>1793</v>
      </c>
    </row>
    <row r="115" spans="1:16" x14ac:dyDescent="0.2">
      <c r="P115" s="61"/>
    </row>
    <row r="116" spans="1:16" x14ac:dyDescent="0.2">
      <c r="A116" s="61" t="b">
        <v>1</v>
      </c>
      <c r="B116" s="61" t="b">
        <v>1</v>
      </c>
      <c r="C116" s="61" t="s">
        <v>192</v>
      </c>
      <c r="D116" s="61" t="s">
        <v>67</v>
      </c>
      <c r="F116" s="61" t="s">
        <v>1013</v>
      </c>
      <c r="J116" s="61" t="s">
        <v>1105</v>
      </c>
      <c r="K116" s="61" t="s">
        <v>1801</v>
      </c>
      <c r="M116" s="61" t="s">
        <v>1799</v>
      </c>
      <c r="N116" s="61" t="s">
        <v>1464</v>
      </c>
      <c r="O116" s="61" t="s">
        <v>1110</v>
      </c>
      <c r="P116" s="67" t="s">
        <v>1805</v>
      </c>
    </row>
    <row r="117" spans="1:16" x14ac:dyDescent="0.2">
      <c r="A117" s="61" t="b">
        <v>1</v>
      </c>
      <c r="B117" s="61" t="b">
        <v>1</v>
      </c>
      <c r="C117" s="61" t="s">
        <v>192</v>
      </c>
      <c r="D117" s="61" t="s">
        <v>80</v>
      </c>
      <c r="F117" s="61" t="s">
        <v>1013</v>
      </c>
      <c r="J117" s="61" t="s">
        <v>1105</v>
      </c>
      <c r="K117" s="61" t="s">
        <v>1802</v>
      </c>
      <c r="M117" s="61" t="s">
        <v>1800</v>
      </c>
      <c r="N117" s="61" t="s">
        <v>1464</v>
      </c>
      <c r="O117" s="61" t="s">
        <v>1110</v>
      </c>
      <c r="P117" s="67" t="s">
        <v>1805</v>
      </c>
    </row>
    <row r="118" spans="1:16" x14ac:dyDescent="0.2">
      <c r="P118" s="61"/>
    </row>
    <row r="119" spans="1:16" x14ac:dyDescent="0.2">
      <c r="A119" s="61" t="b">
        <v>1</v>
      </c>
      <c r="B119" s="61" t="b">
        <v>1</v>
      </c>
      <c r="C119" s="61" t="s">
        <v>192</v>
      </c>
      <c r="D119" s="61" t="s">
        <v>1184</v>
      </c>
      <c r="F119" s="61" t="s">
        <v>1013</v>
      </c>
      <c r="J119" s="61" t="s">
        <v>1105</v>
      </c>
      <c r="K119" s="61" t="s">
        <v>1184</v>
      </c>
      <c r="M119" s="61" t="s">
        <v>1846</v>
      </c>
      <c r="N119" s="61" t="s">
        <v>1115</v>
      </c>
      <c r="O119" s="61" t="s">
        <v>1110</v>
      </c>
      <c r="P119" s="67" t="s">
        <v>1855</v>
      </c>
    </row>
    <row r="120" spans="1:16" x14ac:dyDescent="0.2">
      <c r="A120" s="61" t="b">
        <v>1</v>
      </c>
      <c r="B120" s="61" t="b">
        <v>1</v>
      </c>
      <c r="C120" s="61" t="s">
        <v>192</v>
      </c>
      <c r="D120" s="61" t="s">
        <v>1182</v>
      </c>
      <c r="F120" s="61" t="s">
        <v>1013</v>
      </c>
      <c r="J120" s="61" t="s">
        <v>1105</v>
      </c>
      <c r="K120" s="61" t="s">
        <v>1182</v>
      </c>
      <c r="M120" s="61" t="s">
        <v>1848</v>
      </c>
      <c r="N120" s="61" t="s">
        <v>1115</v>
      </c>
      <c r="O120" s="61" t="s">
        <v>1110</v>
      </c>
      <c r="P120" s="67" t="s">
        <v>1856</v>
      </c>
    </row>
    <row r="121" spans="1:16" x14ac:dyDescent="0.2">
      <c r="A121" s="61" t="b">
        <v>1</v>
      </c>
      <c r="B121" s="61" t="b">
        <v>1</v>
      </c>
      <c r="C121" s="61" t="s">
        <v>192</v>
      </c>
      <c r="D121" s="61" t="s">
        <v>1172</v>
      </c>
      <c r="F121" s="61" t="s">
        <v>1013</v>
      </c>
      <c r="J121" s="61" t="s">
        <v>1105</v>
      </c>
      <c r="K121" s="61" t="s">
        <v>1172</v>
      </c>
      <c r="M121" s="61" t="s">
        <v>1849</v>
      </c>
      <c r="N121" s="61" t="s">
        <v>1115</v>
      </c>
      <c r="O121" s="61" t="s">
        <v>1110</v>
      </c>
      <c r="P121" s="67" t="s">
        <v>1857</v>
      </c>
    </row>
  </sheetData>
  <pageMargins left="0.7" right="0.7" top="0.75" bottom="0.75" header="0.3" footer="0.3"/>
  <pageSetup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A8578-AB00-374B-A6A4-431F9C79C5B4}">
  <dimension ref="A1:M132"/>
  <sheetViews>
    <sheetView workbookViewId="0">
      <pane ySplit="1" topLeftCell="A2" activePane="bottomLeft" state="frozen"/>
      <selection pane="bottomLeft" activeCell="F17" sqref="F17"/>
    </sheetView>
  </sheetViews>
  <sheetFormatPr baseColWidth="10" defaultRowHeight="16" x14ac:dyDescent="0.2"/>
  <cols>
    <col min="1" max="2" width="10.83203125" style="61"/>
    <col min="3" max="3" width="38.1640625" style="61" customWidth="1"/>
    <col min="4" max="4" width="10.83203125" style="61"/>
    <col min="5" max="5" width="45.6640625" style="61" customWidth="1"/>
    <col min="6" max="6" width="45.5" style="61" customWidth="1"/>
    <col min="7" max="7" width="12" style="61" customWidth="1"/>
    <col min="8" max="8" width="10.83203125" style="61"/>
    <col min="9" max="9" width="12.1640625" style="61" customWidth="1"/>
    <col min="10" max="10" width="10.83203125" style="61"/>
    <col min="11" max="11" width="12.6640625" style="61" customWidth="1"/>
    <col min="12" max="16384" width="10.83203125" style="58"/>
  </cols>
  <sheetData>
    <row r="1" spans="1:13" s="68" customFormat="1" x14ac:dyDescent="0.2">
      <c r="A1" s="68" t="s">
        <v>1549</v>
      </c>
      <c r="B1" s="68" t="s">
        <v>0</v>
      </c>
      <c r="C1" s="68" t="s">
        <v>10</v>
      </c>
      <c r="D1" s="68" t="s">
        <v>1</v>
      </c>
      <c r="E1" s="68" t="s">
        <v>2</v>
      </c>
      <c r="F1" s="68" t="s">
        <v>3</v>
      </c>
      <c r="G1" s="68" t="s">
        <v>4</v>
      </c>
      <c r="H1" s="68" t="s">
        <v>5</v>
      </c>
      <c r="I1" s="68" t="s">
        <v>6</v>
      </c>
      <c r="J1" s="68" t="s">
        <v>7</v>
      </c>
      <c r="K1" s="68" t="s">
        <v>8</v>
      </c>
      <c r="L1" s="68" t="s">
        <v>9</v>
      </c>
      <c r="M1" s="68" t="s">
        <v>1947</v>
      </c>
    </row>
    <row r="2" spans="1:13" x14ac:dyDescent="0.2">
      <c r="A2" s="61">
        <v>67</v>
      </c>
      <c r="B2" s="61" t="b">
        <f>IF(OR(F2="NA",G2="wide_value"),"",TRUE)</f>
        <v>1</v>
      </c>
      <c r="C2" s="61" t="s">
        <v>24</v>
      </c>
      <c r="D2" s="61" t="s">
        <v>192</v>
      </c>
      <c r="E2" s="61" t="s">
        <v>43</v>
      </c>
      <c r="F2" s="61" t="s">
        <v>347</v>
      </c>
      <c r="G2" s="61" t="s">
        <v>1013</v>
      </c>
      <c r="H2" s="61" t="s">
        <v>1036</v>
      </c>
      <c r="I2" s="61" t="s">
        <v>1050</v>
      </c>
      <c r="L2" s="67" t="s">
        <v>1045</v>
      </c>
    </row>
    <row r="3" spans="1:13" x14ac:dyDescent="0.2">
      <c r="A3" s="61">
        <v>68</v>
      </c>
      <c r="B3" s="61" t="b">
        <f>IF(OR(F3="NA",G3="wide_value"),"",TRUE)</f>
        <v>1</v>
      </c>
      <c r="C3" s="61" t="s">
        <v>24</v>
      </c>
      <c r="D3" s="61" t="s">
        <v>192</v>
      </c>
      <c r="E3" s="61" t="s">
        <v>43</v>
      </c>
      <c r="F3" s="61" t="s">
        <v>348</v>
      </c>
      <c r="G3" s="61" t="s">
        <v>1013</v>
      </c>
      <c r="H3" s="61" t="s">
        <v>1036</v>
      </c>
      <c r="I3" s="61" t="s">
        <v>1051</v>
      </c>
      <c r="L3" s="67" t="s">
        <v>1045</v>
      </c>
    </row>
    <row r="4" spans="1:13" x14ac:dyDescent="0.2">
      <c r="A4" s="61">
        <v>69</v>
      </c>
      <c r="B4" s="61" t="b">
        <f>IF(OR(F4="NA",G4="wide_value"),"",TRUE)</f>
        <v>1</v>
      </c>
      <c r="C4" s="61" t="s">
        <v>24</v>
      </c>
      <c r="D4" s="61" t="s">
        <v>192</v>
      </c>
      <c r="E4" s="61" t="s">
        <v>43</v>
      </c>
      <c r="F4" s="61" t="s">
        <v>338</v>
      </c>
      <c r="G4" s="61" t="s">
        <v>1013</v>
      </c>
      <c r="H4" s="61" t="s">
        <v>1036</v>
      </c>
      <c r="I4" s="61" t="s">
        <v>1040</v>
      </c>
      <c r="L4" s="67" t="s">
        <v>1045</v>
      </c>
    </row>
    <row r="5" spans="1:13" x14ac:dyDescent="0.2">
      <c r="L5" s="67"/>
    </row>
    <row r="6" spans="1:13" x14ac:dyDescent="0.2">
      <c r="A6" s="61">
        <v>71</v>
      </c>
      <c r="B6" s="61" t="b">
        <f>IF(OR(F6="NA",G6="wide_value"),"",TRUE)</f>
        <v>1</v>
      </c>
      <c r="C6" s="61" t="s">
        <v>24</v>
      </c>
      <c r="D6" s="61" t="s">
        <v>192</v>
      </c>
      <c r="E6" s="61" t="s">
        <v>44</v>
      </c>
      <c r="F6" s="61" t="s">
        <v>326</v>
      </c>
      <c r="G6" s="61" t="s">
        <v>1013</v>
      </c>
      <c r="H6" s="61" t="s">
        <v>1036</v>
      </c>
      <c r="I6" s="61" t="s">
        <v>1052</v>
      </c>
      <c r="L6" s="67" t="s">
        <v>1045</v>
      </c>
    </row>
    <row r="7" spans="1:13" x14ac:dyDescent="0.2">
      <c r="A7" s="61">
        <v>72</v>
      </c>
      <c r="B7" s="61" t="b">
        <f>IF(OR(F7="NA",G7="wide_value"),"",TRUE)</f>
        <v>1</v>
      </c>
      <c r="C7" s="61" t="s">
        <v>24</v>
      </c>
      <c r="D7" s="61" t="s">
        <v>192</v>
      </c>
      <c r="E7" s="61" t="s">
        <v>44</v>
      </c>
      <c r="F7" s="61" t="s">
        <v>327</v>
      </c>
      <c r="G7" s="61" t="s">
        <v>1013</v>
      </c>
      <c r="H7" s="61" t="s">
        <v>1036</v>
      </c>
      <c r="I7" s="61" t="s">
        <v>1037</v>
      </c>
      <c r="L7" s="67" t="s">
        <v>1045</v>
      </c>
    </row>
    <row r="8" spans="1:13" x14ac:dyDescent="0.2">
      <c r="L8" s="67"/>
    </row>
    <row r="9" spans="1:13" x14ac:dyDescent="0.2">
      <c r="A9" s="61">
        <v>75</v>
      </c>
      <c r="B9" s="61" t="b">
        <f>IF(OR(F9="NA",G9="wide_value"),"",TRUE)</f>
        <v>1</v>
      </c>
      <c r="C9" s="61" t="s">
        <v>24</v>
      </c>
      <c r="D9" s="61" t="s">
        <v>192</v>
      </c>
      <c r="E9" s="61" t="s">
        <v>45</v>
      </c>
      <c r="F9" s="61" t="s">
        <v>336</v>
      </c>
      <c r="G9" s="61" t="s">
        <v>1013</v>
      </c>
      <c r="H9" s="61" t="s">
        <v>1036</v>
      </c>
      <c r="I9" s="61" t="s">
        <v>1038</v>
      </c>
      <c r="L9" s="67" t="s">
        <v>1045</v>
      </c>
    </row>
    <row r="10" spans="1:13" x14ac:dyDescent="0.2">
      <c r="L10" s="67"/>
    </row>
    <row r="11" spans="1:13" x14ac:dyDescent="0.2">
      <c r="A11" s="61">
        <v>78</v>
      </c>
      <c r="B11" s="61" t="b">
        <f>IF(OR(F11="NA",G11="wide_value"),"",TRUE)</f>
        <v>1</v>
      </c>
      <c r="C11" s="61" t="s">
        <v>24</v>
      </c>
      <c r="D11" s="61" t="s">
        <v>192</v>
      </c>
      <c r="E11" s="61" t="s">
        <v>46</v>
      </c>
      <c r="F11" s="61" t="s">
        <v>336</v>
      </c>
      <c r="G11" s="61" t="s">
        <v>1013</v>
      </c>
      <c r="H11" s="61" t="s">
        <v>1036</v>
      </c>
      <c r="I11" s="61" t="s">
        <v>1038</v>
      </c>
      <c r="L11" s="67" t="s">
        <v>1045</v>
      </c>
    </row>
    <row r="12" spans="1:13" x14ac:dyDescent="0.2">
      <c r="L12" s="67"/>
    </row>
    <row r="13" spans="1:13" x14ac:dyDescent="0.2">
      <c r="A13" s="61">
        <v>81</v>
      </c>
      <c r="B13" s="61" t="b">
        <f>IF(OR(F13="NA",G13="wide_value"),"",TRUE)</f>
        <v>1</v>
      </c>
      <c r="C13" s="61" t="s">
        <v>24</v>
      </c>
      <c r="D13" s="61" t="s">
        <v>192</v>
      </c>
      <c r="E13" s="61" t="s">
        <v>47</v>
      </c>
      <c r="F13" s="61" t="s">
        <v>349</v>
      </c>
      <c r="G13" s="61" t="s">
        <v>1013</v>
      </c>
      <c r="H13" s="61" t="s">
        <v>1036</v>
      </c>
      <c r="I13" s="61" t="s">
        <v>1053</v>
      </c>
      <c r="L13" s="67" t="s">
        <v>1045</v>
      </c>
    </row>
    <row r="14" spans="1:13" x14ac:dyDescent="0.2">
      <c r="A14" s="61">
        <v>82</v>
      </c>
      <c r="B14" s="61" t="b">
        <f>IF(OR(F14="NA",G14="wide_value"),"",TRUE)</f>
        <v>1</v>
      </c>
      <c r="C14" s="61" t="s">
        <v>24</v>
      </c>
      <c r="D14" s="61" t="s">
        <v>192</v>
      </c>
      <c r="E14" s="61" t="s">
        <v>47</v>
      </c>
      <c r="F14" s="61" t="s">
        <v>350</v>
      </c>
      <c r="G14" s="61" t="s">
        <v>1013</v>
      </c>
      <c r="H14" s="61" t="s">
        <v>1036</v>
      </c>
      <c r="I14" s="61" t="s">
        <v>1039</v>
      </c>
      <c r="L14" s="67" t="s">
        <v>1045</v>
      </c>
    </row>
    <row r="15" spans="1:13" x14ac:dyDescent="0.2">
      <c r="A15" s="61">
        <v>83</v>
      </c>
      <c r="B15" s="61" t="b">
        <f>IF(OR(F15="NA",G15="wide_value"),"",TRUE)</f>
        <v>1</v>
      </c>
      <c r="C15" s="61" t="s">
        <v>24</v>
      </c>
      <c r="D15" s="61" t="s">
        <v>192</v>
      </c>
      <c r="E15" s="61" t="s">
        <v>47</v>
      </c>
      <c r="F15" s="61" t="s">
        <v>351</v>
      </c>
      <c r="G15" s="61" t="s">
        <v>1013</v>
      </c>
      <c r="H15" s="61" t="s">
        <v>1036</v>
      </c>
      <c r="I15" s="61" t="s">
        <v>1054</v>
      </c>
      <c r="L15" s="67" t="s">
        <v>1045</v>
      </c>
    </row>
    <row r="16" spans="1:13" x14ac:dyDescent="0.2">
      <c r="A16" s="61">
        <v>84</v>
      </c>
      <c r="B16" s="61" t="b">
        <f>IF(OR(F16="NA",G16="wide_value"),"",TRUE)</f>
        <v>1</v>
      </c>
      <c r="C16" s="61" t="s">
        <v>24</v>
      </c>
      <c r="D16" s="61" t="s">
        <v>192</v>
      </c>
      <c r="E16" s="61" t="s">
        <v>47</v>
      </c>
      <c r="F16" s="61" t="s">
        <v>352</v>
      </c>
      <c r="G16" s="61" t="s">
        <v>1013</v>
      </c>
      <c r="H16" s="61" t="s">
        <v>1036</v>
      </c>
      <c r="I16" s="61" t="s">
        <v>1055</v>
      </c>
      <c r="L16" s="67" t="s">
        <v>1045</v>
      </c>
    </row>
    <row r="17" spans="1:12" x14ac:dyDescent="0.2">
      <c r="A17" s="61">
        <v>85</v>
      </c>
      <c r="B17" s="61" t="b">
        <f>IF(OR(F17="NA",G17="wide_value"),"",TRUE)</f>
        <v>1</v>
      </c>
      <c r="C17" s="61" t="s">
        <v>24</v>
      </c>
      <c r="D17" s="61" t="s">
        <v>192</v>
      </c>
      <c r="E17" s="61" t="s">
        <v>47</v>
      </c>
      <c r="F17" s="61" t="s">
        <v>353</v>
      </c>
      <c r="G17" s="61" t="s">
        <v>1013</v>
      </c>
      <c r="H17" s="61" t="s">
        <v>1036</v>
      </c>
      <c r="I17" s="61" t="s">
        <v>1056</v>
      </c>
      <c r="L17" s="67" t="s">
        <v>1045</v>
      </c>
    </row>
    <row r="18" spans="1:12" x14ac:dyDescent="0.2">
      <c r="L18" s="67"/>
    </row>
    <row r="19" spans="1:12" x14ac:dyDescent="0.2">
      <c r="A19" s="61">
        <v>88</v>
      </c>
      <c r="B19" s="61" t="b">
        <f>IF(OR(F19="NA",G19="wide_value"),"",TRUE)</f>
        <v>1</v>
      </c>
      <c r="C19" s="61" t="s">
        <v>24</v>
      </c>
      <c r="D19" s="61" t="s">
        <v>192</v>
      </c>
      <c r="E19" s="61" t="s">
        <v>48</v>
      </c>
      <c r="F19" s="61" t="s">
        <v>336</v>
      </c>
      <c r="G19" s="61" t="s">
        <v>1013</v>
      </c>
      <c r="H19" s="61" t="s">
        <v>1036</v>
      </c>
      <c r="I19" s="61" t="s">
        <v>1038</v>
      </c>
      <c r="L19" s="67" t="s">
        <v>1045</v>
      </c>
    </row>
    <row r="20" spans="1:12" x14ac:dyDescent="0.2">
      <c r="A20" s="61">
        <v>89</v>
      </c>
      <c r="B20" s="61" t="b">
        <f>IF(OR(F20="NA",G20="wide_value"),"",TRUE)</f>
        <v>1</v>
      </c>
      <c r="C20" s="61" t="s">
        <v>24</v>
      </c>
      <c r="D20" s="61" t="s">
        <v>192</v>
      </c>
      <c r="E20" s="61" t="s">
        <v>48</v>
      </c>
      <c r="F20" s="61" t="s">
        <v>337</v>
      </c>
      <c r="G20" s="61" t="s">
        <v>1013</v>
      </c>
      <c r="H20" s="61" t="s">
        <v>1036</v>
      </c>
      <c r="I20" s="61" t="s">
        <v>1057</v>
      </c>
      <c r="L20" s="67" t="s">
        <v>1045</v>
      </c>
    </row>
    <row r="21" spans="1:12" x14ac:dyDescent="0.2">
      <c r="A21" s="61">
        <v>90</v>
      </c>
      <c r="B21" s="61" t="b">
        <f>IF(OR(F21="NA",G21="wide_value"),"",TRUE)</f>
        <v>1</v>
      </c>
      <c r="C21" s="61" t="s">
        <v>24</v>
      </c>
      <c r="D21" s="61" t="s">
        <v>192</v>
      </c>
      <c r="E21" s="61" t="s">
        <v>48</v>
      </c>
      <c r="F21" s="61" t="s">
        <v>338</v>
      </c>
      <c r="G21" s="61" t="s">
        <v>1013</v>
      </c>
      <c r="H21" s="61" t="s">
        <v>1036</v>
      </c>
      <c r="I21" s="61" t="s">
        <v>1040</v>
      </c>
      <c r="L21" s="67" t="s">
        <v>1045</v>
      </c>
    </row>
    <row r="23" spans="1:12" x14ac:dyDescent="0.2">
      <c r="A23" s="61">
        <v>93</v>
      </c>
      <c r="B23" s="61" t="b">
        <f>IF(OR(F23="NA",G23="wide_value"),"",TRUE)</f>
        <v>1</v>
      </c>
      <c r="C23" s="61" t="s">
        <v>24</v>
      </c>
      <c r="D23" s="61" t="s">
        <v>192</v>
      </c>
      <c r="E23" s="61" t="s">
        <v>49</v>
      </c>
      <c r="F23" s="61" t="s">
        <v>369</v>
      </c>
      <c r="G23" s="61" t="s">
        <v>1013</v>
      </c>
      <c r="H23" s="61" t="s">
        <v>1036</v>
      </c>
      <c r="I23" s="61" t="s">
        <v>1058</v>
      </c>
      <c r="L23" s="67" t="s">
        <v>1045</v>
      </c>
    </row>
    <row r="24" spans="1:12" x14ac:dyDescent="0.2">
      <c r="A24" s="61">
        <v>94</v>
      </c>
      <c r="B24" s="61" t="b">
        <f>IF(OR(F24="NA",G24="wide_value"),"",TRUE)</f>
        <v>1</v>
      </c>
      <c r="C24" s="61" t="s">
        <v>24</v>
      </c>
      <c r="D24" s="61" t="s">
        <v>192</v>
      </c>
      <c r="E24" s="61" t="s">
        <v>49</v>
      </c>
      <c r="F24" s="61" t="s">
        <v>370</v>
      </c>
      <c r="G24" s="61" t="s">
        <v>1013</v>
      </c>
      <c r="H24" s="61" t="s">
        <v>1036</v>
      </c>
      <c r="I24" s="61" t="s">
        <v>1041</v>
      </c>
      <c r="L24" s="67" t="s">
        <v>1045</v>
      </c>
    </row>
    <row r="25" spans="1:12" x14ac:dyDescent="0.2">
      <c r="A25" s="61">
        <v>95</v>
      </c>
      <c r="B25" s="61" t="b">
        <f>IF(OR(F25="NA",G25="wide_value"),"",TRUE)</f>
        <v>1</v>
      </c>
      <c r="C25" s="61" t="s">
        <v>24</v>
      </c>
      <c r="D25" s="61" t="s">
        <v>192</v>
      </c>
      <c r="E25" s="61" t="s">
        <v>49</v>
      </c>
      <c r="F25" s="61" t="s">
        <v>371</v>
      </c>
      <c r="G25" s="61" t="s">
        <v>1013</v>
      </c>
      <c r="H25" s="61" t="s">
        <v>1036</v>
      </c>
      <c r="I25" s="61" t="s">
        <v>1059</v>
      </c>
      <c r="L25" s="67" t="s">
        <v>1045</v>
      </c>
    </row>
    <row r="26" spans="1:12" x14ac:dyDescent="0.2">
      <c r="A26" s="61">
        <v>96</v>
      </c>
      <c r="B26" s="61" t="b">
        <f>IF(OR(F26="NA",G26="wide_value"),"",TRUE)</f>
        <v>1</v>
      </c>
      <c r="C26" s="61" t="s">
        <v>24</v>
      </c>
      <c r="D26" s="61" t="s">
        <v>192</v>
      </c>
      <c r="E26" s="61" t="s">
        <v>49</v>
      </c>
      <c r="F26" s="61" t="s">
        <v>372</v>
      </c>
      <c r="G26" s="61" t="s">
        <v>1013</v>
      </c>
      <c r="H26" s="61" t="s">
        <v>1036</v>
      </c>
      <c r="I26" s="61" t="s">
        <v>1060</v>
      </c>
      <c r="L26" s="67" t="s">
        <v>1045</v>
      </c>
    </row>
    <row r="27" spans="1:12" x14ac:dyDescent="0.2">
      <c r="A27" s="61">
        <v>97</v>
      </c>
      <c r="B27" s="61" t="b">
        <f>IF(OR(F27="NA",G27="wide_value"),"",TRUE)</f>
        <v>1</v>
      </c>
      <c r="C27" s="61" t="s">
        <v>24</v>
      </c>
      <c r="D27" s="61" t="s">
        <v>192</v>
      </c>
      <c r="E27" s="61" t="s">
        <v>49</v>
      </c>
      <c r="F27" s="61" t="s">
        <v>373</v>
      </c>
      <c r="G27" s="61" t="s">
        <v>1013</v>
      </c>
      <c r="H27" s="61" t="s">
        <v>1036</v>
      </c>
      <c r="I27" s="61" t="s">
        <v>1061</v>
      </c>
      <c r="L27" s="67" t="s">
        <v>1045</v>
      </c>
    </row>
    <row r="28" spans="1:12" x14ac:dyDescent="0.2">
      <c r="A28" s="61">
        <v>98</v>
      </c>
      <c r="B28" s="61" t="b">
        <f>IF(OR(F28="NA",G28="wide_value"),"",TRUE)</f>
        <v>1</v>
      </c>
      <c r="C28" s="61" t="s">
        <v>24</v>
      </c>
      <c r="D28" s="61" t="s">
        <v>192</v>
      </c>
      <c r="E28" s="61" t="s">
        <v>49</v>
      </c>
      <c r="F28" s="61" t="s">
        <v>363</v>
      </c>
      <c r="G28" s="61" t="s">
        <v>1013</v>
      </c>
      <c r="H28" s="61" t="s">
        <v>1036</v>
      </c>
      <c r="I28" s="61" t="s">
        <v>1062</v>
      </c>
      <c r="L28" s="67" t="s">
        <v>1045</v>
      </c>
    </row>
    <row r="29" spans="1:12" x14ac:dyDescent="0.2">
      <c r="A29" s="61">
        <v>99</v>
      </c>
      <c r="B29" s="61" t="b">
        <f>IF(OR(F29="NA",G29="wide_value"),"",TRUE)</f>
        <v>1</v>
      </c>
      <c r="C29" s="61" t="s">
        <v>24</v>
      </c>
      <c r="D29" s="61" t="s">
        <v>192</v>
      </c>
      <c r="E29" s="61" t="s">
        <v>49</v>
      </c>
      <c r="F29" s="61" t="s">
        <v>364</v>
      </c>
      <c r="G29" s="61" t="s">
        <v>1013</v>
      </c>
      <c r="H29" s="61" t="s">
        <v>1036</v>
      </c>
      <c r="I29" s="61" t="s">
        <v>1042</v>
      </c>
      <c r="L29" s="67" t="s">
        <v>1045</v>
      </c>
    </row>
    <row r="30" spans="1:12" x14ac:dyDescent="0.2">
      <c r="A30" s="61">
        <v>100</v>
      </c>
      <c r="B30" s="61" t="b">
        <f>IF(OR(F30="NA",G30="wide_value"),"",TRUE)</f>
        <v>1</v>
      </c>
      <c r="C30" s="61" t="s">
        <v>24</v>
      </c>
      <c r="D30" s="61" t="s">
        <v>192</v>
      </c>
      <c r="E30" s="61" t="s">
        <v>49</v>
      </c>
      <c r="F30" s="61" t="s">
        <v>365</v>
      </c>
      <c r="G30" s="61" t="s">
        <v>1013</v>
      </c>
      <c r="H30" s="61" t="s">
        <v>1036</v>
      </c>
      <c r="I30" s="61" t="s">
        <v>1063</v>
      </c>
      <c r="L30" s="67" t="s">
        <v>1045</v>
      </c>
    </row>
    <row r="31" spans="1:12" x14ac:dyDescent="0.2">
      <c r="A31" s="61">
        <v>101</v>
      </c>
      <c r="B31" s="61" t="b">
        <f>IF(OR(F31="NA",G31="wide_value"),"",TRUE)</f>
        <v>1</v>
      </c>
      <c r="C31" s="61" t="s">
        <v>24</v>
      </c>
      <c r="D31" s="61" t="s">
        <v>192</v>
      </c>
      <c r="E31" s="61" t="s">
        <v>49</v>
      </c>
      <c r="F31" s="61" t="s">
        <v>366</v>
      </c>
      <c r="G31" s="61" t="s">
        <v>1013</v>
      </c>
      <c r="H31" s="61" t="s">
        <v>1036</v>
      </c>
      <c r="I31" s="61" t="s">
        <v>1064</v>
      </c>
      <c r="L31" s="67" t="s">
        <v>1045</v>
      </c>
    </row>
    <row r="33" spans="1:12" x14ac:dyDescent="0.2">
      <c r="A33" s="61">
        <v>103</v>
      </c>
      <c r="B33" s="61" t="b">
        <f>IF(OR(F33="NA",G33="wide_value"),"",TRUE)</f>
        <v>1</v>
      </c>
      <c r="C33" s="61" t="s">
        <v>24</v>
      </c>
      <c r="D33" s="61" t="s">
        <v>192</v>
      </c>
      <c r="E33" s="61" t="s">
        <v>153</v>
      </c>
      <c r="F33" s="61" t="s">
        <v>357</v>
      </c>
      <c r="G33" s="61" t="s">
        <v>1013</v>
      </c>
      <c r="H33" s="61" t="s">
        <v>1091</v>
      </c>
      <c r="I33" s="61" t="s">
        <v>1469</v>
      </c>
      <c r="L33" s="67" t="s">
        <v>1468</v>
      </c>
    </row>
    <row r="34" spans="1:12" x14ac:dyDescent="0.2">
      <c r="A34" s="61">
        <v>104</v>
      </c>
      <c r="B34" s="61" t="b">
        <f>IF(OR(F34="NA",G34="wide_value"),"",TRUE)</f>
        <v>1</v>
      </c>
      <c r="C34" s="61" t="s">
        <v>24</v>
      </c>
      <c r="D34" s="61" t="s">
        <v>192</v>
      </c>
      <c r="E34" s="61" t="s">
        <v>153</v>
      </c>
      <c r="F34" s="61" t="s">
        <v>358</v>
      </c>
      <c r="G34" s="61" t="s">
        <v>1013</v>
      </c>
      <c r="H34" s="61" t="s">
        <v>1091</v>
      </c>
      <c r="I34" s="61" t="s">
        <v>1470</v>
      </c>
      <c r="L34" s="67" t="s">
        <v>1468</v>
      </c>
    </row>
    <row r="35" spans="1:12" x14ac:dyDescent="0.2">
      <c r="A35" s="61">
        <v>105</v>
      </c>
      <c r="B35" s="61" t="b">
        <f>IF(OR(F35="NA",G35="wide_value"),"",TRUE)</f>
        <v>1</v>
      </c>
      <c r="C35" s="61" t="s">
        <v>24</v>
      </c>
      <c r="D35" s="61" t="s">
        <v>192</v>
      </c>
      <c r="E35" s="61" t="s">
        <v>153</v>
      </c>
      <c r="F35" s="61" t="s">
        <v>359</v>
      </c>
      <c r="G35" s="61" t="s">
        <v>1013</v>
      </c>
      <c r="H35" s="61" t="s">
        <v>1091</v>
      </c>
      <c r="I35" s="61" t="s">
        <v>1471</v>
      </c>
      <c r="L35" s="67" t="s">
        <v>1468</v>
      </c>
    </row>
    <row r="36" spans="1:12" x14ac:dyDescent="0.2">
      <c r="A36" s="61">
        <v>106</v>
      </c>
      <c r="B36" s="61" t="b">
        <f>IF(OR(F36="NA",G36="wide_value"),"",TRUE)</f>
        <v>1</v>
      </c>
      <c r="C36" s="61" t="s">
        <v>24</v>
      </c>
      <c r="D36" s="61" t="s">
        <v>192</v>
      </c>
      <c r="E36" s="61" t="s">
        <v>153</v>
      </c>
      <c r="F36" s="61" t="s">
        <v>360</v>
      </c>
      <c r="G36" s="61" t="s">
        <v>1013</v>
      </c>
      <c r="H36" s="61" t="s">
        <v>1091</v>
      </c>
      <c r="I36" s="61" t="s">
        <v>1473</v>
      </c>
      <c r="L36" s="67" t="s">
        <v>1468</v>
      </c>
    </row>
    <row r="37" spans="1:12" x14ac:dyDescent="0.2">
      <c r="A37" s="61">
        <v>107</v>
      </c>
      <c r="B37" s="61" t="b">
        <f>IF(OR(F37="NA",G37="wide_value"),"",TRUE)</f>
        <v>1</v>
      </c>
      <c r="C37" s="61" t="s">
        <v>24</v>
      </c>
      <c r="D37" s="61" t="s">
        <v>192</v>
      </c>
      <c r="E37" s="61" t="s">
        <v>153</v>
      </c>
      <c r="F37" s="61" t="s">
        <v>361</v>
      </c>
      <c r="G37" s="61" t="s">
        <v>1013</v>
      </c>
      <c r="H37" s="61" t="s">
        <v>1091</v>
      </c>
      <c r="I37" s="61" t="s">
        <v>1472</v>
      </c>
      <c r="L37" s="67" t="s">
        <v>1468</v>
      </c>
    </row>
    <row r="38" spans="1:12" x14ac:dyDescent="0.2">
      <c r="A38" s="61">
        <v>108</v>
      </c>
      <c r="B38" s="61" t="b">
        <f>IF(OR(F38="NA",G38="wide_value"),"",TRUE)</f>
        <v>1</v>
      </c>
      <c r="C38" s="61" t="s">
        <v>24</v>
      </c>
      <c r="D38" s="61" t="s">
        <v>192</v>
      </c>
      <c r="E38" s="61" t="s">
        <v>153</v>
      </c>
      <c r="F38" s="61" t="s">
        <v>362</v>
      </c>
      <c r="G38" s="61" t="s">
        <v>1013</v>
      </c>
      <c r="H38" s="61" t="s">
        <v>1091</v>
      </c>
      <c r="I38" s="61" t="s">
        <v>362</v>
      </c>
      <c r="L38" s="67" t="s">
        <v>1468</v>
      </c>
    </row>
    <row r="40" spans="1:12" x14ac:dyDescent="0.2">
      <c r="A40" s="61">
        <v>110</v>
      </c>
      <c r="B40" s="61" t="b">
        <f>IF(OR(F40="NA",G40="wide_value"),"",TRUE)</f>
        <v>1</v>
      </c>
      <c r="C40" s="61" t="s">
        <v>24</v>
      </c>
      <c r="D40" s="61" t="s">
        <v>192</v>
      </c>
      <c r="E40" s="61" t="s">
        <v>50</v>
      </c>
      <c r="F40" s="61" t="s">
        <v>363</v>
      </c>
      <c r="G40" s="61" t="s">
        <v>1013</v>
      </c>
      <c r="H40" s="61" t="s">
        <v>1036</v>
      </c>
      <c r="I40" s="61" t="s">
        <v>1062</v>
      </c>
      <c r="L40" s="67" t="s">
        <v>1045</v>
      </c>
    </row>
    <row r="41" spans="1:12" x14ac:dyDescent="0.2">
      <c r="A41" s="61">
        <v>111</v>
      </c>
      <c r="B41" s="61" t="b">
        <f>IF(OR(F41="NA",G41="wide_value"),"",TRUE)</f>
        <v>1</v>
      </c>
      <c r="C41" s="61" t="s">
        <v>24</v>
      </c>
      <c r="D41" s="61" t="s">
        <v>192</v>
      </c>
      <c r="E41" s="61" t="s">
        <v>50</v>
      </c>
      <c r="F41" s="61" t="s">
        <v>364</v>
      </c>
      <c r="G41" s="61" t="s">
        <v>1013</v>
      </c>
      <c r="H41" s="61" t="s">
        <v>1036</v>
      </c>
      <c r="I41" s="61" t="s">
        <v>1042</v>
      </c>
      <c r="L41" s="67" t="s">
        <v>1045</v>
      </c>
    </row>
    <row r="42" spans="1:12" x14ac:dyDescent="0.2">
      <c r="A42" s="61">
        <v>112</v>
      </c>
      <c r="B42" s="61" t="b">
        <f>IF(OR(F42="NA",G42="wide_value"),"",TRUE)</f>
        <v>1</v>
      </c>
      <c r="C42" s="61" t="s">
        <v>24</v>
      </c>
      <c r="D42" s="61" t="s">
        <v>192</v>
      </c>
      <c r="E42" s="61" t="s">
        <v>50</v>
      </c>
      <c r="F42" s="61" t="s">
        <v>1151</v>
      </c>
      <c r="G42" s="61" t="s">
        <v>1013</v>
      </c>
      <c r="H42" s="61" t="s">
        <v>1036</v>
      </c>
      <c r="I42" s="61" t="s">
        <v>1374</v>
      </c>
      <c r="L42" s="67" t="s">
        <v>1045</v>
      </c>
    </row>
    <row r="43" spans="1:12" x14ac:dyDescent="0.2">
      <c r="A43" s="61">
        <v>113</v>
      </c>
      <c r="B43" s="61" t="b">
        <f>IF(OR(F43="NA",G43="wide_value"),"",TRUE)</f>
        <v>1</v>
      </c>
      <c r="C43" s="61" t="s">
        <v>24</v>
      </c>
      <c r="D43" s="61" t="s">
        <v>192</v>
      </c>
      <c r="E43" s="61" t="s">
        <v>50</v>
      </c>
      <c r="F43" s="61" t="s">
        <v>366</v>
      </c>
      <c r="G43" s="61" t="s">
        <v>1013</v>
      </c>
      <c r="H43" s="61" t="s">
        <v>1036</v>
      </c>
      <c r="I43" s="61" t="s">
        <v>1064</v>
      </c>
      <c r="L43" s="67" t="s">
        <v>1045</v>
      </c>
    </row>
    <row r="45" spans="1:12" x14ac:dyDescent="0.2">
      <c r="A45" s="61">
        <v>116</v>
      </c>
      <c r="B45" s="61" t="b">
        <f>IF(OR(F45="NA",G45="wide_value"),"",TRUE)</f>
        <v>1</v>
      </c>
      <c r="C45" s="61" t="s">
        <v>24</v>
      </c>
      <c r="D45" s="61" t="s">
        <v>192</v>
      </c>
      <c r="E45" s="61" t="s">
        <v>1149</v>
      </c>
      <c r="F45" s="61" t="s">
        <v>328</v>
      </c>
      <c r="G45" s="61" t="s">
        <v>1013</v>
      </c>
      <c r="H45" s="61" t="s">
        <v>1036</v>
      </c>
      <c r="I45" s="61" t="s">
        <v>1043</v>
      </c>
      <c r="L45" s="67" t="s">
        <v>1045</v>
      </c>
    </row>
    <row r="46" spans="1:12" x14ac:dyDescent="0.2">
      <c r="A46" s="61">
        <v>117</v>
      </c>
      <c r="B46" s="61" t="b">
        <f>IF(OR(F46="NA",G46="wide_value"),"",TRUE)</f>
        <v>1</v>
      </c>
      <c r="C46" s="61" t="s">
        <v>24</v>
      </c>
      <c r="D46" s="61" t="s">
        <v>192</v>
      </c>
      <c r="E46" s="61" t="s">
        <v>1149</v>
      </c>
      <c r="F46" s="61" t="s">
        <v>329</v>
      </c>
      <c r="G46" s="61" t="s">
        <v>1013</v>
      </c>
      <c r="H46" s="61" t="s">
        <v>1036</v>
      </c>
      <c r="I46" s="61" t="s">
        <v>1065</v>
      </c>
      <c r="L46" s="67" t="s">
        <v>1045</v>
      </c>
    </row>
    <row r="47" spans="1:12" x14ac:dyDescent="0.2">
      <c r="A47" s="61">
        <v>118</v>
      </c>
      <c r="B47" s="61" t="b">
        <f>IF(OR(F47="NA",G47="wide_value"),"",TRUE)</f>
        <v>1</v>
      </c>
      <c r="C47" s="61" t="s">
        <v>24</v>
      </c>
      <c r="D47" s="61" t="s">
        <v>192</v>
      </c>
      <c r="E47" s="61" t="s">
        <v>1149</v>
      </c>
      <c r="F47" s="61" t="s">
        <v>330</v>
      </c>
      <c r="G47" s="61" t="s">
        <v>1013</v>
      </c>
      <c r="H47" s="61" t="s">
        <v>1036</v>
      </c>
      <c r="I47" s="61" t="s">
        <v>1044</v>
      </c>
      <c r="L47" s="67" t="s">
        <v>1045</v>
      </c>
    </row>
    <row r="48" spans="1:12" x14ac:dyDescent="0.2">
      <c r="A48" s="61">
        <v>119</v>
      </c>
      <c r="B48" s="61" t="b">
        <f>IF(OR(F48="NA",G48="wide_value"),"",TRUE)</f>
        <v>1</v>
      </c>
      <c r="C48" s="61" t="s">
        <v>24</v>
      </c>
      <c r="D48" s="61" t="s">
        <v>192</v>
      </c>
      <c r="E48" s="61" t="s">
        <v>1149</v>
      </c>
      <c r="F48" s="61" t="s">
        <v>331</v>
      </c>
      <c r="G48" s="61" t="s">
        <v>1013</v>
      </c>
      <c r="H48" s="61" t="s">
        <v>1036</v>
      </c>
      <c r="I48" s="61" t="s">
        <v>1066</v>
      </c>
      <c r="L48" s="67" t="s">
        <v>1045</v>
      </c>
    </row>
    <row r="49" spans="1:12" x14ac:dyDescent="0.2">
      <c r="A49" s="61">
        <v>120</v>
      </c>
      <c r="B49" s="61" t="b">
        <f>IF(OR(F49="NA",G49="wide_value"),"",TRUE)</f>
        <v>1</v>
      </c>
      <c r="C49" s="61" t="s">
        <v>24</v>
      </c>
      <c r="D49" s="61" t="s">
        <v>192</v>
      </c>
      <c r="E49" s="61" t="s">
        <v>1149</v>
      </c>
      <c r="F49" s="61" t="s">
        <v>332</v>
      </c>
      <c r="G49" s="61" t="s">
        <v>1013</v>
      </c>
      <c r="H49" s="61" t="s">
        <v>1036</v>
      </c>
      <c r="I49" s="61" t="s">
        <v>1067</v>
      </c>
      <c r="L49" s="67" t="s">
        <v>1045</v>
      </c>
    </row>
    <row r="50" spans="1:12" x14ac:dyDescent="0.2">
      <c r="A50" s="61">
        <v>121</v>
      </c>
      <c r="B50" s="61" t="b">
        <f>IF(OR(F50="NA",G50="wide_value"),"",TRUE)</f>
        <v>1</v>
      </c>
      <c r="C50" s="61" t="s">
        <v>24</v>
      </c>
      <c r="D50" s="61" t="s">
        <v>192</v>
      </c>
      <c r="E50" s="61" t="s">
        <v>1149</v>
      </c>
      <c r="F50" s="61" t="s">
        <v>333</v>
      </c>
      <c r="G50" s="61" t="s">
        <v>1013</v>
      </c>
      <c r="H50" s="61" t="s">
        <v>1036</v>
      </c>
      <c r="I50" s="61" t="s">
        <v>1068</v>
      </c>
      <c r="L50" s="67" t="s">
        <v>1045</v>
      </c>
    </row>
    <row r="51" spans="1:12" x14ac:dyDescent="0.2">
      <c r="A51" s="61">
        <v>122</v>
      </c>
      <c r="B51" s="61" t="b">
        <f>IF(OR(F51="NA",G51="wide_value"),"",TRUE)</f>
        <v>1</v>
      </c>
      <c r="C51" s="61" t="s">
        <v>24</v>
      </c>
      <c r="D51" s="61" t="s">
        <v>192</v>
      </c>
      <c r="E51" s="61" t="s">
        <v>1149</v>
      </c>
      <c r="F51" s="61" t="s">
        <v>1152</v>
      </c>
      <c r="G51" s="61" t="s">
        <v>1013</v>
      </c>
      <c r="H51" s="61" t="s">
        <v>1036</v>
      </c>
      <c r="I51" s="61" t="s">
        <v>1288</v>
      </c>
      <c r="L51" s="67" t="s">
        <v>1045</v>
      </c>
    </row>
    <row r="52" spans="1:12" x14ac:dyDescent="0.2">
      <c r="A52" s="61">
        <v>123</v>
      </c>
      <c r="B52" s="61" t="b">
        <f>IF(OR(F52="NA",G52="wide_value"),"",TRUE)</f>
        <v>1</v>
      </c>
      <c r="C52" s="61" t="s">
        <v>24</v>
      </c>
      <c r="D52" s="61" t="s">
        <v>192</v>
      </c>
      <c r="E52" s="61" t="s">
        <v>1149</v>
      </c>
      <c r="F52" s="61" t="s">
        <v>1153</v>
      </c>
      <c r="G52" s="61" t="s">
        <v>1013</v>
      </c>
      <c r="H52" s="61" t="s">
        <v>1036</v>
      </c>
      <c r="I52" s="61" t="s">
        <v>1289</v>
      </c>
      <c r="L52" s="67" t="s">
        <v>1045</v>
      </c>
    </row>
    <row r="54" spans="1:12" x14ac:dyDescent="0.2">
      <c r="A54" s="61">
        <v>126</v>
      </c>
      <c r="B54" s="61" t="b">
        <f>IF(OR(F54="NA",G54="wide_value"),"",TRUE)</f>
        <v>1</v>
      </c>
      <c r="C54" s="61" t="s">
        <v>24</v>
      </c>
      <c r="D54" s="61" t="s">
        <v>192</v>
      </c>
      <c r="E54" s="61" t="s">
        <v>51</v>
      </c>
      <c r="F54" s="61" t="s">
        <v>339</v>
      </c>
      <c r="G54" s="61" t="s">
        <v>1013</v>
      </c>
      <c r="H54" s="61" t="s">
        <v>1036</v>
      </c>
      <c r="I54" s="61" t="s">
        <v>1069</v>
      </c>
      <c r="L54" s="67" t="s">
        <v>1045</v>
      </c>
    </row>
    <row r="56" spans="1:12" x14ac:dyDescent="0.2">
      <c r="A56" s="61">
        <v>134</v>
      </c>
      <c r="B56" s="61" t="b">
        <f>IF(OR(F56="NA",G56="wide_value"),"",TRUE)</f>
        <v>1</v>
      </c>
      <c r="C56" s="61" t="s">
        <v>24</v>
      </c>
      <c r="D56" s="61" t="s">
        <v>192</v>
      </c>
      <c r="E56" s="61" t="s">
        <v>53</v>
      </c>
      <c r="F56" s="61" t="s">
        <v>322</v>
      </c>
      <c r="G56" s="61" t="s">
        <v>1013</v>
      </c>
      <c r="H56" s="61" t="s">
        <v>1036</v>
      </c>
      <c r="I56" s="61" t="s">
        <v>1047</v>
      </c>
      <c r="L56" s="67" t="s">
        <v>1045</v>
      </c>
    </row>
    <row r="57" spans="1:12" x14ac:dyDescent="0.2">
      <c r="A57" s="61">
        <v>135</v>
      </c>
      <c r="B57" s="61" t="b">
        <f>IF(OR(F57="NA",G57="wide_value"),"",TRUE)</f>
        <v>1</v>
      </c>
      <c r="C57" s="61" t="s">
        <v>24</v>
      </c>
      <c r="D57" s="61" t="s">
        <v>192</v>
      </c>
      <c r="E57" s="61" t="s">
        <v>53</v>
      </c>
      <c r="F57" s="61" t="s">
        <v>1221</v>
      </c>
      <c r="G57" s="61" t="s">
        <v>1013</v>
      </c>
      <c r="H57" s="61" t="s">
        <v>1036</v>
      </c>
      <c r="I57" s="61" t="s">
        <v>1290</v>
      </c>
      <c r="L57" s="67" t="s">
        <v>1045</v>
      </c>
    </row>
    <row r="58" spans="1:12" x14ac:dyDescent="0.2">
      <c r="A58" s="61">
        <v>136</v>
      </c>
      <c r="B58" s="61" t="b">
        <f>IF(OR(F58="NA",G58="wide_value"),"",TRUE)</f>
        <v>1</v>
      </c>
      <c r="C58" s="61" t="s">
        <v>24</v>
      </c>
      <c r="D58" s="61" t="s">
        <v>192</v>
      </c>
      <c r="E58" s="61" t="s">
        <v>53</v>
      </c>
      <c r="F58" s="61" t="s">
        <v>323</v>
      </c>
      <c r="G58" s="61" t="s">
        <v>1013</v>
      </c>
      <c r="H58" s="61" t="s">
        <v>1036</v>
      </c>
      <c r="I58" s="61" t="s">
        <v>1070</v>
      </c>
      <c r="L58" s="67" t="s">
        <v>1045</v>
      </c>
    </row>
    <row r="59" spans="1:12" x14ac:dyDescent="0.2">
      <c r="A59" s="61">
        <v>137</v>
      </c>
      <c r="B59" s="61" t="b">
        <f>IF(OR(F59="NA",G59="wide_value"),"",TRUE)</f>
        <v>1</v>
      </c>
      <c r="C59" s="61" t="s">
        <v>24</v>
      </c>
      <c r="D59" s="61" t="s">
        <v>192</v>
      </c>
      <c r="E59" s="61" t="s">
        <v>53</v>
      </c>
      <c r="F59" s="61" t="s">
        <v>324</v>
      </c>
      <c r="G59" s="61" t="s">
        <v>1013</v>
      </c>
      <c r="H59" s="61" t="s">
        <v>1036</v>
      </c>
      <c r="I59" s="61" t="s">
        <v>1071</v>
      </c>
      <c r="L59" s="67" t="s">
        <v>1045</v>
      </c>
    </row>
    <row r="60" spans="1:12" x14ac:dyDescent="0.2">
      <c r="A60" s="61">
        <v>138</v>
      </c>
      <c r="B60" s="61" t="b">
        <f>IF(OR(F60="NA",G60="wide_value"),"",TRUE)</f>
        <v>1</v>
      </c>
      <c r="C60" s="61" t="s">
        <v>24</v>
      </c>
      <c r="D60" s="61" t="s">
        <v>192</v>
      </c>
      <c r="E60" s="61" t="s">
        <v>53</v>
      </c>
      <c r="F60" s="61" t="s">
        <v>325</v>
      </c>
      <c r="G60" s="61" t="s">
        <v>1013</v>
      </c>
      <c r="H60" s="61" t="s">
        <v>1036</v>
      </c>
      <c r="I60" s="61" t="s">
        <v>1072</v>
      </c>
      <c r="L60" s="67" t="s">
        <v>1045</v>
      </c>
    </row>
    <row r="62" spans="1:12" x14ac:dyDescent="0.2">
      <c r="A62" s="61">
        <v>149</v>
      </c>
      <c r="B62" s="61" t="b">
        <f>IF(OR(F62="NA",G62="wide_value"),"",TRUE)</f>
        <v>1</v>
      </c>
      <c r="C62" s="61" t="s">
        <v>24</v>
      </c>
      <c r="D62" s="61" t="s">
        <v>192</v>
      </c>
      <c r="E62" s="61" t="s">
        <v>54</v>
      </c>
      <c r="F62" s="61" t="s">
        <v>354</v>
      </c>
      <c r="G62" s="61" t="s">
        <v>1013</v>
      </c>
      <c r="H62" s="61" t="s">
        <v>1036</v>
      </c>
      <c r="I62" s="61" t="s">
        <v>1073</v>
      </c>
      <c r="L62" s="67" t="s">
        <v>1045</v>
      </c>
    </row>
    <row r="63" spans="1:12" x14ac:dyDescent="0.2">
      <c r="A63" s="61">
        <v>150</v>
      </c>
      <c r="B63" s="61" t="b">
        <f>IF(OR(F63="NA",G63="wide_value"),"",TRUE)</f>
        <v>1</v>
      </c>
      <c r="C63" s="61" t="s">
        <v>24</v>
      </c>
      <c r="D63" s="61" t="s">
        <v>192</v>
      </c>
      <c r="E63" s="61" t="s">
        <v>54</v>
      </c>
      <c r="F63" s="61" t="s">
        <v>355</v>
      </c>
      <c r="G63" s="61" t="s">
        <v>1013</v>
      </c>
      <c r="H63" s="61" t="s">
        <v>1036</v>
      </c>
      <c r="I63" s="61" t="s">
        <v>1074</v>
      </c>
      <c r="L63" s="67" t="s">
        <v>1045</v>
      </c>
    </row>
    <row r="64" spans="1:12" x14ac:dyDescent="0.2">
      <c r="A64" s="61">
        <v>151</v>
      </c>
      <c r="B64" s="61" t="b">
        <f>IF(OR(F64="NA",G64="wide_value"),"",TRUE)</f>
        <v>1</v>
      </c>
      <c r="C64" s="61" t="s">
        <v>24</v>
      </c>
      <c r="D64" s="61" t="s">
        <v>192</v>
      </c>
      <c r="E64" s="61" t="s">
        <v>54</v>
      </c>
      <c r="F64" s="61" t="s">
        <v>356</v>
      </c>
      <c r="G64" s="61" t="s">
        <v>1013</v>
      </c>
      <c r="H64" s="61" t="s">
        <v>1036</v>
      </c>
      <c r="I64" s="61" t="s">
        <v>1075</v>
      </c>
      <c r="L64" s="67" t="s">
        <v>1045</v>
      </c>
    </row>
    <row r="65" spans="1:12" x14ac:dyDescent="0.2">
      <c r="A65" s="61">
        <v>152</v>
      </c>
      <c r="B65" s="61" t="b">
        <f>IF(OR(F65="NA",G65="wide_value"),"",TRUE)</f>
        <v>1</v>
      </c>
      <c r="C65" s="61" t="s">
        <v>24</v>
      </c>
      <c r="D65" s="61" t="s">
        <v>192</v>
      </c>
      <c r="E65" s="61" t="s">
        <v>54</v>
      </c>
      <c r="F65" s="61" t="s">
        <v>1222</v>
      </c>
      <c r="G65" s="61" t="s">
        <v>1013</v>
      </c>
      <c r="H65" s="61" t="s">
        <v>1036</v>
      </c>
      <c r="I65" s="61" t="s">
        <v>1372</v>
      </c>
      <c r="L65" s="67" t="s">
        <v>1045</v>
      </c>
    </row>
    <row r="66" spans="1:12" x14ac:dyDescent="0.2">
      <c r="A66" s="61">
        <v>153</v>
      </c>
      <c r="B66" s="61" t="b">
        <f>IF(OR(F66="NA",G66="wide_value"),"",TRUE)</f>
        <v>1</v>
      </c>
      <c r="C66" s="61" t="s">
        <v>24</v>
      </c>
      <c r="D66" s="61" t="s">
        <v>192</v>
      </c>
      <c r="E66" s="61" t="s">
        <v>54</v>
      </c>
      <c r="F66" s="61" t="s">
        <v>341</v>
      </c>
      <c r="G66" s="61" t="s">
        <v>1013</v>
      </c>
      <c r="H66" s="61" t="s">
        <v>1036</v>
      </c>
      <c r="I66" s="61" t="s">
        <v>1076</v>
      </c>
      <c r="L66" s="67" t="s">
        <v>1045</v>
      </c>
    </row>
    <row r="68" spans="1:12" x14ac:dyDescent="0.2">
      <c r="A68" s="61">
        <v>155</v>
      </c>
      <c r="B68" s="61" t="b">
        <f>IF(OR(F68="NA",G68="wide_value"),"",TRUE)</f>
        <v>1</v>
      </c>
      <c r="C68" s="61" t="s">
        <v>24</v>
      </c>
      <c r="D68" s="61" t="s">
        <v>192</v>
      </c>
      <c r="E68" s="61" t="s">
        <v>56</v>
      </c>
      <c r="F68" s="61" t="s">
        <v>326</v>
      </c>
      <c r="G68" s="61" t="s">
        <v>1013</v>
      </c>
      <c r="H68" s="61" t="s">
        <v>1036</v>
      </c>
      <c r="I68" s="61" t="s">
        <v>1052</v>
      </c>
      <c r="L68" s="67" t="s">
        <v>1045</v>
      </c>
    </row>
    <row r="69" spans="1:12" x14ac:dyDescent="0.2">
      <c r="A69" s="61">
        <v>156</v>
      </c>
      <c r="B69" s="61" t="b">
        <f>IF(OR(F69="NA",G69="wide_value"),"",TRUE)</f>
        <v>1</v>
      </c>
      <c r="C69" s="61" t="s">
        <v>24</v>
      </c>
      <c r="D69" s="61" t="s">
        <v>192</v>
      </c>
      <c r="E69" s="61" t="s">
        <v>56</v>
      </c>
      <c r="F69" s="61" t="s">
        <v>327</v>
      </c>
      <c r="G69" s="61" t="s">
        <v>1013</v>
      </c>
      <c r="H69" s="61" t="s">
        <v>1036</v>
      </c>
      <c r="I69" s="61" t="s">
        <v>1037</v>
      </c>
      <c r="L69" s="67" t="s">
        <v>1045</v>
      </c>
    </row>
    <row r="70" spans="1:12" x14ac:dyDescent="0.2">
      <c r="L70" s="67"/>
    </row>
    <row r="71" spans="1:12" x14ac:dyDescent="0.2">
      <c r="A71" s="61">
        <v>157</v>
      </c>
      <c r="B71" s="61" t="b">
        <f>IF(OR(F71="NA",G71="wide_value"),"",TRUE)</f>
        <v>1</v>
      </c>
      <c r="C71" s="61" t="s">
        <v>24</v>
      </c>
      <c r="D71" s="61" t="s">
        <v>192</v>
      </c>
      <c r="E71" s="61" t="s">
        <v>57</v>
      </c>
      <c r="F71" s="61" t="s">
        <v>326</v>
      </c>
      <c r="G71" s="61" t="s">
        <v>1013</v>
      </c>
      <c r="H71" s="61" t="s">
        <v>1036</v>
      </c>
      <c r="I71" s="61" t="s">
        <v>1052</v>
      </c>
      <c r="L71" s="67" t="s">
        <v>1045</v>
      </c>
    </row>
    <row r="72" spans="1:12" x14ac:dyDescent="0.2">
      <c r="A72" s="61">
        <v>158</v>
      </c>
      <c r="B72" s="61" t="b">
        <f>IF(OR(F72="NA",G72="wide_value"),"",TRUE)</f>
        <v>1</v>
      </c>
      <c r="C72" s="61" t="s">
        <v>24</v>
      </c>
      <c r="D72" s="61" t="s">
        <v>192</v>
      </c>
      <c r="E72" s="61" t="s">
        <v>57</v>
      </c>
      <c r="F72" s="61" t="s">
        <v>327</v>
      </c>
      <c r="G72" s="61" t="s">
        <v>1013</v>
      </c>
      <c r="H72" s="61" t="s">
        <v>1036</v>
      </c>
      <c r="I72" s="61" t="s">
        <v>1037</v>
      </c>
      <c r="L72" s="67" t="s">
        <v>1045</v>
      </c>
    </row>
    <row r="74" spans="1:12" ht="15" customHeight="1" x14ac:dyDescent="0.2">
      <c r="A74" s="61">
        <v>170</v>
      </c>
      <c r="B74" s="61" t="b">
        <f>IF(OR(F74="NA",G74="wide_value"),"",TRUE)</f>
        <v>1</v>
      </c>
      <c r="C74" s="61" t="s">
        <v>24</v>
      </c>
      <c r="D74" s="61" t="s">
        <v>192</v>
      </c>
      <c r="E74" s="61" t="s">
        <v>1146</v>
      </c>
      <c r="F74" s="61" t="s">
        <v>328</v>
      </c>
      <c r="G74" s="61" t="s">
        <v>1013</v>
      </c>
      <c r="H74" s="61" t="s">
        <v>1036</v>
      </c>
      <c r="I74" s="61" t="s">
        <v>1043</v>
      </c>
      <c r="L74" s="67" t="s">
        <v>1045</v>
      </c>
    </row>
    <row r="75" spans="1:12" x14ac:dyDescent="0.2">
      <c r="A75" s="61">
        <v>171</v>
      </c>
      <c r="B75" s="61" t="b">
        <f>IF(OR(F75="NA",G75="wide_value"),"",TRUE)</f>
        <v>1</v>
      </c>
      <c r="C75" s="61" t="s">
        <v>24</v>
      </c>
      <c r="D75" s="61" t="s">
        <v>192</v>
      </c>
      <c r="E75" s="61" t="s">
        <v>1146</v>
      </c>
      <c r="F75" s="61" t="s">
        <v>329</v>
      </c>
      <c r="G75" s="61" t="s">
        <v>1013</v>
      </c>
      <c r="H75" s="61" t="s">
        <v>1036</v>
      </c>
      <c r="I75" s="61" t="s">
        <v>1065</v>
      </c>
      <c r="L75" s="67" t="s">
        <v>1045</v>
      </c>
    </row>
    <row r="76" spans="1:12" x14ac:dyDescent="0.2">
      <c r="A76" s="61">
        <v>172</v>
      </c>
      <c r="B76" s="61" t="b">
        <f>IF(OR(F76="NA",G76="wide_value"),"",TRUE)</f>
        <v>1</v>
      </c>
      <c r="C76" s="61" t="s">
        <v>24</v>
      </c>
      <c r="D76" s="61" t="s">
        <v>192</v>
      </c>
      <c r="E76" s="61" t="s">
        <v>1146</v>
      </c>
      <c r="F76" s="61" t="s">
        <v>330</v>
      </c>
      <c r="G76" s="61" t="s">
        <v>1013</v>
      </c>
      <c r="H76" s="61" t="s">
        <v>1036</v>
      </c>
      <c r="I76" s="61" t="s">
        <v>1044</v>
      </c>
      <c r="L76" s="67" t="s">
        <v>1045</v>
      </c>
    </row>
    <row r="77" spans="1:12" x14ac:dyDescent="0.2">
      <c r="A77" s="61">
        <v>173</v>
      </c>
      <c r="B77" s="61" t="b">
        <f>IF(OR(F77="NA",G77="wide_value"),"",TRUE)</f>
        <v>1</v>
      </c>
      <c r="C77" s="61" t="s">
        <v>24</v>
      </c>
      <c r="D77" s="61" t="s">
        <v>192</v>
      </c>
      <c r="E77" s="61" t="s">
        <v>1146</v>
      </c>
      <c r="F77" s="61" t="s">
        <v>331</v>
      </c>
      <c r="G77" s="61" t="s">
        <v>1013</v>
      </c>
      <c r="H77" s="61" t="s">
        <v>1036</v>
      </c>
      <c r="I77" s="61" t="s">
        <v>1066</v>
      </c>
      <c r="L77" s="67" t="s">
        <v>1045</v>
      </c>
    </row>
    <row r="78" spans="1:12" x14ac:dyDescent="0.2">
      <c r="A78" s="61">
        <v>174</v>
      </c>
      <c r="B78" s="61" t="b">
        <f>IF(OR(F78="NA",G78="wide_value"),"",TRUE)</f>
        <v>1</v>
      </c>
      <c r="C78" s="61" t="s">
        <v>24</v>
      </c>
      <c r="D78" s="61" t="s">
        <v>192</v>
      </c>
      <c r="E78" s="61" t="s">
        <v>1146</v>
      </c>
      <c r="F78" s="61" t="s">
        <v>332</v>
      </c>
      <c r="G78" s="61" t="s">
        <v>1013</v>
      </c>
      <c r="H78" s="61" t="s">
        <v>1036</v>
      </c>
      <c r="I78" s="61" t="s">
        <v>1067</v>
      </c>
      <c r="L78" s="67" t="s">
        <v>1045</v>
      </c>
    </row>
    <row r="79" spans="1:12" x14ac:dyDescent="0.2">
      <c r="A79" s="61">
        <v>175</v>
      </c>
      <c r="B79" s="61" t="b">
        <f>IF(OR(F79="NA",G79="wide_value"),"",TRUE)</f>
        <v>1</v>
      </c>
      <c r="C79" s="61" t="s">
        <v>24</v>
      </c>
      <c r="D79" s="61" t="s">
        <v>192</v>
      </c>
      <c r="E79" s="61" t="s">
        <v>1146</v>
      </c>
      <c r="F79" s="61" t="s">
        <v>333</v>
      </c>
      <c r="G79" s="61" t="s">
        <v>1013</v>
      </c>
      <c r="H79" s="61" t="s">
        <v>1036</v>
      </c>
      <c r="I79" s="61" t="s">
        <v>1068</v>
      </c>
      <c r="L79" s="67" t="s">
        <v>1045</v>
      </c>
    </row>
    <row r="80" spans="1:12" x14ac:dyDescent="0.2">
      <c r="A80" s="61">
        <v>176</v>
      </c>
      <c r="B80" s="61" t="b">
        <f>IF(OR(F80="NA",G80="wide_value"),"",TRUE)</f>
        <v>1</v>
      </c>
      <c r="C80" s="61" t="s">
        <v>24</v>
      </c>
      <c r="D80" s="61" t="s">
        <v>192</v>
      </c>
      <c r="E80" s="61" t="s">
        <v>1146</v>
      </c>
      <c r="F80" s="61" t="s">
        <v>1152</v>
      </c>
      <c r="G80" s="61" t="s">
        <v>1013</v>
      </c>
      <c r="H80" s="61" t="s">
        <v>1036</v>
      </c>
      <c r="I80" s="61" t="s">
        <v>1288</v>
      </c>
      <c r="L80" s="67" t="s">
        <v>1045</v>
      </c>
    </row>
    <row r="81" spans="1:12" x14ac:dyDescent="0.2">
      <c r="A81" s="61">
        <v>177</v>
      </c>
      <c r="B81" s="61" t="b">
        <f>IF(OR(F81="NA",G81="wide_value"),"",TRUE)</f>
        <v>1</v>
      </c>
      <c r="C81" s="61" t="s">
        <v>24</v>
      </c>
      <c r="D81" s="61" t="s">
        <v>192</v>
      </c>
      <c r="E81" s="61" t="s">
        <v>1146</v>
      </c>
      <c r="F81" s="61" t="s">
        <v>1153</v>
      </c>
      <c r="G81" s="61" t="s">
        <v>1013</v>
      </c>
      <c r="H81" s="61" t="s">
        <v>1036</v>
      </c>
      <c r="I81" s="61" t="s">
        <v>1289</v>
      </c>
      <c r="L81" s="67" t="s">
        <v>1045</v>
      </c>
    </row>
    <row r="83" spans="1:12" x14ac:dyDescent="0.2">
      <c r="A83" s="61">
        <v>180</v>
      </c>
      <c r="B83" s="61" t="b">
        <f>IF(OR(F83="NA",G83="wide_value"),"",TRUE)</f>
        <v>1</v>
      </c>
      <c r="C83" s="61" t="s">
        <v>24</v>
      </c>
      <c r="D83" s="61" t="s">
        <v>192</v>
      </c>
      <c r="E83" s="61" t="s">
        <v>59</v>
      </c>
      <c r="F83" s="61" t="s">
        <v>340</v>
      </c>
      <c r="G83" s="61" t="s">
        <v>1013</v>
      </c>
      <c r="H83" s="61" t="s">
        <v>1036</v>
      </c>
      <c r="I83" s="61" t="s">
        <v>1048</v>
      </c>
      <c r="L83" s="67" t="s">
        <v>1045</v>
      </c>
    </row>
    <row r="84" spans="1:12" x14ac:dyDescent="0.2">
      <c r="A84" s="61">
        <v>181</v>
      </c>
      <c r="B84" s="61" t="b">
        <f>IF(OR(F84="NA",G84="wide_value"),"",TRUE)</f>
        <v>1</v>
      </c>
      <c r="C84" s="61" t="s">
        <v>24</v>
      </c>
      <c r="D84" s="61" t="s">
        <v>192</v>
      </c>
      <c r="E84" s="61" t="s">
        <v>59</v>
      </c>
      <c r="F84" s="61" t="s">
        <v>341</v>
      </c>
      <c r="G84" s="61" t="s">
        <v>1013</v>
      </c>
      <c r="H84" s="61" t="s">
        <v>1036</v>
      </c>
      <c r="I84" s="61" t="s">
        <v>1076</v>
      </c>
      <c r="L84" s="67" t="s">
        <v>1045</v>
      </c>
    </row>
    <row r="86" spans="1:12" x14ac:dyDescent="0.2">
      <c r="A86" s="61">
        <v>184</v>
      </c>
      <c r="B86" s="61" t="b">
        <f>IF(OR(F86="NA",G86="wide_value"),"",TRUE)</f>
        <v>1</v>
      </c>
      <c r="C86" s="61" t="s">
        <v>24</v>
      </c>
      <c r="D86" s="61" t="s">
        <v>192</v>
      </c>
      <c r="E86" s="61" t="s">
        <v>60</v>
      </c>
      <c r="F86" s="61" t="s">
        <v>336</v>
      </c>
      <c r="G86" s="61" t="s">
        <v>1013</v>
      </c>
      <c r="H86" s="61" t="s">
        <v>1036</v>
      </c>
      <c r="I86" s="61" t="s">
        <v>1038</v>
      </c>
      <c r="L86" s="67" t="s">
        <v>1045</v>
      </c>
    </row>
    <row r="87" spans="1:12" x14ac:dyDescent="0.2">
      <c r="A87" s="61">
        <v>185</v>
      </c>
      <c r="B87" s="61" t="b">
        <f>IF(OR(F87="NA",G87="wide_value"),"",TRUE)</f>
        <v>1</v>
      </c>
      <c r="C87" s="61" t="s">
        <v>24</v>
      </c>
      <c r="D87" s="61" t="s">
        <v>192</v>
      </c>
      <c r="E87" s="61" t="s">
        <v>60</v>
      </c>
      <c r="F87" s="61" t="s">
        <v>341</v>
      </c>
      <c r="G87" s="61" t="s">
        <v>1013</v>
      </c>
      <c r="H87" s="61" t="s">
        <v>1036</v>
      </c>
      <c r="I87" s="61" t="s">
        <v>1076</v>
      </c>
      <c r="L87" s="67" t="s">
        <v>1045</v>
      </c>
    </row>
    <row r="88" spans="1:12" x14ac:dyDescent="0.2">
      <c r="A88" s="61">
        <v>186</v>
      </c>
      <c r="B88" s="61" t="b">
        <f>IF(OR(F88="NA",G88="wide_value"),"",TRUE)</f>
        <v>1</v>
      </c>
      <c r="C88" s="61" t="s">
        <v>24</v>
      </c>
      <c r="D88" s="61" t="s">
        <v>192</v>
      </c>
      <c r="E88" s="61" t="s">
        <v>60</v>
      </c>
      <c r="F88" s="61" t="s">
        <v>342</v>
      </c>
      <c r="G88" s="61" t="s">
        <v>1013</v>
      </c>
      <c r="H88" s="61" t="s">
        <v>1036</v>
      </c>
      <c r="I88" s="61" t="s">
        <v>1077</v>
      </c>
      <c r="L88" s="67" t="s">
        <v>1045</v>
      </c>
    </row>
    <row r="90" spans="1:12" x14ac:dyDescent="0.2">
      <c r="A90" s="61">
        <v>189</v>
      </c>
      <c r="B90" s="61" t="b">
        <f>IF(OR(F90="NA",G90="wide_value"),"",TRUE)</f>
        <v>1</v>
      </c>
      <c r="C90" s="61" t="s">
        <v>24</v>
      </c>
      <c r="D90" s="61" t="s">
        <v>192</v>
      </c>
      <c r="E90" s="61" t="s">
        <v>61</v>
      </c>
      <c r="F90" s="61" t="s">
        <v>1223</v>
      </c>
      <c r="G90" s="61" t="s">
        <v>1013</v>
      </c>
      <c r="H90" s="61" t="s">
        <v>1036</v>
      </c>
      <c r="I90" s="61" t="s">
        <v>1373</v>
      </c>
      <c r="L90" s="67" t="s">
        <v>1045</v>
      </c>
    </row>
    <row r="91" spans="1:12" x14ac:dyDescent="0.2">
      <c r="A91" s="61">
        <v>190</v>
      </c>
      <c r="B91" s="61" t="b">
        <f>IF(OR(F91="NA",G91="wide_value"),"",TRUE)</f>
        <v>1</v>
      </c>
      <c r="C91" s="61" t="s">
        <v>24</v>
      </c>
      <c r="D91" s="61" t="s">
        <v>192</v>
      </c>
      <c r="E91" s="61" t="s">
        <v>61</v>
      </c>
      <c r="F91" s="61" t="s">
        <v>343</v>
      </c>
      <c r="G91" s="61" t="s">
        <v>1013</v>
      </c>
      <c r="H91" s="61" t="s">
        <v>1036</v>
      </c>
      <c r="I91" s="61" t="s">
        <v>1078</v>
      </c>
      <c r="L91" s="67" t="s">
        <v>1045</v>
      </c>
    </row>
    <row r="92" spans="1:12" x14ac:dyDescent="0.2">
      <c r="A92" s="61">
        <v>191</v>
      </c>
      <c r="B92" s="61" t="b">
        <f>IF(OR(F92="NA",G92="wide_value"),"",TRUE)</f>
        <v>1</v>
      </c>
      <c r="C92" s="61" t="s">
        <v>24</v>
      </c>
      <c r="D92" s="61" t="s">
        <v>192</v>
      </c>
      <c r="E92" s="61" t="s">
        <v>61</v>
      </c>
      <c r="F92" s="61" t="s">
        <v>344</v>
      </c>
      <c r="G92" s="61" t="s">
        <v>1013</v>
      </c>
      <c r="H92" s="61" t="s">
        <v>1036</v>
      </c>
      <c r="I92" s="61" t="s">
        <v>1079</v>
      </c>
      <c r="L92" s="67" t="s">
        <v>1045</v>
      </c>
    </row>
    <row r="93" spans="1:12" x14ac:dyDescent="0.2">
      <c r="A93" s="61">
        <v>192</v>
      </c>
      <c r="B93" s="61" t="b">
        <f>IF(OR(F93="NA",G93="wide_value"),"",TRUE)</f>
        <v>1</v>
      </c>
      <c r="C93" s="61" t="s">
        <v>24</v>
      </c>
      <c r="D93" s="61" t="s">
        <v>192</v>
      </c>
      <c r="E93" s="61" t="s">
        <v>61</v>
      </c>
      <c r="F93" s="61" t="s">
        <v>345</v>
      </c>
      <c r="G93" s="61" t="s">
        <v>1013</v>
      </c>
      <c r="H93" s="61" t="s">
        <v>1036</v>
      </c>
      <c r="I93" s="61" t="s">
        <v>1080</v>
      </c>
      <c r="L93" s="67" t="s">
        <v>1045</v>
      </c>
    </row>
    <row r="94" spans="1:12" x14ac:dyDescent="0.2">
      <c r="A94" s="61">
        <v>193</v>
      </c>
      <c r="B94" s="61" t="b">
        <f>IF(OR(F94="NA",G94="wide_value"),"",TRUE)</f>
        <v>1</v>
      </c>
      <c r="C94" s="61" t="s">
        <v>24</v>
      </c>
      <c r="D94" s="61" t="s">
        <v>192</v>
      </c>
      <c r="E94" s="61" t="s">
        <v>61</v>
      </c>
      <c r="F94" s="61" t="s">
        <v>346</v>
      </c>
      <c r="G94" s="61" t="s">
        <v>1013</v>
      </c>
      <c r="H94" s="61" t="s">
        <v>1036</v>
      </c>
      <c r="I94" s="61" t="s">
        <v>1081</v>
      </c>
      <c r="L94" s="67" t="s">
        <v>1045</v>
      </c>
    </row>
    <row r="96" spans="1:12" x14ac:dyDescent="0.2">
      <c r="A96" s="61">
        <v>196</v>
      </c>
      <c r="B96" s="61" t="b">
        <f>IF(OR(F96="NA",G96="wide_value"),"",TRUE)</f>
        <v>1</v>
      </c>
      <c r="C96" s="61" t="s">
        <v>24</v>
      </c>
      <c r="D96" s="61" t="s">
        <v>192</v>
      </c>
      <c r="E96" s="61" t="s">
        <v>62</v>
      </c>
      <c r="F96" s="61" t="s">
        <v>340</v>
      </c>
      <c r="G96" s="61" t="s">
        <v>1013</v>
      </c>
      <c r="H96" s="61" t="s">
        <v>1036</v>
      </c>
      <c r="I96" s="61" t="s">
        <v>1048</v>
      </c>
      <c r="L96" s="67" t="s">
        <v>1045</v>
      </c>
    </row>
    <row r="97" spans="1:13" x14ac:dyDescent="0.2">
      <c r="A97" s="61">
        <v>197</v>
      </c>
      <c r="B97" s="61" t="b">
        <f>IF(OR(F97="NA",G97="wide_value"),"",TRUE)</f>
        <v>1</v>
      </c>
      <c r="C97" s="61" t="s">
        <v>24</v>
      </c>
      <c r="D97" s="61" t="s">
        <v>192</v>
      </c>
      <c r="E97" s="61" t="s">
        <v>62</v>
      </c>
      <c r="F97" s="61" t="s">
        <v>341</v>
      </c>
      <c r="G97" s="61" t="s">
        <v>1013</v>
      </c>
      <c r="H97" s="61" t="s">
        <v>1036</v>
      </c>
      <c r="I97" s="61" t="s">
        <v>1076</v>
      </c>
      <c r="L97" s="67" t="s">
        <v>1045</v>
      </c>
    </row>
    <row r="99" spans="1:13" x14ac:dyDescent="0.2">
      <c r="A99" s="61">
        <v>200</v>
      </c>
      <c r="B99" s="61" t="b">
        <f>IF(OR(F99="NA",G99="wide_value"),"",TRUE)</f>
        <v>1</v>
      </c>
      <c r="C99" s="61" t="s">
        <v>24</v>
      </c>
      <c r="D99" s="61" t="s">
        <v>192</v>
      </c>
      <c r="E99" s="61" t="s">
        <v>63</v>
      </c>
      <c r="F99" s="61" t="s">
        <v>340</v>
      </c>
      <c r="G99" s="61" t="s">
        <v>1013</v>
      </c>
      <c r="H99" s="61" t="s">
        <v>1036</v>
      </c>
      <c r="I99" s="61" t="s">
        <v>1048</v>
      </c>
      <c r="L99" s="67" t="s">
        <v>1045</v>
      </c>
    </row>
    <row r="100" spans="1:13" x14ac:dyDescent="0.2">
      <c r="A100" s="61">
        <v>201</v>
      </c>
      <c r="B100" s="61" t="b">
        <f>IF(OR(F100="NA",G100="wide_value"),"",TRUE)</f>
        <v>1</v>
      </c>
      <c r="C100" s="61" t="s">
        <v>24</v>
      </c>
      <c r="D100" s="61" t="s">
        <v>192</v>
      </c>
      <c r="E100" s="61" t="s">
        <v>63</v>
      </c>
      <c r="F100" s="61" t="s">
        <v>341</v>
      </c>
      <c r="G100" s="61" t="s">
        <v>1013</v>
      </c>
      <c r="H100" s="61" t="s">
        <v>1036</v>
      </c>
      <c r="I100" s="61" t="s">
        <v>1076</v>
      </c>
      <c r="L100" s="67" t="s">
        <v>1045</v>
      </c>
    </row>
    <row r="102" spans="1:13" x14ac:dyDescent="0.2">
      <c r="A102" s="61">
        <v>204</v>
      </c>
      <c r="B102" s="61" t="b">
        <f>IF(OR(F102="NA",G102="wide_value"),"",TRUE)</f>
        <v>1</v>
      </c>
      <c r="C102" s="61" t="s">
        <v>24</v>
      </c>
      <c r="D102" s="61" t="s">
        <v>192</v>
      </c>
      <c r="E102" s="61" t="s">
        <v>64</v>
      </c>
      <c r="F102" s="61" t="s">
        <v>334</v>
      </c>
      <c r="G102" s="61" t="s">
        <v>1013</v>
      </c>
      <c r="H102" s="61" t="s">
        <v>1036</v>
      </c>
      <c r="I102" s="61" t="s">
        <v>1049</v>
      </c>
      <c r="L102" s="67" t="s">
        <v>1045</v>
      </c>
    </row>
    <row r="103" spans="1:13" x14ac:dyDescent="0.2">
      <c r="A103" s="61">
        <v>205</v>
      </c>
      <c r="B103" s="61" t="b">
        <f>IF(OR(F103="NA",G103="wide_value"),"",TRUE)</f>
        <v>1</v>
      </c>
      <c r="C103" s="61" t="s">
        <v>24</v>
      </c>
      <c r="D103" s="61" t="s">
        <v>192</v>
      </c>
      <c r="E103" s="61" t="s">
        <v>64</v>
      </c>
      <c r="F103" s="61" t="s">
        <v>335</v>
      </c>
      <c r="G103" s="61" t="s">
        <v>1013</v>
      </c>
      <c r="H103" s="61" t="s">
        <v>1036</v>
      </c>
      <c r="I103" s="61" t="s">
        <v>1082</v>
      </c>
      <c r="L103" s="67" t="s">
        <v>1045</v>
      </c>
    </row>
    <row r="105" spans="1:13" x14ac:dyDescent="0.2">
      <c r="A105" s="61">
        <v>207</v>
      </c>
      <c r="B105" s="61" t="b">
        <f>IF(OR(F105="NA",G105="wide_value"),"",TRUE)</f>
        <v>1</v>
      </c>
      <c r="C105" s="61" t="s">
        <v>24</v>
      </c>
      <c r="D105" s="61" t="s">
        <v>192</v>
      </c>
      <c r="E105" s="61" t="s">
        <v>159</v>
      </c>
      <c r="F105" s="61" t="s">
        <v>368</v>
      </c>
      <c r="G105" s="61" t="s">
        <v>1013</v>
      </c>
      <c r="H105" s="61" t="s">
        <v>1091</v>
      </c>
      <c r="I105" s="61" t="s">
        <v>368</v>
      </c>
      <c r="L105" s="67" t="s">
        <v>1468</v>
      </c>
    </row>
    <row r="107" spans="1:13" x14ac:dyDescent="0.2">
      <c r="A107" s="61">
        <v>209</v>
      </c>
      <c r="B107" s="61" t="b">
        <f>IF(OR(F107="NA",G107="wide_value"),"",TRUE)</f>
        <v>1</v>
      </c>
      <c r="C107" s="61" t="s">
        <v>24</v>
      </c>
      <c r="D107" s="61" t="s">
        <v>192</v>
      </c>
      <c r="E107" s="61" t="s">
        <v>65</v>
      </c>
      <c r="F107" s="61" t="s">
        <v>367</v>
      </c>
      <c r="G107" s="61" t="s">
        <v>1013</v>
      </c>
      <c r="H107" s="61" t="s">
        <v>1036</v>
      </c>
      <c r="I107" s="61" t="s">
        <v>1083</v>
      </c>
      <c r="L107" s="67" t="s">
        <v>1045</v>
      </c>
    </row>
    <row r="109" spans="1:13" x14ac:dyDescent="0.2">
      <c r="A109" s="61">
        <v>211</v>
      </c>
      <c r="B109" s="61" t="b">
        <f>IF(OR(F109="NA",G109="wide_value"),"",TRUE)</f>
        <v>1</v>
      </c>
      <c r="C109" s="61" t="s">
        <v>24</v>
      </c>
      <c r="D109" s="61" t="s">
        <v>192</v>
      </c>
      <c r="E109" s="61" t="s">
        <v>161</v>
      </c>
      <c r="F109" s="61" t="s">
        <v>307</v>
      </c>
      <c r="G109" s="61" t="s">
        <v>1013</v>
      </c>
      <c r="H109" s="61" t="s">
        <v>1036</v>
      </c>
      <c r="I109" s="61" t="s">
        <v>1375</v>
      </c>
      <c r="L109" s="67" t="s">
        <v>1045</v>
      </c>
    </row>
    <row r="110" spans="1:13" x14ac:dyDescent="0.2">
      <c r="A110" s="61">
        <v>212</v>
      </c>
      <c r="B110" s="61" t="b">
        <f>IF(OR(F110="NA",G110="wide_value"),"",TRUE)</f>
        <v>1</v>
      </c>
      <c r="C110" s="61" t="s">
        <v>24</v>
      </c>
      <c r="D110" s="61" t="s">
        <v>192</v>
      </c>
      <c r="E110" s="61" t="s">
        <v>161</v>
      </c>
      <c r="F110" s="61" t="s">
        <v>308</v>
      </c>
      <c r="G110" s="61" t="s">
        <v>1013</v>
      </c>
      <c r="H110" s="61" t="s">
        <v>1036</v>
      </c>
      <c r="I110" s="61" t="s">
        <v>1376</v>
      </c>
      <c r="L110" s="67" t="s">
        <v>1045</v>
      </c>
    </row>
    <row r="111" spans="1:13" x14ac:dyDescent="0.2">
      <c r="A111" s="61">
        <v>213</v>
      </c>
      <c r="B111" s="61" t="b">
        <f>IF(OR(F111="NA",G111="wide_value"),"",TRUE)</f>
        <v>1</v>
      </c>
      <c r="C111" s="61" t="s">
        <v>24</v>
      </c>
      <c r="D111" s="61" t="s">
        <v>192</v>
      </c>
      <c r="E111" s="61" t="s">
        <v>161</v>
      </c>
      <c r="F111" s="61" t="s">
        <v>2039</v>
      </c>
      <c r="G111" s="61" t="s">
        <v>1013</v>
      </c>
      <c r="H111" s="61" t="s">
        <v>1036</v>
      </c>
      <c r="I111" s="61" t="s">
        <v>1377</v>
      </c>
      <c r="L111" s="67" t="s">
        <v>1045</v>
      </c>
      <c r="M111" s="41" t="s">
        <v>2037</v>
      </c>
    </row>
    <row r="112" spans="1:13" x14ac:dyDescent="0.2">
      <c r="A112" s="61">
        <v>214</v>
      </c>
      <c r="B112" s="61" t="b">
        <f>IF(OR(F112="NA",G112="wide_value"),"",TRUE)</f>
        <v>1</v>
      </c>
      <c r="C112" s="61" t="s">
        <v>24</v>
      </c>
      <c r="D112" s="61" t="s">
        <v>192</v>
      </c>
      <c r="E112" s="61" t="s">
        <v>161</v>
      </c>
      <c r="F112" s="61" t="s">
        <v>2040</v>
      </c>
      <c r="G112" s="61" t="s">
        <v>1013</v>
      </c>
      <c r="H112" s="61" t="s">
        <v>1036</v>
      </c>
      <c r="I112" s="61" t="s">
        <v>1378</v>
      </c>
      <c r="L112" s="67" t="s">
        <v>1045</v>
      </c>
      <c r="M112" s="41" t="s">
        <v>2038</v>
      </c>
    </row>
    <row r="114" spans="1:12" x14ac:dyDescent="0.2">
      <c r="A114" s="61">
        <v>237</v>
      </c>
      <c r="B114" s="61" t="b">
        <f>IF(OR(F114="NA",G114="wide_value"),"",TRUE)</f>
        <v>1</v>
      </c>
      <c r="C114" s="61" t="s">
        <v>149</v>
      </c>
      <c r="D114" s="61" t="s">
        <v>192</v>
      </c>
      <c r="E114" s="61" t="s">
        <v>151</v>
      </c>
      <c r="F114" s="61" t="s">
        <v>364</v>
      </c>
      <c r="G114" s="61" t="s">
        <v>1013</v>
      </c>
      <c r="H114" s="61" t="s">
        <v>1036</v>
      </c>
      <c r="I114" s="61" t="s">
        <v>1042</v>
      </c>
      <c r="L114" s="67" t="s">
        <v>1045</v>
      </c>
    </row>
    <row r="115" spans="1:12" x14ac:dyDescent="0.2">
      <c r="A115" s="61">
        <v>238</v>
      </c>
      <c r="B115" s="61" t="b">
        <f>IF(OR(F115="NA",G115="wide_value"),"",TRUE)</f>
        <v>1</v>
      </c>
      <c r="C115" s="61" t="s">
        <v>149</v>
      </c>
      <c r="D115" s="61" t="s">
        <v>192</v>
      </c>
      <c r="E115" s="61" t="s">
        <v>151</v>
      </c>
      <c r="F115" s="61" t="s">
        <v>365</v>
      </c>
      <c r="G115" s="61" t="s">
        <v>1013</v>
      </c>
      <c r="H115" s="61" t="s">
        <v>1036</v>
      </c>
      <c r="I115" s="61" t="s">
        <v>1063</v>
      </c>
      <c r="L115" s="67" t="s">
        <v>1045</v>
      </c>
    </row>
    <row r="116" spans="1:12" x14ac:dyDescent="0.2">
      <c r="A116" s="61">
        <v>239</v>
      </c>
      <c r="B116" s="61" t="b">
        <f>IF(OR(F116="NA",G116="wide_value"),"",TRUE)</f>
        <v>1</v>
      </c>
      <c r="C116" s="61" t="s">
        <v>149</v>
      </c>
      <c r="D116" s="61" t="s">
        <v>192</v>
      </c>
      <c r="E116" s="61" t="s">
        <v>151</v>
      </c>
      <c r="F116" s="61" t="s">
        <v>369</v>
      </c>
      <c r="G116" s="61" t="s">
        <v>1013</v>
      </c>
      <c r="H116" s="61" t="s">
        <v>1036</v>
      </c>
      <c r="I116" s="61" t="s">
        <v>1058</v>
      </c>
      <c r="L116" s="67" t="s">
        <v>1045</v>
      </c>
    </row>
    <row r="117" spans="1:12" x14ac:dyDescent="0.2">
      <c r="A117" s="61">
        <v>240</v>
      </c>
      <c r="B117" s="61" t="b">
        <f>IF(OR(F117="NA",G117="wide_value"),"",TRUE)</f>
        <v>1</v>
      </c>
      <c r="C117" s="61" t="s">
        <v>149</v>
      </c>
      <c r="D117" s="61" t="s">
        <v>192</v>
      </c>
      <c r="E117" s="61" t="s">
        <v>151</v>
      </c>
      <c r="F117" s="61" t="s">
        <v>370</v>
      </c>
      <c r="G117" s="61" t="s">
        <v>1013</v>
      </c>
      <c r="H117" s="61" t="s">
        <v>1036</v>
      </c>
      <c r="I117" s="61" t="s">
        <v>1041</v>
      </c>
      <c r="L117" s="67" t="s">
        <v>1045</v>
      </c>
    </row>
    <row r="118" spans="1:12" x14ac:dyDescent="0.2">
      <c r="A118" s="61">
        <v>241</v>
      </c>
      <c r="B118" s="61" t="b">
        <f>IF(OR(F118="NA",G118="wide_value"),"",TRUE)</f>
        <v>1</v>
      </c>
      <c r="C118" s="61" t="s">
        <v>149</v>
      </c>
      <c r="D118" s="61" t="s">
        <v>192</v>
      </c>
      <c r="E118" s="61" t="s">
        <v>151</v>
      </c>
      <c r="F118" s="61" t="s">
        <v>371</v>
      </c>
      <c r="G118" s="61" t="s">
        <v>1013</v>
      </c>
      <c r="H118" s="61" t="s">
        <v>1036</v>
      </c>
      <c r="I118" s="61" t="s">
        <v>1059</v>
      </c>
      <c r="L118" s="67" t="s">
        <v>1045</v>
      </c>
    </row>
    <row r="119" spans="1:12" x14ac:dyDescent="0.2">
      <c r="A119" s="61">
        <v>242</v>
      </c>
      <c r="B119" s="61" t="b">
        <f>IF(OR(F119="NA",G119="wide_value"),"",TRUE)</f>
        <v>1</v>
      </c>
      <c r="C119" s="61" t="s">
        <v>149</v>
      </c>
      <c r="D119" s="61" t="s">
        <v>192</v>
      </c>
      <c r="E119" s="61" t="s">
        <v>151</v>
      </c>
      <c r="F119" s="61" t="s">
        <v>372</v>
      </c>
      <c r="G119" s="61" t="s">
        <v>1013</v>
      </c>
      <c r="H119" s="61" t="s">
        <v>1036</v>
      </c>
      <c r="I119" s="61" t="s">
        <v>1060</v>
      </c>
      <c r="L119" s="67" t="s">
        <v>1045</v>
      </c>
    </row>
    <row r="120" spans="1:12" x14ac:dyDescent="0.2">
      <c r="A120" s="61">
        <v>243</v>
      </c>
      <c r="B120" s="61" t="b">
        <f>IF(OR(F120="NA",G120="wide_value"),"",TRUE)</f>
        <v>1</v>
      </c>
      <c r="C120" s="61" t="s">
        <v>149</v>
      </c>
      <c r="D120" s="61" t="s">
        <v>192</v>
      </c>
      <c r="E120" s="61" t="s">
        <v>151</v>
      </c>
      <c r="F120" s="61" t="s">
        <v>373</v>
      </c>
      <c r="G120" s="61" t="s">
        <v>1013</v>
      </c>
      <c r="H120" s="61" t="s">
        <v>1036</v>
      </c>
      <c r="I120" s="61" t="s">
        <v>1061</v>
      </c>
      <c r="L120" s="67" t="s">
        <v>1045</v>
      </c>
    </row>
    <row r="122" spans="1:12" x14ac:dyDescent="0.2">
      <c r="A122" s="61">
        <v>650</v>
      </c>
      <c r="B122" s="61" t="b">
        <f>IF(OR(F122="NA",G122="wide_value"),"",TRUE)</f>
        <v>1</v>
      </c>
      <c r="C122" s="61" t="s">
        <v>113</v>
      </c>
      <c r="D122" s="61" t="s">
        <v>192</v>
      </c>
      <c r="E122" s="61" t="s">
        <v>124</v>
      </c>
      <c r="F122" s="61" t="s">
        <v>207</v>
      </c>
      <c r="G122" s="61" t="s">
        <v>1013</v>
      </c>
      <c r="H122" s="61" t="s">
        <v>1036</v>
      </c>
      <c r="I122" s="61" t="s">
        <v>1298</v>
      </c>
      <c r="L122" s="67" t="s">
        <v>1045</v>
      </c>
    </row>
    <row r="123" spans="1:12" x14ac:dyDescent="0.2">
      <c r="A123" s="61">
        <v>651</v>
      </c>
      <c r="B123" s="61" t="b">
        <f>IF(OR(F123="NA",G123="wide_value"),"",TRUE)</f>
        <v>1</v>
      </c>
      <c r="C123" s="61" t="s">
        <v>113</v>
      </c>
      <c r="D123" s="61" t="s">
        <v>192</v>
      </c>
      <c r="E123" s="61" t="s">
        <v>124</v>
      </c>
      <c r="F123" s="61" t="s">
        <v>208</v>
      </c>
      <c r="G123" s="61" t="s">
        <v>1013</v>
      </c>
      <c r="H123" s="61" t="s">
        <v>1036</v>
      </c>
      <c r="I123" s="61" t="s">
        <v>1299</v>
      </c>
      <c r="L123" s="67" t="s">
        <v>1045</v>
      </c>
    </row>
    <row r="124" spans="1:12" x14ac:dyDescent="0.2">
      <c r="A124" s="61">
        <v>652</v>
      </c>
      <c r="B124" s="61" t="b">
        <f>IF(OR(F124="NA",G124="wide_value"),"",TRUE)</f>
        <v>1</v>
      </c>
      <c r="C124" s="61" t="s">
        <v>113</v>
      </c>
      <c r="D124" s="61" t="s">
        <v>192</v>
      </c>
      <c r="E124" s="61" t="s">
        <v>124</v>
      </c>
      <c r="F124" s="61" t="s">
        <v>209</v>
      </c>
      <c r="G124" s="61" t="s">
        <v>1013</v>
      </c>
      <c r="H124" s="61" t="s">
        <v>1036</v>
      </c>
      <c r="I124" s="61" t="s">
        <v>1300</v>
      </c>
      <c r="L124" s="67" t="s">
        <v>1045</v>
      </c>
    </row>
    <row r="125" spans="1:12" x14ac:dyDescent="0.2">
      <c r="A125" s="61">
        <v>653</v>
      </c>
      <c r="B125" s="61" t="b">
        <f>IF(OR(F125="NA",G125="wide_value"),"",TRUE)</f>
        <v>1</v>
      </c>
      <c r="C125" s="61" t="s">
        <v>113</v>
      </c>
      <c r="D125" s="61" t="s">
        <v>192</v>
      </c>
      <c r="E125" s="61" t="s">
        <v>124</v>
      </c>
      <c r="F125" s="61" t="s">
        <v>210</v>
      </c>
      <c r="G125" s="61" t="s">
        <v>1013</v>
      </c>
      <c r="H125" s="61" t="s">
        <v>1036</v>
      </c>
      <c r="I125" s="61" t="s">
        <v>1301</v>
      </c>
      <c r="L125" s="67" t="s">
        <v>1045</v>
      </c>
    </row>
    <row r="126" spans="1:12" x14ac:dyDescent="0.2">
      <c r="A126" s="61">
        <v>654</v>
      </c>
      <c r="B126" s="61" t="b">
        <f>IF(OR(F126="NA",G126="wide_value"),"",TRUE)</f>
        <v>1</v>
      </c>
      <c r="C126" s="61" t="s">
        <v>113</v>
      </c>
      <c r="D126" s="61" t="s">
        <v>192</v>
      </c>
      <c r="E126" s="61" t="s">
        <v>124</v>
      </c>
      <c r="F126" s="61" t="s">
        <v>211</v>
      </c>
      <c r="G126" s="61" t="s">
        <v>1013</v>
      </c>
      <c r="H126" s="61" t="s">
        <v>1036</v>
      </c>
      <c r="I126" s="61" t="s">
        <v>1304</v>
      </c>
      <c r="L126" s="67" t="s">
        <v>1045</v>
      </c>
    </row>
    <row r="127" spans="1:12" x14ac:dyDescent="0.2">
      <c r="A127" s="61">
        <v>655</v>
      </c>
      <c r="B127" s="61" t="b">
        <f>IF(OR(F127="NA",G127="wide_value"),"",TRUE)</f>
        <v>1</v>
      </c>
      <c r="C127" s="61" t="s">
        <v>113</v>
      </c>
      <c r="D127" s="61" t="s">
        <v>192</v>
      </c>
      <c r="E127" s="61" t="s">
        <v>124</v>
      </c>
      <c r="F127" s="61" t="s">
        <v>212</v>
      </c>
      <c r="G127" s="61" t="s">
        <v>1013</v>
      </c>
      <c r="H127" s="61" t="s">
        <v>1036</v>
      </c>
      <c r="I127" s="61" t="s">
        <v>1302</v>
      </c>
      <c r="L127" s="67" t="s">
        <v>1045</v>
      </c>
    </row>
    <row r="128" spans="1:12" x14ac:dyDescent="0.2">
      <c r="A128" s="61">
        <v>656</v>
      </c>
      <c r="B128" s="61" t="b">
        <f>IF(OR(F128="NA",G128="wide_value"),"",TRUE)</f>
        <v>1</v>
      </c>
      <c r="C128" s="61" t="s">
        <v>113</v>
      </c>
      <c r="D128" s="61" t="s">
        <v>192</v>
      </c>
      <c r="E128" s="61" t="s">
        <v>124</v>
      </c>
      <c r="F128" s="61" t="s">
        <v>213</v>
      </c>
      <c r="G128" s="61" t="s">
        <v>1013</v>
      </c>
      <c r="H128" s="61" t="s">
        <v>1036</v>
      </c>
      <c r="I128" s="61" t="s">
        <v>1303</v>
      </c>
      <c r="L128" s="67" t="s">
        <v>1045</v>
      </c>
    </row>
    <row r="130" spans="1:12" x14ac:dyDescent="0.2">
      <c r="A130" s="61">
        <v>660</v>
      </c>
      <c r="B130" s="61" t="b">
        <f>IF(OR(F130="NA",G130="wide_value"),"",TRUE)</f>
        <v>1</v>
      </c>
      <c r="C130" s="61" t="s">
        <v>113</v>
      </c>
      <c r="D130" s="61" t="s">
        <v>192</v>
      </c>
      <c r="E130" s="61" t="s">
        <v>127</v>
      </c>
      <c r="F130" s="61" t="s">
        <v>223</v>
      </c>
      <c r="G130" s="61" t="s">
        <v>1013</v>
      </c>
      <c r="H130" s="61" t="s">
        <v>1036</v>
      </c>
      <c r="I130" s="61" t="s">
        <v>1307</v>
      </c>
      <c r="L130" s="67" t="s">
        <v>1045</v>
      </c>
    </row>
    <row r="131" spans="1:12" x14ac:dyDescent="0.2">
      <c r="A131" s="61">
        <v>661</v>
      </c>
      <c r="B131" s="61" t="b">
        <f>IF(OR(F131="NA",G131="wide_value"),"",TRUE)</f>
        <v>1</v>
      </c>
      <c r="C131" s="61" t="s">
        <v>113</v>
      </c>
      <c r="D131" s="61" t="s">
        <v>192</v>
      </c>
      <c r="E131" s="61" t="s">
        <v>127</v>
      </c>
      <c r="F131" s="61" t="s">
        <v>224</v>
      </c>
      <c r="G131" s="61" t="s">
        <v>1013</v>
      </c>
      <c r="H131" s="61" t="s">
        <v>1036</v>
      </c>
      <c r="I131" s="61" t="s">
        <v>1306</v>
      </c>
      <c r="L131" s="67" t="s">
        <v>1045</v>
      </c>
    </row>
    <row r="132" spans="1:12" x14ac:dyDescent="0.2">
      <c r="A132" s="61">
        <v>662</v>
      </c>
      <c r="B132" s="61" t="b">
        <f>IF(OR(F132="NA",G132="wide_value"),"",TRUE)</f>
        <v>1</v>
      </c>
      <c r="C132" s="61" t="s">
        <v>113</v>
      </c>
      <c r="D132" s="61" t="s">
        <v>192</v>
      </c>
      <c r="E132" s="61" t="s">
        <v>127</v>
      </c>
      <c r="F132" s="61" t="s">
        <v>225</v>
      </c>
      <c r="G132" s="61" t="s">
        <v>1013</v>
      </c>
      <c r="H132" s="61" t="s">
        <v>1036</v>
      </c>
      <c r="I132" s="61" t="s">
        <v>1305</v>
      </c>
      <c r="L132" s="67" t="s">
        <v>1045</v>
      </c>
    </row>
  </sheetData>
  <pageMargins left="0.7" right="0.7" top="0.75" bottom="0.75" header="0.3" footer="0.3"/>
  <pageSetup orientation="portrait" horizontalDpi="0" verticalDpi="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75FE4-77C5-3B48-8438-CF28555CD51A}">
  <dimension ref="A1:N92"/>
  <sheetViews>
    <sheetView workbookViewId="0">
      <pane ySplit="1" topLeftCell="A2" activePane="bottomLeft" state="frozen"/>
      <selection pane="bottomLeft" activeCell="N2" sqref="N2"/>
    </sheetView>
  </sheetViews>
  <sheetFormatPr baseColWidth="10" defaultRowHeight="16" x14ac:dyDescent="0.2"/>
  <cols>
    <col min="1" max="1" width="9.33203125" style="58" customWidth="1"/>
    <col min="2" max="2" width="15" style="58" customWidth="1"/>
    <col min="3" max="3" width="10.5" style="58" customWidth="1"/>
    <col min="4" max="4" width="19" style="58" customWidth="1"/>
    <col min="5" max="5" width="13" style="58" customWidth="1"/>
    <col min="6" max="6" width="19.6640625" style="58" customWidth="1"/>
    <col min="7" max="7" width="41.5" style="58" customWidth="1"/>
    <col min="8" max="8" width="12" style="58" customWidth="1"/>
    <col min="9" max="9" width="6.6640625" style="58" customWidth="1"/>
    <col min="10" max="10" width="12.1640625" style="58" customWidth="1"/>
    <col min="11" max="11" width="21.83203125" style="58" customWidth="1"/>
    <col min="12" max="12" width="12.6640625" style="58" customWidth="1"/>
    <col min="13" max="13" width="16" style="58" customWidth="1"/>
    <col min="14" max="16384" width="10.83203125" style="58"/>
  </cols>
  <sheetData>
    <row r="1" spans="1:14" s="66" customFormat="1" x14ac:dyDescent="0.2">
      <c r="A1" s="64" t="s">
        <v>1549</v>
      </c>
      <c r="B1" s="64" t="s">
        <v>1925</v>
      </c>
      <c r="C1" s="64" t="s">
        <v>0</v>
      </c>
      <c r="D1" s="64" t="s">
        <v>10</v>
      </c>
      <c r="E1" s="64" t="s">
        <v>1</v>
      </c>
      <c r="F1" s="64" t="s">
        <v>2</v>
      </c>
      <c r="G1" s="64" t="s">
        <v>3</v>
      </c>
      <c r="H1" s="64" t="s">
        <v>4</v>
      </c>
      <c r="I1" s="64" t="s">
        <v>1974</v>
      </c>
      <c r="J1" s="64" t="s">
        <v>5</v>
      </c>
      <c r="K1" s="64" t="s">
        <v>6</v>
      </c>
      <c r="L1" s="64" t="s">
        <v>8</v>
      </c>
      <c r="M1" s="65" t="s">
        <v>9</v>
      </c>
      <c r="N1" s="66" t="s">
        <v>1921</v>
      </c>
    </row>
    <row r="2" spans="1:14" s="57" customFormat="1" x14ac:dyDescent="0.2">
      <c r="A2" s="56"/>
      <c r="B2" s="56" t="b">
        <v>1</v>
      </c>
      <c r="C2" s="56"/>
      <c r="D2" s="64"/>
      <c r="E2" s="64" t="s">
        <v>192</v>
      </c>
      <c r="F2" s="64" t="s">
        <v>2045</v>
      </c>
      <c r="G2" s="64"/>
      <c r="H2" s="64" t="s">
        <v>1829</v>
      </c>
      <c r="I2" s="64"/>
      <c r="J2" s="64" t="s">
        <v>2043</v>
      </c>
      <c r="K2" s="64" t="s">
        <v>2044</v>
      </c>
      <c r="L2" s="64"/>
      <c r="M2" s="65"/>
      <c r="N2" s="57" t="s">
        <v>2046</v>
      </c>
    </row>
    <row r="3" spans="1:14" x14ac:dyDescent="0.2">
      <c r="A3" s="55"/>
      <c r="B3" s="55"/>
      <c r="C3" s="55"/>
      <c r="D3" s="62"/>
      <c r="E3" s="62"/>
      <c r="F3" s="62"/>
      <c r="G3" s="62"/>
      <c r="H3" s="62"/>
      <c r="I3" s="62"/>
      <c r="J3" s="62"/>
      <c r="K3" s="62"/>
      <c r="L3" s="62"/>
      <c r="M3" s="63"/>
    </row>
    <row r="4" spans="1:14" x14ac:dyDescent="0.2">
      <c r="A4" s="55">
        <v>742</v>
      </c>
      <c r="B4" s="55" t="b">
        <v>1</v>
      </c>
      <c r="C4" s="55"/>
      <c r="D4" s="55" t="s">
        <v>16</v>
      </c>
      <c r="E4" s="55" t="s">
        <v>192</v>
      </c>
      <c r="F4" s="55" t="s">
        <v>19</v>
      </c>
      <c r="G4" s="55" t="s">
        <v>383</v>
      </c>
      <c r="H4" s="55" t="s">
        <v>1829</v>
      </c>
      <c r="I4" s="55"/>
      <c r="J4" s="55" t="s">
        <v>1247</v>
      </c>
      <c r="K4" s="55" t="s">
        <v>1879</v>
      </c>
      <c r="L4" s="55"/>
      <c r="M4" s="59" t="s">
        <v>1881</v>
      </c>
    </row>
    <row r="5" spans="1:14" x14ac:dyDescent="0.2">
      <c r="A5" s="55">
        <v>743</v>
      </c>
      <c r="B5" s="55" t="b">
        <v>1</v>
      </c>
      <c r="C5" s="55"/>
      <c r="D5" s="55" t="s">
        <v>16</v>
      </c>
      <c r="E5" s="55" t="s">
        <v>192</v>
      </c>
      <c r="F5" s="55" t="s">
        <v>19</v>
      </c>
      <c r="G5" s="55" t="s">
        <v>394</v>
      </c>
      <c r="H5" s="55" t="s">
        <v>1829</v>
      </c>
      <c r="I5" s="55"/>
      <c r="J5" s="55" t="s">
        <v>1247</v>
      </c>
      <c r="K5" s="55" t="s">
        <v>1879</v>
      </c>
      <c r="L5" s="55"/>
      <c r="M5" s="59" t="s">
        <v>1881</v>
      </c>
    </row>
    <row r="6" spans="1:14" x14ac:dyDescent="0.2">
      <c r="A6" s="55">
        <v>744</v>
      </c>
      <c r="B6" s="55" t="b">
        <v>1</v>
      </c>
      <c r="C6" s="55"/>
      <c r="D6" s="55" t="s">
        <v>16</v>
      </c>
      <c r="E6" s="55" t="s">
        <v>192</v>
      </c>
      <c r="F6" s="55" t="s">
        <v>19</v>
      </c>
      <c r="G6" s="55" t="s">
        <v>395</v>
      </c>
      <c r="H6" s="55" t="s">
        <v>1829</v>
      </c>
      <c r="I6" s="55"/>
      <c r="J6" s="55" t="s">
        <v>1247</v>
      </c>
      <c r="K6" s="55" t="s">
        <v>1879</v>
      </c>
      <c r="L6" s="55"/>
      <c r="M6" s="59" t="s">
        <v>1881</v>
      </c>
    </row>
    <row r="7" spans="1:14" x14ac:dyDescent="0.2">
      <c r="A7" s="55">
        <v>745</v>
      </c>
      <c r="B7" s="55" t="b">
        <v>1</v>
      </c>
      <c r="C7" s="55"/>
      <c r="D7" s="55" t="s">
        <v>16</v>
      </c>
      <c r="E7" s="55" t="s">
        <v>192</v>
      </c>
      <c r="F7" s="55" t="s">
        <v>19</v>
      </c>
      <c r="G7" s="55" t="s">
        <v>396</v>
      </c>
      <c r="H7" s="55" t="s">
        <v>1829</v>
      </c>
      <c r="I7" s="55"/>
      <c r="J7" s="55" t="s">
        <v>1247</v>
      </c>
      <c r="K7" s="55" t="s">
        <v>1879</v>
      </c>
      <c r="L7" s="55"/>
      <c r="M7" s="59" t="s">
        <v>1881</v>
      </c>
    </row>
    <row r="8" spans="1:14" x14ac:dyDescent="0.2">
      <c r="A8" s="55">
        <v>746</v>
      </c>
      <c r="B8" s="55" t="b">
        <v>1</v>
      </c>
      <c r="C8" s="55"/>
      <c r="D8" s="55" t="s">
        <v>16</v>
      </c>
      <c r="E8" s="55" t="s">
        <v>192</v>
      </c>
      <c r="F8" s="55" t="s">
        <v>19</v>
      </c>
      <c r="G8" s="55" t="s">
        <v>397</v>
      </c>
      <c r="H8" s="55" t="s">
        <v>1829</v>
      </c>
      <c r="I8" s="55"/>
      <c r="J8" s="55" t="s">
        <v>1247</v>
      </c>
      <c r="K8" s="55" t="s">
        <v>1879</v>
      </c>
      <c r="L8" s="55"/>
      <c r="M8" s="59" t="s">
        <v>1881</v>
      </c>
    </row>
    <row r="9" spans="1:14" x14ac:dyDescent="0.2">
      <c r="A9" s="55">
        <v>747</v>
      </c>
      <c r="B9" s="55" t="b">
        <v>1</v>
      </c>
      <c r="C9" s="55"/>
      <c r="D9" s="55" t="s">
        <v>16</v>
      </c>
      <c r="E9" s="55" t="s">
        <v>192</v>
      </c>
      <c r="F9" s="55" t="s">
        <v>19</v>
      </c>
      <c r="G9" s="55" t="s">
        <v>398</v>
      </c>
      <c r="H9" s="55" t="s">
        <v>1829</v>
      </c>
      <c r="I9" s="55"/>
      <c r="J9" s="55" t="s">
        <v>1247</v>
      </c>
      <c r="K9" s="55" t="s">
        <v>1879</v>
      </c>
      <c r="L9" s="55"/>
      <c r="M9" s="59" t="s">
        <v>1881</v>
      </c>
    </row>
    <row r="10" spans="1:14" x14ac:dyDescent="0.2">
      <c r="A10" s="55">
        <v>748</v>
      </c>
      <c r="B10" s="55" t="b">
        <v>1</v>
      </c>
      <c r="C10" s="55"/>
      <c r="D10" s="55" t="s">
        <v>16</v>
      </c>
      <c r="E10" s="55" t="s">
        <v>192</v>
      </c>
      <c r="F10" s="55" t="s">
        <v>19</v>
      </c>
      <c r="G10" s="55" t="s">
        <v>399</v>
      </c>
      <c r="H10" s="55" t="s">
        <v>1829</v>
      </c>
      <c r="I10" s="55"/>
      <c r="J10" s="55" t="s">
        <v>1247</v>
      </c>
      <c r="K10" s="55" t="s">
        <v>1879</v>
      </c>
      <c r="L10" s="55"/>
      <c r="M10" s="59" t="s">
        <v>1881</v>
      </c>
    </row>
    <row r="11" spans="1:14" x14ac:dyDescent="0.2">
      <c r="A11" s="55">
        <v>749</v>
      </c>
      <c r="B11" s="55" t="b">
        <v>1</v>
      </c>
      <c r="C11" s="55"/>
      <c r="D11" s="55" t="s">
        <v>16</v>
      </c>
      <c r="E11" s="55" t="s">
        <v>192</v>
      </c>
      <c r="F11" s="55" t="s">
        <v>19</v>
      </c>
      <c r="G11" s="55" t="s">
        <v>400</v>
      </c>
      <c r="H11" s="55" t="s">
        <v>1829</v>
      </c>
      <c r="I11" s="55"/>
      <c r="J11" s="55" t="s">
        <v>1247</v>
      </c>
      <c r="K11" s="55" t="s">
        <v>1879</v>
      </c>
      <c r="L11" s="55"/>
      <c r="M11" s="59" t="s">
        <v>1881</v>
      </c>
    </row>
    <row r="12" spans="1:14" x14ac:dyDescent="0.2">
      <c r="A12" s="55">
        <v>750</v>
      </c>
      <c r="B12" s="55" t="b">
        <v>1</v>
      </c>
      <c r="C12" s="55"/>
      <c r="D12" s="55" t="s">
        <v>16</v>
      </c>
      <c r="E12" s="55" t="s">
        <v>192</v>
      </c>
      <c r="F12" s="55" t="s">
        <v>19</v>
      </c>
      <c r="G12" s="55" t="s">
        <v>401</v>
      </c>
      <c r="H12" s="55" t="s">
        <v>1829</v>
      </c>
      <c r="I12" s="55"/>
      <c r="J12" s="55" t="s">
        <v>1247</v>
      </c>
      <c r="K12" s="55" t="s">
        <v>1879</v>
      </c>
      <c r="L12" s="55"/>
      <c r="M12" s="59" t="s">
        <v>1881</v>
      </c>
    </row>
    <row r="13" spans="1:14" x14ac:dyDescent="0.2">
      <c r="A13" s="55">
        <v>751</v>
      </c>
      <c r="B13" s="55" t="b">
        <v>1</v>
      </c>
      <c r="C13" s="55"/>
      <c r="D13" s="55" t="s">
        <v>16</v>
      </c>
      <c r="E13" s="55" t="s">
        <v>192</v>
      </c>
      <c r="F13" s="55" t="s">
        <v>19</v>
      </c>
      <c r="G13" s="55" t="s">
        <v>402</v>
      </c>
      <c r="H13" s="55" t="s">
        <v>1829</v>
      </c>
      <c r="I13" s="55"/>
      <c r="J13" s="55" t="s">
        <v>1247</v>
      </c>
      <c r="K13" s="55" t="s">
        <v>1879</v>
      </c>
      <c r="L13" s="55"/>
      <c r="M13" s="59" t="s">
        <v>1881</v>
      </c>
    </row>
    <row r="14" spans="1:14" x14ac:dyDescent="0.2">
      <c r="A14" s="55">
        <v>752</v>
      </c>
      <c r="B14" s="55" t="b">
        <v>1</v>
      </c>
      <c r="C14" s="55"/>
      <c r="D14" s="55" t="s">
        <v>16</v>
      </c>
      <c r="E14" s="55" t="s">
        <v>192</v>
      </c>
      <c r="F14" s="55" t="s">
        <v>19</v>
      </c>
      <c r="G14" s="55" t="s">
        <v>403</v>
      </c>
      <c r="H14" s="55" t="s">
        <v>1829</v>
      </c>
      <c r="I14" s="55"/>
      <c r="J14" s="55" t="s">
        <v>1247</v>
      </c>
      <c r="K14" s="55" t="s">
        <v>1879</v>
      </c>
      <c r="L14" s="55"/>
      <c r="M14" s="59" t="s">
        <v>1881</v>
      </c>
    </row>
    <row r="15" spans="1:14" x14ac:dyDescent="0.2">
      <c r="A15" s="55">
        <v>753</v>
      </c>
      <c r="B15" s="55" t="b">
        <v>1</v>
      </c>
      <c r="C15" s="55"/>
      <c r="D15" s="55" t="s">
        <v>16</v>
      </c>
      <c r="E15" s="55" t="s">
        <v>192</v>
      </c>
      <c r="F15" s="55" t="s">
        <v>19</v>
      </c>
      <c r="G15" s="55" t="s">
        <v>404</v>
      </c>
      <c r="H15" s="55" t="s">
        <v>1829</v>
      </c>
      <c r="I15" s="55"/>
      <c r="J15" s="55" t="s">
        <v>1247</v>
      </c>
      <c r="K15" s="55" t="s">
        <v>1879</v>
      </c>
      <c r="L15" s="55"/>
      <c r="M15" s="59" t="s">
        <v>1881</v>
      </c>
    </row>
    <row r="16" spans="1:14" x14ac:dyDescent="0.2">
      <c r="A16" s="55">
        <v>754</v>
      </c>
      <c r="B16" s="55" t="b">
        <v>1</v>
      </c>
      <c r="C16" s="55"/>
      <c r="D16" s="55" t="s">
        <v>16</v>
      </c>
      <c r="E16" s="55" t="s">
        <v>192</v>
      </c>
      <c r="F16" s="55" t="s">
        <v>19</v>
      </c>
      <c r="G16" s="55" t="s">
        <v>405</v>
      </c>
      <c r="H16" s="55" t="s">
        <v>1829</v>
      </c>
      <c r="I16" s="55"/>
      <c r="J16" s="55" t="s">
        <v>1247</v>
      </c>
      <c r="K16" s="55" t="s">
        <v>1879</v>
      </c>
      <c r="L16" s="55"/>
      <c r="M16" s="59" t="s">
        <v>1881</v>
      </c>
    </row>
    <row r="17" spans="1:13" x14ac:dyDescent="0.2">
      <c r="A17" s="55">
        <v>755</v>
      </c>
      <c r="B17" s="55" t="b">
        <v>1</v>
      </c>
      <c r="C17" s="55"/>
      <c r="D17" s="55" t="s">
        <v>16</v>
      </c>
      <c r="E17" s="55" t="s">
        <v>192</v>
      </c>
      <c r="F17" s="55" t="s">
        <v>19</v>
      </c>
      <c r="G17" s="55" t="s">
        <v>406</v>
      </c>
      <c r="H17" s="55" t="s">
        <v>1829</v>
      </c>
      <c r="I17" s="55"/>
      <c r="J17" s="55" t="s">
        <v>1247</v>
      </c>
      <c r="K17" s="55" t="s">
        <v>1879</v>
      </c>
      <c r="L17" s="55"/>
      <c r="M17" s="59" t="s">
        <v>1881</v>
      </c>
    </row>
    <row r="18" spans="1:13" x14ac:dyDescent="0.2">
      <c r="A18" s="55">
        <v>756</v>
      </c>
      <c r="B18" s="55" t="b">
        <v>1</v>
      </c>
      <c r="C18" s="55"/>
      <c r="D18" s="55" t="s">
        <v>16</v>
      </c>
      <c r="E18" s="55" t="s">
        <v>192</v>
      </c>
      <c r="F18" s="55" t="s">
        <v>19</v>
      </c>
      <c r="G18" s="55" t="s">
        <v>407</v>
      </c>
      <c r="H18" s="55" t="s">
        <v>1829</v>
      </c>
      <c r="I18" s="55"/>
      <c r="J18" s="55" t="s">
        <v>1247</v>
      </c>
      <c r="K18" s="55" t="s">
        <v>1879</v>
      </c>
      <c r="L18" s="55"/>
      <c r="M18" s="59" t="s">
        <v>1881</v>
      </c>
    </row>
    <row r="19" spans="1:13" x14ac:dyDescent="0.2">
      <c r="A19" s="55">
        <v>757</v>
      </c>
      <c r="B19" s="55" t="b">
        <v>1</v>
      </c>
      <c r="C19" s="55"/>
      <c r="D19" s="55" t="s">
        <v>16</v>
      </c>
      <c r="E19" s="55" t="s">
        <v>192</v>
      </c>
      <c r="F19" s="55" t="s">
        <v>19</v>
      </c>
      <c r="G19" s="55" t="s">
        <v>408</v>
      </c>
      <c r="H19" s="55" t="s">
        <v>1829</v>
      </c>
      <c r="I19" s="55"/>
      <c r="J19" s="55" t="s">
        <v>1247</v>
      </c>
      <c r="K19" s="55" t="s">
        <v>1879</v>
      </c>
      <c r="L19" s="55"/>
      <c r="M19" s="59" t="s">
        <v>1881</v>
      </c>
    </row>
    <row r="20" spans="1:13" x14ac:dyDescent="0.2">
      <c r="A20" s="55">
        <v>758</v>
      </c>
      <c r="B20" s="55" t="b">
        <v>1</v>
      </c>
      <c r="C20" s="55"/>
      <c r="D20" s="55" t="s">
        <v>16</v>
      </c>
      <c r="E20" s="55" t="s">
        <v>192</v>
      </c>
      <c r="F20" s="55" t="s">
        <v>19</v>
      </c>
      <c r="G20" s="55" t="s">
        <v>409</v>
      </c>
      <c r="H20" s="55" t="s">
        <v>1829</v>
      </c>
      <c r="I20" s="55"/>
      <c r="J20" s="55" t="s">
        <v>1247</v>
      </c>
      <c r="K20" s="55" t="s">
        <v>1879</v>
      </c>
      <c r="L20" s="55"/>
      <c r="M20" s="59" t="s">
        <v>1881</v>
      </c>
    </row>
    <row r="21" spans="1:13" x14ac:dyDescent="0.2">
      <c r="A21" s="55">
        <v>759</v>
      </c>
      <c r="B21" s="55" t="b">
        <v>1</v>
      </c>
      <c r="C21" s="55"/>
      <c r="D21" s="55" t="s">
        <v>16</v>
      </c>
      <c r="E21" s="55" t="s">
        <v>192</v>
      </c>
      <c r="F21" s="55" t="s">
        <v>19</v>
      </c>
      <c r="G21" s="55" t="s">
        <v>410</v>
      </c>
      <c r="H21" s="55" t="s">
        <v>1829</v>
      </c>
      <c r="I21" s="55"/>
      <c r="J21" s="55" t="s">
        <v>1247</v>
      </c>
      <c r="K21" s="55" t="s">
        <v>1879</v>
      </c>
      <c r="L21" s="55"/>
      <c r="M21" s="59" t="s">
        <v>1881</v>
      </c>
    </row>
    <row r="22" spans="1:13" x14ac:dyDescent="0.2">
      <c r="A22" s="55">
        <v>760</v>
      </c>
      <c r="B22" s="55" t="b">
        <v>1</v>
      </c>
      <c r="C22" s="55"/>
      <c r="D22" s="55" t="s">
        <v>16</v>
      </c>
      <c r="E22" s="55" t="s">
        <v>192</v>
      </c>
      <c r="F22" s="55" t="s">
        <v>19</v>
      </c>
      <c r="G22" s="55" t="s">
        <v>411</v>
      </c>
      <c r="H22" s="55" t="s">
        <v>1829</v>
      </c>
      <c r="I22" s="55"/>
      <c r="J22" s="55" t="s">
        <v>1247</v>
      </c>
      <c r="K22" s="55" t="s">
        <v>1879</v>
      </c>
      <c r="L22" s="55"/>
      <c r="M22" s="59" t="s">
        <v>1881</v>
      </c>
    </row>
    <row r="23" spans="1:13" x14ac:dyDescent="0.2">
      <c r="A23" s="55">
        <v>761</v>
      </c>
      <c r="B23" s="55" t="b">
        <v>1</v>
      </c>
      <c r="C23" s="55"/>
      <c r="D23" s="55" t="s">
        <v>16</v>
      </c>
      <c r="E23" s="55" t="s">
        <v>192</v>
      </c>
      <c r="F23" s="55" t="s">
        <v>19</v>
      </c>
      <c r="G23" s="55" t="s">
        <v>412</v>
      </c>
      <c r="H23" s="55" t="s">
        <v>1829</v>
      </c>
      <c r="I23" s="55"/>
      <c r="J23" s="55" t="s">
        <v>1247</v>
      </c>
      <c r="K23" s="55" t="s">
        <v>1879</v>
      </c>
      <c r="L23" s="55"/>
      <c r="M23" s="59" t="s">
        <v>1881</v>
      </c>
    </row>
    <row r="24" spans="1:13" x14ac:dyDescent="0.2">
      <c r="A24" s="55">
        <v>762</v>
      </c>
      <c r="B24" s="55" t="b">
        <v>1</v>
      </c>
      <c r="C24" s="55"/>
      <c r="D24" s="55" t="s">
        <v>16</v>
      </c>
      <c r="E24" s="55" t="s">
        <v>192</v>
      </c>
      <c r="F24" s="55" t="s">
        <v>19</v>
      </c>
      <c r="G24" s="55" t="s">
        <v>413</v>
      </c>
      <c r="H24" s="55" t="s">
        <v>1829</v>
      </c>
      <c r="I24" s="55"/>
      <c r="J24" s="55" t="s">
        <v>1247</v>
      </c>
      <c r="K24" s="55" t="s">
        <v>1879</v>
      </c>
      <c r="L24" s="55"/>
      <c r="M24" s="59" t="s">
        <v>1881</v>
      </c>
    </row>
    <row r="25" spans="1:13" x14ac:dyDescent="0.2">
      <c r="A25" s="55">
        <v>763</v>
      </c>
      <c r="B25" s="55" t="b">
        <v>1</v>
      </c>
      <c r="C25" s="55"/>
      <c r="D25" s="55" t="s">
        <v>16</v>
      </c>
      <c r="E25" s="55" t="s">
        <v>192</v>
      </c>
      <c r="F25" s="55" t="s">
        <v>19</v>
      </c>
      <c r="G25" s="55" t="s">
        <v>414</v>
      </c>
      <c r="H25" s="55" t="s">
        <v>1829</v>
      </c>
      <c r="I25" s="55"/>
      <c r="J25" s="55" t="s">
        <v>1247</v>
      </c>
      <c r="K25" s="55" t="s">
        <v>1879</v>
      </c>
      <c r="L25" s="55"/>
      <c r="M25" s="59" t="s">
        <v>1881</v>
      </c>
    </row>
    <row r="26" spans="1:13" x14ac:dyDescent="0.2">
      <c r="A26" s="55">
        <v>764</v>
      </c>
      <c r="B26" s="55" t="b">
        <v>1</v>
      </c>
      <c r="C26" s="55"/>
      <c r="D26" s="55" t="s">
        <v>16</v>
      </c>
      <c r="E26" s="55" t="s">
        <v>192</v>
      </c>
      <c r="F26" s="55" t="s">
        <v>19</v>
      </c>
      <c r="G26" s="55" t="s">
        <v>415</v>
      </c>
      <c r="H26" s="55" t="s">
        <v>1829</v>
      </c>
      <c r="I26" s="55"/>
      <c r="J26" s="55" t="s">
        <v>1247</v>
      </c>
      <c r="K26" s="55" t="s">
        <v>1879</v>
      </c>
      <c r="L26" s="55"/>
      <c r="M26" s="59" t="s">
        <v>1881</v>
      </c>
    </row>
    <row r="27" spans="1:13" x14ac:dyDescent="0.2">
      <c r="A27" s="55">
        <v>765</v>
      </c>
      <c r="B27" s="55" t="b">
        <v>1</v>
      </c>
      <c r="C27" s="55"/>
      <c r="D27" s="55" t="s">
        <v>16</v>
      </c>
      <c r="E27" s="55" t="s">
        <v>192</v>
      </c>
      <c r="F27" s="55" t="s">
        <v>19</v>
      </c>
      <c r="G27" s="55" t="s">
        <v>416</v>
      </c>
      <c r="H27" s="55" t="s">
        <v>1829</v>
      </c>
      <c r="I27" s="55"/>
      <c r="J27" s="55" t="s">
        <v>1247</v>
      </c>
      <c r="K27" s="55" t="s">
        <v>1879</v>
      </c>
      <c r="L27" s="55"/>
      <c r="M27" s="59" t="s">
        <v>1881</v>
      </c>
    </row>
    <row r="28" spans="1:13" x14ac:dyDescent="0.2">
      <c r="A28" s="55">
        <v>766</v>
      </c>
      <c r="B28" s="55" t="b">
        <v>1</v>
      </c>
      <c r="C28" s="55"/>
      <c r="D28" s="55" t="s">
        <v>16</v>
      </c>
      <c r="E28" s="55" t="s">
        <v>192</v>
      </c>
      <c r="F28" s="55" t="s">
        <v>19</v>
      </c>
      <c r="G28" s="55" t="s">
        <v>417</v>
      </c>
      <c r="H28" s="55" t="s">
        <v>1829</v>
      </c>
      <c r="I28" s="55"/>
      <c r="J28" s="55" t="s">
        <v>1247</v>
      </c>
      <c r="K28" s="55" t="s">
        <v>1879</v>
      </c>
      <c r="L28" s="55"/>
      <c r="M28" s="59" t="s">
        <v>1881</v>
      </c>
    </row>
    <row r="29" spans="1:13" x14ac:dyDescent="0.2">
      <c r="A29" s="55">
        <v>767</v>
      </c>
      <c r="B29" s="55" t="b">
        <v>1</v>
      </c>
      <c r="C29" s="55"/>
      <c r="D29" s="55" t="s">
        <v>16</v>
      </c>
      <c r="E29" s="55" t="s">
        <v>192</v>
      </c>
      <c r="F29" s="55" t="s">
        <v>19</v>
      </c>
      <c r="G29" s="55" t="s">
        <v>418</v>
      </c>
      <c r="H29" s="55" t="s">
        <v>1829</v>
      </c>
      <c r="I29" s="55"/>
      <c r="J29" s="55" t="s">
        <v>1247</v>
      </c>
      <c r="K29" s="55" t="s">
        <v>1879</v>
      </c>
      <c r="L29" s="55"/>
      <c r="M29" s="59" t="s">
        <v>1881</v>
      </c>
    </row>
    <row r="30" spans="1:13" x14ac:dyDescent="0.2">
      <c r="A30" s="55">
        <v>768</v>
      </c>
      <c r="B30" s="55" t="b">
        <v>1</v>
      </c>
      <c r="C30" s="55"/>
      <c r="D30" s="55" t="s">
        <v>16</v>
      </c>
      <c r="E30" s="55" t="s">
        <v>192</v>
      </c>
      <c r="F30" s="55" t="s">
        <v>19</v>
      </c>
      <c r="G30" s="55" t="s">
        <v>419</v>
      </c>
      <c r="H30" s="55" t="s">
        <v>1829</v>
      </c>
      <c r="I30" s="55"/>
      <c r="J30" s="55" t="s">
        <v>1247</v>
      </c>
      <c r="K30" s="55" t="s">
        <v>1879</v>
      </c>
      <c r="L30" s="55"/>
      <c r="M30" s="59" t="s">
        <v>1881</v>
      </c>
    </row>
    <row r="31" spans="1:13" x14ac:dyDescent="0.2">
      <c r="A31" s="55">
        <v>769</v>
      </c>
      <c r="B31" s="55" t="b">
        <v>1</v>
      </c>
      <c r="C31" s="55"/>
      <c r="D31" s="55" t="s">
        <v>16</v>
      </c>
      <c r="E31" s="55" t="s">
        <v>192</v>
      </c>
      <c r="F31" s="55" t="s">
        <v>19</v>
      </c>
      <c r="G31" s="55" t="s">
        <v>420</v>
      </c>
      <c r="H31" s="55" t="s">
        <v>1829</v>
      </c>
      <c r="I31" s="55"/>
      <c r="J31" s="55" t="s">
        <v>1247</v>
      </c>
      <c r="K31" s="55" t="s">
        <v>1879</v>
      </c>
      <c r="L31" s="55"/>
      <c r="M31" s="59" t="s">
        <v>1881</v>
      </c>
    </row>
    <row r="32" spans="1:13" x14ac:dyDescent="0.2">
      <c r="A32" s="55">
        <v>770</v>
      </c>
      <c r="B32" s="55" t="b">
        <v>1</v>
      </c>
      <c r="C32" s="55"/>
      <c r="D32" s="55" t="s">
        <v>16</v>
      </c>
      <c r="E32" s="55" t="s">
        <v>192</v>
      </c>
      <c r="F32" s="55" t="s">
        <v>19</v>
      </c>
      <c r="G32" s="55" t="s">
        <v>421</v>
      </c>
      <c r="H32" s="55" t="s">
        <v>1829</v>
      </c>
      <c r="I32" s="55"/>
      <c r="J32" s="55" t="s">
        <v>1247</v>
      </c>
      <c r="K32" s="55" t="s">
        <v>1879</v>
      </c>
      <c r="L32" s="55"/>
      <c r="M32" s="59" t="s">
        <v>1881</v>
      </c>
    </row>
    <row r="33" spans="1:13" x14ac:dyDescent="0.2">
      <c r="A33" s="55">
        <v>771</v>
      </c>
      <c r="B33" s="55" t="b">
        <v>1</v>
      </c>
      <c r="C33" s="55"/>
      <c r="D33" s="55" t="s">
        <v>16</v>
      </c>
      <c r="E33" s="55" t="s">
        <v>192</v>
      </c>
      <c r="F33" s="55" t="s">
        <v>19</v>
      </c>
      <c r="G33" s="55" t="s">
        <v>422</v>
      </c>
      <c r="H33" s="55" t="s">
        <v>1829</v>
      </c>
      <c r="I33" s="55"/>
      <c r="J33" s="55" t="s">
        <v>1247</v>
      </c>
      <c r="K33" s="55" t="s">
        <v>1879</v>
      </c>
      <c r="L33" s="55"/>
      <c r="M33" s="59" t="s">
        <v>1881</v>
      </c>
    </row>
    <row r="34" spans="1:13" x14ac:dyDescent="0.2">
      <c r="A34" s="55">
        <v>772</v>
      </c>
      <c r="B34" s="55" t="b">
        <v>1</v>
      </c>
      <c r="C34" s="55"/>
      <c r="D34" s="55" t="s">
        <v>16</v>
      </c>
      <c r="E34" s="55" t="s">
        <v>192</v>
      </c>
      <c r="F34" s="55" t="s">
        <v>19</v>
      </c>
      <c r="G34" s="55" t="s">
        <v>423</v>
      </c>
      <c r="H34" s="55" t="s">
        <v>1829</v>
      </c>
      <c r="I34" s="55"/>
      <c r="J34" s="55" t="s">
        <v>1247</v>
      </c>
      <c r="K34" s="55" t="s">
        <v>1879</v>
      </c>
      <c r="L34" s="55"/>
      <c r="M34" s="59" t="s">
        <v>1881</v>
      </c>
    </row>
    <row r="35" spans="1:13" x14ac:dyDescent="0.2">
      <c r="A35" s="55">
        <v>773</v>
      </c>
      <c r="B35" s="55" t="b">
        <v>1</v>
      </c>
      <c r="C35" s="55"/>
      <c r="D35" s="55" t="s">
        <v>16</v>
      </c>
      <c r="E35" s="55" t="s">
        <v>192</v>
      </c>
      <c r="F35" s="55" t="s">
        <v>19</v>
      </c>
      <c r="G35" s="55" t="s">
        <v>385</v>
      </c>
      <c r="H35" s="55" t="s">
        <v>1829</v>
      </c>
      <c r="I35" s="55"/>
      <c r="J35" s="55" t="s">
        <v>1247</v>
      </c>
      <c r="K35" s="55" t="s">
        <v>1879</v>
      </c>
      <c r="L35" s="55"/>
      <c r="M35" s="59" t="s">
        <v>1881</v>
      </c>
    </row>
    <row r="36" spans="1:13" x14ac:dyDescent="0.2">
      <c r="A36" s="55">
        <v>774</v>
      </c>
      <c r="B36" s="55" t="b">
        <v>1</v>
      </c>
      <c r="C36" s="55"/>
      <c r="D36" s="55" t="s">
        <v>16</v>
      </c>
      <c r="E36" s="55" t="s">
        <v>192</v>
      </c>
      <c r="F36" s="55" t="s">
        <v>19</v>
      </c>
      <c r="G36" s="55" t="s">
        <v>424</v>
      </c>
      <c r="H36" s="55" t="s">
        <v>1829</v>
      </c>
      <c r="I36" s="55"/>
      <c r="J36" s="55" t="s">
        <v>1247</v>
      </c>
      <c r="K36" s="55" t="s">
        <v>1879</v>
      </c>
      <c r="L36" s="55"/>
      <c r="M36" s="59" t="s">
        <v>1881</v>
      </c>
    </row>
    <row r="37" spans="1:13" x14ac:dyDescent="0.2">
      <c r="A37" s="55">
        <v>775</v>
      </c>
      <c r="B37" s="55" t="b">
        <v>1</v>
      </c>
      <c r="C37" s="55"/>
      <c r="D37" s="55" t="s">
        <v>16</v>
      </c>
      <c r="E37" s="55" t="s">
        <v>192</v>
      </c>
      <c r="F37" s="55" t="s">
        <v>19</v>
      </c>
      <c r="G37" s="55" t="s">
        <v>425</v>
      </c>
      <c r="H37" s="55" t="s">
        <v>1829</v>
      </c>
      <c r="I37" s="55"/>
      <c r="J37" s="55" t="s">
        <v>1247</v>
      </c>
      <c r="K37" s="55" t="s">
        <v>1879</v>
      </c>
      <c r="L37" s="55"/>
      <c r="M37" s="59" t="s">
        <v>1881</v>
      </c>
    </row>
    <row r="38" spans="1:13" x14ac:dyDescent="0.2">
      <c r="A38" s="55">
        <v>776</v>
      </c>
      <c r="B38" s="55" t="b">
        <v>1</v>
      </c>
      <c r="C38" s="55"/>
      <c r="D38" s="55" t="s">
        <v>16</v>
      </c>
      <c r="E38" s="55" t="s">
        <v>192</v>
      </c>
      <c r="F38" s="55" t="s">
        <v>19</v>
      </c>
      <c r="G38" s="55" t="s">
        <v>426</v>
      </c>
      <c r="H38" s="55" t="s">
        <v>1829</v>
      </c>
      <c r="I38" s="55"/>
      <c r="J38" s="55" t="s">
        <v>1247</v>
      </c>
      <c r="K38" s="55" t="s">
        <v>1879</v>
      </c>
      <c r="L38" s="55"/>
      <c r="M38" s="59" t="s">
        <v>1881</v>
      </c>
    </row>
    <row r="39" spans="1:13" x14ac:dyDescent="0.2">
      <c r="A39" s="55">
        <v>777</v>
      </c>
      <c r="B39" s="55" t="b">
        <v>1</v>
      </c>
      <c r="C39" s="55"/>
      <c r="D39" s="55" t="s">
        <v>16</v>
      </c>
      <c r="E39" s="55" t="s">
        <v>192</v>
      </c>
      <c r="F39" s="55" t="s">
        <v>19</v>
      </c>
      <c r="G39" s="55" t="s">
        <v>427</v>
      </c>
      <c r="H39" s="55" t="s">
        <v>1829</v>
      </c>
      <c r="I39" s="55"/>
      <c r="J39" s="55" t="s">
        <v>1247</v>
      </c>
      <c r="K39" s="55" t="s">
        <v>1879</v>
      </c>
      <c r="L39" s="55"/>
      <c r="M39" s="59" t="s">
        <v>1881</v>
      </c>
    </row>
    <row r="40" spans="1:13" x14ac:dyDescent="0.2">
      <c r="A40" s="55">
        <v>778</v>
      </c>
      <c r="B40" s="55" t="b">
        <v>1</v>
      </c>
      <c r="C40" s="55"/>
      <c r="D40" s="55" t="s">
        <v>16</v>
      </c>
      <c r="E40" s="55" t="s">
        <v>192</v>
      </c>
      <c r="F40" s="55" t="s">
        <v>19</v>
      </c>
      <c r="G40" s="55" t="s">
        <v>428</v>
      </c>
      <c r="H40" s="55" t="s">
        <v>1829</v>
      </c>
      <c r="I40" s="55"/>
      <c r="J40" s="55" t="s">
        <v>1247</v>
      </c>
      <c r="K40" s="55" t="s">
        <v>1879</v>
      </c>
      <c r="L40" s="55"/>
      <c r="M40" s="59" t="s">
        <v>1881</v>
      </c>
    </row>
    <row r="41" spans="1:13" x14ac:dyDescent="0.2">
      <c r="A41" s="55">
        <v>779</v>
      </c>
      <c r="B41" s="55" t="b">
        <v>1</v>
      </c>
      <c r="C41" s="55"/>
      <c r="D41" s="55" t="s">
        <v>16</v>
      </c>
      <c r="E41" s="55" t="s">
        <v>192</v>
      </c>
      <c r="F41" s="55" t="s">
        <v>19</v>
      </c>
      <c r="G41" s="55" t="s">
        <v>429</v>
      </c>
      <c r="H41" s="55" t="s">
        <v>1829</v>
      </c>
      <c r="I41" s="55"/>
      <c r="J41" s="55" t="s">
        <v>1247</v>
      </c>
      <c r="K41" s="55" t="s">
        <v>1879</v>
      </c>
      <c r="L41" s="55"/>
      <c r="M41" s="59" t="s">
        <v>1881</v>
      </c>
    </row>
    <row r="42" spans="1:13" x14ac:dyDescent="0.2">
      <c r="A42" s="55">
        <v>780</v>
      </c>
      <c r="B42" s="55" t="b">
        <v>1</v>
      </c>
      <c r="C42" s="55"/>
      <c r="D42" s="55" t="s">
        <v>16</v>
      </c>
      <c r="E42" s="55" t="s">
        <v>192</v>
      </c>
      <c r="F42" s="55" t="s">
        <v>19</v>
      </c>
      <c r="G42" s="55" t="s">
        <v>430</v>
      </c>
      <c r="H42" s="55" t="s">
        <v>1829</v>
      </c>
      <c r="I42" s="55"/>
      <c r="J42" s="55" t="s">
        <v>1247</v>
      </c>
      <c r="K42" s="55" t="s">
        <v>1879</v>
      </c>
      <c r="L42" s="55"/>
      <c r="M42" s="59" t="s">
        <v>1881</v>
      </c>
    </row>
    <row r="43" spans="1:13" x14ac:dyDescent="0.2">
      <c r="A43" s="55">
        <v>781</v>
      </c>
      <c r="B43" s="55" t="b">
        <v>1</v>
      </c>
      <c r="C43" s="55"/>
      <c r="D43" s="55" t="s">
        <v>16</v>
      </c>
      <c r="E43" s="55" t="s">
        <v>192</v>
      </c>
      <c r="F43" s="55" t="s">
        <v>19</v>
      </c>
      <c r="G43" s="55" t="s">
        <v>431</v>
      </c>
      <c r="H43" s="55" t="s">
        <v>1829</v>
      </c>
      <c r="I43" s="55"/>
      <c r="J43" s="55" t="s">
        <v>1247</v>
      </c>
      <c r="K43" s="55" t="s">
        <v>1879</v>
      </c>
      <c r="L43" s="55"/>
      <c r="M43" s="59" t="s">
        <v>1881</v>
      </c>
    </row>
    <row r="44" spans="1:13" x14ac:dyDescent="0.2">
      <c r="A44" s="55">
        <v>782</v>
      </c>
      <c r="B44" s="55" t="b">
        <v>1</v>
      </c>
      <c r="C44" s="55"/>
      <c r="D44" s="55" t="s">
        <v>16</v>
      </c>
      <c r="E44" s="55" t="s">
        <v>192</v>
      </c>
      <c r="F44" s="55" t="s">
        <v>19</v>
      </c>
      <c r="G44" s="55" t="s">
        <v>432</v>
      </c>
      <c r="H44" s="55" t="s">
        <v>1829</v>
      </c>
      <c r="I44" s="55"/>
      <c r="J44" s="55" t="s">
        <v>1247</v>
      </c>
      <c r="K44" s="55" t="s">
        <v>1879</v>
      </c>
      <c r="L44" s="55"/>
      <c r="M44" s="59" t="s">
        <v>1881</v>
      </c>
    </row>
    <row r="45" spans="1:13" x14ac:dyDescent="0.2">
      <c r="A45" s="55">
        <v>783</v>
      </c>
      <c r="B45" s="55" t="b">
        <v>1</v>
      </c>
      <c r="C45" s="55"/>
      <c r="D45" s="55" t="s">
        <v>16</v>
      </c>
      <c r="E45" s="55" t="s">
        <v>192</v>
      </c>
      <c r="F45" s="55" t="s">
        <v>19</v>
      </c>
      <c r="G45" s="55" t="s">
        <v>1824</v>
      </c>
      <c r="H45" s="55" t="s">
        <v>1829</v>
      </c>
      <c r="I45" s="55"/>
      <c r="J45" s="55" t="s">
        <v>1247</v>
      </c>
      <c r="K45" s="55" t="s">
        <v>1879</v>
      </c>
      <c r="L45" s="55"/>
      <c r="M45" s="59" t="s">
        <v>1881</v>
      </c>
    </row>
    <row r="46" spans="1:13" x14ac:dyDescent="0.2">
      <c r="A46" s="55">
        <v>784</v>
      </c>
      <c r="B46" s="55" t="b">
        <v>1</v>
      </c>
      <c r="C46" s="55"/>
      <c r="D46" s="55" t="s">
        <v>16</v>
      </c>
      <c r="E46" s="55" t="s">
        <v>192</v>
      </c>
      <c r="F46" s="55" t="s">
        <v>19</v>
      </c>
      <c r="G46" s="55" t="s">
        <v>1825</v>
      </c>
      <c r="H46" s="55" t="s">
        <v>1829</v>
      </c>
      <c r="I46" s="55"/>
      <c r="J46" s="55" t="s">
        <v>1247</v>
      </c>
      <c r="K46" s="55" t="s">
        <v>1879</v>
      </c>
      <c r="L46" s="55"/>
      <c r="M46" s="59" t="s">
        <v>1881</v>
      </c>
    </row>
    <row r="47" spans="1:13" x14ac:dyDescent="0.2">
      <c r="A47" s="55">
        <v>785</v>
      </c>
      <c r="B47" s="55" t="b">
        <v>1</v>
      </c>
      <c r="C47" s="55"/>
      <c r="D47" s="55" t="s">
        <v>16</v>
      </c>
      <c r="E47" s="55" t="s">
        <v>192</v>
      </c>
      <c r="F47" s="55" t="s">
        <v>19</v>
      </c>
      <c r="G47" s="55" t="s">
        <v>1224</v>
      </c>
      <c r="H47" s="55" t="s">
        <v>1829</v>
      </c>
      <c r="I47" s="55"/>
      <c r="J47" s="55" t="s">
        <v>1247</v>
      </c>
      <c r="K47" s="55" t="s">
        <v>1879</v>
      </c>
      <c r="L47" s="55"/>
      <c r="M47" s="59" t="s">
        <v>1881</v>
      </c>
    </row>
    <row r="48" spans="1:13" x14ac:dyDescent="0.2">
      <c r="A48" s="55">
        <v>786</v>
      </c>
      <c r="B48" s="55" t="b">
        <v>1</v>
      </c>
      <c r="C48" s="55"/>
      <c r="D48" s="55" t="s">
        <v>16</v>
      </c>
      <c r="E48" s="55" t="s">
        <v>192</v>
      </c>
      <c r="F48" s="55" t="s">
        <v>19</v>
      </c>
      <c r="G48" s="60" t="s">
        <v>433</v>
      </c>
      <c r="H48" s="55" t="s">
        <v>1829</v>
      </c>
      <c r="I48" s="55"/>
      <c r="J48" s="55" t="s">
        <v>1247</v>
      </c>
      <c r="K48" s="55" t="s">
        <v>1879</v>
      </c>
      <c r="L48" s="55"/>
      <c r="M48" s="59" t="s">
        <v>1881</v>
      </c>
    </row>
    <row r="49" spans="1:13" x14ac:dyDescent="0.2">
      <c r="A49" s="55">
        <v>787</v>
      </c>
      <c r="B49" s="55" t="b">
        <v>1</v>
      </c>
      <c r="C49" s="55"/>
      <c r="D49" s="55" t="s">
        <v>16</v>
      </c>
      <c r="E49" s="55" t="s">
        <v>192</v>
      </c>
      <c r="F49" s="55" t="s">
        <v>19</v>
      </c>
      <c r="G49" s="55" t="s">
        <v>1225</v>
      </c>
      <c r="H49" s="55" t="s">
        <v>1829</v>
      </c>
      <c r="I49" s="55"/>
      <c r="J49" s="55" t="s">
        <v>1247</v>
      </c>
      <c r="K49" s="55" t="s">
        <v>1879</v>
      </c>
      <c r="L49" s="55"/>
      <c r="M49" s="59" t="s">
        <v>1881</v>
      </c>
    </row>
    <row r="50" spans="1:13" x14ac:dyDescent="0.2">
      <c r="A50" s="55">
        <v>788</v>
      </c>
      <c r="B50" s="55" t="b">
        <v>1</v>
      </c>
      <c r="C50" s="55"/>
      <c r="D50" s="55" t="s">
        <v>16</v>
      </c>
      <c r="E50" s="55" t="s">
        <v>192</v>
      </c>
      <c r="F50" s="55" t="s">
        <v>19</v>
      </c>
      <c r="G50" s="55" t="s">
        <v>1226</v>
      </c>
      <c r="H50" s="55" t="s">
        <v>1829</v>
      </c>
      <c r="I50" s="55"/>
      <c r="J50" s="55" t="s">
        <v>1247</v>
      </c>
      <c r="K50" s="55" t="s">
        <v>1879</v>
      </c>
      <c r="L50" s="55"/>
      <c r="M50" s="59" t="s">
        <v>1881</v>
      </c>
    </row>
    <row r="51" spans="1:13" x14ac:dyDescent="0.2">
      <c r="A51" s="55">
        <v>789</v>
      </c>
      <c r="B51" s="55" t="b">
        <v>1</v>
      </c>
      <c r="C51" s="55"/>
      <c r="D51" s="55" t="s">
        <v>16</v>
      </c>
      <c r="E51" s="55" t="s">
        <v>192</v>
      </c>
      <c r="F51" s="55" t="s">
        <v>19</v>
      </c>
      <c r="G51" s="55" t="s">
        <v>1227</v>
      </c>
      <c r="H51" s="55" t="s">
        <v>1829</v>
      </c>
      <c r="I51" s="55"/>
      <c r="J51" s="55" t="s">
        <v>1247</v>
      </c>
      <c r="K51" s="55" t="s">
        <v>1879</v>
      </c>
      <c r="L51" s="55"/>
      <c r="M51" s="59" t="s">
        <v>1881</v>
      </c>
    </row>
    <row r="52" spans="1:13" x14ac:dyDescent="0.2">
      <c r="A52" s="55">
        <v>790</v>
      </c>
      <c r="B52" s="55" t="b">
        <v>1</v>
      </c>
      <c r="C52" s="55"/>
      <c r="D52" s="55" t="s">
        <v>16</v>
      </c>
      <c r="E52" s="55" t="s">
        <v>192</v>
      </c>
      <c r="F52" s="55" t="s">
        <v>19</v>
      </c>
      <c r="G52" s="55" t="s">
        <v>1228</v>
      </c>
      <c r="H52" s="55" t="s">
        <v>1829</v>
      </c>
      <c r="I52" s="55"/>
      <c r="J52" s="55" t="s">
        <v>1247</v>
      </c>
      <c r="K52" s="55" t="s">
        <v>1879</v>
      </c>
      <c r="L52" s="55"/>
      <c r="M52" s="59" t="s">
        <v>1881</v>
      </c>
    </row>
    <row r="53" spans="1:13" x14ac:dyDescent="0.2">
      <c r="A53" s="55">
        <v>791</v>
      </c>
      <c r="B53" s="55" t="b">
        <v>1</v>
      </c>
      <c r="C53" s="55"/>
      <c r="D53" s="55" t="s">
        <v>16</v>
      </c>
      <c r="E53" s="55" t="s">
        <v>192</v>
      </c>
      <c r="F53" s="55" t="s">
        <v>19</v>
      </c>
      <c r="G53" s="55" t="s">
        <v>1229</v>
      </c>
      <c r="H53" s="55" t="s">
        <v>1829</v>
      </c>
      <c r="I53" s="55"/>
      <c r="J53" s="55" t="s">
        <v>1247</v>
      </c>
      <c r="K53" s="55" t="s">
        <v>1879</v>
      </c>
      <c r="L53" s="55"/>
      <c r="M53" s="59" t="s">
        <v>1881</v>
      </c>
    </row>
    <row r="54" spans="1:13" x14ac:dyDescent="0.2">
      <c r="A54" s="55">
        <v>792</v>
      </c>
      <c r="B54" s="55" t="b">
        <v>1</v>
      </c>
      <c r="C54" s="55"/>
      <c r="D54" s="55" t="s">
        <v>16</v>
      </c>
      <c r="E54" s="55" t="s">
        <v>192</v>
      </c>
      <c r="F54" s="55" t="s">
        <v>19</v>
      </c>
      <c r="G54" s="55" t="s">
        <v>1230</v>
      </c>
      <c r="H54" s="55" t="s">
        <v>1829</v>
      </c>
      <c r="I54" s="55"/>
      <c r="J54" s="55" t="s">
        <v>1247</v>
      </c>
      <c r="K54" s="55" t="s">
        <v>1879</v>
      </c>
      <c r="L54" s="55"/>
      <c r="M54" s="59" t="s">
        <v>1881</v>
      </c>
    </row>
    <row r="55" spans="1:13" x14ac:dyDescent="0.2">
      <c r="A55" s="55">
        <v>793</v>
      </c>
      <c r="B55" s="55" t="b">
        <v>1</v>
      </c>
      <c r="C55" s="55"/>
      <c r="D55" s="55" t="s">
        <v>16</v>
      </c>
      <c r="E55" s="55" t="s">
        <v>192</v>
      </c>
      <c r="F55" s="55" t="s">
        <v>19</v>
      </c>
      <c r="G55" s="55" t="s">
        <v>434</v>
      </c>
      <c r="H55" s="55" t="s">
        <v>1829</v>
      </c>
      <c r="I55" s="55"/>
      <c r="J55" s="55" t="s">
        <v>1247</v>
      </c>
      <c r="K55" s="55" t="s">
        <v>1879</v>
      </c>
      <c r="L55" s="55"/>
      <c r="M55" s="59" t="s">
        <v>1881</v>
      </c>
    </row>
    <row r="56" spans="1:13" x14ac:dyDescent="0.2">
      <c r="A56" s="55">
        <v>794</v>
      </c>
      <c r="B56" s="55" t="b">
        <v>1</v>
      </c>
      <c r="C56" s="55"/>
      <c r="D56" s="55" t="s">
        <v>16</v>
      </c>
      <c r="E56" s="55" t="s">
        <v>192</v>
      </c>
      <c r="F56" s="55" t="s">
        <v>19</v>
      </c>
      <c r="G56" s="55" t="s">
        <v>435</v>
      </c>
      <c r="H56" s="55" t="s">
        <v>1829</v>
      </c>
      <c r="I56" s="55"/>
      <c r="J56" s="55" t="s">
        <v>1247</v>
      </c>
      <c r="K56" s="55" t="s">
        <v>1879</v>
      </c>
      <c r="L56" s="55"/>
      <c r="M56" s="59" t="s">
        <v>1881</v>
      </c>
    </row>
    <row r="57" spans="1:13" x14ac:dyDescent="0.2">
      <c r="A57" s="55">
        <v>795</v>
      </c>
      <c r="B57" s="55" t="b">
        <v>1</v>
      </c>
      <c r="C57" s="55"/>
      <c r="D57" s="55" t="s">
        <v>16</v>
      </c>
      <c r="E57" s="55" t="s">
        <v>192</v>
      </c>
      <c r="F57" s="55" t="s">
        <v>19</v>
      </c>
      <c r="G57" s="55" t="s">
        <v>436</v>
      </c>
      <c r="H57" s="55" t="s">
        <v>1829</v>
      </c>
      <c r="I57" s="55"/>
      <c r="J57" s="55" t="s">
        <v>1247</v>
      </c>
      <c r="K57" s="55" t="s">
        <v>1879</v>
      </c>
      <c r="L57" s="55"/>
      <c r="M57" s="59" t="s">
        <v>1881</v>
      </c>
    </row>
    <row r="58" spans="1:13" x14ac:dyDescent="0.2">
      <c r="A58" s="55">
        <v>796</v>
      </c>
      <c r="B58" s="55" t="b">
        <v>1</v>
      </c>
      <c r="C58" s="55"/>
      <c r="D58" s="55" t="s">
        <v>16</v>
      </c>
      <c r="E58" s="55" t="s">
        <v>192</v>
      </c>
      <c r="F58" s="55" t="s">
        <v>19</v>
      </c>
      <c r="G58" s="55" t="s">
        <v>437</v>
      </c>
      <c r="H58" s="55" t="s">
        <v>1829</v>
      </c>
      <c r="I58" s="55"/>
      <c r="J58" s="55" t="s">
        <v>1247</v>
      </c>
      <c r="K58" s="55" t="s">
        <v>1879</v>
      </c>
      <c r="L58" s="55"/>
      <c r="M58" s="59" t="s">
        <v>1881</v>
      </c>
    </row>
    <row r="59" spans="1:13" x14ac:dyDescent="0.2">
      <c r="A59" s="55">
        <v>797</v>
      </c>
      <c r="B59" s="55" t="b">
        <v>1</v>
      </c>
      <c r="C59" s="55"/>
      <c r="D59" s="55" t="s">
        <v>16</v>
      </c>
      <c r="E59" s="55" t="s">
        <v>192</v>
      </c>
      <c r="F59" s="55" t="s">
        <v>19</v>
      </c>
      <c r="G59" s="55" t="s">
        <v>438</v>
      </c>
      <c r="H59" s="55" t="s">
        <v>1829</v>
      </c>
      <c r="I59" s="55"/>
      <c r="J59" s="55" t="s">
        <v>1247</v>
      </c>
      <c r="K59" s="55" t="s">
        <v>1879</v>
      </c>
      <c r="L59" s="55"/>
      <c r="M59" s="59" t="s">
        <v>1881</v>
      </c>
    </row>
    <row r="60" spans="1:13" x14ac:dyDescent="0.2">
      <c r="A60" s="55">
        <v>798</v>
      </c>
      <c r="B60" s="55" t="b">
        <v>1</v>
      </c>
      <c r="C60" s="55"/>
      <c r="D60" s="55" t="s">
        <v>16</v>
      </c>
      <c r="E60" s="55" t="s">
        <v>192</v>
      </c>
      <c r="F60" s="55" t="s">
        <v>19</v>
      </c>
      <c r="G60" s="55" t="s">
        <v>439</v>
      </c>
      <c r="H60" s="55" t="s">
        <v>1829</v>
      </c>
      <c r="I60" s="55"/>
      <c r="J60" s="55" t="s">
        <v>1247</v>
      </c>
      <c r="K60" s="55" t="s">
        <v>1879</v>
      </c>
      <c r="L60" s="55"/>
      <c r="M60" s="59" t="s">
        <v>1881</v>
      </c>
    </row>
    <row r="61" spans="1:13" x14ac:dyDescent="0.2">
      <c r="A61" s="55">
        <v>799</v>
      </c>
      <c r="B61" s="55" t="b">
        <v>1</v>
      </c>
      <c r="C61" s="55"/>
      <c r="D61" s="55" t="s">
        <v>16</v>
      </c>
      <c r="E61" s="55" t="s">
        <v>192</v>
      </c>
      <c r="F61" s="55" t="s">
        <v>19</v>
      </c>
      <c r="G61" s="55" t="s">
        <v>440</v>
      </c>
      <c r="H61" s="55" t="s">
        <v>1829</v>
      </c>
      <c r="I61" s="55"/>
      <c r="J61" s="55" t="s">
        <v>1247</v>
      </c>
      <c r="K61" s="55" t="s">
        <v>1879</v>
      </c>
      <c r="L61" s="55"/>
      <c r="M61" s="59" t="s">
        <v>1881</v>
      </c>
    </row>
    <row r="62" spans="1:13" x14ac:dyDescent="0.2">
      <c r="A62" s="55">
        <v>800</v>
      </c>
      <c r="B62" s="55" t="b">
        <v>1</v>
      </c>
      <c r="C62" s="55"/>
      <c r="D62" s="55" t="s">
        <v>16</v>
      </c>
      <c r="E62" s="55" t="s">
        <v>192</v>
      </c>
      <c r="F62" s="55" t="s">
        <v>19</v>
      </c>
      <c r="G62" s="55" t="s">
        <v>441</v>
      </c>
      <c r="H62" s="55" t="s">
        <v>1829</v>
      </c>
      <c r="I62" s="55"/>
      <c r="J62" s="55" t="s">
        <v>1247</v>
      </c>
      <c r="K62" s="55" t="s">
        <v>1879</v>
      </c>
      <c r="L62" s="55"/>
      <c r="M62" s="59" t="s">
        <v>1881</v>
      </c>
    </row>
    <row r="63" spans="1:13" x14ac:dyDescent="0.2">
      <c r="A63" s="55">
        <v>801</v>
      </c>
      <c r="B63" s="55" t="b">
        <v>1</v>
      </c>
      <c r="C63" s="55"/>
      <c r="D63" s="55" t="s">
        <v>16</v>
      </c>
      <c r="E63" s="55" t="s">
        <v>192</v>
      </c>
      <c r="F63" s="55" t="s">
        <v>19</v>
      </c>
      <c r="G63" s="55" t="s">
        <v>442</v>
      </c>
      <c r="H63" s="55" t="s">
        <v>1829</v>
      </c>
      <c r="I63" s="55"/>
      <c r="J63" s="55" t="s">
        <v>1247</v>
      </c>
      <c r="K63" s="55" t="s">
        <v>1879</v>
      </c>
      <c r="L63" s="55"/>
      <c r="M63" s="59" t="s">
        <v>1881</v>
      </c>
    </row>
    <row r="64" spans="1:13" x14ac:dyDescent="0.2">
      <c r="A64" s="55">
        <v>802</v>
      </c>
      <c r="B64" s="55" t="b">
        <v>1</v>
      </c>
      <c r="C64" s="55"/>
      <c r="D64" s="55" t="s">
        <v>16</v>
      </c>
      <c r="E64" s="55" t="s">
        <v>192</v>
      </c>
      <c r="F64" s="55" t="s">
        <v>19</v>
      </c>
      <c r="G64" s="55" t="s">
        <v>1826</v>
      </c>
      <c r="H64" s="55" t="s">
        <v>1829</v>
      </c>
      <c r="I64" s="55"/>
      <c r="J64" s="55" t="s">
        <v>1247</v>
      </c>
      <c r="K64" s="55" t="s">
        <v>1879</v>
      </c>
      <c r="L64" s="55"/>
      <c r="M64" s="59" t="s">
        <v>1881</v>
      </c>
    </row>
    <row r="65" spans="1:13" x14ac:dyDescent="0.2">
      <c r="A65" s="55">
        <v>803</v>
      </c>
      <c r="B65" s="55" t="b">
        <v>1</v>
      </c>
      <c r="C65" s="55"/>
      <c r="D65" s="55" t="s">
        <v>16</v>
      </c>
      <c r="E65" s="55" t="s">
        <v>192</v>
      </c>
      <c r="F65" s="55" t="s">
        <v>19</v>
      </c>
      <c r="G65" s="55" t="s">
        <v>443</v>
      </c>
      <c r="H65" s="55" t="s">
        <v>1829</v>
      </c>
      <c r="I65" s="55"/>
      <c r="J65" s="55" t="s">
        <v>1247</v>
      </c>
      <c r="K65" s="55" t="s">
        <v>1879</v>
      </c>
      <c r="L65" s="55"/>
      <c r="M65" s="59" t="s">
        <v>1881</v>
      </c>
    </row>
    <row r="66" spans="1:13" x14ac:dyDescent="0.2">
      <c r="A66" s="55">
        <v>804</v>
      </c>
      <c r="B66" s="55" t="b">
        <v>1</v>
      </c>
      <c r="C66" s="55"/>
      <c r="D66" s="55" t="s">
        <v>16</v>
      </c>
      <c r="E66" s="55" t="s">
        <v>192</v>
      </c>
      <c r="F66" s="55" t="s">
        <v>19</v>
      </c>
      <c r="G66" s="55" t="s">
        <v>444</v>
      </c>
      <c r="H66" s="55" t="s">
        <v>1829</v>
      </c>
      <c r="I66" s="55"/>
      <c r="J66" s="55" t="s">
        <v>1247</v>
      </c>
      <c r="K66" s="55" t="s">
        <v>1879</v>
      </c>
      <c r="L66" s="55"/>
      <c r="M66" s="59" t="s">
        <v>1881</v>
      </c>
    </row>
    <row r="67" spans="1:13" x14ac:dyDescent="0.2">
      <c r="A67" s="55">
        <v>805</v>
      </c>
      <c r="B67" s="55" t="b">
        <v>1</v>
      </c>
      <c r="C67" s="55"/>
      <c r="D67" s="55" t="s">
        <v>16</v>
      </c>
      <c r="E67" s="55" t="s">
        <v>192</v>
      </c>
      <c r="F67" s="55" t="s">
        <v>19</v>
      </c>
      <c r="G67" s="55" t="s">
        <v>445</v>
      </c>
      <c r="H67" s="55" t="s">
        <v>1829</v>
      </c>
      <c r="I67" s="55"/>
      <c r="J67" s="55" t="s">
        <v>1247</v>
      </c>
      <c r="K67" s="55" t="s">
        <v>1879</v>
      </c>
      <c r="L67" s="55"/>
      <c r="M67" s="59" t="s">
        <v>1881</v>
      </c>
    </row>
    <row r="68" spans="1:13" x14ac:dyDescent="0.2">
      <c r="A68" s="55">
        <v>806</v>
      </c>
      <c r="B68" s="55" t="b">
        <v>1</v>
      </c>
      <c r="C68" s="55"/>
      <c r="D68" s="55" t="s">
        <v>16</v>
      </c>
      <c r="E68" s="55" t="s">
        <v>192</v>
      </c>
      <c r="F68" s="55" t="s">
        <v>19</v>
      </c>
      <c r="G68" s="55" t="s">
        <v>446</v>
      </c>
      <c r="H68" s="55" t="s">
        <v>1829</v>
      </c>
      <c r="I68" s="55"/>
      <c r="J68" s="55" t="s">
        <v>1247</v>
      </c>
      <c r="K68" s="55" t="s">
        <v>1879</v>
      </c>
      <c r="L68" s="55"/>
      <c r="M68" s="59" t="s">
        <v>1881</v>
      </c>
    </row>
    <row r="69" spans="1:13" x14ac:dyDescent="0.2">
      <c r="A69" s="55">
        <v>807</v>
      </c>
      <c r="B69" s="55" t="b">
        <v>1</v>
      </c>
      <c r="C69" s="55"/>
      <c r="D69" s="55" t="s">
        <v>16</v>
      </c>
      <c r="E69" s="55" t="s">
        <v>192</v>
      </c>
      <c r="F69" s="55" t="s">
        <v>19</v>
      </c>
      <c r="G69" s="55" t="s">
        <v>447</v>
      </c>
      <c r="H69" s="55" t="s">
        <v>1829</v>
      </c>
      <c r="I69" s="55"/>
      <c r="J69" s="55" t="s">
        <v>1247</v>
      </c>
      <c r="K69" s="55" t="s">
        <v>1879</v>
      </c>
      <c r="L69" s="55"/>
      <c r="M69" s="59" t="s">
        <v>1881</v>
      </c>
    </row>
    <row r="70" spans="1:13" x14ac:dyDescent="0.2">
      <c r="A70" s="55">
        <v>808</v>
      </c>
      <c r="B70" s="55" t="b">
        <v>1</v>
      </c>
      <c r="C70" s="55"/>
      <c r="D70" s="55" t="s">
        <v>16</v>
      </c>
      <c r="E70" s="55" t="s">
        <v>192</v>
      </c>
      <c r="F70" s="55" t="s">
        <v>19</v>
      </c>
      <c r="G70" s="55" t="s">
        <v>448</v>
      </c>
      <c r="H70" s="55" t="s">
        <v>1829</v>
      </c>
      <c r="I70" s="55"/>
      <c r="J70" s="55" t="s">
        <v>1247</v>
      </c>
      <c r="K70" s="55" t="s">
        <v>1879</v>
      </c>
      <c r="L70" s="55"/>
      <c r="M70" s="59" t="s">
        <v>1881</v>
      </c>
    </row>
    <row r="71" spans="1:13" x14ac:dyDescent="0.2">
      <c r="A71" s="55">
        <v>809</v>
      </c>
      <c r="B71" s="55" t="b">
        <v>1</v>
      </c>
      <c r="C71" s="55"/>
      <c r="D71" s="55" t="s">
        <v>16</v>
      </c>
      <c r="E71" s="55" t="s">
        <v>192</v>
      </c>
      <c r="F71" s="55" t="s">
        <v>19</v>
      </c>
      <c r="G71" s="55" t="s">
        <v>1827</v>
      </c>
      <c r="H71" s="55" t="s">
        <v>1829</v>
      </c>
      <c r="I71" s="55"/>
      <c r="J71" s="55" t="s">
        <v>1247</v>
      </c>
      <c r="K71" s="55" t="s">
        <v>1879</v>
      </c>
      <c r="L71" s="55"/>
      <c r="M71" s="59" t="s">
        <v>1881</v>
      </c>
    </row>
    <row r="72" spans="1:13" x14ac:dyDescent="0.2">
      <c r="A72" s="55">
        <v>810</v>
      </c>
      <c r="B72" s="55" t="b">
        <v>1</v>
      </c>
      <c r="C72" s="55"/>
      <c r="D72" s="55" t="s">
        <v>16</v>
      </c>
      <c r="E72" s="55" t="s">
        <v>192</v>
      </c>
      <c r="F72" s="55" t="s">
        <v>19</v>
      </c>
      <c r="G72" s="55" t="s">
        <v>1828</v>
      </c>
      <c r="H72" s="55" t="s">
        <v>1829</v>
      </c>
      <c r="I72" s="55"/>
      <c r="J72" s="55" t="s">
        <v>1247</v>
      </c>
      <c r="K72" s="55" t="s">
        <v>1879</v>
      </c>
      <c r="L72" s="55"/>
      <c r="M72" s="59" t="s">
        <v>1881</v>
      </c>
    </row>
    <row r="73" spans="1:13" x14ac:dyDescent="0.2">
      <c r="A73" s="55">
        <v>811</v>
      </c>
      <c r="B73" s="55" t="b">
        <v>1</v>
      </c>
      <c r="C73" s="55"/>
      <c r="D73" s="55" t="s">
        <v>16</v>
      </c>
      <c r="E73" s="55" t="s">
        <v>192</v>
      </c>
      <c r="F73" s="55" t="s">
        <v>19</v>
      </c>
      <c r="G73" s="55" t="s">
        <v>1231</v>
      </c>
      <c r="H73" s="55" t="s">
        <v>1829</v>
      </c>
      <c r="I73" s="55"/>
      <c r="J73" s="55" t="s">
        <v>1247</v>
      </c>
      <c r="K73" s="55" t="s">
        <v>1879</v>
      </c>
      <c r="L73" s="55"/>
      <c r="M73" s="59" t="s">
        <v>1881</v>
      </c>
    </row>
    <row r="74" spans="1:13" x14ac:dyDescent="0.2">
      <c r="A74" s="55">
        <v>812</v>
      </c>
      <c r="B74" s="55" t="b">
        <v>1</v>
      </c>
      <c r="C74" s="55"/>
      <c r="D74" s="55" t="s">
        <v>16</v>
      </c>
      <c r="E74" s="55" t="s">
        <v>192</v>
      </c>
      <c r="F74" s="55" t="s">
        <v>19</v>
      </c>
      <c r="G74" s="55" t="s">
        <v>449</v>
      </c>
      <c r="H74" s="55" t="s">
        <v>1829</v>
      </c>
      <c r="I74" s="55"/>
      <c r="J74" s="55" t="s">
        <v>1247</v>
      </c>
      <c r="K74" s="55" t="s">
        <v>1879</v>
      </c>
      <c r="L74" s="55"/>
      <c r="M74" s="59" t="s">
        <v>1881</v>
      </c>
    </row>
    <row r="75" spans="1:13" x14ac:dyDescent="0.2">
      <c r="A75" s="55">
        <v>813</v>
      </c>
      <c r="B75" s="55" t="b">
        <v>1</v>
      </c>
      <c r="C75" s="55"/>
      <c r="D75" s="55" t="s">
        <v>16</v>
      </c>
      <c r="E75" s="55" t="s">
        <v>192</v>
      </c>
      <c r="F75" s="55" t="s">
        <v>19</v>
      </c>
      <c r="G75" s="55" t="s">
        <v>450</v>
      </c>
      <c r="H75" s="55" t="s">
        <v>1829</v>
      </c>
      <c r="I75" s="55"/>
      <c r="J75" s="55" t="s">
        <v>1247</v>
      </c>
      <c r="K75" s="55" t="s">
        <v>1879</v>
      </c>
      <c r="L75" s="55"/>
      <c r="M75" s="59" t="s">
        <v>1881</v>
      </c>
    </row>
    <row r="76" spans="1:13" x14ac:dyDescent="0.2">
      <c r="A76" s="55">
        <v>814</v>
      </c>
      <c r="B76" s="55" t="b">
        <v>1</v>
      </c>
      <c r="C76" s="55"/>
      <c r="D76" s="55" t="s">
        <v>16</v>
      </c>
      <c r="E76" s="55" t="s">
        <v>192</v>
      </c>
      <c r="F76" s="55" t="s">
        <v>19</v>
      </c>
      <c r="G76" s="55" t="s">
        <v>451</v>
      </c>
      <c r="H76" s="55" t="s">
        <v>1829</v>
      </c>
      <c r="I76" s="55"/>
      <c r="J76" s="55" t="s">
        <v>1247</v>
      </c>
      <c r="K76" s="55" t="s">
        <v>1879</v>
      </c>
      <c r="L76" s="55"/>
      <c r="M76" s="59" t="s">
        <v>1881</v>
      </c>
    </row>
    <row r="77" spans="1:13" x14ac:dyDescent="0.2">
      <c r="A77" s="55">
        <v>815</v>
      </c>
      <c r="B77" s="55" t="b">
        <v>1</v>
      </c>
      <c r="C77" s="55"/>
      <c r="D77" s="55" t="s">
        <v>16</v>
      </c>
      <c r="E77" s="55" t="s">
        <v>192</v>
      </c>
      <c r="F77" s="55" t="s">
        <v>19</v>
      </c>
      <c r="G77" s="55" t="s">
        <v>452</v>
      </c>
      <c r="H77" s="55" t="s">
        <v>1829</v>
      </c>
      <c r="I77" s="55"/>
      <c r="J77" s="55" t="s">
        <v>1247</v>
      </c>
      <c r="K77" s="55" t="s">
        <v>1879</v>
      </c>
      <c r="L77" s="55"/>
      <c r="M77" s="59" t="s">
        <v>1881</v>
      </c>
    </row>
    <row r="78" spans="1:13" x14ac:dyDescent="0.2">
      <c r="A78" s="55">
        <v>816</v>
      </c>
      <c r="B78" s="55" t="b">
        <v>1</v>
      </c>
      <c r="C78" s="55"/>
      <c r="D78" s="55" t="s">
        <v>16</v>
      </c>
      <c r="E78" s="55" t="s">
        <v>192</v>
      </c>
      <c r="F78" s="55" t="s">
        <v>19</v>
      </c>
      <c r="G78" s="55" t="s">
        <v>453</v>
      </c>
      <c r="H78" s="55" t="s">
        <v>1829</v>
      </c>
      <c r="I78" s="55"/>
      <c r="J78" s="55" t="s">
        <v>1247</v>
      </c>
      <c r="K78" s="55" t="s">
        <v>1879</v>
      </c>
      <c r="L78" s="55"/>
      <c r="M78" s="59" t="s">
        <v>1881</v>
      </c>
    </row>
    <row r="79" spans="1:13" x14ac:dyDescent="0.2">
      <c r="A79" s="55">
        <v>817</v>
      </c>
      <c r="B79" s="55" t="b">
        <v>1</v>
      </c>
      <c r="C79" s="55"/>
      <c r="D79" s="55" t="s">
        <v>16</v>
      </c>
      <c r="E79" s="55" t="s">
        <v>192</v>
      </c>
      <c r="F79" s="55" t="s">
        <v>19</v>
      </c>
      <c r="G79" s="55" t="s">
        <v>454</v>
      </c>
      <c r="H79" s="55" t="s">
        <v>1829</v>
      </c>
      <c r="I79" s="55"/>
      <c r="J79" s="55" t="s">
        <v>1247</v>
      </c>
      <c r="K79" s="55" t="s">
        <v>1879</v>
      </c>
      <c r="L79" s="55"/>
      <c r="M79" s="59" t="s">
        <v>1881</v>
      </c>
    </row>
    <row r="80" spans="1:13" x14ac:dyDescent="0.2">
      <c r="A80" s="55"/>
      <c r="B80" s="55"/>
      <c r="C80" s="55"/>
      <c r="D80" s="55"/>
      <c r="E80" s="55"/>
      <c r="F80" s="55"/>
      <c r="G80" s="55"/>
      <c r="H80" s="55"/>
      <c r="I80" s="55"/>
      <c r="J80" s="55"/>
      <c r="K80" s="55"/>
      <c r="L80" s="55"/>
      <c r="M80" s="59"/>
    </row>
    <row r="81" spans="1:13" x14ac:dyDescent="0.2">
      <c r="A81" s="55">
        <v>818</v>
      </c>
      <c r="B81" s="55" t="b">
        <v>1</v>
      </c>
      <c r="C81" s="55"/>
      <c r="D81" s="55" t="s">
        <v>16</v>
      </c>
      <c r="E81" s="55" t="s">
        <v>192</v>
      </c>
      <c r="F81" s="55" t="s">
        <v>125</v>
      </c>
      <c r="G81" s="55" t="s">
        <v>383</v>
      </c>
      <c r="H81" s="55" t="s">
        <v>1829</v>
      </c>
      <c r="I81" s="55"/>
      <c r="J81" s="55" t="s">
        <v>1830</v>
      </c>
      <c r="K81" s="55" t="s">
        <v>1882</v>
      </c>
      <c r="L81" s="55"/>
      <c r="M81" s="59" t="s">
        <v>1831</v>
      </c>
    </row>
    <row r="82" spans="1:13" x14ac:dyDescent="0.2">
      <c r="A82" s="55">
        <v>819</v>
      </c>
      <c r="B82" s="55" t="b">
        <v>1</v>
      </c>
      <c r="C82" s="55"/>
      <c r="D82" s="55" t="s">
        <v>16</v>
      </c>
      <c r="E82" s="55" t="s">
        <v>192</v>
      </c>
      <c r="F82" s="55" t="s">
        <v>125</v>
      </c>
      <c r="G82" s="55" t="s">
        <v>384</v>
      </c>
      <c r="H82" s="55" t="s">
        <v>1829</v>
      </c>
      <c r="I82" s="55"/>
      <c r="J82" s="55" t="s">
        <v>1830</v>
      </c>
      <c r="K82" s="55" t="s">
        <v>1882</v>
      </c>
      <c r="L82" s="55"/>
      <c r="M82" s="59" t="s">
        <v>1831</v>
      </c>
    </row>
    <row r="83" spans="1:13" x14ac:dyDescent="0.2">
      <c r="A83" s="55">
        <v>820</v>
      </c>
      <c r="B83" s="55" t="b">
        <v>1</v>
      </c>
      <c r="C83" s="55"/>
      <c r="D83" s="55" t="s">
        <v>16</v>
      </c>
      <c r="E83" s="55" t="s">
        <v>192</v>
      </c>
      <c r="F83" s="55" t="s">
        <v>125</v>
      </c>
      <c r="G83" s="55" t="s">
        <v>385</v>
      </c>
      <c r="H83" s="55" t="s">
        <v>1829</v>
      </c>
      <c r="I83" s="55"/>
      <c r="J83" s="55" t="s">
        <v>1830</v>
      </c>
      <c r="K83" s="55" t="s">
        <v>1882</v>
      </c>
      <c r="L83" s="55"/>
      <c r="M83" s="59" t="s">
        <v>1831</v>
      </c>
    </row>
    <row r="84" spans="1:13" x14ac:dyDescent="0.2">
      <c r="A84" s="55">
        <v>821</v>
      </c>
      <c r="B84" s="55" t="b">
        <v>1</v>
      </c>
      <c r="C84" s="55"/>
      <c r="D84" s="55" t="s">
        <v>16</v>
      </c>
      <c r="E84" s="55" t="s">
        <v>192</v>
      </c>
      <c r="F84" s="55" t="s">
        <v>125</v>
      </c>
      <c r="G84" s="55" t="s">
        <v>386</v>
      </c>
      <c r="H84" s="55" t="s">
        <v>1829</v>
      </c>
      <c r="I84" s="55"/>
      <c r="J84" s="55" t="s">
        <v>1830</v>
      </c>
      <c r="K84" s="55" t="s">
        <v>1882</v>
      </c>
      <c r="L84" s="55"/>
      <c r="M84" s="59" t="s">
        <v>1831</v>
      </c>
    </row>
    <row r="85" spans="1:13" x14ac:dyDescent="0.2">
      <c r="A85" s="55">
        <v>822</v>
      </c>
      <c r="B85" s="55" t="b">
        <v>1</v>
      </c>
      <c r="C85" s="55"/>
      <c r="D85" s="55" t="s">
        <v>16</v>
      </c>
      <c r="E85" s="55" t="s">
        <v>192</v>
      </c>
      <c r="F85" s="55" t="s">
        <v>125</v>
      </c>
      <c r="G85" s="55" t="s">
        <v>387</v>
      </c>
      <c r="H85" s="55" t="s">
        <v>1829</v>
      </c>
      <c r="I85" s="55"/>
      <c r="J85" s="55" t="s">
        <v>1830</v>
      </c>
      <c r="K85" s="55" t="s">
        <v>1882</v>
      </c>
      <c r="L85" s="55"/>
      <c r="M85" s="59" t="s">
        <v>1831</v>
      </c>
    </row>
    <row r="86" spans="1:13" x14ac:dyDescent="0.2">
      <c r="A86" s="55">
        <v>823</v>
      </c>
      <c r="B86" s="55" t="b">
        <v>1</v>
      </c>
      <c r="C86" s="55"/>
      <c r="D86" s="55" t="s">
        <v>16</v>
      </c>
      <c r="E86" s="55" t="s">
        <v>192</v>
      </c>
      <c r="F86" s="55" t="s">
        <v>125</v>
      </c>
      <c r="G86" s="55" t="s">
        <v>388</v>
      </c>
      <c r="H86" s="55" t="s">
        <v>1829</v>
      </c>
      <c r="I86" s="55"/>
      <c r="J86" s="55" t="s">
        <v>1830</v>
      </c>
      <c r="K86" s="55" t="s">
        <v>1882</v>
      </c>
      <c r="L86" s="55"/>
      <c r="M86" s="59" t="s">
        <v>1831</v>
      </c>
    </row>
    <row r="87" spans="1:13" x14ac:dyDescent="0.2">
      <c r="A87" s="55">
        <v>824</v>
      </c>
      <c r="B87" s="55" t="b">
        <v>1</v>
      </c>
      <c r="C87" s="55"/>
      <c r="D87" s="55" t="s">
        <v>16</v>
      </c>
      <c r="E87" s="55" t="s">
        <v>192</v>
      </c>
      <c r="F87" s="55" t="s">
        <v>125</v>
      </c>
      <c r="G87" s="55" t="s">
        <v>389</v>
      </c>
      <c r="H87" s="55" t="s">
        <v>1829</v>
      </c>
      <c r="I87" s="55"/>
      <c r="J87" s="55" t="s">
        <v>1830</v>
      </c>
      <c r="K87" s="55" t="s">
        <v>1882</v>
      </c>
      <c r="L87" s="55"/>
      <c r="M87" s="59" t="s">
        <v>1831</v>
      </c>
    </row>
    <row r="88" spans="1:13" x14ac:dyDescent="0.2">
      <c r="A88" s="55">
        <v>825</v>
      </c>
      <c r="B88" s="55" t="b">
        <v>1</v>
      </c>
      <c r="C88" s="55"/>
      <c r="D88" s="55" t="s">
        <v>16</v>
      </c>
      <c r="E88" s="55" t="s">
        <v>192</v>
      </c>
      <c r="F88" s="55" t="s">
        <v>125</v>
      </c>
      <c r="G88" s="55" t="s">
        <v>390</v>
      </c>
      <c r="H88" s="55" t="s">
        <v>1829</v>
      </c>
      <c r="I88" s="55"/>
      <c r="J88" s="55" t="s">
        <v>1830</v>
      </c>
      <c r="K88" s="55" t="s">
        <v>1882</v>
      </c>
      <c r="L88" s="55"/>
      <c r="M88" s="59" t="s">
        <v>1831</v>
      </c>
    </row>
    <row r="89" spans="1:13" x14ac:dyDescent="0.2">
      <c r="A89" s="55">
        <v>826</v>
      </c>
      <c r="B89" s="55" t="b">
        <v>1</v>
      </c>
      <c r="C89" s="55"/>
      <c r="D89" s="55" t="s">
        <v>16</v>
      </c>
      <c r="E89" s="55" t="s">
        <v>192</v>
      </c>
      <c r="F89" s="55" t="s">
        <v>125</v>
      </c>
      <c r="G89" s="55" t="s">
        <v>391</v>
      </c>
      <c r="H89" s="55" t="s">
        <v>1829</v>
      </c>
      <c r="I89" s="55"/>
      <c r="J89" s="55" t="s">
        <v>1830</v>
      </c>
      <c r="K89" s="55" t="s">
        <v>1882</v>
      </c>
      <c r="L89" s="55"/>
      <c r="M89" s="59" t="s">
        <v>1831</v>
      </c>
    </row>
    <row r="90" spans="1:13" x14ac:dyDescent="0.2">
      <c r="A90" s="55">
        <v>827</v>
      </c>
      <c r="B90" s="55" t="b">
        <v>1</v>
      </c>
      <c r="C90" s="55"/>
      <c r="D90" s="55" t="s">
        <v>16</v>
      </c>
      <c r="E90" s="55" t="s">
        <v>192</v>
      </c>
      <c r="F90" s="55" t="s">
        <v>125</v>
      </c>
      <c r="G90" s="55" t="s">
        <v>392</v>
      </c>
      <c r="H90" s="55" t="s">
        <v>1829</v>
      </c>
      <c r="I90" s="55"/>
      <c r="J90" s="55" t="s">
        <v>1830</v>
      </c>
      <c r="K90" s="55" t="s">
        <v>1882</v>
      </c>
      <c r="L90" s="55"/>
      <c r="M90" s="59" t="s">
        <v>1831</v>
      </c>
    </row>
    <row r="91" spans="1:13" x14ac:dyDescent="0.2">
      <c r="A91" s="55">
        <v>828</v>
      </c>
      <c r="B91" s="55" t="b">
        <v>1</v>
      </c>
      <c r="C91" s="55"/>
      <c r="D91" s="55" t="s">
        <v>16</v>
      </c>
      <c r="E91" s="55" t="s">
        <v>192</v>
      </c>
      <c r="F91" s="55" t="s">
        <v>125</v>
      </c>
      <c r="G91" s="55" t="s">
        <v>393</v>
      </c>
      <c r="H91" s="55" t="s">
        <v>1829</v>
      </c>
      <c r="I91" s="55"/>
      <c r="J91" s="55" t="s">
        <v>1830</v>
      </c>
      <c r="K91" s="55" t="s">
        <v>1882</v>
      </c>
      <c r="L91" s="55"/>
      <c r="M91" s="59" t="s">
        <v>1831</v>
      </c>
    </row>
    <row r="92" spans="1:13" x14ac:dyDescent="0.2">
      <c r="A92" s="61"/>
      <c r="B92" s="61"/>
      <c r="C92" s="61"/>
      <c r="D92" s="61"/>
      <c r="E92" s="61"/>
      <c r="F92" s="61"/>
      <c r="G92" s="61"/>
      <c r="H92" s="61"/>
      <c r="I92" s="61"/>
      <c r="J92" s="61"/>
      <c r="K92" s="61"/>
      <c r="L92" s="61"/>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E1AF9-53D8-3941-B1D1-62DBC57C6BFA}">
  <dimension ref="A1:O4"/>
  <sheetViews>
    <sheetView workbookViewId="0">
      <selection activeCell="J7" sqref="J7"/>
    </sheetView>
  </sheetViews>
  <sheetFormatPr baseColWidth="10" defaultRowHeight="16" x14ac:dyDescent="0.2"/>
  <cols>
    <col min="1" max="1" width="9.33203125" customWidth="1"/>
    <col min="2" max="2" width="15" customWidth="1"/>
    <col min="3" max="3" width="10.5" customWidth="1"/>
    <col min="4" max="4" width="26.83203125" customWidth="1"/>
    <col min="5" max="5" width="13" customWidth="1"/>
    <col min="6" max="6" width="25.33203125" customWidth="1"/>
    <col min="7" max="7" width="13.1640625" customWidth="1"/>
    <col min="8" max="8" width="12" customWidth="1"/>
    <col min="9" max="9" width="6.6640625" customWidth="1"/>
    <col min="10" max="10" width="10.5" customWidth="1"/>
    <col min="11" max="11" width="27.5" customWidth="1"/>
    <col min="12" max="12" width="7.5" customWidth="1"/>
    <col min="13" max="13" width="12.6640625" customWidth="1"/>
    <col min="14" max="14" width="68.6640625" customWidth="1"/>
    <col min="15" max="15" width="46.5" customWidth="1"/>
  </cols>
  <sheetData>
    <row r="1" spans="1:15" ht="20" thickBot="1" x14ac:dyDescent="0.3">
      <c r="A1" t="s">
        <v>1549</v>
      </c>
      <c r="B1" s="30" t="s">
        <v>1925</v>
      </c>
      <c r="C1" s="1" t="s">
        <v>0</v>
      </c>
      <c r="D1" s="2" t="s">
        <v>10</v>
      </c>
      <c r="E1" s="3" t="s">
        <v>1</v>
      </c>
      <c r="F1" s="3" t="s">
        <v>2</v>
      </c>
      <c r="G1" s="3" t="s">
        <v>3</v>
      </c>
      <c r="H1" s="3" t="s">
        <v>4</v>
      </c>
      <c r="I1" s="3" t="s">
        <v>1974</v>
      </c>
      <c r="J1" s="3" t="s">
        <v>5</v>
      </c>
      <c r="K1" s="3" t="s">
        <v>6</v>
      </c>
      <c r="L1" s="3" t="s">
        <v>1936</v>
      </c>
      <c r="M1" s="3" t="s">
        <v>8</v>
      </c>
      <c r="N1" s="4" t="s">
        <v>9</v>
      </c>
      <c r="O1" s="35" t="s">
        <v>1921</v>
      </c>
    </row>
    <row r="2" spans="1:15" x14ac:dyDescent="0.2">
      <c r="A2">
        <v>47</v>
      </c>
      <c r="B2" t="b">
        <v>1</v>
      </c>
      <c r="C2" s="6" t="b">
        <v>1</v>
      </c>
      <c r="D2" s="6" t="s">
        <v>145</v>
      </c>
      <c r="E2" s="6" t="s">
        <v>192</v>
      </c>
      <c r="F2" s="6" t="s">
        <v>146</v>
      </c>
      <c r="G2" s="6" t="s">
        <v>497</v>
      </c>
      <c r="H2" s="6" t="s">
        <v>1246</v>
      </c>
      <c r="I2" s="6"/>
      <c r="J2" s="6" t="s">
        <v>1247</v>
      </c>
      <c r="K2" s="6" t="s">
        <v>1248</v>
      </c>
      <c r="L2" s="6"/>
      <c r="M2" s="6"/>
      <c r="N2" s="5" t="s">
        <v>1249</v>
      </c>
      <c r="O2" s="6" t="s">
        <v>1927</v>
      </c>
    </row>
    <row r="3" spans="1:15" x14ac:dyDescent="0.2">
      <c r="A3">
        <v>62</v>
      </c>
      <c r="C3" s="6" t="b">
        <v>1</v>
      </c>
      <c r="D3" s="6" t="s">
        <v>68</v>
      </c>
      <c r="E3" s="6" t="s">
        <v>192</v>
      </c>
      <c r="F3" s="6" t="s">
        <v>1155</v>
      </c>
      <c r="G3" s="6" t="s">
        <v>497</v>
      </c>
      <c r="H3" s="6" t="s">
        <v>1246</v>
      </c>
      <c r="I3" s="6"/>
      <c r="J3" s="6" t="s">
        <v>1279</v>
      </c>
      <c r="K3" s="6" t="s">
        <v>1280</v>
      </c>
      <c r="L3" s="6"/>
      <c r="M3" s="6"/>
      <c r="N3" s="5" t="s">
        <v>1281</v>
      </c>
      <c r="O3" s="6" t="s">
        <v>1934</v>
      </c>
    </row>
    <row r="4" spans="1:15" x14ac:dyDescent="0.2">
      <c r="A4">
        <v>836</v>
      </c>
      <c r="C4" s="6" t="b">
        <v>1</v>
      </c>
      <c r="D4" s="6" t="s">
        <v>1170</v>
      </c>
      <c r="E4" s="6" t="s">
        <v>192</v>
      </c>
      <c r="F4" s="6" t="s">
        <v>1177</v>
      </c>
      <c r="G4" s="6" t="s">
        <v>497</v>
      </c>
      <c r="H4" s="6" t="s">
        <v>1246</v>
      </c>
      <c r="I4" s="6"/>
      <c r="J4" s="6" t="s">
        <v>1279</v>
      </c>
      <c r="K4" s="6" t="s">
        <v>1618</v>
      </c>
      <c r="L4" s="6"/>
      <c r="M4" s="6"/>
      <c r="N4" s="5" t="s">
        <v>1836</v>
      </c>
      <c r="O4" s="6" t="s">
        <v>1927</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40F62-E9DC-4C48-9524-299A3A9AD1BC}">
  <dimension ref="A1:O9"/>
  <sheetViews>
    <sheetView workbookViewId="0">
      <selection activeCell="N4" sqref="N4"/>
    </sheetView>
  </sheetViews>
  <sheetFormatPr baseColWidth="10" defaultRowHeight="16" x14ac:dyDescent="0.2"/>
  <cols>
    <col min="6" max="6" width="31.83203125" customWidth="1"/>
  </cols>
  <sheetData>
    <row r="1" spans="1:15" ht="20" thickBot="1" x14ac:dyDescent="0.3">
      <c r="A1" s="42" t="s">
        <v>1549</v>
      </c>
      <c r="B1" s="43" t="s">
        <v>1925</v>
      </c>
      <c r="C1" s="25" t="s">
        <v>0</v>
      </c>
      <c r="D1" s="24" t="s">
        <v>10</v>
      </c>
      <c r="E1" s="7" t="s">
        <v>1</v>
      </c>
      <c r="F1" s="7" t="s">
        <v>2</v>
      </c>
      <c r="G1" s="7" t="s">
        <v>3</v>
      </c>
      <c r="H1" s="7" t="s">
        <v>4</v>
      </c>
      <c r="I1" s="7" t="s">
        <v>1974</v>
      </c>
      <c r="J1" s="7" t="s">
        <v>5</v>
      </c>
      <c r="K1" s="7" t="s">
        <v>6</v>
      </c>
      <c r="L1" s="7" t="s">
        <v>1936</v>
      </c>
      <c r="M1" s="7" t="s">
        <v>8</v>
      </c>
      <c r="N1" s="8" t="s">
        <v>9</v>
      </c>
      <c r="O1" s="25" t="s">
        <v>1921</v>
      </c>
    </row>
    <row r="2" spans="1:15" x14ac:dyDescent="0.2">
      <c r="A2" s="42">
        <v>630</v>
      </c>
      <c r="B2" s="42" t="b">
        <v>1</v>
      </c>
      <c r="C2" s="23" t="b">
        <v>1</v>
      </c>
      <c r="D2" s="23" t="s">
        <v>113</v>
      </c>
      <c r="E2" s="23" t="s">
        <v>192</v>
      </c>
      <c r="F2" s="23" t="s">
        <v>119</v>
      </c>
      <c r="G2" s="49" t="s">
        <v>497</v>
      </c>
      <c r="H2" s="23" t="s">
        <v>1294</v>
      </c>
      <c r="I2" s="23"/>
      <c r="J2" s="23" t="s">
        <v>1615</v>
      </c>
      <c r="K2" s="23" t="s">
        <v>1427</v>
      </c>
      <c r="L2" s="23"/>
      <c r="M2" s="23"/>
      <c r="N2" s="45" t="s">
        <v>1431</v>
      </c>
      <c r="O2" s="23" t="s">
        <v>1963</v>
      </c>
    </row>
    <row r="3" spans="1:15" x14ac:dyDescent="0.2">
      <c r="A3" s="42">
        <v>630</v>
      </c>
      <c r="B3" s="42" t="b">
        <v>1</v>
      </c>
      <c r="C3" s="23" t="b">
        <v>1</v>
      </c>
      <c r="D3" s="23" t="s">
        <v>113</v>
      </c>
      <c r="E3" s="23" t="s">
        <v>192</v>
      </c>
      <c r="F3" s="23" t="s">
        <v>119</v>
      </c>
      <c r="G3" s="49" t="s">
        <v>497</v>
      </c>
      <c r="H3" s="23" t="s">
        <v>1294</v>
      </c>
      <c r="I3" s="23"/>
      <c r="J3" s="23" t="s">
        <v>1960</v>
      </c>
      <c r="K3" s="23" t="s">
        <v>1427</v>
      </c>
      <c r="L3" s="23"/>
      <c r="M3" s="23"/>
      <c r="N3" s="45" t="s">
        <v>1431</v>
      </c>
      <c r="O3" s="23" t="s">
        <v>1963</v>
      </c>
    </row>
    <row r="4" spans="1:15" x14ac:dyDescent="0.2">
      <c r="A4" s="42">
        <v>647</v>
      </c>
      <c r="B4" s="42" t="b">
        <v>1</v>
      </c>
      <c r="C4" s="23" t="b">
        <v>1</v>
      </c>
      <c r="D4" s="23" t="s">
        <v>113</v>
      </c>
      <c r="E4" s="23" t="s">
        <v>192</v>
      </c>
      <c r="F4" s="23" t="s">
        <v>117</v>
      </c>
      <c r="G4" s="49" t="s">
        <v>497</v>
      </c>
      <c r="H4" s="23" t="s">
        <v>1294</v>
      </c>
      <c r="I4" s="23"/>
      <c r="J4" s="23" t="s">
        <v>1295</v>
      </c>
      <c r="K4" s="23" t="s">
        <v>1426</v>
      </c>
      <c r="L4" s="23"/>
      <c r="M4" s="23"/>
      <c r="N4" s="45" t="s">
        <v>1614</v>
      </c>
      <c r="O4" s="42"/>
    </row>
    <row r="5" spans="1:15" x14ac:dyDescent="0.2">
      <c r="A5" s="42">
        <v>732</v>
      </c>
      <c r="B5" s="42"/>
      <c r="C5" s="23" t="b">
        <v>1</v>
      </c>
      <c r="D5" s="23" t="s">
        <v>16</v>
      </c>
      <c r="E5" s="23" t="s">
        <v>192</v>
      </c>
      <c r="F5" s="23" t="s">
        <v>17</v>
      </c>
      <c r="G5" s="23" t="s">
        <v>497</v>
      </c>
      <c r="H5" s="23" t="s">
        <v>1294</v>
      </c>
      <c r="I5" s="23"/>
      <c r="J5" s="23" t="s">
        <v>1295</v>
      </c>
      <c r="K5" s="23" t="s">
        <v>1613</v>
      </c>
      <c r="L5" s="23"/>
      <c r="M5" s="23"/>
      <c r="N5" s="45" t="s">
        <v>1614</v>
      </c>
      <c r="O5" s="42"/>
    </row>
    <row r="6" spans="1:15" x14ac:dyDescent="0.2">
      <c r="A6" s="42">
        <v>734</v>
      </c>
      <c r="B6" s="42"/>
      <c r="C6" s="23" t="b">
        <v>1</v>
      </c>
      <c r="D6" s="23" t="s">
        <v>16</v>
      </c>
      <c r="E6" s="23" t="s">
        <v>192</v>
      </c>
      <c r="F6" s="23" t="s">
        <v>1187</v>
      </c>
      <c r="G6" s="23" t="s">
        <v>497</v>
      </c>
      <c r="H6" s="23" t="s">
        <v>1294</v>
      </c>
      <c r="I6" s="23"/>
      <c r="J6" s="23" t="s">
        <v>1295</v>
      </c>
      <c r="K6" s="23" t="s">
        <v>1621</v>
      </c>
      <c r="L6" s="23"/>
      <c r="M6" s="23"/>
      <c r="N6" s="45" t="s">
        <v>1614</v>
      </c>
      <c r="O6" s="42"/>
    </row>
    <row r="7" spans="1:15" x14ac:dyDescent="0.2">
      <c r="A7" s="42">
        <v>735</v>
      </c>
      <c r="B7" s="42"/>
      <c r="C7" s="23" t="b">
        <v>1</v>
      </c>
      <c r="D7" s="23" t="s">
        <v>16</v>
      </c>
      <c r="E7" s="23" t="s">
        <v>192</v>
      </c>
      <c r="F7" s="23" t="s">
        <v>1186</v>
      </c>
      <c r="G7" s="23" t="s">
        <v>497</v>
      </c>
      <c r="H7" s="23" t="s">
        <v>1294</v>
      </c>
      <c r="I7" s="23"/>
      <c r="J7" s="23" t="s">
        <v>1615</v>
      </c>
      <c r="K7" s="23" t="s">
        <v>1622</v>
      </c>
      <c r="L7" s="23"/>
      <c r="M7" s="23"/>
      <c r="N7" s="45" t="s">
        <v>1614</v>
      </c>
      <c r="O7" s="42"/>
    </row>
    <row r="8" spans="1:15" x14ac:dyDescent="0.2">
      <c r="A8" s="42">
        <v>834</v>
      </c>
      <c r="B8" s="42"/>
      <c r="C8" s="23" t="b">
        <v>1</v>
      </c>
      <c r="D8" s="23" t="s">
        <v>1170</v>
      </c>
      <c r="E8" s="23" t="s">
        <v>192</v>
      </c>
      <c r="F8" s="23" t="s">
        <v>1179</v>
      </c>
      <c r="G8" s="23" t="s">
        <v>497</v>
      </c>
      <c r="H8" s="23" t="s">
        <v>1294</v>
      </c>
      <c r="I8" s="23"/>
      <c r="J8" s="23" t="s">
        <v>1295</v>
      </c>
      <c r="K8" s="23" t="s">
        <v>1620</v>
      </c>
      <c r="L8" s="23"/>
      <c r="M8" s="23"/>
      <c r="N8" s="45" t="s">
        <v>1614</v>
      </c>
      <c r="O8" s="23" t="s">
        <v>1927</v>
      </c>
    </row>
    <row r="9" spans="1:15" x14ac:dyDescent="0.2">
      <c r="A9" s="42">
        <v>835</v>
      </c>
      <c r="B9" s="42"/>
      <c r="C9" s="23" t="b">
        <v>1</v>
      </c>
      <c r="D9" s="23" t="s">
        <v>1170</v>
      </c>
      <c r="E9" s="23" t="s">
        <v>192</v>
      </c>
      <c r="F9" s="23" t="s">
        <v>1178</v>
      </c>
      <c r="G9" s="23" t="s">
        <v>497</v>
      </c>
      <c r="H9" s="23" t="s">
        <v>1294</v>
      </c>
      <c r="I9" s="23"/>
      <c r="J9" s="23" t="s">
        <v>1615</v>
      </c>
      <c r="K9" s="23" t="s">
        <v>1619</v>
      </c>
      <c r="L9" s="23"/>
      <c r="M9" s="23"/>
      <c r="N9" s="45" t="s">
        <v>1614</v>
      </c>
      <c r="O9" s="23" t="s">
        <v>1927</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503FA-19AE-C146-9865-7A1697985DDA}">
  <dimension ref="A1:H2"/>
  <sheetViews>
    <sheetView workbookViewId="0">
      <selection activeCell="B3" sqref="B3"/>
    </sheetView>
  </sheetViews>
  <sheetFormatPr baseColWidth="10" defaultRowHeight="16" x14ac:dyDescent="0.2"/>
  <cols>
    <col min="1" max="1" width="15.5" customWidth="1"/>
    <col min="2" max="2" width="13.83203125" customWidth="1"/>
    <col min="3" max="3" width="15.33203125" customWidth="1"/>
    <col min="4" max="4" width="15" customWidth="1"/>
    <col min="5" max="5" width="14.1640625" customWidth="1"/>
    <col min="6" max="6" width="13.83203125" customWidth="1"/>
    <col min="7" max="7" width="10.6640625" customWidth="1"/>
    <col min="8" max="8" width="10" customWidth="1"/>
  </cols>
  <sheetData>
    <row r="1" spans="1:8" ht="17" thickBot="1" x14ac:dyDescent="0.25">
      <c r="A1" s="31" t="s">
        <v>1084</v>
      </c>
      <c r="B1" s="32" t="s">
        <v>1085</v>
      </c>
      <c r="C1" s="32" t="s">
        <v>1086</v>
      </c>
      <c r="D1" s="32" t="s">
        <v>1087</v>
      </c>
      <c r="E1" s="32" t="s">
        <v>1914</v>
      </c>
      <c r="F1" s="32" t="s">
        <v>1089</v>
      </c>
      <c r="G1" s="32" t="s">
        <v>1899</v>
      </c>
      <c r="H1" s="33" t="s">
        <v>1095</v>
      </c>
    </row>
    <row r="2" spans="1:8" x14ac:dyDescent="0.2">
      <c r="A2" t="s">
        <v>1614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A0FBE-662C-E84E-B01A-37A99B13F6CC}">
  <dimension ref="A1:AE274"/>
  <sheetViews>
    <sheetView workbookViewId="0">
      <selection activeCell="G9" sqref="G9"/>
    </sheetView>
  </sheetViews>
  <sheetFormatPr baseColWidth="10" defaultRowHeight="16" x14ac:dyDescent="0.2"/>
  <cols>
    <col min="1" max="1" width="9.33203125" customWidth="1"/>
    <col min="2" max="2" width="15" customWidth="1"/>
    <col min="3" max="3" width="10.5" customWidth="1"/>
    <col min="4" max="4" width="28.5" customWidth="1"/>
    <col min="5" max="5" width="13" customWidth="1"/>
    <col min="6" max="6" width="34.1640625" customWidth="1"/>
    <col min="7" max="7" width="39" customWidth="1"/>
    <col min="8" max="8" width="12" customWidth="1"/>
    <col min="9" max="9" width="6.6640625" customWidth="1"/>
    <col min="10" max="10" width="11.83203125" customWidth="1"/>
    <col min="11" max="11" width="36.1640625" customWidth="1"/>
    <col min="12" max="12" width="7.5" customWidth="1"/>
    <col min="13" max="13" width="44.33203125" customWidth="1"/>
    <col min="14" max="14" width="70.83203125" customWidth="1"/>
    <col min="15" max="15" width="114.6640625" customWidth="1"/>
  </cols>
  <sheetData>
    <row r="1" spans="1:31" ht="20" thickBot="1" x14ac:dyDescent="0.3">
      <c r="A1" s="42" t="s">
        <v>1549</v>
      </c>
      <c r="B1" s="43" t="s">
        <v>1925</v>
      </c>
      <c r="C1" s="25" t="s">
        <v>0</v>
      </c>
      <c r="D1" s="24" t="s">
        <v>10</v>
      </c>
      <c r="E1" s="7" t="s">
        <v>1</v>
      </c>
      <c r="F1" s="7" t="s">
        <v>2</v>
      </c>
      <c r="G1" s="7" t="s">
        <v>3</v>
      </c>
      <c r="H1" s="7" t="s">
        <v>4</v>
      </c>
      <c r="I1" s="7" t="s">
        <v>1974</v>
      </c>
      <c r="J1" s="7" t="s">
        <v>5</v>
      </c>
      <c r="K1" s="7" t="s">
        <v>6</v>
      </c>
      <c r="L1" s="7" t="s">
        <v>1936</v>
      </c>
      <c r="M1" s="7" t="s">
        <v>8</v>
      </c>
      <c r="N1" s="8" t="s">
        <v>9</v>
      </c>
      <c r="O1" s="25" t="s">
        <v>1921</v>
      </c>
      <c r="P1" s="25"/>
      <c r="Q1" s="42"/>
      <c r="R1" s="42"/>
      <c r="S1" s="42"/>
      <c r="T1" s="42"/>
      <c r="U1" s="42"/>
      <c r="V1" s="42"/>
      <c r="W1" s="42"/>
      <c r="X1" s="42"/>
      <c r="Y1" s="42"/>
      <c r="Z1" s="42"/>
      <c r="AA1" s="42"/>
      <c r="AB1" s="42"/>
      <c r="AC1" s="42"/>
      <c r="AD1" s="42"/>
      <c r="AE1" s="42"/>
    </row>
    <row r="2" spans="1:31" x14ac:dyDescent="0.2">
      <c r="A2" s="42">
        <v>335</v>
      </c>
      <c r="B2" s="44" t="b">
        <v>1</v>
      </c>
      <c r="C2" s="23" t="b">
        <v>1</v>
      </c>
      <c r="D2" s="23" t="s">
        <v>113</v>
      </c>
      <c r="E2" s="23" t="s">
        <v>192</v>
      </c>
      <c r="F2" s="23" t="s">
        <v>134</v>
      </c>
      <c r="G2" s="23" t="s">
        <v>497</v>
      </c>
      <c r="H2" s="23" t="s">
        <v>1291</v>
      </c>
      <c r="I2" s="23"/>
      <c r="J2" s="23" t="s">
        <v>9</v>
      </c>
      <c r="K2" s="23" t="s">
        <v>1951</v>
      </c>
      <c r="L2" s="23"/>
      <c r="M2" s="23"/>
      <c r="N2" s="23"/>
      <c r="O2" s="42"/>
      <c r="P2" s="42"/>
      <c r="Q2" s="42"/>
      <c r="R2" s="42"/>
      <c r="S2" s="42"/>
      <c r="T2" s="42"/>
      <c r="U2" s="42"/>
      <c r="V2" s="42"/>
      <c r="W2" s="42"/>
      <c r="X2" s="42"/>
      <c r="Y2" s="42"/>
      <c r="Z2" s="42"/>
      <c r="AA2" s="42"/>
      <c r="AB2" s="42"/>
      <c r="AC2" s="42"/>
      <c r="AD2" s="42"/>
      <c r="AE2" s="42"/>
    </row>
    <row r="3" spans="1:31" x14ac:dyDescent="0.2">
      <c r="A3" s="42">
        <v>337</v>
      </c>
      <c r="B3" s="44" t="b">
        <v>1</v>
      </c>
      <c r="C3" s="23" t="b">
        <v>1</v>
      </c>
      <c r="D3" s="23" t="s">
        <v>113</v>
      </c>
      <c r="E3" s="23" t="s">
        <v>192</v>
      </c>
      <c r="F3" s="23" t="s">
        <v>114</v>
      </c>
      <c r="G3" s="23" t="s">
        <v>497</v>
      </c>
      <c r="H3" s="23" t="s">
        <v>1291</v>
      </c>
      <c r="I3" s="23"/>
      <c r="J3" s="23" t="s">
        <v>1421</v>
      </c>
      <c r="K3" s="23" t="s">
        <v>1420</v>
      </c>
      <c r="L3" s="23"/>
      <c r="M3" s="23"/>
      <c r="N3" s="45" t="s">
        <v>1422</v>
      </c>
      <c r="O3" s="23" t="s">
        <v>1952</v>
      </c>
      <c r="P3" s="42"/>
      <c r="Q3" s="42"/>
      <c r="R3" s="42"/>
      <c r="S3" s="42"/>
      <c r="T3" s="42"/>
      <c r="U3" s="42"/>
      <c r="V3" s="42"/>
      <c r="W3" s="42"/>
      <c r="X3" s="42"/>
      <c r="Y3" s="42"/>
      <c r="Z3" s="42"/>
      <c r="AA3" s="42"/>
      <c r="AB3" s="42"/>
      <c r="AC3" s="42"/>
      <c r="AD3" s="42"/>
      <c r="AE3" s="42"/>
    </row>
    <row r="4" spans="1:31" x14ac:dyDescent="0.2">
      <c r="A4" s="46">
        <v>338</v>
      </c>
      <c r="B4" s="46"/>
      <c r="C4" s="46"/>
      <c r="D4" s="46" t="s">
        <v>113</v>
      </c>
      <c r="E4" s="46" t="s">
        <v>192</v>
      </c>
      <c r="F4" s="46" t="s">
        <v>115</v>
      </c>
      <c r="G4" s="47" t="s">
        <v>499</v>
      </c>
      <c r="H4" s="46" t="s">
        <v>1291</v>
      </c>
      <c r="I4" s="46"/>
      <c r="J4" s="46" t="s">
        <v>1292</v>
      </c>
      <c r="K4" s="48" t="s">
        <v>498</v>
      </c>
      <c r="L4" s="46"/>
      <c r="M4" s="46"/>
      <c r="N4" s="45" t="s">
        <v>1293</v>
      </c>
      <c r="O4" s="46" t="s">
        <v>1953</v>
      </c>
      <c r="P4" s="42"/>
      <c r="Q4" s="42"/>
      <c r="R4" s="42"/>
      <c r="S4" s="42"/>
      <c r="T4" s="42"/>
      <c r="U4" s="42"/>
      <c r="V4" s="42"/>
      <c r="W4" s="42"/>
      <c r="X4" s="42"/>
      <c r="Y4" s="42"/>
      <c r="Z4" s="42"/>
      <c r="AA4" s="42"/>
      <c r="AB4" s="42"/>
      <c r="AC4" s="42"/>
      <c r="AD4" s="42"/>
      <c r="AE4" s="42"/>
    </row>
    <row r="5" spans="1:31" x14ac:dyDescent="0.2">
      <c r="A5" s="46">
        <v>339</v>
      </c>
      <c r="B5" s="46"/>
      <c r="C5" s="46"/>
      <c r="D5" s="46" t="s">
        <v>113</v>
      </c>
      <c r="E5" s="46" t="s">
        <v>192</v>
      </c>
      <c r="F5" s="46" t="s">
        <v>115</v>
      </c>
      <c r="G5" s="47" t="s">
        <v>501</v>
      </c>
      <c r="H5" s="46" t="s">
        <v>1291</v>
      </c>
      <c r="I5" s="46"/>
      <c r="J5" s="46" t="s">
        <v>1292</v>
      </c>
      <c r="K5" s="48" t="s">
        <v>500</v>
      </c>
      <c r="L5" s="46"/>
      <c r="M5" s="46"/>
      <c r="N5" s="45" t="s">
        <v>1293</v>
      </c>
      <c r="O5" s="46" t="s">
        <v>1953</v>
      </c>
      <c r="P5" s="42"/>
      <c r="Q5" s="42"/>
      <c r="R5" s="42"/>
      <c r="S5" s="42"/>
      <c r="T5" s="42"/>
      <c r="U5" s="42"/>
      <c r="V5" s="42"/>
      <c r="W5" s="42"/>
      <c r="X5" s="42"/>
      <c r="Y5" s="42"/>
      <c r="Z5" s="42"/>
      <c r="AA5" s="42"/>
      <c r="AB5" s="42"/>
      <c r="AC5" s="42"/>
      <c r="AD5" s="42"/>
      <c r="AE5" s="42"/>
    </row>
    <row r="6" spans="1:31" x14ac:dyDescent="0.2">
      <c r="A6" s="46">
        <v>340</v>
      </c>
      <c r="B6" s="46"/>
      <c r="C6" s="46"/>
      <c r="D6" s="46" t="s">
        <v>113</v>
      </c>
      <c r="E6" s="46" t="s">
        <v>192</v>
      </c>
      <c r="F6" s="46" t="s">
        <v>115</v>
      </c>
      <c r="G6" s="47" t="s">
        <v>503</v>
      </c>
      <c r="H6" s="46" t="s">
        <v>1291</v>
      </c>
      <c r="I6" s="46"/>
      <c r="J6" s="46" t="s">
        <v>1292</v>
      </c>
      <c r="K6" s="48" t="s">
        <v>502</v>
      </c>
      <c r="L6" s="46"/>
      <c r="M6" s="46"/>
      <c r="N6" s="45" t="s">
        <v>1293</v>
      </c>
      <c r="O6" s="46" t="s">
        <v>1953</v>
      </c>
      <c r="P6" s="42"/>
      <c r="Q6" s="42"/>
      <c r="R6" s="42"/>
      <c r="S6" s="42"/>
      <c r="T6" s="42"/>
      <c r="U6" s="42"/>
      <c r="V6" s="42"/>
      <c r="W6" s="42"/>
      <c r="X6" s="42"/>
      <c r="Y6" s="42"/>
      <c r="Z6" s="42"/>
      <c r="AA6" s="42"/>
      <c r="AB6" s="42"/>
      <c r="AC6" s="42"/>
      <c r="AD6" s="42"/>
      <c r="AE6" s="42"/>
    </row>
    <row r="7" spans="1:31" x14ac:dyDescent="0.2">
      <c r="A7" s="46">
        <v>341</v>
      </c>
      <c r="B7" s="46"/>
      <c r="C7" s="46"/>
      <c r="D7" s="46" t="s">
        <v>113</v>
      </c>
      <c r="E7" s="46" t="s">
        <v>192</v>
      </c>
      <c r="F7" s="46" t="s">
        <v>115</v>
      </c>
      <c r="G7" s="47" t="s">
        <v>505</v>
      </c>
      <c r="H7" s="46" t="s">
        <v>1291</v>
      </c>
      <c r="I7" s="46"/>
      <c r="J7" s="46" t="s">
        <v>1292</v>
      </c>
      <c r="K7" s="48" t="s">
        <v>504</v>
      </c>
      <c r="L7" s="46"/>
      <c r="M7" s="46"/>
      <c r="N7" s="45" t="s">
        <v>1293</v>
      </c>
      <c r="O7" s="46" t="s">
        <v>1953</v>
      </c>
      <c r="P7" s="42"/>
      <c r="Q7" s="42"/>
      <c r="R7" s="42"/>
      <c r="S7" s="42"/>
      <c r="T7" s="42"/>
      <c r="U7" s="42"/>
      <c r="V7" s="42"/>
      <c r="W7" s="42"/>
      <c r="X7" s="42"/>
      <c r="Y7" s="42"/>
      <c r="Z7" s="42"/>
      <c r="AA7" s="42"/>
      <c r="AB7" s="42"/>
      <c r="AC7" s="42"/>
      <c r="AD7" s="42"/>
      <c r="AE7" s="42"/>
    </row>
    <row r="8" spans="1:31" x14ac:dyDescent="0.2">
      <c r="A8" s="46">
        <v>342</v>
      </c>
      <c r="B8" s="46"/>
      <c r="C8" s="46"/>
      <c r="D8" s="46" t="s">
        <v>113</v>
      </c>
      <c r="E8" s="46" t="s">
        <v>192</v>
      </c>
      <c r="F8" s="46" t="s">
        <v>115</v>
      </c>
      <c r="G8" s="47" t="s">
        <v>507</v>
      </c>
      <c r="H8" s="46" t="s">
        <v>1291</v>
      </c>
      <c r="I8" s="46"/>
      <c r="J8" s="46" t="s">
        <v>1292</v>
      </c>
      <c r="K8" s="48" t="s">
        <v>506</v>
      </c>
      <c r="L8" s="46"/>
      <c r="M8" s="46"/>
      <c r="N8" s="45" t="s">
        <v>1293</v>
      </c>
      <c r="O8" s="46" t="s">
        <v>1953</v>
      </c>
      <c r="P8" s="42"/>
      <c r="Q8" s="42"/>
      <c r="R8" s="42"/>
      <c r="S8" s="42"/>
      <c r="T8" s="42"/>
      <c r="U8" s="42"/>
      <c r="V8" s="42"/>
      <c r="W8" s="42"/>
      <c r="X8" s="42"/>
      <c r="Y8" s="42"/>
      <c r="Z8" s="42"/>
      <c r="AA8" s="42"/>
      <c r="AB8" s="42"/>
      <c r="AC8" s="42"/>
      <c r="AD8" s="42"/>
      <c r="AE8" s="42"/>
    </row>
    <row r="9" spans="1:31" x14ac:dyDescent="0.2">
      <c r="A9" s="46">
        <v>343</v>
      </c>
      <c r="B9" s="46"/>
      <c r="C9" s="46"/>
      <c r="D9" s="46" t="s">
        <v>113</v>
      </c>
      <c r="E9" s="46" t="s">
        <v>192</v>
      </c>
      <c r="F9" s="46" t="s">
        <v>115</v>
      </c>
      <c r="G9" s="47" t="s">
        <v>509</v>
      </c>
      <c r="H9" s="46" t="s">
        <v>1291</v>
      </c>
      <c r="I9" s="46"/>
      <c r="J9" s="46" t="s">
        <v>1292</v>
      </c>
      <c r="K9" s="48" t="s">
        <v>508</v>
      </c>
      <c r="L9" s="46"/>
      <c r="M9" s="46"/>
      <c r="N9" s="45" t="s">
        <v>1293</v>
      </c>
      <c r="O9" s="46" t="s">
        <v>1953</v>
      </c>
      <c r="P9" s="42"/>
      <c r="Q9" s="42"/>
      <c r="R9" s="42"/>
      <c r="S9" s="42"/>
      <c r="T9" s="42"/>
      <c r="U9" s="42"/>
      <c r="V9" s="42"/>
      <c r="W9" s="42"/>
      <c r="X9" s="42"/>
      <c r="Y9" s="42"/>
      <c r="Z9" s="42"/>
      <c r="AA9" s="42"/>
      <c r="AB9" s="42"/>
      <c r="AC9" s="42"/>
      <c r="AD9" s="42"/>
      <c r="AE9" s="42"/>
    </row>
    <row r="10" spans="1:31" x14ac:dyDescent="0.2">
      <c r="A10" s="46">
        <v>344</v>
      </c>
      <c r="B10" s="46"/>
      <c r="C10" s="46"/>
      <c r="D10" s="46" t="s">
        <v>113</v>
      </c>
      <c r="E10" s="46" t="s">
        <v>192</v>
      </c>
      <c r="F10" s="46" t="s">
        <v>115</v>
      </c>
      <c r="G10" s="47" t="s">
        <v>511</v>
      </c>
      <c r="H10" s="46" t="s">
        <v>1291</v>
      </c>
      <c r="I10" s="46"/>
      <c r="J10" s="46" t="s">
        <v>1292</v>
      </c>
      <c r="K10" s="48" t="s">
        <v>510</v>
      </c>
      <c r="L10" s="46"/>
      <c r="M10" s="46"/>
      <c r="N10" s="45" t="s">
        <v>1293</v>
      </c>
      <c r="O10" s="46" t="s">
        <v>1953</v>
      </c>
      <c r="P10" s="42"/>
      <c r="Q10" s="42"/>
      <c r="R10" s="42"/>
      <c r="S10" s="42"/>
      <c r="T10" s="42"/>
      <c r="U10" s="42"/>
      <c r="V10" s="42"/>
      <c r="W10" s="42"/>
      <c r="X10" s="42"/>
      <c r="Y10" s="42"/>
      <c r="Z10" s="42"/>
      <c r="AA10" s="42"/>
      <c r="AB10" s="42"/>
      <c r="AC10" s="42"/>
      <c r="AD10" s="42"/>
      <c r="AE10" s="42"/>
    </row>
    <row r="11" spans="1:31" x14ac:dyDescent="0.2">
      <c r="A11" s="46">
        <v>345</v>
      </c>
      <c r="B11" s="46"/>
      <c r="C11" s="46"/>
      <c r="D11" s="46" t="s">
        <v>113</v>
      </c>
      <c r="E11" s="46" t="s">
        <v>192</v>
      </c>
      <c r="F11" s="46" t="s">
        <v>115</v>
      </c>
      <c r="G11" s="47" t="s">
        <v>513</v>
      </c>
      <c r="H11" s="46" t="s">
        <v>1291</v>
      </c>
      <c r="I11" s="46"/>
      <c r="J11" s="46" t="s">
        <v>1292</v>
      </c>
      <c r="K11" s="48" t="s">
        <v>512</v>
      </c>
      <c r="L11" s="46"/>
      <c r="M11" s="46"/>
      <c r="N11" s="45" t="s">
        <v>1293</v>
      </c>
      <c r="O11" s="46" t="s">
        <v>1953</v>
      </c>
      <c r="P11" s="42"/>
      <c r="Q11" s="42"/>
      <c r="R11" s="42"/>
      <c r="S11" s="42"/>
      <c r="T11" s="42"/>
      <c r="U11" s="42"/>
      <c r="V11" s="42"/>
      <c r="W11" s="42"/>
      <c r="X11" s="42"/>
      <c r="Y11" s="42"/>
      <c r="Z11" s="42"/>
      <c r="AA11" s="42"/>
      <c r="AB11" s="42"/>
      <c r="AC11" s="42"/>
      <c r="AD11" s="42"/>
      <c r="AE11" s="42"/>
    </row>
    <row r="12" spans="1:31" x14ac:dyDescent="0.2">
      <c r="A12" s="46">
        <v>346</v>
      </c>
      <c r="B12" s="46"/>
      <c r="C12" s="46"/>
      <c r="D12" s="46" t="s">
        <v>113</v>
      </c>
      <c r="E12" s="46" t="s">
        <v>192</v>
      </c>
      <c r="F12" s="46" t="s">
        <v>115</v>
      </c>
      <c r="G12" s="47" t="s">
        <v>515</v>
      </c>
      <c r="H12" s="46" t="s">
        <v>1291</v>
      </c>
      <c r="I12" s="46"/>
      <c r="J12" s="46" t="s">
        <v>1292</v>
      </c>
      <c r="K12" s="48" t="s">
        <v>514</v>
      </c>
      <c r="L12" s="46"/>
      <c r="M12" s="46"/>
      <c r="N12" s="45" t="s">
        <v>1293</v>
      </c>
      <c r="O12" s="46" t="s">
        <v>1953</v>
      </c>
      <c r="P12" s="42"/>
      <c r="Q12" s="42"/>
      <c r="R12" s="42"/>
      <c r="S12" s="42"/>
      <c r="T12" s="42"/>
      <c r="U12" s="42"/>
      <c r="V12" s="42"/>
      <c r="W12" s="42"/>
      <c r="X12" s="42"/>
      <c r="Y12" s="42"/>
      <c r="Z12" s="42"/>
      <c r="AA12" s="42"/>
      <c r="AB12" s="42"/>
      <c r="AC12" s="42"/>
      <c r="AD12" s="42"/>
      <c r="AE12" s="42"/>
    </row>
    <row r="13" spans="1:31" x14ac:dyDescent="0.2">
      <c r="A13" s="46">
        <v>347</v>
      </c>
      <c r="B13" s="46"/>
      <c r="C13" s="46"/>
      <c r="D13" s="46" t="s">
        <v>113</v>
      </c>
      <c r="E13" s="46" t="s">
        <v>192</v>
      </c>
      <c r="F13" s="46" t="s">
        <v>115</v>
      </c>
      <c r="G13" s="47" t="s">
        <v>517</v>
      </c>
      <c r="H13" s="46" t="s">
        <v>1291</v>
      </c>
      <c r="I13" s="46"/>
      <c r="J13" s="46" t="s">
        <v>1292</v>
      </c>
      <c r="K13" s="48" t="s">
        <v>516</v>
      </c>
      <c r="L13" s="46"/>
      <c r="M13" s="46"/>
      <c r="N13" s="45" t="s">
        <v>1293</v>
      </c>
      <c r="O13" s="46" t="s">
        <v>1953</v>
      </c>
      <c r="P13" s="42"/>
      <c r="Q13" s="42"/>
      <c r="R13" s="42"/>
      <c r="S13" s="42"/>
      <c r="T13" s="42"/>
      <c r="U13" s="42"/>
      <c r="V13" s="42"/>
      <c r="W13" s="42"/>
      <c r="X13" s="42"/>
      <c r="Y13" s="42"/>
      <c r="Z13" s="42"/>
      <c r="AA13" s="42"/>
      <c r="AB13" s="42"/>
      <c r="AC13" s="42"/>
      <c r="AD13" s="42"/>
      <c r="AE13" s="42"/>
    </row>
    <row r="14" spans="1:31" x14ac:dyDescent="0.2">
      <c r="A14" s="46">
        <v>348</v>
      </c>
      <c r="B14" s="46"/>
      <c r="C14" s="46"/>
      <c r="D14" s="46" t="s">
        <v>113</v>
      </c>
      <c r="E14" s="46" t="s">
        <v>192</v>
      </c>
      <c r="F14" s="46" t="s">
        <v>115</v>
      </c>
      <c r="G14" s="47" t="s">
        <v>519</v>
      </c>
      <c r="H14" s="46" t="s">
        <v>1291</v>
      </c>
      <c r="I14" s="46"/>
      <c r="J14" s="46" t="s">
        <v>1292</v>
      </c>
      <c r="K14" s="48" t="s">
        <v>518</v>
      </c>
      <c r="L14" s="46"/>
      <c r="M14" s="46"/>
      <c r="N14" s="45" t="s">
        <v>1293</v>
      </c>
      <c r="O14" s="46" t="s">
        <v>1953</v>
      </c>
      <c r="P14" s="42"/>
      <c r="Q14" s="42"/>
      <c r="R14" s="42"/>
      <c r="S14" s="42"/>
      <c r="T14" s="42"/>
      <c r="U14" s="42"/>
      <c r="V14" s="42"/>
      <c r="W14" s="42"/>
      <c r="X14" s="42"/>
      <c r="Y14" s="42"/>
      <c r="Z14" s="42"/>
      <c r="AA14" s="42"/>
      <c r="AB14" s="42"/>
      <c r="AC14" s="42"/>
      <c r="AD14" s="42"/>
      <c r="AE14" s="42"/>
    </row>
    <row r="15" spans="1:31" x14ac:dyDescent="0.2">
      <c r="A15" s="46">
        <v>349</v>
      </c>
      <c r="B15" s="46"/>
      <c r="C15" s="46"/>
      <c r="D15" s="46" t="s">
        <v>113</v>
      </c>
      <c r="E15" s="46" t="s">
        <v>192</v>
      </c>
      <c r="F15" s="46" t="s">
        <v>115</v>
      </c>
      <c r="G15" s="47" t="s">
        <v>521</v>
      </c>
      <c r="H15" s="46" t="s">
        <v>1291</v>
      </c>
      <c r="I15" s="46"/>
      <c r="J15" s="46" t="s">
        <v>1292</v>
      </c>
      <c r="K15" s="48" t="s">
        <v>520</v>
      </c>
      <c r="L15" s="46"/>
      <c r="M15" s="46"/>
      <c r="N15" s="45" t="s">
        <v>1293</v>
      </c>
      <c r="O15" s="46" t="s">
        <v>1953</v>
      </c>
      <c r="P15" s="42"/>
      <c r="Q15" s="42"/>
      <c r="R15" s="42"/>
      <c r="S15" s="42"/>
      <c r="T15" s="42"/>
      <c r="U15" s="42"/>
      <c r="V15" s="42"/>
      <c r="W15" s="42"/>
      <c r="X15" s="42"/>
      <c r="Y15" s="42"/>
      <c r="Z15" s="42"/>
      <c r="AA15" s="42"/>
      <c r="AB15" s="42"/>
      <c r="AC15" s="42"/>
      <c r="AD15" s="42"/>
      <c r="AE15" s="42"/>
    </row>
    <row r="16" spans="1:31" x14ac:dyDescent="0.2">
      <c r="A16" s="46">
        <v>350</v>
      </c>
      <c r="B16" s="46"/>
      <c r="C16" s="46"/>
      <c r="D16" s="46" t="s">
        <v>113</v>
      </c>
      <c r="E16" s="46" t="s">
        <v>192</v>
      </c>
      <c r="F16" s="46" t="s">
        <v>115</v>
      </c>
      <c r="G16" s="47" t="s">
        <v>522</v>
      </c>
      <c r="H16" s="46" t="s">
        <v>1291</v>
      </c>
      <c r="I16" s="46"/>
      <c r="J16" s="46" t="s">
        <v>1423</v>
      </c>
      <c r="K16" s="46" t="s">
        <v>1556</v>
      </c>
      <c r="L16" s="46"/>
      <c r="M16" s="46" t="s">
        <v>1557</v>
      </c>
      <c r="N16" s="45" t="s">
        <v>1293</v>
      </c>
      <c r="O16" s="46" t="s">
        <v>1953</v>
      </c>
      <c r="P16" s="42"/>
      <c r="Q16" s="42"/>
      <c r="R16" s="42"/>
      <c r="S16" s="42"/>
      <c r="T16" s="42"/>
      <c r="U16" s="42"/>
      <c r="V16" s="42"/>
      <c r="W16" s="42"/>
      <c r="X16" s="42"/>
      <c r="Y16" s="42"/>
      <c r="Z16" s="42"/>
      <c r="AA16" s="42"/>
      <c r="AB16" s="42"/>
      <c r="AC16" s="42"/>
      <c r="AD16" s="42"/>
      <c r="AE16" s="42"/>
    </row>
    <row r="17" spans="1:31" x14ac:dyDescent="0.2">
      <c r="A17" s="46">
        <v>351</v>
      </c>
      <c r="B17" s="46"/>
      <c r="C17" s="46"/>
      <c r="D17" s="46" t="s">
        <v>113</v>
      </c>
      <c r="E17" s="46" t="s">
        <v>192</v>
      </c>
      <c r="F17" s="46" t="s">
        <v>115</v>
      </c>
      <c r="G17" s="47" t="s">
        <v>524</v>
      </c>
      <c r="H17" s="46" t="s">
        <v>1291</v>
      </c>
      <c r="I17" s="46"/>
      <c r="J17" s="46" t="s">
        <v>1292</v>
      </c>
      <c r="K17" s="48" t="s">
        <v>523</v>
      </c>
      <c r="L17" s="46"/>
      <c r="M17" s="46"/>
      <c r="N17" s="45" t="s">
        <v>1293</v>
      </c>
      <c r="O17" s="46" t="s">
        <v>1953</v>
      </c>
      <c r="P17" s="42"/>
      <c r="Q17" s="42"/>
      <c r="R17" s="42"/>
      <c r="S17" s="42"/>
      <c r="T17" s="42"/>
      <c r="U17" s="42"/>
      <c r="V17" s="42"/>
      <c r="W17" s="42"/>
      <c r="X17" s="42"/>
      <c r="Y17" s="42"/>
      <c r="Z17" s="42"/>
      <c r="AA17" s="42"/>
      <c r="AB17" s="42"/>
      <c r="AC17" s="42"/>
      <c r="AD17" s="42"/>
      <c r="AE17" s="42"/>
    </row>
    <row r="18" spans="1:31" x14ac:dyDescent="0.2">
      <c r="A18" s="46">
        <v>352</v>
      </c>
      <c r="B18" s="46"/>
      <c r="C18" s="46"/>
      <c r="D18" s="46" t="s">
        <v>113</v>
      </c>
      <c r="E18" s="46" t="s">
        <v>192</v>
      </c>
      <c r="F18" s="46" t="s">
        <v>115</v>
      </c>
      <c r="G18" s="47" t="s">
        <v>526</v>
      </c>
      <c r="H18" s="46" t="s">
        <v>1291</v>
      </c>
      <c r="I18" s="46"/>
      <c r="J18" s="46" t="s">
        <v>1292</v>
      </c>
      <c r="K18" s="48" t="s">
        <v>525</v>
      </c>
      <c r="L18" s="46"/>
      <c r="M18" s="46"/>
      <c r="N18" s="45" t="s">
        <v>1293</v>
      </c>
      <c r="O18" s="46" t="s">
        <v>1953</v>
      </c>
      <c r="P18" s="42"/>
      <c r="Q18" s="42"/>
      <c r="R18" s="42"/>
      <c r="S18" s="42"/>
      <c r="T18" s="42"/>
      <c r="U18" s="42"/>
      <c r="V18" s="42"/>
      <c r="W18" s="42"/>
      <c r="X18" s="42"/>
      <c r="Y18" s="42"/>
      <c r="Z18" s="42"/>
      <c r="AA18" s="42"/>
      <c r="AB18" s="42"/>
      <c r="AC18" s="42"/>
      <c r="AD18" s="42"/>
      <c r="AE18" s="42"/>
    </row>
    <row r="19" spans="1:31" x14ac:dyDescent="0.2">
      <c r="A19" s="46">
        <v>353</v>
      </c>
      <c r="B19" s="46"/>
      <c r="C19" s="46"/>
      <c r="D19" s="46" t="s">
        <v>113</v>
      </c>
      <c r="E19" s="46" t="s">
        <v>192</v>
      </c>
      <c r="F19" s="46" t="s">
        <v>115</v>
      </c>
      <c r="G19" s="47" t="s">
        <v>528</v>
      </c>
      <c r="H19" s="46" t="s">
        <v>1291</v>
      </c>
      <c r="I19" s="46"/>
      <c r="J19" s="46" t="s">
        <v>1292</v>
      </c>
      <c r="K19" s="48" t="s">
        <v>527</v>
      </c>
      <c r="L19" s="46"/>
      <c r="M19" s="46"/>
      <c r="N19" s="45" t="s">
        <v>1293</v>
      </c>
      <c r="O19" s="46" t="s">
        <v>1953</v>
      </c>
      <c r="P19" s="42"/>
      <c r="Q19" s="42"/>
      <c r="R19" s="42"/>
      <c r="S19" s="42"/>
      <c r="T19" s="42"/>
      <c r="U19" s="42"/>
      <c r="V19" s="42"/>
      <c r="W19" s="42"/>
      <c r="X19" s="42"/>
      <c r="Y19" s="42"/>
      <c r="Z19" s="42"/>
      <c r="AA19" s="42"/>
      <c r="AB19" s="42"/>
      <c r="AC19" s="42"/>
      <c r="AD19" s="42"/>
      <c r="AE19" s="42"/>
    </row>
    <row r="20" spans="1:31" x14ac:dyDescent="0.2">
      <c r="A20" s="46">
        <v>354</v>
      </c>
      <c r="B20" s="46"/>
      <c r="C20" s="46"/>
      <c r="D20" s="46" t="s">
        <v>113</v>
      </c>
      <c r="E20" s="46" t="s">
        <v>192</v>
      </c>
      <c r="F20" s="46" t="s">
        <v>115</v>
      </c>
      <c r="G20" s="47" t="s">
        <v>530</v>
      </c>
      <c r="H20" s="46" t="s">
        <v>1291</v>
      </c>
      <c r="I20" s="46"/>
      <c r="J20" s="46" t="s">
        <v>1292</v>
      </c>
      <c r="K20" s="48" t="s">
        <v>529</v>
      </c>
      <c r="L20" s="46"/>
      <c r="M20" s="46"/>
      <c r="N20" s="45" t="s">
        <v>1293</v>
      </c>
      <c r="O20" s="46" t="s">
        <v>1953</v>
      </c>
      <c r="P20" s="42"/>
      <c r="Q20" s="42"/>
      <c r="R20" s="42"/>
      <c r="S20" s="42"/>
      <c r="T20" s="42"/>
      <c r="U20" s="42"/>
      <c r="V20" s="42"/>
      <c r="W20" s="42"/>
      <c r="X20" s="42"/>
      <c r="Y20" s="42"/>
      <c r="Z20" s="42"/>
      <c r="AA20" s="42"/>
      <c r="AB20" s="42"/>
      <c r="AC20" s="42"/>
      <c r="AD20" s="42"/>
      <c r="AE20" s="42"/>
    </row>
    <row r="21" spans="1:31" x14ac:dyDescent="0.2">
      <c r="A21" s="46">
        <v>355</v>
      </c>
      <c r="B21" s="46"/>
      <c r="C21" s="46"/>
      <c r="D21" s="46" t="s">
        <v>113</v>
      </c>
      <c r="E21" s="46" t="s">
        <v>192</v>
      </c>
      <c r="F21" s="46" t="s">
        <v>115</v>
      </c>
      <c r="G21" s="47" t="s">
        <v>532</v>
      </c>
      <c r="H21" s="46" t="s">
        <v>1291</v>
      </c>
      <c r="I21" s="46"/>
      <c r="J21" s="46" t="s">
        <v>1292</v>
      </c>
      <c r="K21" s="48" t="s">
        <v>531</v>
      </c>
      <c r="L21" s="46"/>
      <c r="M21" s="46"/>
      <c r="N21" s="45" t="s">
        <v>1293</v>
      </c>
      <c r="O21" s="46" t="s">
        <v>1953</v>
      </c>
      <c r="P21" s="42"/>
      <c r="Q21" s="42"/>
      <c r="R21" s="42"/>
      <c r="S21" s="42"/>
      <c r="T21" s="42"/>
      <c r="U21" s="42"/>
      <c r="V21" s="42"/>
      <c r="W21" s="42"/>
      <c r="X21" s="42"/>
      <c r="Y21" s="42"/>
      <c r="Z21" s="42"/>
      <c r="AA21" s="42"/>
      <c r="AB21" s="42"/>
      <c r="AC21" s="42"/>
      <c r="AD21" s="42"/>
      <c r="AE21" s="42"/>
    </row>
    <row r="22" spans="1:31" x14ac:dyDescent="0.2">
      <c r="A22" s="46">
        <v>356</v>
      </c>
      <c r="B22" s="46"/>
      <c r="C22" s="46"/>
      <c r="D22" s="46" t="s">
        <v>113</v>
      </c>
      <c r="E22" s="46" t="s">
        <v>192</v>
      </c>
      <c r="F22" s="46" t="s">
        <v>115</v>
      </c>
      <c r="G22" s="47" t="s">
        <v>533</v>
      </c>
      <c r="H22" s="46" t="s">
        <v>1291</v>
      </c>
      <c r="I22" s="46"/>
      <c r="J22" s="46" t="s">
        <v>1423</v>
      </c>
      <c r="K22" s="46" t="s">
        <v>1558</v>
      </c>
      <c r="L22" s="46"/>
      <c r="M22" s="46" t="s">
        <v>1559</v>
      </c>
      <c r="N22" s="45" t="s">
        <v>1293</v>
      </c>
      <c r="O22" s="46" t="s">
        <v>1953</v>
      </c>
      <c r="P22" s="42"/>
      <c r="Q22" s="42"/>
      <c r="R22" s="42"/>
      <c r="S22" s="42"/>
      <c r="T22" s="42"/>
      <c r="U22" s="42"/>
      <c r="V22" s="42"/>
      <c r="W22" s="42"/>
      <c r="X22" s="42"/>
      <c r="Y22" s="42"/>
      <c r="Z22" s="42"/>
      <c r="AA22" s="42"/>
      <c r="AB22" s="42"/>
      <c r="AC22" s="42"/>
      <c r="AD22" s="42"/>
      <c r="AE22" s="42"/>
    </row>
    <row r="23" spans="1:31" x14ac:dyDescent="0.2">
      <c r="A23" s="46">
        <v>357</v>
      </c>
      <c r="B23" s="46"/>
      <c r="C23" s="46"/>
      <c r="D23" s="46" t="s">
        <v>113</v>
      </c>
      <c r="E23" s="46" t="s">
        <v>192</v>
      </c>
      <c r="F23" s="46" t="s">
        <v>115</v>
      </c>
      <c r="G23" s="47" t="s">
        <v>535</v>
      </c>
      <c r="H23" s="46" t="s">
        <v>1291</v>
      </c>
      <c r="I23" s="46"/>
      <c r="J23" s="46" t="s">
        <v>1292</v>
      </c>
      <c r="K23" s="48" t="s">
        <v>534</v>
      </c>
      <c r="L23" s="46"/>
      <c r="M23" s="46"/>
      <c r="N23" s="45" t="s">
        <v>1293</v>
      </c>
      <c r="O23" s="46" t="s">
        <v>1953</v>
      </c>
      <c r="P23" s="42"/>
      <c r="Q23" s="42"/>
      <c r="R23" s="42"/>
      <c r="S23" s="42"/>
      <c r="T23" s="42"/>
      <c r="U23" s="42"/>
      <c r="V23" s="42"/>
      <c r="W23" s="42"/>
      <c r="X23" s="42"/>
      <c r="Y23" s="42"/>
      <c r="Z23" s="42"/>
      <c r="AA23" s="42"/>
      <c r="AB23" s="42"/>
      <c r="AC23" s="42"/>
      <c r="AD23" s="42"/>
      <c r="AE23" s="42"/>
    </row>
    <row r="24" spans="1:31" x14ac:dyDescent="0.2">
      <c r="A24" s="46">
        <v>358</v>
      </c>
      <c r="B24" s="46"/>
      <c r="C24" s="46"/>
      <c r="D24" s="46" t="s">
        <v>113</v>
      </c>
      <c r="E24" s="46" t="s">
        <v>192</v>
      </c>
      <c r="F24" s="46" t="s">
        <v>115</v>
      </c>
      <c r="G24" s="47" t="s">
        <v>537</v>
      </c>
      <c r="H24" s="46" t="s">
        <v>1291</v>
      </c>
      <c r="I24" s="46"/>
      <c r="J24" s="46" t="s">
        <v>1292</v>
      </c>
      <c r="K24" s="48" t="s">
        <v>536</v>
      </c>
      <c r="L24" s="46"/>
      <c r="M24" s="46"/>
      <c r="N24" s="45" t="s">
        <v>1293</v>
      </c>
      <c r="O24" s="46" t="s">
        <v>1953</v>
      </c>
      <c r="P24" s="42"/>
      <c r="Q24" s="42"/>
      <c r="R24" s="42"/>
      <c r="S24" s="42"/>
      <c r="T24" s="42"/>
      <c r="U24" s="42"/>
      <c r="V24" s="42"/>
      <c r="W24" s="42"/>
      <c r="X24" s="42"/>
      <c r="Y24" s="42"/>
      <c r="Z24" s="42"/>
      <c r="AA24" s="42"/>
      <c r="AB24" s="42"/>
      <c r="AC24" s="42"/>
      <c r="AD24" s="42"/>
      <c r="AE24" s="42"/>
    </row>
    <row r="25" spans="1:31" x14ac:dyDescent="0.2">
      <c r="A25" s="46">
        <v>359</v>
      </c>
      <c r="B25" s="46"/>
      <c r="C25" s="46"/>
      <c r="D25" s="46" t="s">
        <v>113</v>
      </c>
      <c r="E25" s="46" t="s">
        <v>192</v>
      </c>
      <c r="F25" s="46" t="s">
        <v>115</v>
      </c>
      <c r="G25" s="47" t="s">
        <v>538</v>
      </c>
      <c r="H25" s="46" t="s">
        <v>1291</v>
      </c>
      <c r="I25" s="46"/>
      <c r="J25" s="46" t="s">
        <v>1423</v>
      </c>
      <c r="K25" s="46" t="s">
        <v>1560</v>
      </c>
      <c r="L25" s="46"/>
      <c r="M25" s="46" t="s">
        <v>1561</v>
      </c>
      <c r="N25" s="45" t="s">
        <v>1293</v>
      </c>
      <c r="O25" s="46" t="s">
        <v>1953</v>
      </c>
      <c r="P25" s="42"/>
      <c r="Q25" s="42"/>
      <c r="R25" s="42"/>
      <c r="S25" s="42"/>
      <c r="T25" s="42"/>
      <c r="U25" s="42"/>
      <c r="V25" s="42"/>
      <c r="W25" s="42"/>
      <c r="X25" s="42"/>
      <c r="Y25" s="42"/>
      <c r="Z25" s="42"/>
      <c r="AA25" s="42"/>
      <c r="AB25" s="42"/>
      <c r="AC25" s="42"/>
      <c r="AD25" s="42"/>
      <c r="AE25" s="42"/>
    </row>
    <row r="26" spans="1:31" x14ac:dyDescent="0.2">
      <c r="A26" s="46">
        <v>360</v>
      </c>
      <c r="B26" s="46"/>
      <c r="C26" s="46"/>
      <c r="D26" s="46" t="s">
        <v>113</v>
      </c>
      <c r="E26" s="46" t="s">
        <v>192</v>
      </c>
      <c r="F26" s="46" t="s">
        <v>115</v>
      </c>
      <c r="G26" s="47" t="s">
        <v>540</v>
      </c>
      <c r="H26" s="46" t="s">
        <v>1291</v>
      </c>
      <c r="I26" s="46"/>
      <c r="J26" s="46" t="s">
        <v>1292</v>
      </c>
      <c r="K26" s="48" t="s">
        <v>539</v>
      </c>
      <c r="L26" s="46"/>
      <c r="M26" s="46"/>
      <c r="N26" s="45" t="s">
        <v>1293</v>
      </c>
      <c r="O26" s="46" t="s">
        <v>1953</v>
      </c>
      <c r="P26" s="42"/>
      <c r="Q26" s="42"/>
      <c r="R26" s="42"/>
      <c r="S26" s="42"/>
      <c r="T26" s="42"/>
      <c r="U26" s="42"/>
      <c r="V26" s="42"/>
      <c r="W26" s="42"/>
      <c r="X26" s="42"/>
      <c r="Y26" s="42"/>
      <c r="Z26" s="42"/>
      <c r="AA26" s="42"/>
      <c r="AB26" s="42"/>
      <c r="AC26" s="42"/>
      <c r="AD26" s="42"/>
      <c r="AE26" s="42"/>
    </row>
    <row r="27" spans="1:31" x14ac:dyDescent="0.2">
      <c r="A27" s="46">
        <v>361</v>
      </c>
      <c r="B27" s="46"/>
      <c r="C27" s="46"/>
      <c r="D27" s="46" t="s">
        <v>113</v>
      </c>
      <c r="E27" s="46" t="s">
        <v>192</v>
      </c>
      <c r="F27" s="46" t="s">
        <v>115</v>
      </c>
      <c r="G27" s="47" t="s">
        <v>542</v>
      </c>
      <c r="H27" s="46" t="s">
        <v>1291</v>
      </c>
      <c r="I27" s="46"/>
      <c r="J27" s="46" t="s">
        <v>1292</v>
      </c>
      <c r="K27" s="48" t="s">
        <v>541</v>
      </c>
      <c r="L27" s="46"/>
      <c r="M27" s="46"/>
      <c r="N27" s="45" t="s">
        <v>1293</v>
      </c>
      <c r="O27" s="46" t="s">
        <v>1953</v>
      </c>
      <c r="P27" s="42"/>
      <c r="Q27" s="42"/>
      <c r="R27" s="42"/>
      <c r="S27" s="42"/>
      <c r="T27" s="42"/>
      <c r="U27" s="42"/>
      <c r="V27" s="42"/>
      <c r="W27" s="42"/>
      <c r="X27" s="42"/>
      <c r="Y27" s="42"/>
      <c r="Z27" s="42"/>
      <c r="AA27" s="42"/>
      <c r="AB27" s="42"/>
      <c r="AC27" s="42"/>
      <c r="AD27" s="42"/>
      <c r="AE27" s="42"/>
    </row>
    <row r="28" spans="1:31" x14ac:dyDescent="0.2">
      <c r="A28" s="46">
        <v>362</v>
      </c>
      <c r="B28" s="46"/>
      <c r="C28" s="46"/>
      <c r="D28" s="46" t="s">
        <v>113</v>
      </c>
      <c r="E28" s="46" t="s">
        <v>192</v>
      </c>
      <c r="F28" s="46" t="s">
        <v>115</v>
      </c>
      <c r="G28" s="47" t="s">
        <v>544</v>
      </c>
      <c r="H28" s="46" t="s">
        <v>1291</v>
      </c>
      <c r="I28" s="46"/>
      <c r="J28" s="46" t="s">
        <v>1292</v>
      </c>
      <c r="K28" s="48" t="s">
        <v>543</v>
      </c>
      <c r="L28" s="46"/>
      <c r="M28" s="46"/>
      <c r="N28" s="45" t="s">
        <v>1293</v>
      </c>
      <c r="O28" s="46" t="s">
        <v>1953</v>
      </c>
      <c r="P28" s="42"/>
      <c r="Q28" s="42"/>
      <c r="R28" s="42"/>
      <c r="S28" s="42"/>
      <c r="T28" s="42"/>
      <c r="U28" s="42"/>
      <c r="V28" s="42"/>
      <c r="W28" s="42"/>
      <c r="X28" s="42"/>
      <c r="Y28" s="42"/>
      <c r="Z28" s="42"/>
      <c r="AA28" s="42"/>
      <c r="AB28" s="42"/>
      <c r="AC28" s="42"/>
      <c r="AD28" s="42"/>
      <c r="AE28" s="42"/>
    </row>
    <row r="29" spans="1:31" x14ac:dyDescent="0.2">
      <c r="A29" s="46">
        <v>363</v>
      </c>
      <c r="B29" s="46"/>
      <c r="C29" s="46"/>
      <c r="D29" s="46" t="s">
        <v>113</v>
      </c>
      <c r="E29" s="46" t="s">
        <v>192</v>
      </c>
      <c r="F29" s="46" t="s">
        <v>115</v>
      </c>
      <c r="G29" s="47" t="s">
        <v>546</v>
      </c>
      <c r="H29" s="46" t="s">
        <v>1291</v>
      </c>
      <c r="I29" s="46"/>
      <c r="J29" s="46" t="s">
        <v>1292</v>
      </c>
      <c r="K29" s="48" t="s">
        <v>545</v>
      </c>
      <c r="L29" s="46"/>
      <c r="M29" s="46"/>
      <c r="N29" s="45" t="s">
        <v>1293</v>
      </c>
      <c r="O29" s="46" t="s">
        <v>1953</v>
      </c>
      <c r="P29" s="42"/>
      <c r="Q29" s="42"/>
      <c r="R29" s="42"/>
      <c r="S29" s="42"/>
      <c r="T29" s="42"/>
      <c r="U29" s="42"/>
      <c r="V29" s="42"/>
      <c r="W29" s="42"/>
      <c r="X29" s="42"/>
      <c r="Y29" s="42"/>
      <c r="Z29" s="42"/>
      <c r="AA29" s="42"/>
      <c r="AB29" s="42"/>
      <c r="AC29" s="42"/>
      <c r="AD29" s="42"/>
      <c r="AE29" s="42"/>
    </row>
    <row r="30" spans="1:31" x14ac:dyDescent="0.2">
      <c r="A30" s="46">
        <v>364</v>
      </c>
      <c r="B30" s="46"/>
      <c r="C30" s="46"/>
      <c r="D30" s="46" t="s">
        <v>113</v>
      </c>
      <c r="E30" s="46" t="s">
        <v>192</v>
      </c>
      <c r="F30" s="46" t="s">
        <v>115</v>
      </c>
      <c r="G30" s="47" t="s">
        <v>548</v>
      </c>
      <c r="H30" s="46" t="s">
        <v>1291</v>
      </c>
      <c r="I30" s="46"/>
      <c r="J30" s="46" t="s">
        <v>1292</v>
      </c>
      <c r="K30" s="48" t="s">
        <v>547</v>
      </c>
      <c r="L30" s="46"/>
      <c r="M30" s="46"/>
      <c r="N30" s="45" t="s">
        <v>1293</v>
      </c>
      <c r="O30" s="46" t="s">
        <v>1953</v>
      </c>
      <c r="P30" s="42"/>
      <c r="Q30" s="42"/>
      <c r="R30" s="42"/>
      <c r="S30" s="42"/>
      <c r="T30" s="42"/>
      <c r="U30" s="42"/>
      <c r="V30" s="42"/>
      <c r="W30" s="42"/>
      <c r="X30" s="42"/>
      <c r="Y30" s="42"/>
      <c r="Z30" s="42"/>
      <c r="AA30" s="42"/>
      <c r="AB30" s="42"/>
      <c r="AC30" s="42"/>
      <c r="AD30" s="42"/>
      <c r="AE30" s="42"/>
    </row>
    <row r="31" spans="1:31" x14ac:dyDescent="0.2">
      <c r="A31" s="46">
        <v>365</v>
      </c>
      <c r="B31" s="46"/>
      <c r="C31" s="46"/>
      <c r="D31" s="46" t="s">
        <v>113</v>
      </c>
      <c r="E31" s="46" t="s">
        <v>192</v>
      </c>
      <c r="F31" s="46" t="s">
        <v>115</v>
      </c>
      <c r="G31" s="47" t="s">
        <v>550</v>
      </c>
      <c r="H31" s="46" t="s">
        <v>1291</v>
      </c>
      <c r="I31" s="46"/>
      <c r="J31" s="46" t="s">
        <v>1292</v>
      </c>
      <c r="K31" s="48" t="s">
        <v>549</v>
      </c>
      <c r="L31" s="46"/>
      <c r="M31" s="46"/>
      <c r="N31" s="45" t="s">
        <v>1293</v>
      </c>
      <c r="O31" s="46" t="s">
        <v>1953</v>
      </c>
      <c r="P31" s="42"/>
      <c r="Q31" s="42"/>
      <c r="R31" s="42"/>
      <c r="S31" s="42"/>
      <c r="T31" s="42"/>
      <c r="U31" s="42"/>
      <c r="V31" s="42"/>
      <c r="W31" s="42"/>
      <c r="X31" s="42"/>
      <c r="Y31" s="42"/>
      <c r="Z31" s="42"/>
      <c r="AA31" s="42"/>
      <c r="AB31" s="42"/>
      <c r="AC31" s="42"/>
      <c r="AD31" s="42"/>
      <c r="AE31" s="42"/>
    </row>
    <row r="32" spans="1:31" x14ac:dyDescent="0.2">
      <c r="A32" s="46">
        <v>366</v>
      </c>
      <c r="B32" s="46"/>
      <c r="C32" s="46"/>
      <c r="D32" s="46" t="s">
        <v>113</v>
      </c>
      <c r="E32" s="46" t="s">
        <v>192</v>
      </c>
      <c r="F32" s="46" t="s">
        <v>115</v>
      </c>
      <c r="G32" s="47" t="s">
        <v>552</v>
      </c>
      <c r="H32" s="46" t="s">
        <v>1291</v>
      </c>
      <c r="I32" s="46"/>
      <c r="J32" s="46" t="s">
        <v>1292</v>
      </c>
      <c r="K32" s="48" t="s">
        <v>551</v>
      </c>
      <c r="L32" s="46"/>
      <c r="M32" s="46"/>
      <c r="N32" s="45" t="s">
        <v>1293</v>
      </c>
      <c r="O32" s="46" t="s">
        <v>1953</v>
      </c>
      <c r="P32" s="42"/>
      <c r="Q32" s="42"/>
      <c r="R32" s="42"/>
      <c r="S32" s="42"/>
      <c r="T32" s="42"/>
      <c r="U32" s="42"/>
      <c r="V32" s="42"/>
      <c r="W32" s="42"/>
      <c r="X32" s="42"/>
      <c r="Y32" s="42"/>
      <c r="Z32" s="42"/>
      <c r="AA32" s="42"/>
      <c r="AB32" s="42"/>
      <c r="AC32" s="42"/>
      <c r="AD32" s="42"/>
      <c r="AE32" s="42"/>
    </row>
    <row r="33" spans="1:31" x14ac:dyDescent="0.2">
      <c r="A33" s="46">
        <v>367</v>
      </c>
      <c r="B33" s="46"/>
      <c r="C33" s="46"/>
      <c r="D33" s="46" t="s">
        <v>113</v>
      </c>
      <c r="E33" s="46" t="s">
        <v>192</v>
      </c>
      <c r="F33" s="46" t="s">
        <v>115</v>
      </c>
      <c r="G33" s="47" t="s">
        <v>554</v>
      </c>
      <c r="H33" s="46" t="s">
        <v>1291</v>
      </c>
      <c r="I33" s="46"/>
      <c r="J33" s="46" t="s">
        <v>1292</v>
      </c>
      <c r="K33" s="48" t="s">
        <v>553</v>
      </c>
      <c r="L33" s="46"/>
      <c r="M33" s="46"/>
      <c r="N33" s="45" t="s">
        <v>1293</v>
      </c>
      <c r="O33" s="46" t="s">
        <v>1953</v>
      </c>
      <c r="P33" s="42"/>
      <c r="Q33" s="42"/>
      <c r="R33" s="42"/>
      <c r="S33" s="42"/>
      <c r="T33" s="42"/>
      <c r="U33" s="42"/>
      <c r="V33" s="42"/>
      <c r="W33" s="42"/>
      <c r="X33" s="42"/>
      <c r="Y33" s="42"/>
      <c r="Z33" s="42"/>
      <c r="AA33" s="42"/>
      <c r="AB33" s="42"/>
      <c r="AC33" s="42"/>
      <c r="AD33" s="42"/>
      <c r="AE33" s="42"/>
    </row>
    <row r="34" spans="1:31" x14ac:dyDescent="0.2">
      <c r="A34" s="46">
        <v>368</v>
      </c>
      <c r="B34" s="46"/>
      <c r="C34" s="46"/>
      <c r="D34" s="46" t="s">
        <v>113</v>
      </c>
      <c r="E34" s="46" t="s">
        <v>192</v>
      </c>
      <c r="F34" s="46" t="s">
        <v>115</v>
      </c>
      <c r="G34" s="47" t="s">
        <v>556</v>
      </c>
      <c r="H34" s="46" t="s">
        <v>1291</v>
      </c>
      <c r="I34" s="46"/>
      <c r="J34" s="46" t="s">
        <v>1292</v>
      </c>
      <c r="K34" s="48" t="s">
        <v>555</v>
      </c>
      <c r="L34" s="46"/>
      <c r="M34" s="46"/>
      <c r="N34" s="45" t="s">
        <v>1293</v>
      </c>
      <c r="O34" s="46" t="s">
        <v>1953</v>
      </c>
      <c r="P34" s="42"/>
      <c r="Q34" s="42"/>
      <c r="R34" s="42"/>
      <c r="S34" s="42"/>
      <c r="T34" s="42"/>
      <c r="U34" s="42"/>
      <c r="V34" s="42"/>
      <c r="W34" s="42"/>
      <c r="X34" s="42"/>
      <c r="Y34" s="42"/>
      <c r="Z34" s="42"/>
      <c r="AA34" s="42"/>
      <c r="AB34" s="42"/>
      <c r="AC34" s="42"/>
      <c r="AD34" s="42"/>
      <c r="AE34" s="42"/>
    </row>
    <row r="35" spans="1:31" x14ac:dyDescent="0.2">
      <c r="A35" s="46">
        <v>369</v>
      </c>
      <c r="B35" s="46"/>
      <c r="C35" s="46"/>
      <c r="D35" s="46" t="s">
        <v>113</v>
      </c>
      <c r="E35" s="46" t="s">
        <v>192</v>
      </c>
      <c r="F35" s="46" t="s">
        <v>115</v>
      </c>
      <c r="G35" s="47" t="s">
        <v>558</v>
      </c>
      <c r="H35" s="46" t="s">
        <v>1291</v>
      </c>
      <c r="I35" s="46"/>
      <c r="J35" s="46" t="s">
        <v>1292</v>
      </c>
      <c r="K35" s="48" t="s">
        <v>557</v>
      </c>
      <c r="L35" s="46"/>
      <c r="M35" s="46"/>
      <c r="N35" s="45" t="s">
        <v>1293</v>
      </c>
      <c r="O35" s="46" t="s">
        <v>1953</v>
      </c>
      <c r="P35" s="42"/>
      <c r="Q35" s="42"/>
      <c r="R35" s="42"/>
      <c r="S35" s="42"/>
      <c r="T35" s="42"/>
      <c r="U35" s="42"/>
      <c r="V35" s="42"/>
      <c r="W35" s="42"/>
      <c r="X35" s="42"/>
      <c r="Y35" s="42"/>
      <c r="Z35" s="42"/>
      <c r="AA35" s="42"/>
      <c r="AB35" s="42"/>
      <c r="AC35" s="42"/>
      <c r="AD35" s="42"/>
      <c r="AE35" s="42"/>
    </row>
    <row r="36" spans="1:31" x14ac:dyDescent="0.2">
      <c r="A36" s="46">
        <v>370</v>
      </c>
      <c r="B36" s="46"/>
      <c r="C36" s="46"/>
      <c r="D36" s="46" t="s">
        <v>113</v>
      </c>
      <c r="E36" s="46" t="s">
        <v>192</v>
      </c>
      <c r="F36" s="46" t="s">
        <v>115</v>
      </c>
      <c r="G36" s="47" t="s">
        <v>560</v>
      </c>
      <c r="H36" s="46" t="s">
        <v>1291</v>
      </c>
      <c r="I36" s="46"/>
      <c r="J36" s="46" t="s">
        <v>1292</v>
      </c>
      <c r="K36" s="48" t="s">
        <v>559</v>
      </c>
      <c r="L36" s="46"/>
      <c r="M36" s="46"/>
      <c r="N36" s="45" t="s">
        <v>1293</v>
      </c>
      <c r="O36" s="46" t="s">
        <v>1953</v>
      </c>
      <c r="P36" s="42"/>
      <c r="Q36" s="42"/>
      <c r="R36" s="42"/>
      <c r="S36" s="42"/>
      <c r="T36" s="42"/>
      <c r="U36" s="42"/>
      <c r="V36" s="42"/>
      <c r="W36" s="42"/>
      <c r="X36" s="42"/>
      <c r="Y36" s="42"/>
      <c r="Z36" s="42"/>
      <c r="AA36" s="42"/>
      <c r="AB36" s="42"/>
      <c r="AC36" s="42"/>
      <c r="AD36" s="42"/>
      <c r="AE36" s="42"/>
    </row>
    <row r="37" spans="1:31" x14ac:dyDescent="0.2">
      <c r="A37" s="46">
        <v>371</v>
      </c>
      <c r="B37" s="46"/>
      <c r="C37" s="46"/>
      <c r="D37" s="46" t="s">
        <v>113</v>
      </c>
      <c r="E37" s="46" t="s">
        <v>192</v>
      </c>
      <c r="F37" s="46" t="s">
        <v>115</v>
      </c>
      <c r="G37" s="47" t="s">
        <v>562</v>
      </c>
      <c r="H37" s="46" t="s">
        <v>1291</v>
      </c>
      <c r="I37" s="46"/>
      <c r="J37" s="46" t="s">
        <v>1292</v>
      </c>
      <c r="K37" s="48" t="s">
        <v>561</v>
      </c>
      <c r="L37" s="46"/>
      <c r="M37" s="46"/>
      <c r="N37" s="45" t="s">
        <v>1293</v>
      </c>
      <c r="O37" s="46" t="s">
        <v>1953</v>
      </c>
      <c r="P37" s="42"/>
      <c r="Q37" s="42"/>
      <c r="R37" s="42"/>
      <c r="S37" s="42"/>
      <c r="T37" s="42"/>
      <c r="U37" s="42"/>
      <c r="V37" s="42"/>
      <c r="W37" s="42"/>
      <c r="X37" s="42"/>
      <c r="Y37" s="42"/>
      <c r="Z37" s="42"/>
      <c r="AA37" s="42"/>
      <c r="AB37" s="42"/>
      <c r="AC37" s="42"/>
      <c r="AD37" s="42"/>
      <c r="AE37" s="42"/>
    </row>
    <row r="38" spans="1:31" x14ac:dyDescent="0.2">
      <c r="A38" s="46">
        <v>372</v>
      </c>
      <c r="B38" s="46"/>
      <c r="C38" s="46"/>
      <c r="D38" s="46" t="s">
        <v>113</v>
      </c>
      <c r="E38" s="46" t="s">
        <v>192</v>
      </c>
      <c r="F38" s="46" t="s">
        <v>115</v>
      </c>
      <c r="G38" s="47" t="s">
        <v>564</v>
      </c>
      <c r="H38" s="46" t="s">
        <v>1291</v>
      </c>
      <c r="I38" s="46"/>
      <c r="J38" s="46" t="s">
        <v>1292</v>
      </c>
      <c r="K38" s="48" t="s">
        <v>563</v>
      </c>
      <c r="L38" s="46"/>
      <c r="M38" s="46"/>
      <c r="N38" s="45" t="s">
        <v>1293</v>
      </c>
      <c r="O38" s="46" t="s">
        <v>1953</v>
      </c>
      <c r="P38" s="42"/>
      <c r="Q38" s="42"/>
      <c r="R38" s="42"/>
      <c r="S38" s="42"/>
      <c r="T38" s="42"/>
      <c r="U38" s="42"/>
      <c r="V38" s="42"/>
      <c r="W38" s="42"/>
      <c r="X38" s="42"/>
      <c r="Y38" s="42"/>
      <c r="Z38" s="42"/>
      <c r="AA38" s="42"/>
      <c r="AB38" s="42"/>
      <c r="AC38" s="42"/>
      <c r="AD38" s="42"/>
      <c r="AE38" s="42"/>
    </row>
    <row r="39" spans="1:31" x14ac:dyDescent="0.2">
      <c r="A39" s="46">
        <v>373</v>
      </c>
      <c r="B39" s="46"/>
      <c r="C39" s="46"/>
      <c r="D39" s="46" t="s">
        <v>113</v>
      </c>
      <c r="E39" s="46" t="s">
        <v>192</v>
      </c>
      <c r="F39" s="46" t="s">
        <v>115</v>
      </c>
      <c r="G39" s="47" t="s">
        <v>566</v>
      </c>
      <c r="H39" s="46" t="s">
        <v>1291</v>
      </c>
      <c r="I39" s="46"/>
      <c r="J39" s="46" t="s">
        <v>1292</v>
      </c>
      <c r="K39" s="48" t="s">
        <v>565</v>
      </c>
      <c r="L39" s="46"/>
      <c r="M39" s="46"/>
      <c r="N39" s="45" t="s">
        <v>1293</v>
      </c>
      <c r="O39" s="46" t="s">
        <v>1953</v>
      </c>
      <c r="P39" s="42"/>
      <c r="Q39" s="42"/>
      <c r="R39" s="42"/>
      <c r="S39" s="42"/>
      <c r="T39" s="42"/>
      <c r="U39" s="42"/>
      <c r="V39" s="42"/>
      <c r="W39" s="42"/>
      <c r="X39" s="42"/>
      <c r="Y39" s="42"/>
      <c r="Z39" s="42"/>
      <c r="AA39" s="42"/>
      <c r="AB39" s="42"/>
      <c r="AC39" s="42"/>
      <c r="AD39" s="42"/>
      <c r="AE39" s="42"/>
    </row>
    <row r="40" spans="1:31" x14ac:dyDescent="0.2">
      <c r="A40" s="46">
        <v>374</v>
      </c>
      <c r="B40" s="46"/>
      <c r="C40" s="46"/>
      <c r="D40" s="46" t="s">
        <v>113</v>
      </c>
      <c r="E40" s="46" t="s">
        <v>192</v>
      </c>
      <c r="F40" s="46" t="s">
        <v>115</v>
      </c>
      <c r="G40" s="47" t="s">
        <v>568</v>
      </c>
      <c r="H40" s="46" t="s">
        <v>1291</v>
      </c>
      <c r="I40" s="46"/>
      <c r="J40" s="46" t="s">
        <v>1292</v>
      </c>
      <c r="K40" s="48" t="s">
        <v>567</v>
      </c>
      <c r="L40" s="46"/>
      <c r="M40" s="46"/>
      <c r="N40" s="45" t="s">
        <v>1293</v>
      </c>
      <c r="O40" s="46" t="s">
        <v>1953</v>
      </c>
      <c r="P40" s="42"/>
      <c r="Q40" s="42"/>
      <c r="R40" s="42"/>
      <c r="S40" s="42"/>
      <c r="T40" s="42"/>
      <c r="U40" s="42"/>
      <c r="V40" s="42"/>
      <c r="W40" s="42"/>
      <c r="X40" s="42"/>
      <c r="Y40" s="42"/>
      <c r="Z40" s="42"/>
      <c r="AA40" s="42"/>
      <c r="AB40" s="42"/>
      <c r="AC40" s="42"/>
      <c r="AD40" s="42"/>
      <c r="AE40" s="42"/>
    </row>
    <row r="41" spans="1:31" x14ac:dyDescent="0.2">
      <c r="A41" s="46">
        <v>375</v>
      </c>
      <c r="B41" s="46"/>
      <c r="C41" s="46"/>
      <c r="D41" s="46" t="s">
        <v>113</v>
      </c>
      <c r="E41" s="46" t="s">
        <v>192</v>
      </c>
      <c r="F41" s="46" t="s">
        <v>115</v>
      </c>
      <c r="G41" s="47" t="s">
        <v>570</v>
      </c>
      <c r="H41" s="46" t="s">
        <v>1291</v>
      </c>
      <c r="I41" s="46"/>
      <c r="J41" s="46" t="s">
        <v>1292</v>
      </c>
      <c r="K41" s="48" t="s">
        <v>569</v>
      </c>
      <c r="L41" s="46"/>
      <c r="M41" s="46"/>
      <c r="N41" s="45" t="s">
        <v>1293</v>
      </c>
      <c r="O41" s="46" t="s">
        <v>1953</v>
      </c>
      <c r="P41" s="42"/>
      <c r="Q41" s="42"/>
      <c r="R41" s="42"/>
      <c r="S41" s="42"/>
      <c r="T41" s="42"/>
      <c r="U41" s="42"/>
      <c r="V41" s="42"/>
      <c r="W41" s="42"/>
      <c r="X41" s="42"/>
      <c r="Y41" s="42"/>
      <c r="Z41" s="42"/>
      <c r="AA41" s="42"/>
      <c r="AB41" s="42"/>
      <c r="AC41" s="42"/>
      <c r="AD41" s="42"/>
      <c r="AE41" s="42"/>
    </row>
    <row r="42" spans="1:31" x14ac:dyDescent="0.2">
      <c r="A42" s="46">
        <v>376</v>
      </c>
      <c r="B42" s="46"/>
      <c r="C42" s="46"/>
      <c r="D42" s="46" t="s">
        <v>113</v>
      </c>
      <c r="E42" s="46" t="s">
        <v>192</v>
      </c>
      <c r="F42" s="46" t="s">
        <v>115</v>
      </c>
      <c r="G42" s="47" t="s">
        <v>572</v>
      </c>
      <c r="H42" s="46" t="s">
        <v>1291</v>
      </c>
      <c r="I42" s="46"/>
      <c r="J42" s="46" t="s">
        <v>1292</v>
      </c>
      <c r="K42" s="48" t="s">
        <v>571</v>
      </c>
      <c r="L42" s="46"/>
      <c r="M42" s="46"/>
      <c r="N42" s="45" t="s">
        <v>1293</v>
      </c>
      <c r="O42" s="46" t="s">
        <v>1953</v>
      </c>
      <c r="P42" s="42"/>
      <c r="Q42" s="42"/>
      <c r="R42" s="42"/>
      <c r="S42" s="42"/>
      <c r="T42" s="42"/>
      <c r="U42" s="42"/>
      <c r="V42" s="42"/>
      <c r="W42" s="42"/>
      <c r="X42" s="42"/>
      <c r="Y42" s="42"/>
      <c r="Z42" s="42"/>
      <c r="AA42" s="42"/>
      <c r="AB42" s="42"/>
      <c r="AC42" s="42"/>
      <c r="AD42" s="42"/>
      <c r="AE42" s="42"/>
    </row>
    <row r="43" spans="1:31" x14ac:dyDescent="0.2">
      <c r="A43" s="46">
        <v>377</v>
      </c>
      <c r="B43" s="46"/>
      <c r="C43" s="46"/>
      <c r="D43" s="46" t="s">
        <v>113</v>
      </c>
      <c r="E43" s="46" t="s">
        <v>192</v>
      </c>
      <c r="F43" s="46" t="s">
        <v>115</v>
      </c>
      <c r="G43" s="47" t="s">
        <v>574</v>
      </c>
      <c r="H43" s="46" t="s">
        <v>1291</v>
      </c>
      <c r="I43" s="46"/>
      <c r="J43" s="46" t="s">
        <v>1292</v>
      </c>
      <c r="K43" s="48" t="s">
        <v>573</v>
      </c>
      <c r="L43" s="46"/>
      <c r="M43" s="46"/>
      <c r="N43" s="45" t="s">
        <v>1293</v>
      </c>
      <c r="O43" s="46" t="s">
        <v>1953</v>
      </c>
      <c r="P43" s="42"/>
      <c r="Q43" s="42"/>
      <c r="R43" s="42"/>
      <c r="S43" s="42"/>
      <c r="T43" s="42"/>
      <c r="U43" s="42"/>
      <c r="V43" s="42"/>
      <c r="W43" s="42"/>
      <c r="X43" s="42"/>
      <c r="Y43" s="42"/>
      <c r="Z43" s="42"/>
      <c r="AA43" s="42"/>
      <c r="AB43" s="42"/>
      <c r="AC43" s="42"/>
      <c r="AD43" s="42"/>
      <c r="AE43" s="42"/>
    </row>
    <row r="44" spans="1:31" x14ac:dyDescent="0.2">
      <c r="A44" s="46">
        <v>378</v>
      </c>
      <c r="B44" s="46"/>
      <c r="C44" s="46"/>
      <c r="D44" s="46" t="s">
        <v>113</v>
      </c>
      <c r="E44" s="46" t="s">
        <v>192</v>
      </c>
      <c r="F44" s="46" t="s">
        <v>115</v>
      </c>
      <c r="G44" s="47" t="s">
        <v>576</v>
      </c>
      <c r="H44" s="46" t="s">
        <v>1291</v>
      </c>
      <c r="I44" s="46"/>
      <c r="J44" s="46" t="s">
        <v>1292</v>
      </c>
      <c r="K44" s="48" t="s">
        <v>575</v>
      </c>
      <c r="L44" s="46"/>
      <c r="M44" s="46"/>
      <c r="N44" s="45" t="s">
        <v>1293</v>
      </c>
      <c r="O44" s="46" t="s">
        <v>1953</v>
      </c>
      <c r="P44" s="42"/>
      <c r="Q44" s="42"/>
      <c r="R44" s="42"/>
      <c r="S44" s="42"/>
      <c r="T44" s="42"/>
      <c r="U44" s="42"/>
      <c r="V44" s="42"/>
      <c r="W44" s="42"/>
      <c r="X44" s="42"/>
      <c r="Y44" s="42"/>
      <c r="Z44" s="42"/>
      <c r="AA44" s="42"/>
      <c r="AB44" s="42"/>
      <c r="AC44" s="42"/>
      <c r="AD44" s="42"/>
      <c r="AE44" s="42"/>
    </row>
    <row r="45" spans="1:31" x14ac:dyDescent="0.2">
      <c r="A45" s="46">
        <v>379</v>
      </c>
      <c r="B45" s="46"/>
      <c r="C45" s="46"/>
      <c r="D45" s="46" t="s">
        <v>113</v>
      </c>
      <c r="E45" s="46" t="s">
        <v>192</v>
      </c>
      <c r="F45" s="46" t="s">
        <v>115</v>
      </c>
      <c r="G45" s="47" t="s">
        <v>578</v>
      </c>
      <c r="H45" s="46" t="s">
        <v>1291</v>
      </c>
      <c r="I45" s="46"/>
      <c r="J45" s="46" t="s">
        <v>1292</v>
      </c>
      <c r="K45" s="48" t="s">
        <v>577</v>
      </c>
      <c r="L45" s="46"/>
      <c r="M45" s="46"/>
      <c r="N45" s="45" t="s">
        <v>1293</v>
      </c>
      <c r="O45" s="46" t="s">
        <v>1953</v>
      </c>
      <c r="P45" s="42"/>
      <c r="Q45" s="42"/>
      <c r="R45" s="42"/>
      <c r="S45" s="42"/>
      <c r="T45" s="42"/>
      <c r="U45" s="42"/>
      <c r="V45" s="42"/>
      <c r="W45" s="42"/>
      <c r="X45" s="42"/>
      <c r="Y45" s="42"/>
      <c r="Z45" s="42"/>
      <c r="AA45" s="42"/>
      <c r="AB45" s="42"/>
      <c r="AC45" s="42"/>
      <c r="AD45" s="42"/>
      <c r="AE45" s="42"/>
    </row>
    <row r="46" spans="1:31" x14ac:dyDescent="0.2">
      <c r="A46" s="46">
        <v>380</v>
      </c>
      <c r="B46" s="46"/>
      <c r="C46" s="46"/>
      <c r="D46" s="46" t="s">
        <v>113</v>
      </c>
      <c r="E46" s="46" t="s">
        <v>192</v>
      </c>
      <c r="F46" s="46" t="s">
        <v>115</v>
      </c>
      <c r="G46" s="47" t="s">
        <v>580</v>
      </c>
      <c r="H46" s="46" t="s">
        <v>1291</v>
      </c>
      <c r="I46" s="46"/>
      <c r="J46" s="46" t="s">
        <v>1292</v>
      </c>
      <c r="K46" s="48" t="s">
        <v>579</v>
      </c>
      <c r="L46" s="46"/>
      <c r="M46" s="46"/>
      <c r="N46" s="45" t="s">
        <v>1293</v>
      </c>
      <c r="O46" s="46" t="s">
        <v>1953</v>
      </c>
      <c r="P46" s="42"/>
      <c r="Q46" s="42"/>
      <c r="R46" s="42"/>
      <c r="S46" s="42"/>
      <c r="T46" s="42"/>
      <c r="U46" s="42"/>
      <c r="V46" s="42"/>
      <c r="W46" s="42"/>
      <c r="X46" s="42"/>
      <c r="Y46" s="42"/>
      <c r="Z46" s="42"/>
      <c r="AA46" s="42"/>
      <c r="AB46" s="42"/>
      <c r="AC46" s="42"/>
      <c r="AD46" s="42"/>
      <c r="AE46" s="42"/>
    </row>
    <row r="47" spans="1:31" x14ac:dyDescent="0.2">
      <c r="A47" s="46">
        <v>381</v>
      </c>
      <c r="B47" s="46"/>
      <c r="C47" s="46"/>
      <c r="D47" s="46" t="s">
        <v>113</v>
      </c>
      <c r="E47" s="46" t="s">
        <v>192</v>
      </c>
      <c r="F47" s="46" t="s">
        <v>115</v>
      </c>
      <c r="G47" s="47" t="s">
        <v>582</v>
      </c>
      <c r="H47" s="46" t="s">
        <v>1291</v>
      </c>
      <c r="I47" s="46"/>
      <c r="J47" s="46" t="s">
        <v>1292</v>
      </c>
      <c r="K47" s="48" t="s">
        <v>581</v>
      </c>
      <c r="L47" s="46"/>
      <c r="M47" s="46"/>
      <c r="N47" s="45" t="s">
        <v>1293</v>
      </c>
      <c r="O47" s="46" t="s">
        <v>1953</v>
      </c>
      <c r="P47" s="42"/>
      <c r="Q47" s="42"/>
      <c r="R47" s="42"/>
      <c r="S47" s="42"/>
      <c r="T47" s="42"/>
      <c r="U47" s="42"/>
      <c r="V47" s="42"/>
      <c r="W47" s="42"/>
      <c r="X47" s="42"/>
      <c r="Y47" s="42"/>
      <c r="Z47" s="42"/>
      <c r="AA47" s="42"/>
      <c r="AB47" s="42"/>
      <c r="AC47" s="42"/>
      <c r="AD47" s="42"/>
      <c r="AE47" s="42"/>
    </row>
    <row r="48" spans="1:31" x14ac:dyDescent="0.2">
      <c r="A48" s="46">
        <v>382</v>
      </c>
      <c r="B48" s="46"/>
      <c r="C48" s="46"/>
      <c r="D48" s="46" t="s">
        <v>113</v>
      </c>
      <c r="E48" s="46" t="s">
        <v>192</v>
      </c>
      <c r="F48" s="46" t="s">
        <v>115</v>
      </c>
      <c r="G48" s="47" t="s">
        <v>584</v>
      </c>
      <c r="H48" s="46" t="s">
        <v>1291</v>
      </c>
      <c r="I48" s="46"/>
      <c r="J48" s="46" t="s">
        <v>1292</v>
      </c>
      <c r="K48" s="48" t="s">
        <v>583</v>
      </c>
      <c r="L48" s="46"/>
      <c r="M48" s="46"/>
      <c r="N48" s="45" t="s">
        <v>1293</v>
      </c>
      <c r="O48" s="46" t="s">
        <v>1953</v>
      </c>
      <c r="P48" s="42"/>
      <c r="Q48" s="42"/>
      <c r="R48" s="42"/>
      <c r="S48" s="42"/>
      <c r="T48" s="42"/>
      <c r="U48" s="42"/>
      <c r="V48" s="42"/>
      <c r="W48" s="42"/>
      <c r="X48" s="42"/>
      <c r="Y48" s="42"/>
      <c r="Z48" s="42"/>
      <c r="AA48" s="42"/>
      <c r="AB48" s="42"/>
      <c r="AC48" s="42"/>
      <c r="AD48" s="42"/>
      <c r="AE48" s="42"/>
    </row>
    <row r="49" spans="1:31" x14ac:dyDescent="0.2">
      <c r="A49" s="46">
        <v>383</v>
      </c>
      <c r="B49" s="46"/>
      <c r="C49" s="46"/>
      <c r="D49" s="46" t="s">
        <v>113</v>
      </c>
      <c r="E49" s="46" t="s">
        <v>192</v>
      </c>
      <c r="F49" s="46" t="s">
        <v>115</v>
      </c>
      <c r="G49" s="47" t="s">
        <v>586</v>
      </c>
      <c r="H49" s="46" t="s">
        <v>1291</v>
      </c>
      <c r="I49" s="46"/>
      <c r="J49" s="46" t="s">
        <v>1292</v>
      </c>
      <c r="K49" s="48" t="s">
        <v>585</v>
      </c>
      <c r="L49" s="46"/>
      <c r="M49" s="46"/>
      <c r="N49" s="45" t="s">
        <v>1293</v>
      </c>
      <c r="O49" s="46" t="s">
        <v>1953</v>
      </c>
      <c r="P49" s="42"/>
      <c r="Q49" s="42"/>
      <c r="R49" s="42"/>
      <c r="S49" s="42"/>
      <c r="T49" s="42"/>
      <c r="U49" s="42"/>
      <c r="V49" s="42"/>
      <c r="W49" s="42"/>
      <c r="X49" s="42"/>
      <c r="Y49" s="42"/>
      <c r="Z49" s="42"/>
      <c r="AA49" s="42"/>
      <c r="AB49" s="42"/>
      <c r="AC49" s="42"/>
      <c r="AD49" s="42"/>
      <c r="AE49" s="42"/>
    </row>
    <row r="50" spans="1:31" x14ac:dyDescent="0.2">
      <c r="A50" s="46">
        <v>384</v>
      </c>
      <c r="B50" s="46"/>
      <c r="C50" s="46"/>
      <c r="D50" s="46" t="s">
        <v>113</v>
      </c>
      <c r="E50" s="46" t="s">
        <v>192</v>
      </c>
      <c r="F50" s="46" t="s">
        <v>115</v>
      </c>
      <c r="G50" s="47" t="s">
        <v>588</v>
      </c>
      <c r="H50" s="46" t="s">
        <v>1291</v>
      </c>
      <c r="I50" s="46"/>
      <c r="J50" s="46" t="s">
        <v>1292</v>
      </c>
      <c r="K50" s="48" t="s">
        <v>587</v>
      </c>
      <c r="L50" s="46"/>
      <c r="M50" s="46"/>
      <c r="N50" s="45" t="s">
        <v>1293</v>
      </c>
      <c r="O50" s="46" t="s">
        <v>1953</v>
      </c>
      <c r="P50" s="42"/>
      <c r="Q50" s="42"/>
      <c r="R50" s="42"/>
      <c r="S50" s="42"/>
      <c r="T50" s="42"/>
      <c r="U50" s="42"/>
      <c r="V50" s="42"/>
      <c r="W50" s="42"/>
      <c r="X50" s="42"/>
      <c r="Y50" s="42"/>
      <c r="Z50" s="42"/>
      <c r="AA50" s="42"/>
      <c r="AB50" s="42"/>
      <c r="AC50" s="42"/>
      <c r="AD50" s="42"/>
      <c r="AE50" s="42"/>
    </row>
    <row r="51" spans="1:31" x14ac:dyDescent="0.2">
      <c r="A51" s="46">
        <v>385</v>
      </c>
      <c r="B51" s="46"/>
      <c r="C51" s="46"/>
      <c r="D51" s="46" t="s">
        <v>113</v>
      </c>
      <c r="E51" s="46" t="s">
        <v>192</v>
      </c>
      <c r="F51" s="46" t="s">
        <v>115</v>
      </c>
      <c r="G51" s="47" t="s">
        <v>590</v>
      </c>
      <c r="H51" s="46" t="s">
        <v>1291</v>
      </c>
      <c r="I51" s="46"/>
      <c r="J51" s="46" t="s">
        <v>1292</v>
      </c>
      <c r="K51" s="48" t="s">
        <v>589</v>
      </c>
      <c r="L51" s="46"/>
      <c r="M51" s="46"/>
      <c r="N51" s="45" t="s">
        <v>1293</v>
      </c>
      <c r="O51" s="46" t="s">
        <v>1953</v>
      </c>
      <c r="P51" s="42"/>
      <c r="Q51" s="42"/>
      <c r="R51" s="42"/>
      <c r="S51" s="42"/>
      <c r="T51" s="42"/>
      <c r="U51" s="42"/>
      <c r="V51" s="42"/>
      <c r="W51" s="42"/>
      <c r="X51" s="42"/>
      <c r="Y51" s="42"/>
      <c r="Z51" s="42"/>
      <c r="AA51" s="42"/>
      <c r="AB51" s="42"/>
      <c r="AC51" s="42"/>
      <c r="AD51" s="42"/>
      <c r="AE51" s="42"/>
    </row>
    <row r="52" spans="1:31" x14ac:dyDescent="0.2">
      <c r="A52" s="46">
        <v>386</v>
      </c>
      <c r="B52" s="46"/>
      <c r="C52" s="46"/>
      <c r="D52" s="46" t="s">
        <v>113</v>
      </c>
      <c r="E52" s="46" t="s">
        <v>192</v>
      </c>
      <c r="F52" s="46" t="s">
        <v>115</v>
      </c>
      <c r="G52" s="47" t="s">
        <v>592</v>
      </c>
      <c r="H52" s="46" t="s">
        <v>1291</v>
      </c>
      <c r="I52" s="46"/>
      <c r="J52" s="46" t="s">
        <v>1292</v>
      </c>
      <c r="K52" s="48" t="s">
        <v>591</v>
      </c>
      <c r="L52" s="46"/>
      <c r="M52" s="46"/>
      <c r="N52" s="45" t="s">
        <v>1293</v>
      </c>
      <c r="O52" s="46" t="s">
        <v>1953</v>
      </c>
      <c r="P52" s="42"/>
      <c r="Q52" s="42"/>
      <c r="R52" s="42"/>
      <c r="S52" s="42"/>
      <c r="T52" s="42"/>
      <c r="U52" s="42"/>
      <c r="V52" s="42"/>
      <c r="W52" s="42"/>
      <c r="X52" s="42"/>
      <c r="Y52" s="42"/>
      <c r="Z52" s="42"/>
      <c r="AA52" s="42"/>
      <c r="AB52" s="42"/>
      <c r="AC52" s="42"/>
      <c r="AD52" s="42"/>
      <c r="AE52" s="42"/>
    </row>
    <row r="53" spans="1:31" x14ac:dyDescent="0.2">
      <c r="A53" s="46">
        <v>387</v>
      </c>
      <c r="B53" s="46"/>
      <c r="C53" s="46"/>
      <c r="D53" s="46" t="s">
        <v>113</v>
      </c>
      <c r="E53" s="46" t="s">
        <v>192</v>
      </c>
      <c r="F53" s="46" t="s">
        <v>115</v>
      </c>
      <c r="G53" s="47" t="s">
        <v>593</v>
      </c>
      <c r="H53" s="46" t="s">
        <v>1291</v>
      </c>
      <c r="I53" s="46"/>
      <c r="J53" s="46" t="s">
        <v>1423</v>
      </c>
      <c r="K53" s="46" t="s">
        <v>1562</v>
      </c>
      <c r="L53" s="46"/>
      <c r="M53" s="46" t="s">
        <v>1561</v>
      </c>
      <c r="N53" s="45" t="s">
        <v>1293</v>
      </c>
      <c r="O53" s="46" t="s">
        <v>1953</v>
      </c>
      <c r="P53" s="42"/>
      <c r="Q53" s="42"/>
      <c r="R53" s="42"/>
      <c r="S53" s="42"/>
      <c r="T53" s="42"/>
      <c r="U53" s="42"/>
      <c r="V53" s="42"/>
      <c r="W53" s="42"/>
      <c r="X53" s="42"/>
      <c r="Y53" s="42"/>
      <c r="Z53" s="42"/>
      <c r="AA53" s="42"/>
      <c r="AB53" s="42"/>
      <c r="AC53" s="42"/>
      <c r="AD53" s="42"/>
      <c r="AE53" s="42"/>
    </row>
    <row r="54" spans="1:31" x14ac:dyDescent="0.2">
      <c r="A54" s="46">
        <v>388</v>
      </c>
      <c r="B54" s="46"/>
      <c r="C54" s="46"/>
      <c r="D54" s="46" t="s">
        <v>113</v>
      </c>
      <c r="E54" s="46" t="s">
        <v>192</v>
      </c>
      <c r="F54" s="46" t="s">
        <v>115</v>
      </c>
      <c r="G54" s="47" t="s">
        <v>595</v>
      </c>
      <c r="H54" s="46" t="s">
        <v>1291</v>
      </c>
      <c r="I54" s="46"/>
      <c r="J54" s="46" t="s">
        <v>1292</v>
      </c>
      <c r="K54" s="48" t="s">
        <v>594</v>
      </c>
      <c r="L54" s="46"/>
      <c r="M54" s="46"/>
      <c r="N54" s="45" t="s">
        <v>1293</v>
      </c>
      <c r="O54" s="46" t="s">
        <v>1953</v>
      </c>
      <c r="P54" s="42"/>
      <c r="Q54" s="42"/>
      <c r="R54" s="42"/>
      <c r="S54" s="42"/>
      <c r="T54" s="42"/>
      <c r="U54" s="42"/>
      <c r="V54" s="42"/>
      <c r="W54" s="42"/>
      <c r="X54" s="42"/>
      <c r="Y54" s="42"/>
      <c r="Z54" s="42"/>
      <c r="AA54" s="42"/>
      <c r="AB54" s="42"/>
      <c r="AC54" s="42"/>
      <c r="AD54" s="42"/>
      <c r="AE54" s="42"/>
    </row>
    <row r="55" spans="1:31" x14ac:dyDescent="0.2">
      <c r="A55" s="46">
        <v>389</v>
      </c>
      <c r="B55" s="46"/>
      <c r="C55" s="46"/>
      <c r="D55" s="46" t="s">
        <v>113</v>
      </c>
      <c r="E55" s="46" t="s">
        <v>192</v>
      </c>
      <c r="F55" s="46" t="s">
        <v>115</v>
      </c>
      <c r="G55" s="47" t="s">
        <v>597</v>
      </c>
      <c r="H55" s="46" t="s">
        <v>1291</v>
      </c>
      <c r="I55" s="46"/>
      <c r="J55" s="46" t="s">
        <v>1292</v>
      </c>
      <c r="K55" s="48" t="s">
        <v>596</v>
      </c>
      <c r="L55" s="46"/>
      <c r="M55" s="46"/>
      <c r="N55" s="45" t="s">
        <v>1293</v>
      </c>
      <c r="O55" s="46" t="s">
        <v>1953</v>
      </c>
      <c r="P55" s="42"/>
      <c r="Q55" s="42"/>
      <c r="R55" s="42"/>
      <c r="S55" s="42"/>
      <c r="T55" s="42"/>
      <c r="U55" s="42"/>
      <c r="V55" s="42"/>
      <c r="W55" s="42"/>
      <c r="X55" s="42"/>
      <c r="Y55" s="42"/>
      <c r="Z55" s="42"/>
      <c r="AA55" s="42"/>
      <c r="AB55" s="42"/>
      <c r="AC55" s="42"/>
      <c r="AD55" s="42"/>
      <c r="AE55" s="42"/>
    </row>
    <row r="56" spans="1:31" x14ac:dyDescent="0.2">
      <c r="A56" s="46">
        <v>390</v>
      </c>
      <c r="B56" s="46"/>
      <c r="C56" s="46"/>
      <c r="D56" s="46" t="s">
        <v>113</v>
      </c>
      <c r="E56" s="46" t="s">
        <v>192</v>
      </c>
      <c r="F56" s="46" t="s">
        <v>115</v>
      </c>
      <c r="G56" s="47" t="s">
        <v>599</v>
      </c>
      <c r="H56" s="46" t="s">
        <v>1291</v>
      </c>
      <c r="I56" s="46"/>
      <c r="J56" s="46" t="s">
        <v>1292</v>
      </c>
      <c r="K56" s="48" t="s">
        <v>598</v>
      </c>
      <c r="L56" s="46"/>
      <c r="M56" s="46"/>
      <c r="N56" s="45" t="s">
        <v>1293</v>
      </c>
      <c r="O56" s="46" t="s">
        <v>1953</v>
      </c>
      <c r="P56" s="42"/>
      <c r="Q56" s="42"/>
      <c r="R56" s="42"/>
      <c r="S56" s="42"/>
      <c r="T56" s="42"/>
      <c r="U56" s="42"/>
      <c r="V56" s="42"/>
      <c r="W56" s="42"/>
      <c r="X56" s="42"/>
      <c r="Y56" s="42"/>
      <c r="Z56" s="42"/>
      <c r="AA56" s="42"/>
      <c r="AB56" s="42"/>
      <c r="AC56" s="42"/>
      <c r="AD56" s="42"/>
      <c r="AE56" s="42"/>
    </row>
    <row r="57" spans="1:31" x14ac:dyDescent="0.2">
      <c r="A57" s="46">
        <v>391</v>
      </c>
      <c r="B57" s="46"/>
      <c r="C57" s="46"/>
      <c r="D57" s="46" t="s">
        <v>113</v>
      </c>
      <c r="E57" s="46" t="s">
        <v>192</v>
      </c>
      <c r="F57" s="46" t="s">
        <v>115</v>
      </c>
      <c r="G57" s="47" t="s">
        <v>601</v>
      </c>
      <c r="H57" s="46" t="s">
        <v>1291</v>
      </c>
      <c r="I57" s="46"/>
      <c r="J57" s="46" t="s">
        <v>1292</v>
      </c>
      <c r="K57" s="48" t="s">
        <v>600</v>
      </c>
      <c r="L57" s="46"/>
      <c r="M57" s="46"/>
      <c r="N57" s="45" t="s">
        <v>1293</v>
      </c>
      <c r="O57" s="46" t="s">
        <v>1953</v>
      </c>
      <c r="P57" s="42"/>
      <c r="Q57" s="42"/>
      <c r="R57" s="42"/>
      <c r="S57" s="42"/>
      <c r="T57" s="42"/>
      <c r="U57" s="42"/>
      <c r="V57" s="42"/>
      <c r="W57" s="42"/>
      <c r="X57" s="42"/>
      <c r="Y57" s="42"/>
      <c r="Z57" s="42"/>
      <c r="AA57" s="42"/>
      <c r="AB57" s="42"/>
      <c r="AC57" s="42"/>
      <c r="AD57" s="42"/>
      <c r="AE57" s="42"/>
    </row>
    <row r="58" spans="1:31" x14ac:dyDescent="0.2">
      <c r="A58" s="46">
        <v>392</v>
      </c>
      <c r="B58" s="46"/>
      <c r="C58" s="46"/>
      <c r="D58" s="46" t="s">
        <v>113</v>
      </c>
      <c r="E58" s="46" t="s">
        <v>192</v>
      </c>
      <c r="F58" s="46" t="s">
        <v>115</v>
      </c>
      <c r="G58" s="47" t="s">
        <v>602</v>
      </c>
      <c r="H58" s="46" t="s">
        <v>1291</v>
      </c>
      <c r="I58" s="46"/>
      <c r="J58" s="46" t="s">
        <v>1423</v>
      </c>
      <c r="K58" s="46" t="s">
        <v>1563</v>
      </c>
      <c r="L58" s="46"/>
      <c r="M58" s="46" t="s">
        <v>1557</v>
      </c>
      <c r="N58" s="45" t="s">
        <v>1293</v>
      </c>
      <c r="O58" s="46" t="s">
        <v>1953</v>
      </c>
      <c r="P58" s="42"/>
      <c r="Q58" s="42"/>
      <c r="R58" s="42"/>
      <c r="S58" s="42"/>
      <c r="T58" s="42"/>
      <c r="U58" s="42"/>
      <c r="V58" s="42"/>
      <c r="W58" s="42"/>
      <c r="X58" s="42"/>
      <c r="Y58" s="42"/>
      <c r="Z58" s="42"/>
      <c r="AA58" s="42"/>
      <c r="AB58" s="42"/>
      <c r="AC58" s="42"/>
      <c r="AD58" s="42"/>
      <c r="AE58" s="42"/>
    </row>
    <row r="59" spans="1:31" x14ac:dyDescent="0.2">
      <c r="A59" s="46">
        <v>393</v>
      </c>
      <c r="B59" s="46"/>
      <c r="C59" s="46"/>
      <c r="D59" s="46" t="s">
        <v>113</v>
      </c>
      <c r="E59" s="46" t="s">
        <v>192</v>
      </c>
      <c r="F59" s="46" t="s">
        <v>115</v>
      </c>
      <c r="G59" s="47" t="s">
        <v>604</v>
      </c>
      <c r="H59" s="46" t="s">
        <v>1291</v>
      </c>
      <c r="I59" s="46"/>
      <c r="J59" s="46" t="s">
        <v>1292</v>
      </c>
      <c r="K59" s="48" t="s">
        <v>603</v>
      </c>
      <c r="L59" s="46"/>
      <c r="M59" s="46"/>
      <c r="N59" s="45" t="s">
        <v>1293</v>
      </c>
      <c r="O59" s="46" t="s">
        <v>1953</v>
      </c>
      <c r="P59" s="42"/>
      <c r="Q59" s="42"/>
      <c r="R59" s="42"/>
      <c r="S59" s="42"/>
      <c r="T59" s="42"/>
      <c r="U59" s="42"/>
      <c r="V59" s="42"/>
      <c r="W59" s="42"/>
      <c r="X59" s="42"/>
      <c r="Y59" s="42"/>
      <c r="Z59" s="42"/>
      <c r="AA59" s="42"/>
      <c r="AB59" s="42"/>
      <c r="AC59" s="42"/>
      <c r="AD59" s="42"/>
      <c r="AE59" s="42"/>
    </row>
    <row r="60" spans="1:31" x14ac:dyDescent="0.2">
      <c r="A60" s="46">
        <v>394</v>
      </c>
      <c r="B60" s="46"/>
      <c r="C60" s="46"/>
      <c r="D60" s="46" t="s">
        <v>113</v>
      </c>
      <c r="E60" s="46" t="s">
        <v>192</v>
      </c>
      <c r="F60" s="46" t="s">
        <v>115</v>
      </c>
      <c r="G60" s="47" t="s">
        <v>606</v>
      </c>
      <c r="H60" s="46" t="s">
        <v>1291</v>
      </c>
      <c r="I60" s="46"/>
      <c r="J60" s="46" t="s">
        <v>1292</v>
      </c>
      <c r="K60" s="48" t="s">
        <v>605</v>
      </c>
      <c r="L60" s="46"/>
      <c r="M60" s="46"/>
      <c r="N60" s="45" t="s">
        <v>1293</v>
      </c>
      <c r="O60" s="46" t="s">
        <v>1953</v>
      </c>
      <c r="P60" s="42"/>
      <c r="Q60" s="42"/>
      <c r="R60" s="42"/>
      <c r="S60" s="42"/>
      <c r="T60" s="42"/>
      <c r="U60" s="42"/>
      <c r="V60" s="42"/>
      <c r="W60" s="42"/>
      <c r="X60" s="42"/>
      <c r="Y60" s="42"/>
      <c r="Z60" s="42"/>
      <c r="AA60" s="42"/>
      <c r="AB60" s="42"/>
      <c r="AC60" s="42"/>
      <c r="AD60" s="42"/>
      <c r="AE60" s="42"/>
    </row>
    <row r="61" spans="1:31" x14ac:dyDescent="0.2">
      <c r="A61" s="46">
        <v>395</v>
      </c>
      <c r="B61" s="46"/>
      <c r="C61" s="46"/>
      <c r="D61" s="46" t="s">
        <v>113</v>
      </c>
      <c r="E61" s="46" t="s">
        <v>192</v>
      </c>
      <c r="F61" s="46" t="s">
        <v>115</v>
      </c>
      <c r="G61" s="47" t="s">
        <v>608</v>
      </c>
      <c r="H61" s="46" t="s">
        <v>1291</v>
      </c>
      <c r="I61" s="46"/>
      <c r="J61" s="46" t="s">
        <v>1292</v>
      </c>
      <c r="K61" s="48" t="s">
        <v>607</v>
      </c>
      <c r="L61" s="46"/>
      <c r="M61" s="46"/>
      <c r="N61" s="45" t="s">
        <v>1293</v>
      </c>
      <c r="O61" s="46" t="s">
        <v>1953</v>
      </c>
      <c r="P61" s="42"/>
      <c r="Q61" s="42"/>
      <c r="R61" s="42"/>
      <c r="S61" s="42"/>
      <c r="T61" s="42"/>
      <c r="U61" s="42"/>
      <c r="V61" s="42"/>
      <c r="W61" s="42"/>
      <c r="X61" s="42"/>
      <c r="Y61" s="42"/>
      <c r="Z61" s="42"/>
      <c r="AA61" s="42"/>
      <c r="AB61" s="42"/>
      <c r="AC61" s="42"/>
      <c r="AD61" s="42"/>
      <c r="AE61" s="42"/>
    </row>
    <row r="62" spans="1:31" x14ac:dyDescent="0.2">
      <c r="A62" s="46">
        <v>396</v>
      </c>
      <c r="B62" s="46"/>
      <c r="C62" s="46"/>
      <c r="D62" s="46" t="s">
        <v>113</v>
      </c>
      <c r="E62" s="46" t="s">
        <v>192</v>
      </c>
      <c r="F62" s="46" t="s">
        <v>115</v>
      </c>
      <c r="G62" s="47" t="s">
        <v>610</v>
      </c>
      <c r="H62" s="46" t="s">
        <v>1291</v>
      </c>
      <c r="I62" s="46"/>
      <c r="J62" s="46" t="s">
        <v>1292</v>
      </c>
      <c r="K62" s="48" t="s">
        <v>609</v>
      </c>
      <c r="L62" s="46"/>
      <c r="M62" s="46"/>
      <c r="N62" s="45" t="s">
        <v>1293</v>
      </c>
      <c r="O62" s="46" t="s">
        <v>1953</v>
      </c>
      <c r="P62" s="42"/>
      <c r="Q62" s="42"/>
      <c r="R62" s="42"/>
      <c r="S62" s="42"/>
      <c r="T62" s="42"/>
      <c r="U62" s="42"/>
      <c r="V62" s="42"/>
      <c r="W62" s="42"/>
      <c r="X62" s="42"/>
      <c r="Y62" s="42"/>
      <c r="Z62" s="42"/>
      <c r="AA62" s="42"/>
      <c r="AB62" s="42"/>
      <c r="AC62" s="42"/>
      <c r="AD62" s="42"/>
      <c r="AE62" s="42"/>
    </row>
    <row r="63" spans="1:31" x14ac:dyDescent="0.2">
      <c r="A63" s="46">
        <v>397</v>
      </c>
      <c r="B63" s="46"/>
      <c r="C63" s="46"/>
      <c r="D63" s="46" t="s">
        <v>113</v>
      </c>
      <c r="E63" s="46" t="s">
        <v>192</v>
      </c>
      <c r="F63" s="46" t="s">
        <v>115</v>
      </c>
      <c r="G63" s="47" t="s">
        <v>612</v>
      </c>
      <c r="H63" s="46" t="s">
        <v>1291</v>
      </c>
      <c r="I63" s="46"/>
      <c r="J63" s="46" t="s">
        <v>1292</v>
      </c>
      <c r="K63" s="48" t="s">
        <v>611</v>
      </c>
      <c r="L63" s="46"/>
      <c r="M63" s="46"/>
      <c r="N63" s="45" t="s">
        <v>1293</v>
      </c>
      <c r="O63" s="46" t="s">
        <v>1953</v>
      </c>
      <c r="P63" s="42"/>
      <c r="Q63" s="42"/>
      <c r="R63" s="42"/>
      <c r="S63" s="42"/>
      <c r="T63" s="42"/>
      <c r="U63" s="42"/>
      <c r="V63" s="42"/>
      <c r="W63" s="42"/>
      <c r="X63" s="42"/>
      <c r="Y63" s="42"/>
      <c r="Z63" s="42"/>
      <c r="AA63" s="42"/>
      <c r="AB63" s="42"/>
      <c r="AC63" s="42"/>
      <c r="AD63" s="42"/>
      <c r="AE63" s="42"/>
    </row>
    <row r="64" spans="1:31" x14ac:dyDescent="0.2">
      <c r="A64" s="46">
        <v>398</v>
      </c>
      <c r="B64" s="46"/>
      <c r="C64" s="46"/>
      <c r="D64" s="46" t="s">
        <v>113</v>
      </c>
      <c r="E64" s="46" t="s">
        <v>192</v>
      </c>
      <c r="F64" s="46" t="s">
        <v>115</v>
      </c>
      <c r="G64" s="47" t="s">
        <v>614</v>
      </c>
      <c r="H64" s="46" t="s">
        <v>1291</v>
      </c>
      <c r="I64" s="46"/>
      <c r="J64" s="46" t="s">
        <v>1292</v>
      </c>
      <c r="K64" s="48" t="s">
        <v>613</v>
      </c>
      <c r="L64" s="46"/>
      <c r="M64" s="46"/>
      <c r="N64" s="45" t="s">
        <v>1293</v>
      </c>
      <c r="O64" s="46" t="s">
        <v>1953</v>
      </c>
      <c r="P64" s="42"/>
      <c r="Q64" s="42"/>
      <c r="R64" s="42"/>
      <c r="S64" s="42"/>
      <c r="T64" s="42"/>
      <c r="U64" s="42"/>
      <c r="V64" s="42"/>
      <c r="W64" s="42"/>
      <c r="X64" s="42"/>
      <c r="Y64" s="42"/>
      <c r="Z64" s="42"/>
      <c r="AA64" s="42"/>
      <c r="AB64" s="42"/>
      <c r="AC64" s="42"/>
      <c r="AD64" s="42"/>
      <c r="AE64" s="42"/>
    </row>
    <row r="65" spans="1:31" x14ac:dyDescent="0.2">
      <c r="A65" s="46">
        <v>399</v>
      </c>
      <c r="B65" s="46"/>
      <c r="C65" s="46"/>
      <c r="D65" s="46" t="s">
        <v>113</v>
      </c>
      <c r="E65" s="46" t="s">
        <v>192</v>
      </c>
      <c r="F65" s="46" t="s">
        <v>115</v>
      </c>
      <c r="G65" s="47" t="s">
        <v>616</v>
      </c>
      <c r="H65" s="46" t="s">
        <v>1291</v>
      </c>
      <c r="I65" s="46"/>
      <c r="J65" s="46" t="s">
        <v>1292</v>
      </c>
      <c r="K65" s="48" t="s">
        <v>615</v>
      </c>
      <c r="L65" s="46"/>
      <c r="M65" s="46"/>
      <c r="N65" s="45" t="s">
        <v>1293</v>
      </c>
      <c r="O65" s="46" t="s">
        <v>1953</v>
      </c>
      <c r="P65" s="42"/>
      <c r="Q65" s="42"/>
      <c r="R65" s="42"/>
      <c r="S65" s="42"/>
      <c r="T65" s="42"/>
      <c r="U65" s="42"/>
      <c r="V65" s="42"/>
      <c r="W65" s="42"/>
      <c r="X65" s="42"/>
      <c r="Y65" s="42"/>
      <c r="Z65" s="42"/>
      <c r="AA65" s="42"/>
      <c r="AB65" s="42"/>
      <c r="AC65" s="42"/>
      <c r="AD65" s="42"/>
      <c r="AE65" s="42"/>
    </row>
    <row r="66" spans="1:31" x14ac:dyDescent="0.2">
      <c r="A66" s="46">
        <v>400</v>
      </c>
      <c r="B66" s="46"/>
      <c r="C66" s="46"/>
      <c r="D66" s="46" t="s">
        <v>113</v>
      </c>
      <c r="E66" s="46" t="s">
        <v>192</v>
      </c>
      <c r="F66" s="46" t="s">
        <v>115</v>
      </c>
      <c r="G66" s="47" t="s">
        <v>618</v>
      </c>
      <c r="H66" s="46" t="s">
        <v>1291</v>
      </c>
      <c r="I66" s="46"/>
      <c r="J66" s="46" t="s">
        <v>1292</v>
      </c>
      <c r="K66" s="48" t="s">
        <v>617</v>
      </c>
      <c r="L66" s="46"/>
      <c r="M66" s="46"/>
      <c r="N66" s="45" t="s">
        <v>1293</v>
      </c>
      <c r="O66" s="46" t="s">
        <v>1953</v>
      </c>
      <c r="P66" s="42"/>
      <c r="Q66" s="42"/>
      <c r="R66" s="42"/>
      <c r="S66" s="42"/>
      <c r="T66" s="42"/>
      <c r="U66" s="42"/>
      <c r="V66" s="42"/>
      <c r="W66" s="42"/>
      <c r="X66" s="42"/>
      <c r="Y66" s="42"/>
      <c r="Z66" s="42"/>
      <c r="AA66" s="42"/>
      <c r="AB66" s="42"/>
      <c r="AC66" s="42"/>
      <c r="AD66" s="42"/>
      <c r="AE66" s="42"/>
    </row>
    <row r="67" spans="1:31" x14ac:dyDescent="0.2">
      <c r="A67" s="46">
        <v>401</v>
      </c>
      <c r="B67" s="46"/>
      <c r="C67" s="46"/>
      <c r="D67" s="46" t="s">
        <v>113</v>
      </c>
      <c r="E67" s="46" t="s">
        <v>192</v>
      </c>
      <c r="F67" s="46" t="s">
        <v>115</v>
      </c>
      <c r="G67" s="47" t="s">
        <v>620</v>
      </c>
      <c r="H67" s="46" t="s">
        <v>1291</v>
      </c>
      <c r="I67" s="46"/>
      <c r="J67" s="46" t="s">
        <v>1292</v>
      </c>
      <c r="K67" s="48" t="s">
        <v>619</v>
      </c>
      <c r="L67" s="46"/>
      <c r="M67" s="46"/>
      <c r="N67" s="45" t="s">
        <v>1293</v>
      </c>
      <c r="O67" s="46" t="s">
        <v>1953</v>
      </c>
      <c r="P67" s="42"/>
      <c r="Q67" s="42"/>
      <c r="R67" s="42"/>
      <c r="S67" s="42"/>
      <c r="T67" s="42"/>
      <c r="U67" s="42"/>
      <c r="V67" s="42"/>
      <c r="W67" s="42"/>
      <c r="X67" s="42"/>
      <c r="Y67" s="42"/>
      <c r="Z67" s="42"/>
      <c r="AA67" s="42"/>
      <c r="AB67" s="42"/>
      <c r="AC67" s="42"/>
      <c r="AD67" s="42"/>
      <c r="AE67" s="42"/>
    </row>
    <row r="68" spans="1:31" x14ac:dyDescent="0.2">
      <c r="A68" s="46">
        <v>402</v>
      </c>
      <c r="B68" s="46"/>
      <c r="C68" s="46"/>
      <c r="D68" s="46" t="s">
        <v>113</v>
      </c>
      <c r="E68" s="46" t="s">
        <v>192</v>
      </c>
      <c r="F68" s="46" t="s">
        <v>115</v>
      </c>
      <c r="G68" s="47" t="s">
        <v>622</v>
      </c>
      <c r="H68" s="46" t="s">
        <v>1291</v>
      </c>
      <c r="I68" s="46"/>
      <c r="J68" s="46" t="s">
        <v>1292</v>
      </c>
      <c r="K68" s="48" t="s">
        <v>621</v>
      </c>
      <c r="L68" s="46"/>
      <c r="M68" s="46"/>
      <c r="N68" s="45" t="s">
        <v>1293</v>
      </c>
      <c r="O68" s="46" t="s">
        <v>1953</v>
      </c>
      <c r="P68" s="42"/>
      <c r="Q68" s="42"/>
      <c r="R68" s="42"/>
      <c r="S68" s="42"/>
      <c r="T68" s="42"/>
      <c r="U68" s="42"/>
      <c r="V68" s="42"/>
      <c r="W68" s="42"/>
      <c r="X68" s="42"/>
      <c r="Y68" s="42"/>
      <c r="Z68" s="42"/>
      <c r="AA68" s="42"/>
      <c r="AB68" s="42"/>
      <c r="AC68" s="42"/>
      <c r="AD68" s="42"/>
      <c r="AE68" s="42"/>
    </row>
    <row r="69" spans="1:31" x14ac:dyDescent="0.2">
      <c r="A69" s="46">
        <v>403</v>
      </c>
      <c r="B69" s="46"/>
      <c r="C69" s="46"/>
      <c r="D69" s="46" t="s">
        <v>113</v>
      </c>
      <c r="E69" s="46" t="s">
        <v>192</v>
      </c>
      <c r="F69" s="46" t="s">
        <v>115</v>
      </c>
      <c r="G69" s="47" t="s">
        <v>624</v>
      </c>
      <c r="H69" s="46" t="s">
        <v>1291</v>
      </c>
      <c r="I69" s="46"/>
      <c r="J69" s="46" t="s">
        <v>1292</v>
      </c>
      <c r="K69" s="48" t="s">
        <v>623</v>
      </c>
      <c r="L69" s="46"/>
      <c r="M69" s="46"/>
      <c r="N69" s="45" t="s">
        <v>1293</v>
      </c>
      <c r="O69" s="46" t="s">
        <v>1953</v>
      </c>
      <c r="P69" s="42"/>
      <c r="Q69" s="42"/>
      <c r="R69" s="42"/>
      <c r="S69" s="42"/>
      <c r="T69" s="42"/>
      <c r="U69" s="42"/>
      <c r="V69" s="42"/>
      <c r="W69" s="42"/>
      <c r="X69" s="42"/>
      <c r="Y69" s="42"/>
      <c r="Z69" s="42"/>
      <c r="AA69" s="42"/>
      <c r="AB69" s="42"/>
      <c r="AC69" s="42"/>
      <c r="AD69" s="42"/>
      <c r="AE69" s="42"/>
    </row>
    <row r="70" spans="1:31" x14ac:dyDescent="0.2">
      <c r="A70" s="46">
        <v>404</v>
      </c>
      <c r="B70" s="46"/>
      <c r="C70" s="46"/>
      <c r="D70" s="46" t="s">
        <v>113</v>
      </c>
      <c r="E70" s="46" t="s">
        <v>192</v>
      </c>
      <c r="F70" s="46" t="s">
        <v>115</v>
      </c>
      <c r="G70" s="47" t="s">
        <v>626</v>
      </c>
      <c r="H70" s="46" t="s">
        <v>1291</v>
      </c>
      <c r="I70" s="46"/>
      <c r="J70" s="46" t="s">
        <v>1292</v>
      </c>
      <c r="K70" s="48" t="s">
        <v>625</v>
      </c>
      <c r="L70" s="46"/>
      <c r="M70" s="46"/>
      <c r="N70" s="45" t="s">
        <v>1293</v>
      </c>
      <c r="O70" s="46" t="s">
        <v>1953</v>
      </c>
      <c r="P70" s="42"/>
      <c r="Q70" s="42"/>
      <c r="R70" s="42"/>
      <c r="S70" s="42"/>
      <c r="T70" s="42"/>
      <c r="U70" s="42"/>
      <c r="V70" s="42"/>
      <c r="W70" s="42"/>
      <c r="X70" s="42"/>
      <c r="Y70" s="42"/>
      <c r="Z70" s="42"/>
      <c r="AA70" s="42"/>
      <c r="AB70" s="42"/>
      <c r="AC70" s="42"/>
      <c r="AD70" s="42"/>
      <c r="AE70" s="42"/>
    </row>
    <row r="71" spans="1:31" x14ac:dyDescent="0.2">
      <c r="A71" s="46">
        <v>405</v>
      </c>
      <c r="B71" s="46"/>
      <c r="C71" s="46"/>
      <c r="D71" s="46" t="s">
        <v>113</v>
      </c>
      <c r="E71" s="46" t="s">
        <v>192</v>
      </c>
      <c r="F71" s="46" t="s">
        <v>115</v>
      </c>
      <c r="G71" s="47" t="s">
        <v>628</v>
      </c>
      <c r="H71" s="46" t="s">
        <v>1291</v>
      </c>
      <c r="I71" s="46"/>
      <c r="J71" s="46" t="s">
        <v>1292</v>
      </c>
      <c r="K71" s="48" t="s">
        <v>627</v>
      </c>
      <c r="L71" s="46"/>
      <c r="M71" s="46"/>
      <c r="N71" s="45" t="s">
        <v>1293</v>
      </c>
      <c r="O71" s="46" t="s">
        <v>1953</v>
      </c>
      <c r="P71" s="42"/>
      <c r="Q71" s="42"/>
      <c r="R71" s="42"/>
      <c r="S71" s="42"/>
      <c r="T71" s="42"/>
      <c r="U71" s="42"/>
      <c r="V71" s="42"/>
      <c r="W71" s="42"/>
      <c r="X71" s="42"/>
      <c r="Y71" s="42"/>
      <c r="Z71" s="42"/>
      <c r="AA71" s="42"/>
      <c r="AB71" s="42"/>
      <c r="AC71" s="42"/>
      <c r="AD71" s="42"/>
      <c r="AE71" s="42"/>
    </row>
    <row r="72" spans="1:31" x14ac:dyDescent="0.2">
      <c r="A72" s="46">
        <v>406</v>
      </c>
      <c r="B72" s="46"/>
      <c r="C72" s="46"/>
      <c r="D72" s="46" t="s">
        <v>113</v>
      </c>
      <c r="E72" s="46" t="s">
        <v>192</v>
      </c>
      <c r="F72" s="46" t="s">
        <v>115</v>
      </c>
      <c r="G72" s="47" t="s">
        <v>630</v>
      </c>
      <c r="H72" s="46" t="s">
        <v>1291</v>
      </c>
      <c r="I72" s="46"/>
      <c r="J72" s="46" t="s">
        <v>1292</v>
      </c>
      <c r="K72" s="48" t="s">
        <v>629</v>
      </c>
      <c r="L72" s="46"/>
      <c r="M72" s="46"/>
      <c r="N72" s="45" t="s">
        <v>1293</v>
      </c>
      <c r="O72" s="46" t="s">
        <v>1953</v>
      </c>
      <c r="P72" s="42"/>
      <c r="Q72" s="42"/>
      <c r="R72" s="42"/>
      <c r="S72" s="42"/>
      <c r="T72" s="42"/>
      <c r="U72" s="42"/>
      <c r="V72" s="42"/>
      <c r="W72" s="42"/>
      <c r="X72" s="42"/>
      <c r="Y72" s="42"/>
      <c r="Z72" s="42"/>
      <c r="AA72" s="42"/>
      <c r="AB72" s="42"/>
      <c r="AC72" s="42"/>
      <c r="AD72" s="42"/>
      <c r="AE72" s="42"/>
    </row>
    <row r="73" spans="1:31" x14ac:dyDescent="0.2">
      <c r="A73" s="46">
        <v>407</v>
      </c>
      <c r="B73" s="46"/>
      <c r="C73" s="46"/>
      <c r="D73" s="46" t="s">
        <v>113</v>
      </c>
      <c r="E73" s="46" t="s">
        <v>192</v>
      </c>
      <c r="F73" s="46" t="s">
        <v>115</v>
      </c>
      <c r="G73" s="47" t="s">
        <v>632</v>
      </c>
      <c r="H73" s="46" t="s">
        <v>1291</v>
      </c>
      <c r="I73" s="46"/>
      <c r="J73" s="46" t="s">
        <v>1292</v>
      </c>
      <c r="K73" s="48" t="s">
        <v>631</v>
      </c>
      <c r="L73" s="46"/>
      <c r="M73" s="46"/>
      <c r="N73" s="45" t="s">
        <v>1293</v>
      </c>
      <c r="O73" s="46" t="s">
        <v>1953</v>
      </c>
      <c r="P73" s="42"/>
      <c r="Q73" s="42"/>
      <c r="R73" s="42"/>
      <c r="S73" s="42"/>
      <c r="T73" s="42"/>
      <c r="U73" s="42"/>
      <c r="V73" s="42"/>
      <c r="W73" s="42"/>
      <c r="X73" s="42"/>
      <c r="Y73" s="42"/>
      <c r="Z73" s="42"/>
      <c r="AA73" s="42"/>
      <c r="AB73" s="42"/>
      <c r="AC73" s="42"/>
      <c r="AD73" s="42"/>
      <c r="AE73" s="42"/>
    </row>
    <row r="74" spans="1:31" x14ac:dyDescent="0.2">
      <c r="A74" s="46">
        <v>408</v>
      </c>
      <c r="B74" s="46"/>
      <c r="C74" s="46"/>
      <c r="D74" s="46" t="s">
        <v>113</v>
      </c>
      <c r="E74" s="46" t="s">
        <v>192</v>
      </c>
      <c r="F74" s="46" t="s">
        <v>115</v>
      </c>
      <c r="G74" s="47" t="s">
        <v>634</v>
      </c>
      <c r="H74" s="46" t="s">
        <v>1291</v>
      </c>
      <c r="I74" s="46"/>
      <c r="J74" s="46" t="s">
        <v>1292</v>
      </c>
      <c r="K74" s="48" t="s">
        <v>633</v>
      </c>
      <c r="L74" s="46"/>
      <c r="M74" s="46"/>
      <c r="N74" s="45" t="s">
        <v>1293</v>
      </c>
      <c r="O74" s="46" t="s">
        <v>1953</v>
      </c>
      <c r="P74" s="42"/>
      <c r="Q74" s="42"/>
      <c r="R74" s="42"/>
      <c r="S74" s="42"/>
      <c r="T74" s="42"/>
      <c r="U74" s="42"/>
      <c r="V74" s="42"/>
      <c r="W74" s="42"/>
      <c r="X74" s="42"/>
      <c r="Y74" s="42"/>
      <c r="Z74" s="42"/>
      <c r="AA74" s="42"/>
      <c r="AB74" s="42"/>
      <c r="AC74" s="42"/>
      <c r="AD74" s="42"/>
      <c r="AE74" s="42"/>
    </row>
    <row r="75" spans="1:31" x14ac:dyDescent="0.2">
      <c r="A75" s="46">
        <v>409</v>
      </c>
      <c r="B75" s="46"/>
      <c r="C75" s="46"/>
      <c r="D75" s="46" t="s">
        <v>113</v>
      </c>
      <c r="E75" s="46" t="s">
        <v>192</v>
      </c>
      <c r="F75" s="46" t="s">
        <v>115</v>
      </c>
      <c r="G75" s="47" t="s">
        <v>636</v>
      </c>
      <c r="H75" s="46" t="s">
        <v>1291</v>
      </c>
      <c r="I75" s="46"/>
      <c r="J75" s="46" t="s">
        <v>1292</v>
      </c>
      <c r="K75" s="48" t="s">
        <v>635</v>
      </c>
      <c r="L75" s="46"/>
      <c r="M75" s="46"/>
      <c r="N75" s="45" t="s">
        <v>1293</v>
      </c>
      <c r="O75" s="46" t="s">
        <v>1953</v>
      </c>
      <c r="P75" s="42"/>
      <c r="Q75" s="42"/>
      <c r="R75" s="42"/>
      <c r="S75" s="42"/>
      <c r="T75" s="42"/>
      <c r="U75" s="42"/>
      <c r="V75" s="42"/>
      <c r="W75" s="42"/>
      <c r="X75" s="42"/>
      <c r="Y75" s="42"/>
      <c r="Z75" s="42"/>
      <c r="AA75" s="42"/>
      <c r="AB75" s="42"/>
      <c r="AC75" s="42"/>
      <c r="AD75" s="42"/>
      <c r="AE75" s="42"/>
    </row>
    <row r="76" spans="1:31" x14ac:dyDescent="0.2">
      <c r="A76" s="46">
        <v>410</v>
      </c>
      <c r="B76" s="46"/>
      <c r="C76" s="46"/>
      <c r="D76" s="46" t="s">
        <v>113</v>
      </c>
      <c r="E76" s="46" t="s">
        <v>192</v>
      </c>
      <c r="F76" s="46" t="s">
        <v>115</v>
      </c>
      <c r="G76" s="47" t="s">
        <v>638</v>
      </c>
      <c r="H76" s="46" t="s">
        <v>1291</v>
      </c>
      <c r="I76" s="46"/>
      <c r="J76" s="46" t="s">
        <v>1292</v>
      </c>
      <c r="K76" s="48" t="s">
        <v>637</v>
      </c>
      <c r="L76" s="46"/>
      <c r="M76" s="46"/>
      <c r="N76" s="45" t="s">
        <v>1293</v>
      </c>
      <c r="O76" s="46" t="s">
        <v>1953</v>
      </c>
      <c r="P76" s="42"/>
      <c r="Q76" s="42"/>
      <c r="R76" s="42"/>
      <c r="S76" s="42"/>
      <c r="T76" s="42"/>
      <c r="U76" s="42"/>
      <c r="V76" s="42"/>
      <c r="W76" s="42"/>
      <c r="X76" s="42"/>
      <c r="Y76" s="42"/>
      <c r="Z76" s="42"/>
      <c r="AA76" s="42"/>
      <c r="AB76" s="42"/>
      <c r="AC76" s="42"/>
      <c r="AD76" s="42"/>
      <c r="AE76" s="42"/>
    </row>
    <row r="77" spans="1:31" x14ac:dyDescent="0.2">
      <c r="A77" s="46">
        <v>411</v>
      </c>
      <c r="B77" s="46"/>
      <c r="C77" s="46"/>
      <c r="D77" s="46" t="s">
        <v>113</v>
      </c>
      <c r="E77" s="46" t="s">
        <v>192</v>
      </c>
      <c r="F77" s="46" t="s">
        <v>115</v>
      </c>
      <c r="G77" s="47" t="s">
        <v>640</v>
      </c>
      <c r="H77" s="46" t="s">
        <v>1291</v>
      </c>
      <c r="I77" s="46"/>
      <c r="J77" s="46" t="s">
        <v>1292</v>
      </c>
      <c r="K77" s="48" t="s">
        <v>639</v>
      </c>
      <c r="L77" s="46"/>
      <c r="M77" s="46"/>
      <c r="N77" s="45" t="s">
        <v>1293</v>
      </c>
      <c r="O77" s="46" t="s">
        <v>1953</v>
      </c>
      <c r="P77" s="42"/>
      <c r="Q77" s="42"/>
      <c r="R77" s="42"/>
      <c r="S77" s="42"/>
      <c r="T77" s="42"/>
      <c r="U77" s="42"/>
      <c r="V77" s="42"/>
      <c r="W77" s="42"/>
      <c r="X77" s="42"/>
      <c r="Y77" s="42"/>
      <c r="Z77" s="42"/>
      <c r="AA77" s="42"/>
      <c r="AB77" s="42"/>
      <c r="AC77" s="42"/>
      <c r="AD77" s="42"/>
      <c r="AE77" s="42"/>
    </row>
    <row r="78" spans="1:31" x14ac:dyDescent="0.2">
      <c r="A78" s="46">
        <v>412</v>
      </c>
      <c r="B78" s="46"/>
      <c r="C78" s="46"/>
      <c r="D78" s="46" t="s">
        <v>113</v>
      </c>
      <c r="E78" s="46" t="s">
        <v>192</v>
      </c>
      <c r="F78" s="46" t="s">
        <v>115</v>
      </c>
      <c r="G78" s="47" t="s">
        <v>642</v>
      </c>
      <c r="H78" s="46" t="s">
        <v>1291</v>
      </c>
      <c r="I78" s="46"/>
      <c r="J78" s="46" t="s">
        <v>1292</v>
      </c>
      <c r="K78" s="48" t="s">
        <v>641</v>
      </c>
      <c r="L78" s="46"/>
      <c r="M78" s="46"/>
      <c r="N78" s="45" t="s">
        <v>1293</v>
      </c>
      <c r="O78" s="46" t="s">
        <v>1953</v>
      </c>
      <c r="P78" s="42"/>
      <c r="Q78" s="42"/>
      <c r="R78" s="42"/>
      <c r="S78" s="42"/>
      <c r="T78" s="42"/>
      <c r="U78" s="42"/>
      <c r="V78" s="42"/>
      <c r="W78" s="42"/>
      <c r="X78" s="42"/>
      <c r="Y78" s="42"/>
      <c r="Z78" s="42"/>
      <c r="AA78" s="42"/>
      <c r="AB78" s="42"/>
      <c r="AC78" s="42"/>
      <c r="AD78" s="42"/>
      <c r="AE78" s="42"/>
    </row>
    <row r="79" spans="1:31" x14ac:dyDescent="0.2">
      <c r="A79" s="46">
        <v>413</v>
      </c>
      <c r="B79" s="46"/>
      <c r="C79" s="46"/>
      <c r="D79" s="46" t="s">
        <v>113</v>
      </c>
      <c r="E79" s="46" t="s">
        <v>192</v>
      </c>
      <c r="F79" s="46" t="s">
        <v>115</v>
      </c>
      <c r="G79" s="47" t="s">
        <v>643</v>
      </c>
      <c r="H79" s="46" t="s">
        <v>1291</v>
      </c>
      <c r="I79" s="46"/>
      <c r="J79" s="46" t="s">
        <v>1423</v>
      </c>
      <c r="K79" s="46" t="s">
        <v>1564</v>
      </c>
      <c r="L79" s="46"/>
      <c r="M79" s="46" t="s">
        <v>1561</v>
      </c>
      <c r="N79" s="45" t="s">
        <v>1293</v>
      </c>
      <c r="O79" s="46" t="s">
        <v>1953</v>
      </c>
      <c r="P79" s="42"/>
      <c r="Q79" s="42"/>
      <c r="R79" s="42"/>
      <c r="S79" s="42"/>
      <c r="T79" s="42"/>
      <c r="U79" s="42"/>
      <c r="V79" s="42"/>
      <c r="W79" s="42"/>
      <c r="X79" s="42"/>
      <c r="Y79" s="42"/>
      <c r="Z79" s="42"/>
      <c r="AA79" s="42"/>
      <c r="AB79" s="42"/>
      <c r="AC79" s="42"/>
      <c r="AD79" s="42"/>
      <c r="AE79" s="42"/>
    </row>
    <row r="80" spans="1:31" x14ac:dyDescent="0.2">
      <c r="A80" s="46">
        <v>414</v>
      </c>
      <c r="B80" s="46"/>
      <c r="C80" s="46"/>
      <c r="D80" s="46" t="s">
        <v>113</v>
      </c>
      <c r="E80" s="46" t="s">
        <v>192</v>
      </c>
      <c r="F80" s="46" t="s">
        <v>115</v>
      </c>
      <c r="G80" s="47" t="s">
        <v>645</v>
      </c>
      <c r="H80" s="46" t="s">
        <v>1291</v>
      </c>
      <c r="I80" s="46"/>
      <c r="J80" s="46" t="s">
        <v>1292</v>
      </c>
      <c r="K80" s="48" t="s">
        <v>644</v>
      </c>
      <c r="L80" s="46"/>
      <c r="M80" s="46"/>
      <c r="N80" s="45" t="s">
        <v>1293</v>
      </c>
      <c r="O80" s="46" t="s">
        <v>1953</v>
      </c>
      <c r="P80" s="42"/>
      <c r="Q80" s="42"/>
      <c r="R80" s="42"/>
      <c r="S80" s="42"/>
      <c r="T80" s="42"/>
      <c r="U80" s="42"/>
      <c r="V80" s="42"/>
      <c r="W80" s="42"/>
      <c r="X80" s="42"/>
      <c r="Y80" s="42"/>
      <c r="Z80" s="42"/>
      <c r="AA80" s="42"/>
      <c r="AB80" s="42"/>
      <c r="AC80" s="42"/>
      <c r="AD80" s="42"/>
      <c r="AE80" s="42"/>
    </row>
    <row r="81" spans="1:31" x14ac:dyDescent="0.2">
      <c r="A81" s="46">
        <v>415</v>
      </c>
      <c r="B81" s="46"/>
      <c r="C81" s="46"/>
      <c r="D81" s="46" t="s">
        <v>113</v>
      </c>
      <c r="E81" s="46" t="s">
        <v>192</v>
      </c>
      <c r="F81" s="46" t="s">
        <v>115</v>
      </c>
      <c r="G81" s="47" t="s">
        <v>647</v>
      </c>
      <c r="H81" s="46" t="s">
        <v>1291</v>
      </c>
      <c r="I81" s="46"/>
      <c r="J81" s="46" t="s">
        <v>1292</v>
      </c>
      <c r="K81" s="48" t="s">
        <v>646</v>
      </c>
      <c r="L81" s="46"/>
      <c r="M81" s="46"/>
      <c r="N81" s="45" t="s">
        <v>1293</v>
      </c>
      <c r="O81" s="46" t="s">
        <v>1953</v>
      </c>
      <c r="P81" s="42"/>
      <c r="Q81" s="42"/>
      <c r="R81" s="42"/>
      <c r="S81" s="42"/>
      <c r="T81" s="42"/>
      <c r="U81" s="42"/>
      <c r="V81" s="42"/>
      <c r="W81" s="42"/>
      <c r="X81" s="42"/>
      <c r="Y81" s="42"/>
      <c r="Z81" s="42"/>
      <c r="AA81" s="42"/>
      <c r="AB81" s="42"/>
      <c r="AC81" s="42"/>
      <c r="AD81" s="42"/>
      <c r="AE81" s="42"/>
    </row>
    <row r="82" spans="1:31" x14ac:dyDescent="0.2">
      <c r="A82" s="46">
        <v>416</v>
      </c>
      <c r="B82" s="46"/>
      <c r="C82" s="46"/>
      <c r="D82" s="46" t="s">
        <v>113</v>
      </c>
      <c r="E82" s="46" t="s">
        <v>192</v>
      </c>
      <c r="F82" s="46" t="s">
        <v>115</v>
      </c>
      <c r="G82" s="47" t="s">
        <v>649</v>
      </c>
      <c r="H82" s="46" t="s">
        <v>1291</v>
      </c>
      <c r="I82" s="46"/>
      <c r="J82" s="46" t="s">
        <v>1292</v>
      </c>
      <c r="K82" s="48" t="s">
        <v>648</v>
      </c>
      <c r="L82" s="46"/>
      <c r="M82" s="46"/>
      <c r="N82" s="45" t="s">
        <v>1293</v>
      </c>
      <c r="O82" s="46" t="s">
        <v>1953</v>
      </c>
      <c r="P82" s="42"/>
      <c r="Q82" s="42"/>
      <c r="R82" s="42"/>
      <c r="S82" s="42"/>
      <c r="T82" s="42"/>
      <c r="U82" s="42"/>
      <c r="V82" s="42"/>
      <c r="W82" s="42"/>
      <c r="X82" s="42"/>
      <c r="Y82" s="42"/>
      <c r="Z82" s="42"/>
      <c r="AA82" s="42"/>
      <c r="AB82" s="42"/>
      <c r="AC82" s="42"/>
      <c r="AD82" s="42"/>
      <c r="AE82" s="42"/>
    </row>
    <row r="83" spans="1:31" x14ac:dyDescent="0.2">
      <c r="A83" s="46">
        <v>417</v>
      </c>
      <c r="B83" s="46"/>
      <c r="C83" s="46"/>
      <c r="D83" s="46" t="s">
        <v>113</v>
      </c>
      <c r="E83" s="46" t="s">
        <v>192</v>
      </c>
      <c r="F83" s="46" t="s">
        <v>115</v>
      </c>
      <c r="G83" s="47" t="s">
        <v>651</v>
      </c>
      <c r="H83" s="46" t="s">
        <v>1291</v>
      </c>
      <c r="I83" s="46"/>
      <c r="J83" s="46" t="s">
        <v>1292</v>
      </c>
      <c r="K83" s="48" t="s">
        <v>650</v>
      </c>
      <c r="L83" s="46"/>
      <c r="M83" s="46"/>
      <c r="N83" s="45" t="s">
        <v>1293</v>
      </c>
      <c r="O83" s="46" t="s">
        <v>1953</v>
      </c>
      <c r="P83" s="42"/>
      <c r="Q83" s="42"/>
      <c r="R83" s="42"/>
      <c r="S83" s="42"/>
      <c r="T83" s="42"/>
      <c r="U83" s="42"/>
      <c r="V83" s="42"/>
      <c r="W83" s="42"/>
      <c r="X83" s="42"/>
      <c r="Y83" s="42"/>
      <c r="Z83" s="42"/>
      <c r="AA83" s="42"/>
      <c r="AB83" s="42"/>
      <c r="AC83" s="42"/>
      <c r="AD83" s="42"/>
      <c r="AE83" s="42"/>
    </row>
    <row r="84" spans="1:31" x14ac:dyDescent="0.2">
      <c r="A84" s="46">
        <v>418</v>
      </c>
      <c r="B84" s="46"/>
      <c r="C84" s="46"/>
      <c r="D84" s="46" t="s">
        <v>113</v>
      </c>
      <c r="E84" s="46" t="s">
        <v>192</v>
      </c>
      <c r="F84" s="46" t="s">
        <v>115</v>
      </c>
      <c r="G84" s="47" t="s">
        <v>653</v>
      </c>
      <c r="H84" s="46" t="s">
        <v>1291</v>
      </c>
      <c r="I84" s="46"/>
      <c r="J84" s="46" t="s">
        <v>1292</v>
      </c>
      <c r="K84" s="48" t="s">
        <v>652</v>
      </c>
      <c r="L84" s="46"/>
      <c r="M84" s="46"/>
      <c r="N84" s="45" t="s">
        <v>1293</v>
      </c>
      <c r="O84" s="46" t="s">
        <v>1953</v>
      </c>
      <c r="P84" s="42"/>
      <c r="Q84" s="42"/>
      <c r="R84" s="42"/>
      <c r="S84" s="42"/>
      <c r="T84" s="42"/>
      <c r="U84" s="42"/>
      <c r="V84" s="42"/>
      <c r="W84" s="42"/>
      <c r="X84" s="42"/>
      <c r="Y84" s="42"/>
      <c r="Z84" s="42"/>
      <c r="AA84" s="42"/>
      <c r="AB84" s="42"/>
      <c r="AC84" s="42"/>
      <c r="AD84" s="42"/>
      <c r="AE84" s="42"/>
    </row>
    <row r="85" spans="1:31" x14ac:dyDescent="0.2">
      <c r="A85" s="46">
        <v>419</v>
      </c>
      <c r="B85" s="46"/>
      <c r="C85" s="46"/>
      <c r="D85" s="46" t="s">
        <v>113</v>
      </c>
      <c r="E85" s="46" t="s">
        <v>192</v>
      </c>
      <c r="F85" s="46" t="s">
        <v>115</v>
      </c>
      <c r="G85" s="47" t="s">
        <v>655</v>
      </c>
      <c r="H85" s="46" t="s">
        <v>1291</v>
      </c>
      <c r="I85" s="46"/>
      <c r="J85" s="46" t="s">
        <v>1292</v>
      </c>
      <c r="K85" s="48" t="s">
        <v>654</v>
      </c>
      <c r="L85" s="46"/>
      <c r="M85" s="46"/>
      <c r="N85" s="45" t="s">
        <v>1293</v>
      </c>
      <c r="O85" s="46" t="s">
        <v>1953</v>
      </c>
      <c r="P85" s="42"/>
      <c r="Q85" s="42"/>
      <c r="R85" s="42"/>
      <c r="S85" s="42"/>
      <c r="T85" s="42"/>
      <c r="U85" s="42"/>
      <c r="V85" s="42"/>
      <c r="W85" s="42"/>
      <c r="X85" s="42"/>
      <c r="Y85" s="42"/>
      <c r="Z85" s="42"/>
      <c r="AA85" s="42"/>
      <c r="AB85" s="42"/>
      <c r="AC85" s="42"/>
      <c r="AD85" s="42"/>
      <c r="AE85" s="42"/>
    </row>
    <row r="86" spans="1:31" x14ac:dyDescent="0.2">
      <c r="A86" s="46">
        <v>420</v>
      </c>
      <c r="B86" s="46"/>
      <c r="C86" s="46"/>
      <c r="D86" s="46" t="s">
        <v>113</v>
      </c>
      <c r="E86" s="46" t="s">
        <v>192</v>
      </c>
      <c r="F86" s="46" t="s">
        <v>115</v>
      </c>
      <c r="G86" s="47" t="s">
        <v>657</v>
      </c>
      <c r="H86" s="46" t="s">
        <v>1291</v>
      </c>
      <c r="I86" s="46"/>
      <c r="J86" s="46" t="s">
        <v>1292</v>
      </c>
      <c r="K86" s="48" t="s">
        <v>656</v>
      </c>
      <c r="L86" s="46"/>
      <c r="M86" s="46"/>
      <c r="N86" s="45" t="s">
        <v>1293</v>
      </c>
      <c r="O86" s="46" t="s">
        <v>1953</v>
      </c>
      <c r="P86" s="42"/>
      <c r="Q86" s="42"/>
      <c r="R86" s="42"/>
      <c r="S86" s="42"/>
      <c r="T86" s="42"/>
      <c r="U86" s="42"/>
      <c r="V86" s="42"/>
      <c r="W86" s="42"/>
      <c r="X86" s="42"/>
      <c r="Y86" s="42"/>
      <c r="Z86" s="42"/>
      <c r="AA86" s="42"/>
      <c r="AB86" s="42"/>
      <c r="AC86" s="42"/>
      <c r="AD86" s="42"/>
      <c r="AE86" s="42"/>
    </row>
    <row r="87" spans="1:31" x14ac:dyDescent="0.2">
      <c r="A87" s="46">
        <v>421</v>
      </c>
      <c r="B87" s="46"/>
      <c r="C87" s="46"/>
      <c r="D87" s="46" t="s">
        <v>113</v>
      </c>
      <c r="E87" s="46" t="s">
        <v>192</v>
      </c>
      <c r="F87" s="46" t="s">
        <v>115</v>
      </c>
      <c r="G87" s="47" t="s">
        <v>659</v>
      </c>
      <c r="H87" s="46" t="s">
        <v>1291</v>
      </c>
      <c r="I87" s="46"/>
      <c r="J87" s="46" t="s">
        <v>1292</v>
      </c>
      <c r="K87" s="48" t="s">
        <v>658</v>
      </c>
      <c r="L87" s="46"/>
      <c r="M87" s="46"/>
      <c r="N87" s="45" t="s">
        <v>1293</v>
      </c>
      <c r="O87" s="46" t="s">
        <v>1953</v>
      </c>
      <c r="P87" s="42"/>
      <c r="Q87" s="42"/>
      <c r="R87" s="42"/>
      <c r="S87" s="42"/>
      <c r="T87" s="42"/>
      <c r="U87" s="42"/>
      <c r="V87" s="42"/>
      <c r="W87" s="42"/>
      <c r="X87" s="42"/>
      <c r="Y87" s="42"/>
      <c r="Z87" s="42"/>
      <c r="AA87" s="42"/>
      <c r="AB87" s="42"/>
      <c r="AC87" s="42"/>
      <c r="AD87" s="42"/>
      <c r="AE87" s="42"/>
    </row>
    <row r="88" spans="1:31" x14ac:dyDescent="0.2">
      <c r="A88" s="46">
        <v>422</v>
      </c>
      <c r="B88" s="46"/>
      <c r="C88" s="46"/>
      <c r="D88" s="46" t="s">
        <v>113</v>
      </c>
      <c r="E88" s="46" t="s">
        <v>192</v>
      </c>
      <c r="F88" s="46" t="s">
        <v>115</v>
      </c>
      <c r="G88" s="47" t="s">
        <v>661</v>
      </c>
      <c r="H88" s="46" t="s">
        <v>1291</v>
      </c>
      <c r="I88" s="46"/>
      <c r="J88" s="46" t="s">
        <v>1292</v>
      </c>
      <c r="K88" s="48" t="s">
        <v>660</v>
      </c>
      <c r="L88" s="46"/>
      <c r="M88" s="46"/>
      <c r="N88" s="45" t="s">
        <v>1293</v>
      </c>
      <c r="O88" s="46" t="s">
        <v>1953</v>
      </c>
      <c r="P88" s="42"/>
      <c r="Q88" s="42"/>
      <c r="R88" s="42"/>
      <c r="S88" s="42"/>
      <c r="T88" s="42"/>
      <c r="U88" s="42"/>
      <c r="V88" s="42"/>
      <c r="W88" s="42"/>
      <c r="X88" s="42"/>
      <c r="Y88" s="42"/>
      <c r="Z88" s="42"/>
      <c r="AA88" s="42"/>
      <c r="AB88" s="42"/>
      <c r="AC88" s="42"/>
      <c r="AD88" s="42"/>
      <c r="AE88" s="42"/>
    </row>
    <row r="89" spans="1:31" x14ac:dyDescent="0.2">
      <c r="A89" s="46">
        <v>423</v>
      </c>
      <c r="B89" s="46"/>
      <c r="C89" s="46"/>
      <c r="D89" s="46" t="s">
        <v>113</v>
      </c>
      <c r="E89" s="46" t="s">
        <v>192</v>
      </c>
      <c r="F89" s="46" t="s">
        <v>115</v>
      </c>
      <c r="G89" s="47" t="s">
        <v>663</v>
      </c>
      <c r="H89" s="46" t="s">
        <v>1291</v>
      </c>
      <c r="I89" s="46"/>
      <c r="J89" s="46" t="s">
        <v>1292</v>
      </c>
      <c r="K89" s="48" t="s">
        <v>662</v>
      </c>
      <c r="L89" s="46"/>
      <c r="M89" s="46"/>
      <c r="N89" s="45" t="s">
        <v>1293</v>
      </c>
      <c r="O89" s="46" t="s">
        <v>1953</v>
      </c>
      <c r="P89" s="42"/>
      <c r="Q89" s="42"/>
      <c r="R89" s="42"/>
      <c r="S89" s="42"/>
      <c r="T89" s="42"/>
      <c r="U89" s="42"/>
      <c r="V89" s="42"/>
      <c r="W89" s="42"/>
      <c r="X89" s="42"/>
      <c r="Y89" s="42"/>
      <c r="Z89" s="42"/>
      <c r="AA89" s="42"/>
      <c r="AB89" s="42"/>
      <c r="AC89" s="42"/>
      <c r="AD89" s="42"/>
      <c r="AE89" s="42"/>
    </row>
    <row r="90" spans="1:31" x14ac:dyDescent="0.2">
      <c r="A90" s="46">
        <v>424</v>
      </c>
      <c r="B90" s="46"/>
      <c r="C90" s="46"/>
      <c r="D90" s="46" t="s">
        <v>113</v>
      </c>
      <c r="E90" s="46" t="s">
        <v>192</v>
      </c>
      <c r="F90" s="46" t="s">
        <v>115</v>
      </c>
      <c r="G90" s="47" t="s">
        <v>664</v>
      </c>
      <c r="H90" s="46" t="s">
        <v>1291</v>
      </c>
      <c r="I90" s="46"/>
      <c r="J90" s="46" t="s">
        <v>1423</v>
      </c>
      <c r="K90" s="46" t="s">
        <v>1565</v>
      </c>
      <c r="L90" s="46"/>
      <c r="M90" s="46" t="s">
        <v>1569</v>
      </c>
      <c r="N90" s="45" t="s">
        <v>1293</v>
      </c>
      <c r="O90" s="46" t="s">
        <v>1953</v>
      </c>
      <c r="P90" s="42"/>
      <c r="Q90" s="42"/>
      <c r="R90" s="42"/>
      <c r="S90" s="42"/>
      <c r="T90" s="42"/>
      <c r="U90" s="42"/>
      <c r="V90" s="42"/>
      <c r="W90" s="42"/>
      <c r="X90" s="42"/>
      <c r="Y90" s="42"/>
      <c r="Z90" s="42"/>
      <c r="AA90" s="42"/>
      <c r="AB90" s="42"/>
      <c r="AC90" s="42"/>
      <c r="AD90" s="42"/>
      <c r="AE90" s="42"/>
    </row>
    <row r="91" spans="1:31" x14ac:dyDescent="0.2">
      <c r="A91" s="46">
        <v>425</v>
      </c>
      <c r="B91" s="46"/>
      <c r="C91" s="46"/>
      <c r="D91" s="46" t="s">
        <v>113</v>
      </c>
      <c r="E91" s="46" t="s">
        <v>192</v>
      </c>
      <c r="F91" s="46" t="s">
        <v>115</v>
      </c>
      <c r="G91" s="47" t="s">
        <v>666</v>
      </c>
      <c r="H91" s="46" t="s">
        <v>1291</v>
      </c>
      <c r="I91" s="46"/>
      <c r="J91" s="46" t="s">
        <v>1292</v>
      </c>
      <c r="K91" s="48" t="s">
        <v>665</v>
      </c>
      <c r="L91" s="46"/>
      <c r="M91" s="46"/>
      <c r="N91" s="45" t="s">
        <v>1293</v>
      </c>
      <c r="O91" s="46" t="s">
        <v>1953</v>
      </c>
      <c r="P91" s="42"/>
      <c r="Q91" s="42"/>
      <c r="R91" s="42"/>
      <c r="S91" s="42"/>
      <c r="T91" s="42"/>
      <c r="U91" s="42"/>
      <c r="V91" s="42"/>
      <c r="W91" s="42"/>
      <c r="X91" s="42"/>
      <c r="Y91" s="42"/>
      <c r="Z91" s="42"/>
      <c r="AA91" s="42"/>
      <c r="AB91" s="42"/>
      <c r="AC91" s="42"/>
      <c r="AD91" s="42"/>
      <c r="AE91" s="42"/>
    </row>
    <row r="92" spans="1:31" x14ac:dyDescent="0.2">
      <c r="A92" s="46">
        <v>426</v>
      </c>
      <c r="B92" s="46"/>
      <c r="C92" s="46"/>
      <c r="D92" s="46" t="s">
        <v>113</v>
      </c>
      <c r="E92" s="46" t="s">
        <v>192</v>
      </c>
      <c r="F92" s="46" t="s">
        <v>115</v>
      </c>
      <c r="G92" s="47" t="s">
        <v>668</v>
      </c>
      <c r="H92" s="46" t="s">
        <v>1291</v>
      </c>
      <c r="I92" s="46"/>
      <c r="J92" s="46" t="s">
        <v>1292</v>
      </c>
      <c r="K92" s="48" t="s">
        <v>667</v>
      </c>
      <c r="L92" s="46"/>
      <c r="M92" s="46"/>
      <c r="N92" s="45" t="s">
        <v>1293</v>
      </c>
      <c r="O92" s="46" t="s">
        <v>1953</v>
      </c>
      <c r="P92" s="42"/>
      <c r="Q92" s="42"/>
      <c r="R92" s="42"/>
      <c r="S92" s="42"/>
      <c r="T92" s="42"/>
      <c r="U92" s="42"/>
      <c r="V92" s="42"/>
      <c r="W92" s="42"/>
      <c r="X92" s="42"/>
      <c r="Y92" s="42"/>
      <c r="Z92" s="42"/>
      <c r="AA92" s="42"/>
      <c r="AB92" s="42"/>
      <c r="AC92" s="42"/>
      <c r="AD92" s="42"/>
      <c r="AE92" s="42"/>
    </row>
    <row r="93" spans="1:31" x14ac:dyDescent="0.2">
      <c r="A93" s="46">
        <v>427</v>
      </c>
      <c r="B93" s="46"/>
      <c r="C93" s="46"/>
      <c r="D93" s="46" t="s">
        <v>113</v>
      </c>
      <c r="E93" s="46" t="s">
        <v>192</v>
      </c>
      <c r="F93" s="46" t="s">
        <v>115</v>
      </c>
      <c r="G93" s="47" t="s">
        <v>670</v>
      </c>
      <c r="H93" s="46" t="s">
        <v>1291</v>
      </c>
      <c r="I93" s="46"/>
      <c r="J93" s="46" t="s">
        <v>1292</v>
      </c>
      <c r="K93" s="48" t="s">
        <v>669</v>
      </c>
      <c r="L93" s="46"/>
      <c r="M93" s="46"/>
      <c r="N93" s="45" t="s">
        <v>1293</v>
      </c>
      <c r="O93" s="46" t="s">
        <v>1953</v>
      </c>
      <c r="P93" s="42"/>
      <c r="Q93" s="42"/>
      <c r="R93" s="42"/>
      <c r="S93" s="42"/>
      <c r="T93" s="42"/>
      <c r="U93" s="42"/>
      <c r="V93" s="42"/>
      <c r="W93" s="42"/>
      <c r="X93" s="42"/>
      <c r="Y93" s="42"/>
      <c r="Z93" s="42"/>
      <c r="AA93" s="42"/>
      <c r="AB93" s="42"/>
      <c r="AC93" s="42"/>
      <c r="AD93" s="42"/>
      <c r="AE93" s="42"/>
    </row>
    <row r="94" spans="1:31" x14ac:dyDescent="0.2">
      <c r="A94" s="46">
        <v>428</v>
      </c>
      <c r="B94" s="46"/>
      <c r="C94" s="46"/>
      <c r="D94" s="46" t="s">
        <v>113</v>
      </c>
      <c r="E94" s="46" t="s">
        <v>192</v>
      </c>
      <c r="F94" s="46" t="s">
        <v>115</v>
      </c>
      <c r="G94" s="47" t="s">
        <v>672</v>
      </c>
      <c r="H94" s="46" t="s">
        <v>1291</v>
      </c>
      <c r="I94" s="46"/>
      <c r="J94" s="46" t="s">
        <v>1292</v>
      </c>
      <c r="K94" s="48" t="s">
        <v>671</v>
      </c>
      <c r="L94" s="46"/>
      <c r="M94" s="46"/>
      <c r="N94" s="45" t="s">
        <v>1293</v>
      </c>
      <c r="O94" s="46" t="s">
        <v>1953</v>
      </c>
      <c r="P94" s="42"/>
      <c r="Q94" s="42"/>
      <c r="R94" s="42"/>
      <c r="S94" s="42"/>
      <c r="T94" s="42"/>
      <c r="U94" s="42"/>
      <c r="V94" s="42"/>
      <c r="W94" s="42"/>
      <c r="X94" s="42"/>
      <c r="Y94" s="42"/>
      <c r="Z94" s="42"/>
      <c r="AA94" s="42"/>
      <c r="AB94" s="42"/>
      <c r="AC94" s="42"/>
      <c r="AD94" s="42"/>
      <c r="AE94" s="42"/>
    </row>
    <row r="95" spans="1:31" x14ac:dyDescent="0.2">
      <c r="A95" s="46">
        <v>429</v>
      </c>
      <c r="B95" s="46"/>
      <c r="C95" s="46"/>
      <c r="D95" s="46" t="s">
        <v>113</v>
      </c>
      <c r="E95" s="46" t="s">
        <v>192</v>
      </c>
      <c r="F95" s="46" t="s">
        <v>115</v>
      </c>
      <c r="G95" s="47" t="s">
        <v>673</v>
      </c>
      <c r="H95" s="46" t="s">
        <v>1291</v>
      </c>
      <c r="I95" s="46"/>
      <c r="J95" s="46" t="s">
        <v>1423</v>
      </c>
      <c r="K95" s="46" t="s">
        <v>1566</v>
      </c>
      <c r="L95" s="46"/>
      <c r="M95" s="46" t="s">
        <v>1561</v>
      </c>
      <c r="N95" s="45" t="s">
        <v>1293</v>
      </c>
      <c r="O95" s="46" t="s">
        <v>1953</v>
      </c>
      <c r="P95" s="42"/>
      <c r="Q95" s="42"/>
      <c r="R95" s="42"/>
      <c r="S95" s="42"/>
      <c r="T95" s="42"/>
      <c r="U95" s="42"/>
      <c r="V95" s="42"/>
      <c r="W95" s="42"/>
      <c r="X95" s="42"/>
      <c r="Y95" s="42"/>
      <c r="Z95" s="42"/>
      <c r="AA95" s="42"/>
      <c r="AB95" s="42"/>
      <c r="AC95" s="42"/>
      <c r="AD95" s="42"/>
      <c r="AE95" s="42"/>
    </row>
    <row r="96" spans="1:31" x14ac:dyDescent="0.2">
      <c r="A96" s="46">
        <v>430</v>
      </c>
      <c r="B96" s="46"/>
      <c r="C96" s="46"/>
      <c r="D96" s="46" t="s">
        <v>113</v>
      </c>
      <c r="E96" s="46" t="s">
        <v>192</v>
      </c>
      <c r="F96" s="46" t="s">
        <v>115</v>
      </c>
      <c r="G96" s="47" t="s">
        <v>675</v>
      </c>
      <c r="H96" s="46" t="s">
        <v>1291</v>
      </c>
      <c r="I96" s="46"/>
      <c r="J96" s="46" t="s">
        <v>1292</v>
      </c>
      <c r="K96" s="48" t="s">
        <v>674</v>
      </c>
      <c r="L96" s="46"/>
      <c r="M96" s="46"/>
      <c r="N96" s="45" t="s">
        <v>1293</v>
      </c>
      <c r="O96" s="46" t="s">
        <v>1953</v>
      </c>
      <c r="P96" s="42"/>
      <c r="Q96" s="42"/>
      <c r="R96" s="42"/>
      <c r="S96" s="42"/>
      <c r="T96" s="42"/>
      <c r="U96" s="42"/>
      <c r="V96" s="42"/>
      <c r="W96" s="42"/>
      <c r="X96" s="42"/>
      <c r="Y96" s="42"/>
      <c r="Z96" s="42"/>
      <c r="AA96" s="42"/>
      <c r="AB96" s="42"/>
      <c r="AC96" s="42"/>
      <c r="AD96" s="42"/>
      <c r="AE96" s="42"/>
    </row>
    <row r="97" spans="1:31" x14ac:dyDescent="0.2">
      <c r="A97" s="46">
        <v>431</v>
      </c>
      <c r="B97" s="46"/>
      <c r="C97" s="46"/>
      <c r="D97" s="46" t="s">
        <v>113</v>
      </c>
      <c r="E97" s="46" t="s">
        <v>192</v>
      </c>
      <c r="F97" s="46" t="s">
        <v>115</v>
      </c>
      <c r="G97" s="47" t="s">
        <v>677</v>
      </c>
      <c r="H97" s="46" t="s">
        <v>1291</v>
      </c>
      <c r="I97" s="46"/>
      <c r="J97" s="46" t="s">
        <v>1292</v>
      </c>
      <c r="K97" s="48" t="s">
        <v>676</v>
      </c>
      <c r="L97" s="46"/>
      <c r="M97" s="46"/>
      <c r="N97" s="45" t="s">
        <v>1293</v>
      </c>
      <c r="O97" s="46" t="s">
        <v>1953</v>
      </c>
      <c r="P97" s="42"/>
      <c r="Q97" s="42"/>
      <c r="R97" s="42"/>
      <c r="S97" s="42"/>
      <c r="T97" s="42"/>
      <c r="U97" s="42"/>
      <c r="V97" s="42"/>
      <c r="W97" s="42"/>
      <c r="X97" s="42"/>
      <c r="Y97" s="42"/>
      <c r="Z97" s="42"/>
      <c r="AA97" s="42"/>
      <c r="AB97" s="42"/>
      <c r="AC97" s="42"/>
      <c r="AD97" s="42"/>
      <c r="AE97" s="42"/>
    </row>
    <row r="98" spans="1:31" x14ac:dyDescent="0.2">
      <c r="A98" s="46">
        <v>432</v>
      </c>
      <c r="B98" s="46"/>
      <c r="C98" s="46"/>
      <c r="D98" s="46" t="s">
        <v>113</v>
      </c>
      <c r="E98" s="46" t="s">
        <v>192</v>
      </c>
      <c r="F98" s="46" t="s">
        <v>115</v>
      </c>
      <c r="G98" s="47" t="s">
        <v>679</v>
      </c>
      <c r="H98" s="46" t="s">
        <v>1291</v>
      </c>
      <c r="I98" s="46"/>
      <c r="J98" s="46" t="s">
        <v>1292</v>
      </c>
      <c r="K98" s="48" t="s">
        <v>678</v>
      </c>
      <c r="L98" s="46"/>
      <c r="M98" s="46"/>
      <c r="N98" s="45" t="s">
        <v>1293</v>
      </c>
      <c r="O98" s="46" t="s">
        <v>1953</v>
      </c>
      <c r="P98" s="42"/>
      <c r="Q98" s="42"/>
      <c r="R98" s="42"/>
      <c r="S98" s="42"/>
      <c r="T98" s="42"/>
      <c r="U98" s="42"/>
      <c r="V98" s="42"/>
      <c r="W98" s="42"/>
      <c r="X98" s="42"/>
      <c r="Y98" s="42"/>
      <c r="Z98" s="42"/>
      <c r="AA98" s="42"/>
      <c r="AB98" s="42"/>
      <c r="AC98" s="42"/>
      <c r="AD98" s="42"/>
      <c r="AE98" s="42"/>
    </row>
    <row r="99" spans="1:31" x14ac:dyDescent="0.2">
      <c r="A99" s="46">
        <v>433</v>
      </c>
      <c r="B99" s="46"/>
      <c r="C99" s="46"/>
      <c r="D99" s="46" t="s">
        <v>113</v>
      </c>
      <c r="E99" s="46" t="s">
        <v>192</v>
      </c>
      <c r="F99" s="46" t="s">
        <v>115</v>
      </c>
      <c r="G99" s="47" t="s">
        <v>681</v>
      </c>
      <c r="H99" s="46" t="s">
        <v>1291</v>
      </c>
      <c r="I99" s="46"/>
      <c r="J99" s="46" t="s">
        <v>1292</v>
      </c>
      <c r="K99" s="48" t="s">
        <v>680</v>
      </c>
      <c r="L99" s="46"/>
      <c r="M99" s="46"/>
      <c r="N99" s="45" t="s">
        <v>1293</v>
      </c>
      <c r="O99" s="46" t="s">
        <v>1953</v>
      </c>
      <c r="P99" s="42"/>
      <c r="Q99" s="42"/>
      <c r="R99" s="42"/>
      <c r="S99" s="42"/>
      <c r="T99" s="42"/>
      <c r="U99" s="42"/>
      <c r="V99" s="42"/>
      <c r="W99" s="42"/>
      <c r="X99" s="42"/>
      <c r="Y99" s="42"/>
      <c r="Z99" s="42"/>
      <c r="AA99" s="42"/>
      <c r="AB99" s="42"/>
      <c r="AC99" s="42"/>
      <c r="AD99" s="42"/>
      <c r="AE99" s="42"/>
    </row>
    <row r="100" spans="1:31" x14ac:dyDescent="0.2">
      <c r="A100" s="46">
        <v>434</v>
      </c>
      <c r="B100" s="46"/>
      <c r="C100" s="46"/>
      <c r="D100" s="46" t="s">
        <v>113</v>
      </c>
      <c r="E100" s="46" t="s">
        <v>192</v>
      </c>
      <c r="F100" s="46" t="s">
        <v>115</v>
      </c>
      <c r="G100" s="47" t="s">
        <v>683</v>
      </c>
      <c r="H100" s="46" t="s">
        <v>1291</v>
      </c>
      <c r="I100" s="46"/>
      <c r="J100" s="46" t="s">
        <v>1292</v>
      </c>
      <c r="K100" s="48" t="s">
        <v>682</v>
      </c>
      <c r="L100" s="46"/>
      <c r="M100" s="46"/>
      <c r="N100" s="45" t="s">
        <v>1293</v>
      </c>
      <c r="O100" s="46" t="s">
        <v>1953</v>
      </c>
      <c r="P100" s="42"/>
      <c r="Q100" s="42"/>
      <c r="R100" s="42"/>
      <c r="S100" s="42"/>
      <c r="T100" s="42"/>
      <c r="U100" s="42"/>
      <c r="V100" s="42"/>
      <c r="W100" s="42"/>
      <c r="X100" s="42"/>
      <c r="Y100" s="42"/>
      <c r="Z100" s="42"/>
      <c r="AA100" s="42"/>
      <c r="AB100" s="42"/>
      <c r="AC100" s="42"/>
      <c r="AD100" s="42"/>
      <c r="AE100" s="42"/>
    </row>
    <row r="101" spans="1:31" x14ac:dyDescent="0.2">
      <c r="A101" s="46">
        <v>435</v>
      </c>
      <c r="B101" s="46"/>
      <c r="C101" s="46"/>
      <c r="D101" s="46" t="s">
        <v>113</v>
      </c>
      <c r="E101" s="46" t="s">
        <v>192</v>
      </c>
      <c r="F101" s="46" t="s">
        <v>115</v>
      </c>
      <c r="G101" s="47" t="s">
        <v>685</v>
      </c>
      <c r="H101" s="46" t="s">
        <v>1291</v>
      </c>
      <c r="I101" s="46"/>
      <c r="J101" s="46" t="s">
        <v>1292</v>
      </c>
      <c r="K101" s="48" t="s">
        <v>684</v>
      </c>
      <c r="L101" s="46"/>
      <c r="M101" s="46"/>
      <c r="N101" s="45" t="s">
        <v>1293</v>
      </c>
      <c r="O101" s="46" t="s">
        <v>1953</v>
      </c>
      <c r="P101" s="42"/>
      <c r="Q101" s="42"/>
      <c r="R101" s="42"/>
      <c r="S101" s="42"/>
      <c r="T101" s="42"/>
      <c r="U101" s="42"/>
      <c r="V101" s="42"/>
      <c r="W101" s="42"/>
      <c r="X101" s="42"/>
      <c r="Y101" s="42"/>
      <c r="Z101" s="42"/>
      <c r="AA101" s="42"/>
      <c r="AB101" s="42"/>
      <c r="AC101" s="42"/>
      <c r="AD101" s="42"/>
      <c r="AE101" s="42"/>
    </row>
    <row r="102" spans="1:31" x14ac:dyDescent="0.2">
      <c r="A102" s="46">
        <v>436</v>
      </c>
      <c r="B102" s="46"/>
      <c r="C102" s="46"/>
      <c r="D102" s="46" t="s">
        <v>113</v>
      </c>
      <c r="E102" s="46" t="s">
        <v>192</v>
      </c>
      <c r="F102" s="46" t="s">
        <v>115</v>
      </c>
      <c r="G102" s="47" t="s">
        <v>687</v>
      </c>
      <c r="H102" s="46" t="s">
        <v>1291</v>
      </c>
      <c r="I102" s="46"/>
      <c r="J102" s="46" t="s">
        <v>1292</v>
      </c>
      <c r="K102" s="48" t="s">
        <v>686</v>
      </c>
      <c r="L102" s="46"/>
      <c r="M102" s="46"/>
      <c r="N102" s="45" t="s">
        <v>1293</v>
      </c>
      <c r="O102" s="46" t="s">
        <v>1953</v>
      </c>
      <c r="P102" s="42"/>
      <c r="Q102" s="42"/>
      <c r="R102" s="42"/>
      <c r="S102" s="42"/>
      <c r="T102" s="42"/>
      <c r="U102" s="42"/>
      <c r="V102" s="42"/>
      <c r="W102" s="42"/>
      <c r="X102" s="42"/>
      <c r="Y102" s="42"/>
      <c r="Z102" s="42"/>
      <c r="AA102" s="42"/>
      <c r="AB102" s="42"/>
      <c r="AC102" s="42"/>
      <c r="AD102" s="42"/>
      <c r="AE102" s="42"/>
    </row>
    <row r="103" spans="1:31" x14ac:dyDescent="0.2">
      <c r="A103" s="46">
        <v>437</v>
      </c>
      <c r="B103" s="46"/>
      <c r="C103" s="46"/>
      <c r="D103" s="46" t="s">
        <v>113</v>
      </c>
      <c r="E103" s="46" t="s">
        <v>192</v>
      </c>
      <c r="F103" s="46" t="s">
        <v>115</v>
      </c>
      <c r="G103" s="47" t="s">
        <v>689</v>
      </c>
      <c r="H103" s="46" t="s">
        <v>1291</v>
      </c>
      <c r="I103" s="46"/>
      <c r="J103" s="46" t="s">
        <v>1292</v>
      </c>
      <c r="K103" s="48" t="s">
        <v>688</v>
      </c>
      <c r="L103" s="46"/>
      <c r="M103" s="46"/>
      <c r="N103" s="45" t="s">
        <v>1293</v>
      </c>
      <c r="O103" s="46" t="s">
        <v>1953</v>
      </c>
      <c r="P103" s="42"/>
      <c r="Q103" s="42"/>
      <c r="R103" s="42"/>
      <c r="S103" s="42"/>
      <c r="T103" s="42"/>
      <c r="U103" s="42"/>
      <c r="V103" s="42"/>
      <c r="W103" s="42"/>
      <c r="X103" s="42"/>
      <c r="Y103" s="42"/>
      <c r="Z103" s="42"/>
      <c r="AA103" s="42"/>
      <c r="AB103" s="42"/>
      <c r="AC103" s="42"/>
      <c r="AD103" s="42"/>
      <c r="AE103" s="42"/>
    </row>
    <row r="104" spans="1:31" x14ac:dyDescent="0.2">
      <c r="A104" s="46">
        <v>438</v>
      </c>
      <c r="B104" s="46"/>
      <c r="C104" s="46"/>
      <c r="D104" s="46" t="s">
        <v>113</v>
      </c>
      <c r="E104" s="46" t="s">
        <v>192</v>
      </c>
      <c r="F104" s="46" t="s">
        <v>115</v>
      </c>
      <c r="G104" s="47" t="s">
        <v>691</v>
      </c>
      <c r="H104" s="46" t="s">
        <v>1291</v>
      </c>
      <c r="I104" s="46"/>
      <c r="J104" s="46" t="s">
        <v>1292</v>
      </c>
      <c r="K104" s="48" t="s">
        <v>690</v>
      </c>
      <c r="L104" s="46"/>
      <c r="M104" s="46"/>
      <c r="N104" s="45" t="s">
        <v>1293</v>
      </c>
      <c r="O104" s="46" t="s">
        <v>1953</v>
      </c>
      <c r="P104" s="42"/>
      <c r="Q104" s="42"/>
      <c r="R104" s="42"/>
      <c r="S104" s="42"/>
      <c r="T104" s="42"/>
      <c r="U104" s="42"/>
      <c r="V104" s="42"/>
      <c r="W104" s="42"/>
      <c r="X104" s="42"/>
      <c r="Y104" s="42"/>
      <c r="Z104" s="42"/>
      <c r="AA104" s="42"/>
      <c r="AB104" s="42"/>
      <c r="AC104" s="42"/>
      <c r="AD104" s="42"/>
      <c r="AE104" s="42"/>
    </row>
    <row r="105" spans="1:31" x14ac:dyDescent="0.2">
      <c r="A105" s="46">
        <v>439</v>
      </c>
      <c r="B105" s="46"/>
      <c r="C105" s="46"/>
      <c r="D105" s="46" t="s">
        <v>113</v>
      </c>
      <c r="E105" s="46" t="s">
        <v>192</v>
      </c>
      <c r="F105" s="46" t="s">
        <v>115</v>
      </c>
      <c r="G105" s="47" t="s">
        <v>693</v>
      </c>
      <c r="H105" s="46" t="s">
        <v>1291</v>
      </c>
      <c r="I105" s="46"/>
      <c r="J105" s="46" t="s">
        <v>1292</v>
      </c>
      <c r="K105" s="48" t="s">
        <v>692</v>
      </c>
      <c r="L105" s="46"/>
      <c r="M105" s="46"/>
      <c r="N105" s="45" t="s">
        <v>1293</v>
      </c>
      <c r="O105" s="46" t="s">
        <v>1953</v>
      </c>
      <c r="P105" s="42"/>
      <c r="Q105" s="42"/>
      <c r="R105" s="42"/>
      <c r="S105" s="42"/>
      <c r="T105" s="42"/>
      <c r="U105" s="42"/>
      <c r="V105" s="42"/>
      <c r="W105" s="42"/>
      <c r="X105" s="42"/>
      <c r="Y105" s="42"/>
      <c r="Z105" s="42"/>
      <c r="AA105" s="42"/>
      <c r="AB105" s="42"/>
      <c r="AC105" s="42"/>
      <c r="AD105" s="42"/>
      <c r="AE105" s="42"/>
    </row>
    <row r="106" spans="1:31" x14ac:dyDescent="0.2">
      <c r="A106" s="46">
        <v>440</v>
      </c>
      <c r="B106" s="46"/>
      <c r="C106" s="46"/>
      <c r="D106" s="46" t="s">
        <v>113</v>
      </c>
      <c r="E106" s="46" t="s">
        <v>192</v>
      </c>
      <c r="F106" s="46" t="s">
        <v>115</v>
      </c>
      <c r="G106" s="47" t="s">
        <v>695</v>
      </c>
      <c r="H106" s="46" t="s">
        <v>1291</v>
      </c>
      <c r="I106" s="46"/>
      <c r="J106" s="46" t="s">
        <v>1292</v>
      </c>
      <c r="K106" s="48" t="s">
        <v>694</v>
      </c>
      <c r="L106" s="46"/>
      <c r="M106" s="46"/>
      <c r="N106" s="45" t="s">
        <v>1293</v>
      </c>
      <c r="O106" s="46" t="s">
        <v>1953</v>
      </c>
      <c r="P106" s="42"/>
      <c r="Q106" s="42"/>
      <c r="R106" s="42"/>
      <c r="S106" s="42"/>
      <c r="T106" s="42"/>
      <c r="U106" s="42"/>
      <c r="V106" s="42"/>
      <c r="W106" s="42"/>
      <c r="X106" s="42"/>
      <c r="Y106" s="42"/>
      <c r="Z106" s="42"/>
      <c r="AA106" s="42"/>
      <c r="AB106" s="42"/>
      <c r="AC106" s="42"/>
      <c r="AD106" s="42"/>
      <c r="AE106" s="42"/>
    </row>
    <row r="107" spans="1:31" x14ac:dyDescent="0.2">
      <c r="A107" s="46">
        <v>441</v>
      </c>
      <c r="B107" s="46"/>
      <c r="C107" s="46"/>
      <c r="D107" s="46" t="s">
        <v>113</v>
      </c>
      <c r="E107" s="46" t="s">
        <v>192</v>
      </c>
      <c r="F107" s="46" t="s">
        <v>115</v>
      </c>
      <c r="G107" s="47" t="s">
        <v>697</v>
      </c>
      <c r="H107" s="46" t="s">
        <v>1291</v>
      </c>
      <c r="I107" s="46"/>
      <c r="J107" s="46" t="s">
        <v>1292</v>
      </c>
      <c r="K107" s="48" t="s">
        <v>696</v>
      </c>
      <c r="L107" s="46"/>
      <c r="M107" s="46"/>
      <c r="N107" s="45" t="s">
        <v>1293</v>
      </c>
      <c r="O107" s="46" t="s">
        <v>1953</v>
      </c>
      <c r="P107" s="42"/>
      <c r="Q107" s="42"/>
      <c r="R107" s="42"/>
      <c r="S107" s="42"/>
      <c r="T107" s="42"/>
      <c r="U107" s="42"/>
      <c r="V107" s="42"/>
      <c r="W107" s="42"/>
      <c r="X107" s="42"/>
      <c r="Y107" s="42"/>
      <c r="Z107" s="42"/>
      <c r="AA107" s="42"/>
      <c r="AB107" s="42"/>
      <c r="AC107" s="42"/>
      <c r="AD107" s="42"/>
      <c r="AE107" s="42"/>
    </row>
    <row r="108" spans="1:31" x14ac:dyDescent="0.2">
      <c r="A108" s="46">
        <v>442</v>
      </c>
      <c r="B108" s="46"/>
      <c r="C108" s="46"/>
      <c r="D108" s="46" t="s">
        <v>113</v>
      </c>
      <c r="E108" s="46" t="s">
        <v>192</v>
      </c>
      <c r="F108" s="46" t="s">
        <v>115</v>
      </c>
      <c r="G108" s="47" t="s">
        <v>699</v>
      </c>
      <c r="H108" s="46" t="s">
        <v>1291</v>
      </c>
      <c r="I108" s="46"/>
      <c r="J108" s="46" t="s">
        <v>1292</v>
      </c>
      <c r="K108" s="48" t="s">
        <v>698</v>
      </c>
      <c r="L108" s="46"/>
      <c r="M108" s="46"/>
      <c r="N108" s="45" t="s">
        <v>1293</v>
      </c>
      <c r="O108" s="46" t="s">
        <v>1953</v>
      </c>
      <c r="P108" s="42"/>
      <c r="Q108" s="42"/>
      <c r="R108" s="42"/>
      <c r="S108" s="42"/>
      <c r="T108" s="42"/>
      <c r="U108" s="42"/>
      <c r="V108" s="42"/>
      <c r="W108" s="42"/>
      <c r="X108" s="42"/>
      <c r="Y108" s="42"/>
      <c r="Z108" s="42"/>
      <c r="AA108" s="42"/>
      <c r="AB108" s="42"/>
      <c r="AC108" s="42"/>
      <c r="AD108" s="42"/>
      <c r="AE108" s="42"/>
    </row>
    <row r="109" spans="1:31" x14ac:dyDescent="0.2">
      <c r="A109" s="46">
        <v>443</v>
      </c>
      <c r="B109" s="46"/>
      <c r="C109" s="46"/>
      <c r="D109" s="46" t="s">
        <v>113</v>
      </c>
      <c r="E109" s="46" t="s">
        <v>192</v>
      </c>
      <c r="F109" s="46" t="s">
        <v>115</v>
      </c>
      <c r="G109" s="47" t="s">
        <v>701</v>
      </c>
      <c r="H109" s="46" t="s">
        <v>1291</v>
      </c>
      <c r="I109" s="46"/>
      <c r="J109" s="46" t="s">
        <v>1292</v>
      </c>
      <c r="K109" s="48" t="s">
        <v>700</v>
      </c>
      <c r="L109" s="46"/>
      <c r="M109" s="46"/>
      <c r="N109" s="45" t="s">
        <v>1293</v>
      </c>
      <c r="O109" s="46" t="s">
        <v>1953</v>
      </c>
      <c r="P109" s="42"/>
      <c r="Q109" s="42"/>
      <c r="R109" s="42"/>
      <c r="S109" s="42"/>
      <c r="T109" s="42"/>
      <c r="U109" s="42"/>
      <c r="V109" s="42"/>
      <c r="W109" s="42"/>
      <c r="X109" s="42"/>
      <c r="Y109" s="42"/>
      <c r="Z109" s="42"/>
      <c r="AA109" s="42"/>
      <c r="AB109" s="42"/>
      <c r="AC109" s="42"/>
      <c r="AD109" s="42"/>
      <c r="AE109" s="42"/>
    </row>
    <row r="110" spans="1:31" x14ac:dyDescent="0.2">
      <c r="A110" s="46">
        <v>444</v>
      </c>
      <c r="B110" s="46"/>
      <c r="C110" s="46"/>
      <c r="D110" s="46" t="s">
        <v>113</v>
      </c>
      <c r="E110" s="46" t="s">
        <v>192</v>
      </c>
      <c r="F110" s="46" t="s">
        <v>115</v>
      </c>
      <c r="G110" s="47" t="s">
        <v>702</v>
      </c>
      <c r="H110" s="46" t="s">
        <v>1291</v>
      </c>
      <c r="I110" s="46"/>
      <c r="J110" s="46" t="s">
        <v>1423</v>
      </c>
      <c r="K110" s="46" t="s">
        <v>1567</v>
      </c>
      <c r="L110" s="46"/>
      <c r="M110" s="46" t="s">
        <v>1559</v>
      </c>
      <c r="N110" s="45" t="s">
        <v>1293</v>
      </c>
      <c r="O110" s="46" t="s">
        <v>1953</v>
      </c>
      <c r="P110" s="42"/>
      <c r="Q110" s="42"/>
      <c r="R110" s="42"/>
      <c r="S110" s="42"/>
      <c r="T110" s="42"/>
      <c r="U110" s="42"/>
      <c r="V110" s="42"/>
      <c r="W110" s="42"/>
      <c r="X110" s="42"/>
      <c r="Y110" s="42"/>
      <c r="Z110" s="42"/>
      <c r="AA110" s="42"/>
      <c r="AB110" s="42"/>
      <c r="AC110" s="42"/>
      <c r="AD110" s="42"/>
      <c r="AE110" s="42"/>
    </row>
    <row r="111" spans="1:31" x14ac:dyDescent="0.2">
      <c r="A111" s="46">
        <v>445</v>
      </c>
      <c r="B111" s="46"/>
      <c r="C111" s="46"/>
      <c r="D111" s="46" t="s">
        <v>113</v>
      </c>
      <c r="E111" s="46" t="s">
        <v>192</v>
      </c>
      <c r="F111" s="46" t="s">
        <v>115</v>
      </c>
      <c r="G111" s="47" t="s">
        <v>704</v>
      </c>
      <c r="H111" s="46" t="s">
        <v>1291</v>
      </c>
      <c r="I111" s="46"/>
      <c r="J111" s="46" t="s">
        <v>1292</v>
      </c>
      <c r="K111" s="48" t="s">
        <v>703</v>
      </c>
      <c r="L111" s="46"/>
      <c r="M111" s="46"/>
      <c r="N111" s="45" t="s">
        <v>1293</v>
      </c>
      <c r="O111" s="46" t="s">
        <v>1953</v>
      </c>
      <c r="P111" s="42"/>
      <c r="Q111" s="42"/>
      <c r="R111" s="42"/>
      <c r="S111" s="42"/>
      <c r="T111" s="42"/>
      <c r="U111" s="42"/>
      <c r="V111" s="42"/>
      <c r="W111" s="42"/>
      <c r="X111" s="42"/>
      <c r="Y111" s="42"/>
      <c r="Z111" s="42"/>
      <c r="AA111" s="42"/>
      <c r="AB111" s="42"/>
      <c r="AC111" s="42"/>
      <c r="AD111" s="42"/>
      <c r="AE111" s="42"/>
    </row>
    <row r="112" spans="1:31" x14ac:dyDescent="0.2">
      <c r="A112" s="46">
        <v>446</v>
      </c>
      <c r="B112" s="46"/>
      <c r="C112" s="46"/>
      <c r="D112" s="46" t="s">
        <v>113</v>
      </c>
      <c r="E112" s="46" t="s">
        <v>192</v>
      </c>
      <c r="F112" s="46" t="s">
        <v>115</v>
      </c>
      <c r="G112" s="47" t="s">
        <v>706</v>
      </c>
      <c r="H112" s="46" t="s">
        <v>1291</v>
      </c>
      <c r="I112" s="46"/>
      <c r="J112" s="46" t="s">
        <v>1292</v>
      </c>
      <c r="K112" s="48" t="s">
        <v>705</v>
      </c>
      <c r="L112" s="46"/>
      <c r="M112" s="46"/>
      <c r="N112" s="45" t="s">
        <v>1293</v>
      </c>
      <c r="O112" s="46" t="s">
        <v>1953</v>
      </c>
      <c r="P112" s="42"/>
      <c r="Q112" s="42"/>
      <c r="R112" s="42"/>
      <c r="S112" s="42"/>
      <c r="T112" s="42"/>
      <c r="U112" s="42"/>
      <c r="V112" s="42"/>
      <c r="W112" s="42"/>
      <c r="X112" s="42"/>
      <c r="Y112" s="42"/>
      <c r="Z112" s="42"/>
      <c r="AA112" s="42"/>
      <c r="AB112" s="42"/>
      <c r="AC112" s="42"/>
      <c r="AD112" s="42"/>
      <c r="AE112" s="42"/>
    </row>
    <row r="113" spans="1:31" x14ac:dyDescent="0.2">
      <c r="A113" s="46">
        <v>447</v>
      </c>
      <c r="B113" s="46"/>
      <c r="C113" s="46"/>
      <c r="D113" s="46" t="s">
        <v>113</v>
      </c>
      <c r="E113" s="46" t="s">
        <v>192</v>
      </c>
      <c r="F113" s="46" t="s">
        <v>115</v>
      </c>
      <c r="G113" s="47" t="s">
        <v>708</v>
      </c>
      <c r="H113" s="46" t="s">
        <v>1291</v>
      </c>
      <c r="I113" s="46"/>
      <c r="J113" s="46" t="s">
        <v>1292</v>
      </c>
      <c r="K113" s="48" t="s">
        <v>707</v>
      </c>
      <c r="L113" s="46"/>
      <c r="M113" s="46"/>
      <c r="N113" s="45" t="s">
        <v>1293</v>
      </c>
      <c r="O113" s="46" t="s">
        <v>1953</v>
      </c>
      <c r="P113" s="42"/>
      <c r="Q113" s="42"/>
      <c r="R113" s="42"/>
      <c r="S113" s="42"/>
      <c r="T113" s="42"/>
      <c r="U113" s="42"/>
      <c r="V113" s="42"/>
      <c r="W113" s="42"/>
      <c r="X113" s="42"/>
      <c r="Y113" s="42"/>
      <c r="Z113" s="42"/>
      <c r="AA113" s="42"/>
      <c r="AB113" s="42"/>
      <c r="AC113" s="42"/>
      <c r="AD113" s="42"/>
      <c r="AE113" s="42"/>
    </row>
    <row r="114" spans="1:31" x14ac:dyDescent="0.2">
      <c r="A114" s="46">
        <v>448</v>
      </c>
      <c r="B114" s="46"/>
      <c r="C114" s="46"/>
      <c r="D114" s="46" t="s">
        <v>113</v>
      </c>
      <c r="E114" s="46" t="s">
        <v>192</v>
      </c>
      <c r="F114" s="46" t="s">
        <v>115</v>
      </c>
      <c r="G114" s="47" t="s">
        <v>710</v>
      </c>
      <c r="H114" s="46" t="s">
        <v>1291</v>
      </c>
      <c r="I114" s="46"/>
      <c r="J114" s="46" t="s">
        <v>1292</v>
      </c>
      <c r="K114" s="48" t="s">
        <v>709</v>
      </c>
      <c r="L114" s="46"/>
      <c r="M114" s="46"/>
      <c r="N114" s="45" t="s">
        <v>1293</v>
      </c>
      <c r="O114" s="46" t="s">
        <v>1953</v>
      </c>
      <c r="P114" s="42"/>
      <c r="Q114" s="42"/>
      <c r="R114" s="42"/>
      <c r="S114" s="42"/>
      <c r="T114" s="42"/>
      <c r="U114" s="42"/>
      <c r="V114" s="42"/>
      <c r="W114" s="42"/>
      <c r="X114" s="42"/>
      <c r="Y114" s="42"/>
      <c r="Z114" s="42"/>
      <c r="AA114" s="42"/>
      <c r="AB114" s="42"/>
      <c r="AC114" s="42"/>
      <c r="AD114" s="42"/>
      <c r="AE114" s="42"/>
    </row>
    <row r="115" spans="1:31" x14ac:dyDescent="0.2">
      <c r="A115" s="46">
        <v>449</v>
      </c>
      <c r="B115" s="46"/>
      <c r="C115" s="46"/>
      <c r="D115" s="46" t="s">
        <v>113</v>
      </c>
      <c r="E115" s="46" t="s">
        <v>192</v>
      </c>
      <c r="F115" s="46" t="s">
        <v>115</v>
      </c>
      <c r="G115" s="47" t="s">
        <v>712</v>
      </c>
      <c r="H115" s="46" t="s">
        <v>1291</v>
      </c>
      <c r="I115" s="46"/>
      <c r="J115" s="46" t="s">
        <v>1292</v>
      </c>
      <c r="K115" s="48" t="s">
        <v>711</v>
      </c>
      <c r="L115" s="46"/>
      <c r="M115" s="46"/>
      <c r="N115" s="45" t="s">
        <v>1293</v>
      </c>
      <c r="O115" s="46" t="s">
        <v>1953</v>
      </c>
      <c r="P115" s="42"/>
      <c r="Q115" s="42"/>
      <c r="R115" s="42"/>
      <c r="S115" s="42"/>
      <c r="T115" s="42"/>
      <c r="U115" s="42"/>
      <c r="V115" s="42"/>
      <c r="W115" s="42"/>
      <c r="X115" s="42"/>
      <c r="Y115" s="42"/>
      <c r="Z115" s="42"/>
      <c r="AA115" s="42"/>
      <c r="AB115" s="42"/>
      <c r="AC115" s="42"/>
      <c r="AD115" s="42"/>
      <c r="AE115" s="42"/>
    </row>
    <row r="116" spans="1:31" x14ac:dyDescent="0.2">
      <c r="A116" s="46">
        <v>450</v>
      </c>
      <c r="B116" s="46"/>
      <c r="C116" s="46"/>
      <c r="D116" s="46" t="s">
        <v>113</v>
      </c>
      <c r="E116" s="46" t="s">
        <v>192</v>
      </c>
      <c r="F116" s="46" t="s">
        <v>115</v>
      </c>
      <c r="G116" s="47" t="s">
        <v>714</v>
      </c>
      <c r="H116" s="46" t="s">
        <v>1291</v>
      </c>
      <c r="I116" s="46"/>
      <c r="J116" s="46" t="s">
        <v>1292</v>
      </c>
      <c r="K116" s="48" t="s">
        <v>713</v>
      </c>
      <c r="L116" s="46"/>
      <c r="M116" s="46"/>
      <c r="N116" s="45" t="s">
        <v>1293</v>
      </c>
      <c r="O116" s="46" t="s">
        <v>1953</v>
      </c>
      <c r="P116" s="42"/>
      <c r="Q116" s="42"/>
      <c r="R116" s="42"/>
      <c r="S116" s="42"/>
      <c r="T116" s="42"/>
      <c r="U116" s="42"/>
      <c r="V116" s="42"/>
      <c r="W116" s="42"/>
      <c r="X116" s="42"/>
      <c r="Y116" s="42"/>
      <c r="Z116" s="42"/>
      <c r="AA116" s="42"/>
      <c r="AB116" s="42"/>
      <c r="AC116" s="42"/>
      <c r="AD116" s="42"/>
      <c r="AE116" s="42"/>
    </row>
    <row r="117" spans="1:31" x14ac:dyDescent="0.2">
      <c r="A117" s="46">
        <v>451</v>
      </c>
      <c r="B117" s="46"/>
      <c r="C117" s="46"/>
      <c r="D117" s="46" t="s">
        <v>113</v>
      </c>
      <c r="E117" s="46" t="s">
        <v>192</v>
      </c>
      <c r="F117" s="46" t="s">
        <v>115</v>
      </c>
      <c r="G117" s="47" t="s">
        <v>716</v>
      </c>
      <c r="H117" s="46" t="s">
        <v>1291</v>
      </c>
      <c r="I117" s="46"/>
      <c r="J117" s="46" t="s">
        <v>1292</v>
      </c>
      <c r="K117" s="48" t="s">
        <v>715</v>
      </c>
      <c r="L117" s="46"/>
      <c r="M117" s="46"/>
      <c r="N117" s="45" t="s">
        <v>1293</v>
      </c>
      <c r="O117" s="46" t="s">
        <v>1953</v>
      </c>
      <c r="P117" s="42"/>
      <c r="Q117" s="42"/>
      <c r="R117" s="42"/>
      <c r="S117" s="42"/>
      <c r="T117" s="42"/>
      <c r="U117" s="42"/>
      <c r="V117" s="42"/>
      <c r="W117" s="42"/>
      <c r="X117" s="42"/>
      <c r="Y117" s="42"/>
      <c r="Z117" s="42"/>
      <c r="AA117" s="42"/>
      <c r="AB117" s="42"/>
      <c r="AC117" s="42"/>
      <c r="AD117" s="42"/>
      <c r="AE117" s="42"/>
    </row>
    <row r="118" spans="1:31" x14ac:dyDescent="0.2">
      <c r="A118" s="46">
        <v>452</v>
      </c>
      <c r="B118" s="46"/>
      <c r="C118" s="46"/>
      <c r="D118" s="46" t="s">
        <v>113</v>
      </c>
      <c r="E118" s="46" t="s">
        <v>192</v>
      </c>
      <c r="F118" s="46" t="s">
        <v>115</v>
      </c>
      <c r="G118" s="47" t="s">
        <v>718</v>
      </c>
      <c r="H118" s="46" t="s">
        <v>1291</v>
      </c>
      <c r="I118" s="46"/>
      <c r="J118" s="46" t="s">
        <v>1292</v>
      </c>
      <c r="K118" s="48" t="s">
        <v>717</v>
      </c>
      <c r="L118" s="46"/>
      <c r="M118" s="46"/>
      <c r="N118" s="45" t="s">
        <v>1293</v>
      </c>
      <c r="O118" s="46" t="s">
        <v>1953</v>
      </c>
      <c r="P118" s="42"/>
      <c r="Q118" s="42"/>
      <c r="R118" s="42"/>
      <c r="S118" s="42"/>
      <c r="T118" s="42"/>
      <c r="U118" s="42"/>
      <c r="V118" s="42"/>
      <c r="W118" s="42"/>
      <c r="X118" s="42"/>
      <c r="Y118" s="42"/>
      <c r="Z118" s="42"/>
      <c r="AA118" s="42"/>
      <c r="AB118" s="42"/>
      <c r="AC118" s="42"/>
      <c r="AD118" s="42"/>
      <c r="AE118" s="42"/>
    </row>
    <row r="119" spans="1:31" x14ac:dyDescent="0.2">
      <c r="A119" s="46">
        <v>453</v>
      </c>
      <c r="B119" s="46"/>
      <c r="C119" s="46"/>
      <c r="D119" s="46" t="s">
        <v>113</v>
      </c>
      <c r="E119" s="46" t="s">
        <v>192</v>
      </c>
      <c r="F119" s="46" t="s">
        <v>115</v>
      </c>
      <c r="G119" s="47" t="s">
        <v>720</v>
      </c>
      <c r="H119" s="46" t="s">
        <v>1291</v>
      </c>
      <c r="I119" s="46"/>
      <c r="J119" s="46" t="s">
        <v>1292</v>
      </c>
      <c r="K119" s="48" t="s">
        <v>719</v>
      </c>
      <c r="L119" s="46"/>
      <c r="M119" s="46"/>
      <c r="N119" s="45" t="s">
        <v>1293</v>
      </c>
      <c r="O119" s="46" t="s">
        <v>1953</v>
      </c>
      <c r="P119" s="42"/>
      <c r="Q119" s="42"/>
      <c r="R119" s="42"/>
      <c r="S119" s="42"/>
      <c r="T119" s="42"/>
      <c r="U119" s="42"/>
      <c r="V119" s="42"/>
      <c r="W119" s="42"/>
      <c r="X119" s="42"/>
      <c r="Y119" s="42"/>
      <c r="Z119" s="42"/>
      <c r="AA119" s="42"/>
      <c r="AB119" s="42"/>
      <c r="AC119" s="42"/>
      <c r="AD119" s="42"/>
      <c r="AE119" s="42"/>
    </row>
    <row r="120" spans="1:31" x14ac:dyDescent="0.2">
      <c r="A120" s="46">
        <v>454</v>
      </c>
      <c r="B120" s="46"/>
      <c r="C120" s="46"/>
      <c r="D120" s="46" t="s">
        <v>113</v>
      </c>
      <c r="E120" s="46" t="s">
        <v>192</v>
      </c>
      <c r="F120" s="46" t="s">
        <v>115</v>
      </c>
      <c r="G120" s="47" t="s">
        <v>722</v>
      </c>
      <c r="H120" s="46" t="s">
        <v>1291</v>
      </c>
      <c r="I120" s="46"/>
      <c r="J120" s="46" t="s">
        <v>1292</v>
      </c>
      <c r="K120" s="48" t="s">
        <v>721</v>
      </c>
      <c r="L120" s="46"/>
      <c r="M120" s="46"/>
      <c r="N120" s="45" t="s">
        <v>1293</v>
      </c>
      <c r="O120" s="46" t="s">
        <v>1953</v>
      </c>
      <c r="P120" s="42"/>
      <c r="Q120" s="42"/>
      <c r="R120" s="42"/>
      <c r="S120" s="42"/>
      <c r="T120" s="42"/>
      <c r="U120" s="42"/>
      <c r="V120" s="42"/>
      <c r="W120" s="42"/>
      <c r="X120" s="42"/>
      <c r="Y120" s="42"/>
      <c r="Z120" s="42"/>
      <c r="AA120" s="42"/>
      <c r="AB120" s="42"/>
      <c r="AC120" s="42"/>
      <c r="AD120" s="42"/>
      <c r="AE120" s="42"/>
    </row>
    <row r="121" spans="1:31" x14ac:dyDescent="0.2">
      <c r="A121" s="46">
        <v>455</v>
      </c>
      <c r="B121" s="46"/>
      <c r="C121" s="46"/>
      <c r="D121" s="46" t="s">
        <v>113</v>
      </c>
      <c r="E121" s="46" t="s">
        <v>192</v>
      </c>
      <c r="F121" s="46" t="s">
        <v>115</v>
      </c>
      <c r="G121" s="47" t="s">
        <v>724</v>
      </c>
      <c r="H121" s="46" t="s">
        <v>1291</v>
      </c>
      <c r="I121" s="46"/>
      <c r="J121" s="46" t="s">
        <v>1292</v>
      </c>
      <c r="K121" s="48" t="s">
        <v>723</v>
      </c>
      <c r="L121" s="46"/>
      <c r="M121" s="46"/>
      <c r="N121" s="45" t="s">
        <v>1293</v>
      </c>
      <c r="O121" s="46" t="s">
        <v>1953</v>
      </c>
      <c r="P121" s="42"/>
      <c r="Q121" s="42"/>
      <c r="R121" s="42"/>
      <c r="S121" s="42"/>
      <c r="T121" s="42"/>
      <c r="U121" s="42"/>
      <c r="V121" s="42"/>
      <c r="W121" s="42"/>
      <c r="X121" s="42"/>
      <c r="Y121" s="42"/>
      <c r="Z121" s="42"/>
      <c r="AA121" s="42"/>
      <c r="AB121" s="42"/>
      <c r="AC121" s="42"/>
      <c r="AD121" s="42"/>
      <c r="AE121" s="42"/>
    </row>
    <row r="122" spans="1:31" x14ac:dyDescent="0.2">
      <c r="A122" s="46">
        <v>456</v>
      </c>
      <c r="B122" s="46"/>
      <c r="C122" s="46"/>
      <c r="D122" s="46" t="s">
        <v>113</v>
      </c>
      <c r="E122" s="46" t="s">
        <v>192</v>
      </c>
      <c r="F122" s="46" t="s">
        <v>115</v>
      </c>
      <c r="G122" s="47" t="s">
        <v>725</v>
      </c>
      <c r="H122" s="46" t="s">
        <v>1291</v>
      </c>
      <c r="I122" s="46"/>
      <c r="J122" s="46" t="s">
        <v>1292</v>
      </c>
      <c r="K122" s="46" t="s">
        <v>941</v>
      </c>
      <c r="L122" s="46"/>
      <c r="M122" s="46"/>
      <c r="N122" s="45" t="s">
        <v>1293</v>
      </c>
      <c r="O122" s="46" t="s">
        <v>1953</v>
      </c>
      <c r="P122" s="42"/>
      <c r="Q122" s="42"/>
      <c r="R122" s="42"/>
      <c r="S122" s="42"/>
      <c r="T122" s="42"/>
      <c r="U122" s="42"/>
      <c r="V122" s="42"/>
      <c r="W122" s="42"/>
      <c r="X122" s="42"/>
      <c r="Y122" s="42"/>
      <c r="Z122" s="42"/>
      <c r="AA122" s="42"/>
      <c r="AB122" s="42"/>
      <c r="AC122" s="42"/>
      <c r="AD122" s="42"/>
      <c r="AE122" s="42"/>
    </row>
    <row r="123" spans="1:31" x14ac:dyDescent="0.2">
      <c r="A123" s="46">
        <v>457</v>
      </c>
      <c r="B123" s="46"/>
      <c r="C123" s="46"/>
      <c r="D123" s="46" t="s">
        <v>113</v>
      </c>
      <c r="E123" s="46" t="s">
        <v>192</v>
      </c>
      <c r="F123" s="46" t="s">
        <v>115</v>
      </c>
      <c r="G123" s="47" t="s">
        <v>727</v>
      </c>
      <c r="H123" s="46" t="s">
        <v>1291</v>
      </c>
      <c r="I123" s="46"/>
      <c r="J123" s="46" t="s">
        <v>1292</v>
      </c>
      <c r="K123" s="48" t="s">
        <v>726</v>
      </c>
      <c r="L123" s="46"/>
      <c r="M123" s="46"/>
      <c r="N123" s="45" t="s">
        <v>1293</v>
      </c>
      <c r="O123" s="46" t="s">
        <v>1953</v>
      </c>
      <c r="P123" s="42"/>
      <c r="Q123" s="42"/>
      <c r="R123" s="42"/>
      <c r="S123" s="42"/>
      <c r="T123" s="42"/>
      <c r="U123" s="42"/>
      <c r="V123" s="42"/>
      <c r="W123" s="42"/>
      <c r="X123" s="42"/>
      <c r="Y123" s="42"/>
      <c r="Z123" s="42"/>
      <c r="AA123" s="42"/>
      <c r="AB123" s="42"/>
      <c r="AC123" s="42"/>
      <c r="AD123" s="42"/>
      <c r="AE123" s="42"/>
    </row>
    <row r="124" spans="1:31" x14ac:dyDescent="0.2">
      <c r="A124" s="46">
        <v>458</v>
      </c>
      <c r="B124" s="46"/>
      <c r="C124" s="46"/>
      <c r="D124" s="46" t="s">
        <v>113</v>
      </c>
      <c r="E124" s="46" t="s">
        <v>192</v>
      </c>
      <c r="F124" s="46" t="s">
        <v>115</v>
      </c>
      <c r="G124" s="47" t="s">
        <v>728</v>
      </c>
      <c r="H124" s="46" t="s">
        <v>1291</v>
      </c>
      <c r="I124" s="46"/>
      <c r="J124" s="46" t="s">
        <v>1423</v>
      </c>
      <c r="K124" s="46" t="s">
        <v>1568</v>
      </c>
      <c r="L124" s="46"/>
      <c r="M124" s="46" t="s">
        <v>1559</v>
      </c>
      <c r="N124" s="45" t="s">
        <v>1293</v>
      </c>
      <c r="O124" s="46" t="s">
        <v>1953</v>
      </c>
      <c r="P124" s="42"/>
      <c r="Q124" s="42"/>
      <c r="R124" s="42"/>
      <c r="S124" s="42"/>
      <c r="T124" s="42"/>
      <c r="U124" s="42"/>
      <c r="V124" s="42"/>
      <c r="W124" s="42"/>
      <c r="X124" s="42"/>
      <c r="Y124" s="42"/>
      <c r="Z124" s="42"/>
      <c r="AA124" s="42"/>
      <c r="AB124" s="42"/>
      <c r="AC124" s="42"/>
      <c r="AD124" s="42"/>
      <c r="AE124" s="42"/>
    </row>
    <row r="125" spans="1:31" x14ac:dyDescent="0.2">
      <c r="A125" s="46">
        <v>459</v>
      </c>
      <c r="B125" s="46"/>
      <c r="C125" s="46"/>
      <c r="D125" s="46" t="s">
        <v>113</v>
      </c>
      <c r="E125" s="46" t="s">
        <v>192</v>
      </c>
      <c r="F125" s="46" t="s">
        <v>115</v>
      </c>
      <c r="G125" s="47" t="s">
        <v>730</v>
      </c>
      <c r="H125" s="46" t="s">
        <v>1291</v>
      </c>
      <c r="I125" s="46"/>
      <c r="J125" s="46" t="s">
        <v>1292</v>
      </c>
      <c r="K125" s="48" t="s">
        <v>729</v>
      </c>
      <c r="L125" s="46"/>
      <c r="M125" s="46"/>
      <c r="N125" s="45" t="s">
        <v>1293</v>
      </c>
      <c r="O125" s="46" t="s">
        <v>1953</v>
      </c>
      <c r="P125" s="42"/>
      <c r="Q125" s="42"/>
      <c r="R125" s="42"/>
      <c r="S125" s="42"/>
      <c r="T125" s="42"/>
      <c r="U125" s="42"/>
      <c r="V125" s="42"/>
      <c r="W125" s="42"/>
      <c r="X125" s="42"/>
      <c r="Y125" s="42"/>
      <c r="Z125" s="42"/>
      <c r="AA125" s="42"/>
      <c r="AB125" s="42"/>
      <c r="AC125" s="42"/>
      <c r="AD125" s="42"/>
      <c r="AE125" s="42"/>
    </row>
    <row r="126" spans="1:31" x14ac:dyDescent="0.2">
      <c r="A126" s="46">
        <v>460</v>
      </c>
      <c r="B126" s="46"/>
      <c r="C126" s="46"/>
      <c r="D126" s="46" t="s">
        <v>113</v>
      </c>
      <c r="E126" s="46" t="s">
        <v>192</v>
      </c>
      <c r="F126" s="46" t="s">
        <v>115</v>
      </c>
      <c r="G126" s="47" t="s">
        <v>731</v>
      </c>
      <c r="H126" s="46" t="s">
        <v>1291</v>
      </c>
      <c r="I126" s="46"/>
      <c r="J126" s="46" t="s">
        <v>1423</v>
      </c>
      <c r="K126" s="46" t="s">
        <v>1570</v>
      </c>
      <c r="L126" s="46"/>
      <c r="M126" s="46" t="s">
        <v>1559</v>
      </c>
      <c r="N126" s="45" t="s">
        <v>1293</v>
      </c>
      <c r="O126" s="46" t="s">
        <v>1953</v>
      </c>
      <c r="P126" s="42"/>
      <c r="Q126" s="42"/>
      <c r="R126" s="42"/>
      <c r="S126" s="42"/>
      <c r="T126" s="42"/>
      <c r="U126" s="42"/>
      <c r="V126" s="42"/>
      <c r="W126" s="42"/>
      <c r="X126" s="42"/>
      <c r="Y126" s="42"/>
      <c r="Z126" s="42"/>
      <c r="AA126" s="42"/>
      <c r="AB126" s="42"/>
      <c r="AC126" s="42"/>
      <c r="AD126" s="42"/>
      <c r="AE126" s="42"/>
    </row>
    <row r="127" spans="1:31" x14ac:dyDescent="0.2">
      <c r="A127" s="46">
        <v>461</v>
      </c>
      <c r="B127" s="46"/>
      <c r="C127" s="46"/>
      <c r="D127" s="46" t="s">
        <v>113</v>
      </c>
      <c r="E127" s="46" t="s">
        <v>192</v>
      </c>
      <c r="F127" s="46" t="s">
        <v>115</v>
      </c>
      <c r="G127" s="47" t="s">
        <v>733</v>
      </c>
      <c r="H127" s="46" t="s">
        <v>1291</v>
      </c>
      <c r="I127" s="46"/>
      <c r="J127" s="46" t="s">
        <v>1292</v>
      </c>
      <c r="K127" s="48" t="s">
        <v>732</v>
      </c>
      <c r="L127" s="46"/>
      <c r="M127" s="46"/>
      <c r="N127" s="45" t="s">
        <v>1293</v>
      </c>
      <c r="O127" s="46" t="s">
        <v>1953</v>
      </c>
      <c r="P127" s="42"/>
      <c r="Q127" s="42"/>
      <c r="R127" s="42"/>
      <c r="S127" s="42"/>
      <c r="T127" s="42"/>
      <c r="U127" s="42"/>
      <c r="V127" s="42"/>
      <c r="W127" s="42"/>
      <c r="X127" s="42"/>
      <c r="Y127" s="42"/>
      <c r="Z127" s="42"/>
      <c r="AA127" s="42"/>
      <c r="AB127" s="42"/>
      <c r="AC127" s="42"/>
      <c r="AD127" s="42"/>
      <c r="AE127" s="42"/>
    </row>
    <row r="128" spans="1:31" x14ac:dyDescent="0.2">
      <c r="A128" s="46">
        <v>462</v>
      </c>
      <c r="B128" s="46"/>
      <c r="C128" s="46"/>
      <c r="D128" s="46" t="s">
        <v>113</v>
      </c>
      <c r="E128" s="46" t="s">
        <v>192</v>
      </c>
      <c r="F128" s="46" t="s">
        <v>115</v>
      </c>
      <c r="G128" s="47" t="s">
        <v>734</v>
      </c>
      <c r="H128" s="46" t="s">
        <v>1291</v>
      </c>
      <c r="I128" s="46"/>
      <c r="J128" s="46" t="s">
        <v>1423</v>
      </c>
      <c r="K128" s="46" t="s">
        <v>1571</v>
      </c>
      <c r="L128" s="46"/>
      <c r="M128" s="46" t="s">
        <v>1561</v>
      </c>
      <c r="N128" s="45" t="s">
        <v>1293</v>
      </c>
      <c r="O128" s="46" t="s">
        <v>1953</v>
      </c>
      <c r="P128" s="42"/>
      <c r="Q128" s="42"/>
      <c r="R128" s="42"/>
      <c r="S128" s="42"/>
      <c r="T128" s="42"/>
      <c r="U128" s="42"/>
      <c r="V128" s="42"/>
      <c r="W128" s="42"/>
      <c r="X128" s="42"/>
      <c r="Y128" s="42"/>
      <c r="Z128" s="42"/>
      <c r="AA128" s="42"/>
      <c r="AB128" s="42"/>
      <c r="AC128" s="42"/>
      <c r="AD128" s="42"/>
      <c r="AE128" s="42"/>
    </row>
    <row r="129" spans="1:31" x14ac:dyDescent="0.2">
      <c r="A129" s="46">
        <v>463</v>
      </c>
      <c r="B129" s="46"/>
      <c r="C129" s="46"/>
      <c r="D129" s="46" t="s">
        <v>113</v>
      </c>
      <c r="E129" s="46" t="s">
        <v>192</v>
      </c>
      <c r="F129" s="46" t="s">
        <v>115</v>
      </c>
      <c r="G129" s="47" t="s">
        <v>736</v>
      </c>
      <c r="H129" s="46" t="s">
        <v>1291</v>
      </c>
      <c r="I129" s="46"/>
      <c r="J129" s="46" t="s">
        <v>1292</v>
      </c>
      <c r="K129" s="48" t="s">
        <v>735</v>
      </c>
      <c r="L129" s="46"/>
      <c r="M129" s="46"/>
      <c r="N129" s="45" t="s">
        <v>1293</v>
      </c>
      <c r="O129" s="46" t="s">
        <v>1953</v>
      </c>
      <c r="P129" s="42"/>
      <c r="Q129" s="42"/>
      <c r="R129" s="42"/>
      <c r="S129" s="42"/>
      <c r="T129" s="42"/>
      <c r="U129" s="42"/>
      <c r="V129" s="42"/>
      <c r="W129" s="42"/>
      <c r="X129" s="42"/>
      <c r="Y129" s="42"/>
      <c r="Z129" s="42"/>
      <c r="AA129" s="42"/>
      <c r="AB129" s="42"/>
      <c r="AC129" s="42"/>
      <c r="AD129" s="42"/>
      <c r="AE129" s="42"/>
    </row>
    <row r="130" spans="1:31" x14ac:dyDescent="0.2">
      <c r="A130" s="46">
        <v>464</v>
      </c>
      <c r="B130" s="46"/>
      <c r="C130" s="46"/>
      <c r="D130" s="46" t="s">
        <v>113</v>
      </c>
      <c r="E130" s="46" t="s">
        <v>192</v>
      </c>
      <c r="F130" s="46" t="s">
        <v>115</v>
      </c>
      <c r="G130" s="47" t="s">
        <v>738</v>
      </c>
      <c r="H130" s="46" t="s">
        <v>1291</v>
      </c>
      <c r="I130" s="46"/>
      <c r="J130" s="46" t="s">
        <v>1292</v>
      </c>
      <c r="K130" s="48" t="s">
        <v>737</v>
      </c>
      <c r="L130" s="46"/>
      <c r="M130" s="46"/>
      <c r="N130" s="45" t="s">
        <v>1293</v>
      </c>
      <c r="O130" s="46" t="s">
        <v>1953</v>
      </c>
      <c r="P130" s="42"/>
      <c r="Q130" s="42"/>
      <c r="R130" s="42"/>
      <c r="S130" s="42"/>
      <c r="T130" s="42"/>
      <c r="U130" s="42"/>
      <c r="V130" s="42"/>
      <c r="W130" s="42"/>
      <c r="X130" s="42"/>
      <c r="Y130" s="42"/>
      <c r="Z130" s="42"/>
      <c r="AA130" s="42"/>
      <c r="AB130" s="42"/>
      <c r="AC130" s="42"/>
      <c r="AD130" s="42"/>
      <c r="AE130" s="42"/>
    </row>
    <row r="131" spans="1:31" x14ac:dyDescent="0.2">
      <c r="A131" s="46">
        <v>465</v>
      </c>
      <c r="B131" s="46"/>
      <c r="C131" s="46"/>
      <c r="D131" s="46" t="s">
        <v>113</v>
      </c>
      <c r="E131" s="46" t="s">
        <v>192</v>
      </c>
      <c r="F131" s="46" t="s">
        <v>115</v>
      </c>
      <c r="G131" s="47" t="s">
        <v>739</v>
      </c>
      <c r="H131" s="46" t="s">
        <v>1291</v>
      </c>
      <c r="I131" s="46"/>
      <c r="J131" s="46" t="s">
        <v>1423</v>
      </c>
      <c r="K131" s="46" t="s">
        <v>1572</v>
      </c>
      <c r="L131" s="46"/>
      <c r="M131" s="46" t="s">
        <v>1561</v>
      </c>
      <c r="N131" s="45" t="s">
        <v>1293</v>
      </c>
      <c r="O131" s="46" t="s">
        <v>1953</v>
      </c>
      <c r="P131" s="42"/>
      <c r="Q131" s="42"/>
      <c r="R131" s="42"/>
      <c r="S131" s="42"/>
      <c r="T131" s="42"/>
      <c r="U131" s="42"/>
      <c r="V131" s="42"/>
      <c r="W131" s="42"/>
      <c r="X131" s="42"/>
      <c r="Y131" s="42"/>
      <c r="Z131" s="42"/>
      <c r="AA131" s="42"/>
      <c r="AB131" s="42"/>
      <c r="AC131" s="42"/>
      <c r="AD131" s="42"/>
      <c r="AE131" s="42"/>
    </row>
    <row r="132" spans="1:31" x14ac:dyDescent="0.2">
      <c r="A132" s="46">
        <v>466</v>
      </c>
      <c r="B132" s="46"/>
      <c r="C132" s="46"/>
      <c r="D132" s="46" t="s">
        <v>113</v>
      </c>
      <c r="E132" s="46" t="s">
        <v>192</v>
      </c>
      <c r="F132" s="46" t="s">
        <v>115</v>
      </c>
      <c r="G132" s="47" t="s">
        <v>740</v>
      </c>
      <c r="H132" s="46" t="s">
        <v>1291</v>
      </c>
      <c r="I132" s="46"/>
      <c r="J132" s="46" t="s">
        <v>1423</v>
      </c>
      <c r="K132" s="46" t="s">
        <v>1573</v>
      </c>
      <c r="L132" s="46"/>
      <c r="M132" s="46" t="s">
        <v>1559</v>
      </c>
      <c r="N132" s="45" t="s">
        <v>1293</v>
      </c>
      <c r="O132" s="46" t="s">
        <v>1953</v>
      </c>
      <c r="P132" s="42"/>
      <c r="Q132" s="42"/>
      <c r="R132" s="42"/>
      <c r="S132" s="42"/>
      <c r="T132" s="42"/>
      <c r="U132" s="42"/>
      <c r="V132" s="42"/>
      <c r="W132" s="42"/>
      <c r="X132" s="42"/>
      <c r="Y132" s="42"/>
      <c r="Z132" s="42"/>
      <c r="AA132" s="42"/>
      <c r="AB132" s="42"/>
      <c r="AC132" s="42"/>
      <c r="AD132" s="42"/>
      <c r="AE132" s="42"/>
    </row>
    <row r="133" spans="1:31" x14ac:dyDescent="0.2">
      <c r="A133" s="46">
        <v>467</v>
      </c>
      <c r="B133" s="46"/>
      <c r="C133" s="46"/>
      <c r="D133" s="46" t="s">
        <v>113</v>
      </c>
      <c r="E133" s="46" t="s">
        <v>192</v>
      </c>
      <c r="F133" s="46" t="s">
        <v>115</v>
      </c>
      <c r="G133" s="47" t="s">
        <v>742</v>
      </c>
      <c r="H133" s="46" t="s">
        <v>1291</v>
      </c>
      <c r="I133" s="46"/>
      <c r="J133" s="46" t="s">
        <v>1292</v>
      </c>
      <c r="K133" s="48" t="s">
        <v>741</v>
      </c>
      <c r="L133" s="46"/>
      <c r="M133" s="46"/>
      <c r="N133" s="45" t="s">
        <v>1293</v>
      </c>
      <c r="O133" s="46" t="s">
        <v>1953</v>
      </c>
      <c r="P133" s="42"/>
      <c r="Q133" s="42"/>
      <c r="R133" s="42"/>
      <c r="S133" s="42"/>
      <c r="T133" s="42"/>
      <c r="U133" s="42"/>
      <c r="V133" s="42"/>
      <c r="W133" s="42"/>
      <c r="X133" s="42"/>
      <c r="Y133" s="42"/>
      <c r="Z133" s="42"/>
      <c r="AA133" s="42"/>
      <c r="AB133" s="42"/>
      <c r="AC133" s="42"/>
      <c r="AD133" s="42"/>
      <c r="AE133" s="42"/>
    </row>
    <row r="134" spans="1:31" x14ac:dyDescent="0.2">
      <c r="A134" s="46">
        <v>468</v>
      </c>
      <c r="B134" s="46"/>
      <c r="C134" s="46"/>
      <c r="D134" s="46" t="s">
        <v>113</v>
      </c>
      <c r="E134" s="46" t="s">
        <v>192</v>
      </c>
      <c r="F134" s="46" t="s">
        <v>115</v>
      </c>
      <c r="G134" s="47" t="s">
        <v>744</v>
      </c>
      <c r="H134" s="46" t="s">
        <v>1291</v>
      </c>
      <c r="I134" s="46"/>
      <c r="J134" s="46" t="s">
        <v>1292</v>
      </c>
      <c r="K134" s="48" t="s">
        <v>743</v>
      </c>
      <c r="L134" s="46"/>
      <c r="M134" s="46"/>
      <c r="N134" s="45" t="s">
        <v>1293</v>
      </c>
      <c r="O134" s="46" t="s">
        <v>1953</v>
      </c>
      <c r="P134" s="42"/>
      <c r="Q134" s="42"/>
      <c r="R134" s="42"/>
      <c r="S134" s="42"/>
      <c r="T134" s="42"/>
      <c r="U134" s="42"/>
      <c r="V134" s="42"/>
      <c r="W134" s="42"/>
      <c r="X134" s="42"/>
      <c r="Y134" s="42"/>
      <c r="Z134" s="42"/>
      <c r="AA134" s="42"/>
      <c r="AB134" s="42"/>
      <c r="AC134" s="42"/>
      <c r="AD134" s="42"/>
      <c r="AE134" s="42"/>
    </row>
    <row r="135" spans="1:31" x14ac:dyDescent="0.2">
      <c r="A135" s="46">
        <v>469</v>
      </c>
      <c r="B135" s="46"/>
      <c r="C135" s="46"/>
      <c r="D135" s="46" t="s">
        <v>113</v>
      </c>
      <c r="E135" s="46" t="s">
        <v>192</v>
      </c>
      <c r="F135" s="46" t="s">
        <v>115</v>
      </c>
      <c r="G135" s="47" t="s">
        <v>746</v>
      </c>
      <c r="H135" s="46" t="s">
        <v>1291</v>
      </c>
      <c r="I135" s="46"/>
      <c r="J135" s="46" t="s">
        <v>1292</v>
      </c>
      <c r="K135" s="48" t="s">
        <v>745</v>
      </c>
      <c r="L135" s="46"/>
      <c r="M135" s="46"/>
      <c r="N135" s="45" t="s">
        <v>1293</v>
      </c>
      <c r="O135" s="46" t="s">
        <v>1953</v>
      </c>
      <c r="P135" s="42"/>
      <c r="Q135" s="42"/>
      <c r="R135" s="42"/>
      <c r="S135" s="42"/>
      <c r="T135" s="42"/>
      <c r="U135" s="42"/>
      <c r="V135" s="42"/>
      <c r="W135" s="42"/>
      <c r="X135" s="42"/>
      <c r="Y135" s="42"/>
      <c r="Z135" s="42"/>
      <c r="AA135" s="42"/>
      <c r="AB135" s="42"/>
      <c r="AC135" s="42"/>
      <c r="AD135" s="42"/>
      <c r="AE135" s="42"/>
    </row>
    <row r="136" spans="1:31" x14ac:dyDescent="0.2">
      <c r="A136" s="46">
        <v>470</v>
      </c>
      <c r="B136" s="46"/>
      <c r="C136" s="46"/>
      <c r="D136" s="46" t="s">
        <v>113</v>
      </c>
      <c r="E136" s="46" t="s">
        <v>192</v>
      </c>
      <c r="F136" s="46" t="s">
        <v>115</v>
      </c>
      <c r="G136" s="47" t="s">
        <v>748</v>
      </c>
      <c r="H136" s="46" t="s">
        <v>1291</v>
      </c>
      <c r="I136" s="46"/>
      <c r="J136" s="46" t="s">
        <v>1292</v>
      </c>
      <c r="K136" s="48" t="s">
        <v>747</v>
      </c>
      <c r="L136" s="46"/>
      <c r="M136" s="46"/>
      <c r="N136" s="45" t="s">
        <v>1293</v>
      </c>
      <c r="O136" s="46" t="s">
        <v>1953</v>
      </c>
      <c r="P136" s="42"/>
      <c r="Q136" s="42"/>
      <c r="R136" s="42"/>
      <c r="S136" s="42"/>
      <c r="T136" s="42"/>
      <c r="U136" s="42"/>
      <c r="V136" s="42"/>
      <c r="W136" s="42"/>
      <c r="X136" s="42"/>
      <c r="Y136" s="42"/>
      <c r="Z136" s="42"/>
      <c r="AA136" s="42"/>
      <c r="AB136" s="42"/>
      <c r="AC136" s="42"/>
      <c r="AD136" s="42"/>
      <c r="AE136" s="42"/>
    </row>
    <row r="137" spans="1:31" x14ac:dyDescent="0.2">
      <c r="A137" s="46">
        <v>471</v>
      </c>
      <c r="B137" s="46"/>
      <c r="C137" s="46"/>
      <c r="D137" s="46" t="s">
        <v>113</v>
      </c>
      <c r="E137" s="46" t="s">
        <v>192</v>
      </c>
      <c r="F137" s="46" t="s">
        <v>115</v>
      </c>
      <c r="G137" s="47" t="s">
        <v>750</v>
      </c>
      <c r="H137" s="46" t="s">
        <v>1291</v>
      </c>
      <c r="I137" s="46"/>
      <c r="J137" s="46" t="s">
        <v>1292</v>
      </c>
      <c r="K137" s="48" t="s">
        <v>749</v>
      </c>
      <c r="L137" s="46"/>
      <c r="M137" s="46"/>
      <c r="N137" s="45" t="s">
        <v>1293</v>
      </c>
      <c r="O137" s="46" t="s">
        <v>1953</v>
      </c>
      <c r="P137" s="42"/>
      <c r="Q137" s="42"/>
      <c r="R137" s="42"/>
      <c r="S137" s="42"/>
      <c r="T137" s="42"/>
      <c r="U137" s="42"/>
      <c r="V137" s="42"/>
      <c r="W137" s="42"/>
      <c r="X137" s="42"/>
      <c r="Y137" s="42"/>
      <c r="Z137" s="42"/>
      <c r="AA137" s="42"/>
      <c r="AB137" s="42"/>
      <c r="AC137" s="42"/>
      <c r="AD137" s="42"/>
      <c r="AE137" s="42"/>
    </row>
    <row r="138" spans="1:31" x14ac:dyDescent="0.2">
      <c r="A138" s="46">
        <v>472</v>
      </c>
      <c r="B138" s="46"/>
      <c r="C138" s="46"/>
      <c r="D138" s="46" t="s">
        <v>113</v>
      </c>
      <c r="E138" s="46" t="s">
        <v>192</v>
      </c>
      <c r="F138" s="46" t="s">
        <v>115</v>
      </c>
      <c r="G138" s="47" t="s">
        <v>752</v>
      </c>
      <c r="H138" s="46" t="s">
        <v>1291</v>
      </c>
      <c r="I138" s="46"/>
      <c r="J138" s="46" t="s">
        <v>1292</v>
      </c>
      <c r="K138" s="48" t="s">
        <v>751</v>
      </c>
      <c r="L138" s="46"/>
      <c r="M138" s="46"/>
      <c r="N138" s="45" t="s">
        <v>1293</v>
      </c>
      <c r="O138" s="46" t="s">
        <v>1953</v>
      </c>
      <c r="P138" s="42"/>
      <c r="Q138" s="42"/>
      <c r="R138" s="42"/>
      <c r="S138" s="42"/>
      <c r="T138" s="42"/>
      <c r="U138" s="42"/>
      <c r="V138" s="42"/>
      <c r="W138" s="42"/>
      <c r="X138" s="42"/>
      <c r="Y138" s="42"/>
      <c r="Z138" s="42"/>
      <c r="AA138" s="42"/>
      <c r="AB138" s="42"/>
      <c r="AC138" s="42"/>
      <c r="AD138" s="42"/>
      <c r="AE138" s="42"/>
    </row>
    <row r="139" spans="1:31" x14ac:dyDescent="0.2">
      <c r="A139" s="46">
        <v>473</v>
      </c>
      <c r="B139" s="46"/>
      <c r="C139" s="46"/>
      <c r="D139" s="46" t="s">
        <v>113</v>
      </c>
      <c r="E139" s="46" t="s">
        <v>192</v>
      </c>
      <c r="F139" s="46" t="s">
        <v>115</v>
      </c>
      <c r="G139" s="47" t="s">
        <v>754</v>
      </c>
      <c r="H139" s="46" t="s">
        <v>1291</v>
      </c>
      <c r="I139" s="46"/>
      <c r="J139" s="46" t="s">
        <v>1292</v>
      </c>
      <c r="K139" s="48" t="s">
        <v>753</v>
      </c>
      <c r="L139" s="46"/>
      <c r="M139" s="46"/>
      <c r="N139" s="45" t="s">
        <v>1293</v>
      </c>
      <c r="O139" s="46" t="s">
        <v>1953</v>
      </c>
      <c r="P139" s="42"/>
      <c r="Q139" s="42"/>
      <c r="R139" s="42"/>
      <c r="S139" s="42"/>
      <c r="T139" s="42"/>
      <c r="U139" s="42"/>
      <c r="V139" s="42"/>
      <c r="W139" s="42"/>
      <c r="X139" s="42"/>
      <c r="Y139" s="42"/>
      <c r="Z139" s="42"/>
      <c r="AA139" s="42"/>
      <c r="AB139" s="42"/>
      <c r="AC139" s="42"/>
      <c r="AD139" s="42"/>
      <c r="AE139" s="42"/>
    </row>
    <row r="140" spans="1:31" x14ac:dyDescent="0.2">
      <c r="A140" s="46">
        <v>474</v>
      </c>
      <c r="B140" s="46"/>
      <c r="C140" s="46"/>
      <c r="D140" s="46" t="s">
        <v>113</v>
      </c>
      <c r="E140" s="46" t="s">
        <v>192</v>
      </c>
      <c r="F140" s="46" t="s">
        <v>115</v>
      </c>
      <c r="G140" s="47" t="s">
        <v>756</v>
      </c>
      <c r="H140" s="46" t="s">
        <v>1291</v>
      </c>
      <c r="I140" s="46"/>
      <c r="J140" s="46" t="s">
        <v>1292</v>
      </c>
      <c r="K140" s="48" t="s">
        <v>755</v>
      </c>
      <c r="L140" s="46"/>
      <c r="M140" s="46"/>
      <c r="N140" s="45" t="s">
        <v>1293</v>
      </c>
      <c r="O140" s="46" t="s">
        <v>1953</v>
      </c>
      <c r="P140" s="42"/>
      <c r="Q140" s="42"/>
      <c r="R140" s="42"/>
      <c r="S140" s="42"/>
      <c r="T140" s="42"/>
      <c r="U140" s="42"/>
      <c r="V140" s="42"/>
      <c r="W140" s="42"/>
      <c r="X140" s="42"/>
      <c r="Y140" s="42"/>
      <c r="Z140" s="42"/>
      <c r="AA140" s="42"/>
      <c r="AB140" s="42"/>
      <c r="AC140" s="42"/>
      <c r="AD140" s="42"/>
      <c r="AE140" s="42"/>
    </row>
    <row r="141" spans="1:31" x14ac:dyDescent="0.2">
      <c r="A141" s="46">
        <v>475</v>
      </c>
      <c r="B141" s="46"/>
      <c r="C141" s="46"/>
      <c r="D141" s="46" t="s">
        <v>113</v>
      </c>
      <c r="E141" s="46" t="s">
        <v>192</v>
      </c>
      <c r="F141" s="46" t="s">
        <v>115</v>
      </c>
      <c r="G141" s="47" t="s">
        <v>758</v>
      </c>
      <c r="H141" s="46" t="s">
        <v>1291</v>
      </c>
      <c r="I141" s="46"/>
      <c r="J141" s="46" t="s">
        <v>1292</v>
      </c>
      <c r="K141" s="48" t="s">
        <v>757</v>
      </c>
      <c r="L141" s="46"/>
      <c r="M141" s="46"/>
      <c r="N141" s="45" t="s">
        <v>1293</v>
      </c>
      <c r="O141" s="46" t="s">
        <v>1953</v>
      </c>
      <c r="P141" s="42"/>
      <c r="Q141" s="42"/>
      <c r="R141" s="42"/>
      <c r="S141" s="42"/>
      <c r="T141" s="42"/>
      <c r="U141" s="42"/>
      <c r="V141" s="42"/>
      <c r="W141" s="42"/>
      <c r="X141" s="42"/>
      <c r="Y141" s="42"/>
      <c r="Z141" s="42"/>
      <c r="AA141" s="42"/>
      <c r="AB141" s="42"/>
      <c r="AC141" s="42"/>
      <c r="AD141" s="42"/>
      <c r="AE141" s="42"/>
    </row>
    <row r="142" spans="1:31" x14ac:dyDescent="0.2">
      <c r="A142" s="46">
        <v>476</v>
      </c>
      <c r="B142" s="46"/>
      <c r="C142" s="46"/>
      <c r="D142" s="46" t="s">
        <v>113</v>
      </c>
      <c r="E142" s="46" t="s">
        <v>192</v>
      </c>
      <c r="F142" s="46" t="s">
        <v>115</v>
      </c>
      <c r="G142" s="47" t="s">
        <v>760</v>
      </c>
      <c r="H142" s="46" t="s">
        <v>1291</v>
      </c>
      <c r="I142" s="46"/>
      <c r="J142" s="46" t="s">
        <v>1292</v>
      </c>
      <c r="K142" s="48" t="s">
        <v>759</v>
      </c>
      <c r="L142" s="46"/>
      <c r="M142" s="46"/>
      <c r="N142" s="45" t="s">
        <v>1293</v>
      </c>
      <c r="O142" s="46" t="s">
        <v>1953</v>
      </c>
      <c r="P142" s="42"/>
      <c r="Q142" s="42"/>
      <c r="R142" s="42"/>
      <c r="S142" s="42"/>
      <c r="T142" s="42"/>
      <c r="U142" s="42"/>
      <c r="V142" s="42"/>
      <c r="W142" s="42"/>
      <c r="X142" s="42"/>
      <c r="Y142" s="42"/>
      <c r="Z142" s="42"/>
      <c r="AA142" s="42"/>
      <c r="AB142" s="42"/>
      <c r="AC142" s="42"/>
      <c r="AD142" s="42"/>
      <c r="AE142" s="42"/>
    </row>
    <row r="143" spans="1:31" x14ac:dyDescent="0.2">
      <c r="A143" s="46">
        <v>477</v>
      </c>
      <c r="B143" s="46"/>
      <c r="C143" s="46"/>
      <c r="D143" s="46" t="s">
        <v>113</v>
      </c>
      <c r="E143" s="46" t="s">
        <v>192</v>
      </c>
      <c r="F143" s="46" t="s">
        <v>115</v>
      </c>
      <c r="G143" s="47" t="s">
        <v>762</v>
      </c>
      <c r="H143" s="46" t="s">
        <v>1291</v>
      </c>
      <c r="I143" s="46"/>
      <c r="J143" s="46" t="s">
        <v>1292</v>
      </c>
      <c r="K143" s="48" t="s">
        <v>761</v>
      </c>
      <c r="L143" s="46"/>
      <c r="M143" s="46"/>
      <c r="N143" s="45" t="s">
        <v>1293</v>
      </c>
      <c r="O143" s="46" t="s">
        <v>1953</v>
      </c>
      <c r="P143" s="42"/>
      <c r="Q143" s="42"/>
      <c r="R143" s="42"/>
      <c r="S143" s="42"/>
      <c r="T143" s="42"/>
      <c r="U143" s="42"/>
      <c r="V143" s="42"/>
      <c r="W143" s="42"/>
      <c r="X143" s="42"/>
      <c r="Y143" s="42"/>
      <c r="Z143" s="42"/>
      <c r="AA143" s="42"/>
      <c r="AB143" s="42"/>
      <c r="AC143" s="42"/>
      <c r="AD143" s="42"/>
      <c r="AE143" s="42"/>
    </row>
    <row r="144" spans="1:31" x14ac:dyDescent="0.2">
      <c r="A144" s="46">
        <v>478</v>
      </c>
      <c r="B144" s="46"/>
      <c r="C144" s="46"/>
      <c r="D144" s="46" t="s">
        <v>113</v>
      </c>
      <c r="E144" s="46" t="s">
        <v>192</v>
      </c>
      <c r="F144" s="46" t="s">
        <v>115</v>
      </c>
      <c r="G144" s="47" t="s">
        <v>763</v>
      </c>
      <c r="H144" s="46" t="s">
        <v>1291</v>
      </c>
      <c r="I144" s="46"/>
      <c r="J144" s="46" t="s">
        <v>1423</v>
      </c>
      <c r="K144" s="46" t="s">
        <v>1574</v>
      </c>
      <c r="L144" s="46"/>
      <c r="M144" s="46" t="s">
        <v>1581</v>
      </c>
      <c r="N144" s="45" t="s">
        <v>1293</v>
      </c>
      <c r="O144" s="46" t="s">
        <v>1953</v>
      </c>
      <c r="P144" s="42"/>
      <c r="Q144" s="42"/>
      <c r="R144" s="42"/>
      <c r="S144" s="42"/>
      <c r="T144" s="42"/>
      <c r="U144" s="42"/>
      <c r="V144" s="42"/>
      <c r="W144" s="42"/>
      <c r="X144" s="42"/>
      <c r="Y144" s="42"/>
      <c r="Z144" s="42"/>
      <c r="AA144" s="42"/>
      <c r="AB144" s="42"/>
      <c r="AC144" s="42"/>
      <c r="AD144" s="42"/>
      <c r="AE144" s="42"/>
    </row>
    <row r="145" spans="1:31" x14ac:dyDescent="0.2">
      <c r="A145" s="46">
        <v>479</v>
      </c>
      <c r="B145" s="46"/>
      <c r="C145" s="46"/>
      <c r="D145" s="46" t="s">
        <v>113</v>
      </c>
      <c r="E145" s="46" t="s">
        <v>192</v>
      </c>
      <c r="F145" s="46" t="s">
        <v>115</v>
      </c>
      <c r="G145" s="47" t="s">
        <v>765</v>
      </c>
      <c r="H145" s="46" t="s">
        <v>1291</v>
      </c>
      <c r="I145" s="46"/>
      <c r="J145" s="46" t="s">
        <v>1292</v>
      </c>
      <c r="K145" s="48" t="s">
        <v>764</v>
      </c>
      <c r="L145" s="46"/>
      <c r="M145" s="46"/>
      <c r="N145" s="45" t="s">
        <v>1293</v>
      </c>
      <c r="O145" s="46" t="s">
        <v>1953</v>
      </c>
      <c r="P145" s="42"/>
      <c r="Q145" s="42"/>
      <c r="R145" s="42"/>
      <c r="S145" s="42"/>
      <c r="T145" s="42"/>
      <c r="U145" s="42"/>
      <c r="V145" s="42"/>
      <c r="W145" s="42"/>
      <c r="X145" s="42"/>
      <c r="Y145" s="42"/>
      <c r="Z145" s="42"/>
      <c r="AA145" s="42"/>
      <c r="AB145" s="42"/>
      <c r="AC145" s="42"/>
      <c r="AD145" s="42"/>
      <c r="AE145" s="42"/>
    </row>
    <row r="146" spans="1:31" x14ac:dyDescent="0.2">
      <c r="A146" s="46">
        <v>480</v>
      </c>
      <c r="B146" s="46"/>
      <c r="C146" s="46"/>
      <c r="D146" s="46" t="s">
        <v>113</v>
      </c>
      <c r="E146" s="46" t="s">
        <v>192</v>
      </c>
      <c r="F146" s="46" t="s">
        <v>115</v>
      </c>
      <c r="G146" s="47" t="s">
        <v>767</v>
      </c>
      <c r="H146" s="46" t="s">
        <v>1291</v>
      </c>
      <c r="I146" s="46"/>
      <c r="J146" s="46" t="s">
        <v>1292</v>
      </c>
      <c r="K146" s="48" t="s">
        <v>766</v>
      </c>
      <c r="L146" s="46"/>
      <c r="M146" s="46"/>
      <c r="N146" s="45" t="s">
        <v>1293</v>
      </c>
      <c r="O146" s="46" t="s">
        <v>1953</v>
      </c>
      <c r="P146" s="42"/>
      <c r="Q146" s="42"/>
      <c r="R146" s="42"/>
      <c r="S146" s="42"/>
      <c r="T146" s="42"/>
      <c r="U146" s="42"/>
      <c r="V146" s="42"/>
      <c r="W146" s="42"/>
      <c r="X146" s="42"/>
      <c r="Y146" s="42"/>
      <c r="Z146" s="42"/>
      <c r="AA146" s="42"/>
      <c r="AB146" s="42"/>
      <c r="AC146" s="42"/>
      <c r="AD146" s="42"/>
      <c r="AE146" s="42"/>
    </row>
    <row r="147" spans="1:31" x14ac:dyDescent="0.2">
      <c r="A147" s="46">
        <v>481</v>
      </c>
      <c r="B147" s="46"/>
      <c r="C147" s="46"/>
      <c r="D147" s="46" t="s">
        <v>113</v>
      </c>
      <c r="E147" s="46" t="s">
        <v>192</v>
      </c>
      <c r="F147" s="46" t="s">
        <v>115</v>
      </c>
      <c r="G147" s="47" t="s">
        <v>769</v>
      </c>
      <c r="H147" s="46" t="s">
        <v>1291</v>
      </c>
      <c r="I147" s="46"/>
      <c r="J147" s="46" t="s">
        <v>1292</v>
      </c>
      <c r="K147" s="48" t="s">
        <v>768</v>
      </c>
      <c r="L147" s="46"/>
      <c r="M147" s="46"/>
      <c r="N147" s="45" t="s">
        <v>1293</v>
      </c>
      <c r="O147" s="46" t="s">
        <v>1953</v>
      </c>
      <c r="P147" s="42"/>
      <c r="Q147" s="42"/>
      <c r="R147" s="42"/>
      <c r="S147" s="42"/>
      <c r="T147" s="42"/>
      <c r="U147" s="42"/>
      <c r="V147" s="42"/>
      <c r="W147" s="42"/>
      <c r="X147" s="42"/>
      <c r="Y147" s="42"/>
      <c r="Z147" s="42"/>
      <c r="AA147" s="42"/>
      <c r="AB147" s="42"/>
      <c r="AC147" s="42"/>
      <c r="AD147" s="42"/>
      <c r="AE147" s="42"/>
    </row>
    <row r="148" spans="1:31" x14ac:dyDescent="0.2">
      <c r="A148" s="46">
        <v>482</v>
      </c>
      <c r="B148" s="46"/>
      <c r="C148" s="46"/>
      <c r="D148" s="46" t="s">
        <v>113</v>
      </c>
      <c r="E148" s="46" t="s">
        <v>192</v>
      </c>
      <c r="F148" s="46" t="s">
        <v>115</v>
      </c>
      <c r="G148" s="47" t="s">
        <v>771</v>
      </c>
      <c r="H148" s="46" t="s">
        <v>1291</v>
      </c>
      <c r="I148" s="46"/>
      <c r="J148" s="46" t="s">
        <v>1292</v>
      </c>
      <c r="K148" s="48" t="s">
        <v>770</v>
      </c>
      <c r="L148" s="46"/>
      <c r="M148" s="46"/>
      <c r="N148" s="45" t="s">
        <v>1293</v>
      </c>
      <c r="O148" s="46" t="s">
        <v>1953</v>
      </c>
      <c r="P148" s="42"/>
      <c r="Q148" s="42"/>
      <c r="R148" s="42"/>
      <c r="S148" s="42"/>
      <c r="T148" s="42"/>
      <c r="U148" s="42"/>
      <c r="V148" s="42"/>
      <c r="W148" s="42"/>
      <c r="X148" s="42"/>
      <c r="Y148" s="42"/>
      <c r="Z148" s="42"/>
      <c r="AA148" s="42"/>
      <c r="AB148" s="42"/>
      <c r="AC148" s="42"/>
      <c r="AD148" s="42"/>
      <c r="AE148" s="42"/>
    </row>
    <row r="149" spans="1:31" x14ac:dyDescent="0.2">
      <c r="A149" s="46">
        <v>483</v>
      </c>
      <c r="B149" s="46"/>
      <c r="C149" s="46"/>
      <c r="D149" s="46" t="s">
        <v>113</v>
      </c>
      <c r="E149" s="46" t="s">
        <v>192</v>
      </c>
      <c r="F149" s="46" t="s">
        <v>115</v>
      </c>
      <c r="G149" s="47" t="s">
        <v>773</v>
      </c>
      <c r="H149" s="46" t="s">
        <v>1291</v>
      </c>
      <c r="I149" s="46"/>
      <c r="J149" s="46" t="s">
        <v>1292</v>
      </c>
      <c r="K149" s="48" t="s">
        <v>772</v>
      </c>
      <c r="L149" s="46"/>
      <c r="M149" s="46"/>
      <c r="N149" s="45" t="s">
        <v>1293</v>
      </c>
      <c r="O149" s="46" t="s">
        <v>1953</v>
      </c>
      <c r="P149" s="42"/>
      <c r="Q149" s="42"/>
      <c r="R149" s="42"/>
      <c r="S149" s="42"/>
      <c r="T149" s="42"/>
      <c r="U149" s="42"/>
      <c r="V149" s="42"/>
      <c r="W149" s="42"/>
      <c r="X149" s="42"/>
      <c r="Y149" s="42"/>
      <c r="Z149" s="42"/>
      <c r="AA149" s="42"/>
      <c r="AB149" s="42"/>
      <c r="AC149" s="42"/>
      <c r="AD149" s="42"/>
      <c r="AE149" s="42"/>
    </row>
    <row r="150" spans="1:31" x14ac:dyDescent="0.2">
      <c r="A150" s="46">
        <v>484</v>
      </c>
      <c r="B150" s="46"/>
      <c r="C150" s="46"/>
      <c r="D150" s="46" t="s">
        <v>113</v>
      </c>
      <c r="E150" s="46" t="s">
        <v>192</v>
      </c>
      <c r="F150" s="46" t="s">
        <v>115</v>
      </c>
      <c r="G150" s="47" t="s">
        <v>775</v>
      </c>
      <c r="H150" s="46" t="s">
        <v>1291</v>
      </c>
      <c r="I150" s="46"/>
      <c r="J150" s="46" t="s">
        <v>1292</v>
      </c>
      <c r="K150" s="48" t="s">
        <v>774</v>
      </c>
      <c r="L150" s="46"/>
      <c r="M150" s="46"/>
      <c r="N150" s="45" t="s">
        <v>1293</v>
      </c>
      <c r="O150" s="46" t="s">
        <v>1953</v>
      </c>
      <c r="P150" s="42"/>
      <c r="Q150" s="42"/>
      <c r="R150" s="42"/>
      <c r="S150" s="42"/>
      <c r="T150" s="42"/>
      <c r="U150" s="42"/>
      <c r="V150" s="42"/>
      <c r="W150" s="42"/>
      <c r="X150" s="42"/>
      <c r="Y150" s="42"/>
      <c r="Z150" s="42"/>
      <c r="AA150" s="42"/>
      <c r="AB150" s="42"/>
      <c r="AC150" s="42"/>
      <c r="AD150" s="42"/>
      <c r="AE150" s="42"/>
    </row>
    <row r="151" spans="1:31" x14ac:dyDescent="0.2">
      <c r="A151" s="46">
        <v>485</v>
      </c>
      <c r="B151" s="46"/>
      <c r="C151" s="46"/>
      <c r="D151" s="46" t="s">
        <v>113</v>
      </c>
      <c r="E151" s="46" t="s">
        <v>192</v>
      </c>
      <c r="F151" s="46" t="s">
        <v>115</v>
      </c>
      <c r="G151" s="47" t="s">
        <v>777</v>
      </c>
      <c r="H151" s="46" t="s">
        <v>1291</v>
      </c>
      <c r="I151" s="46"/>
      <c r="J151" s="46" t="s">
        <v>1292</v>
      </c>
      <c r="K151" s="48" t="s">
        <v>776</v>
      </c>
      <c r="L151" s="46"/>
      <c r="M151" s="46"/>
      <c r="N151" s="45" t="s">
        <v>1293</v>
      </c>
      <c r="O151" s="46" t="s">
        <v>1953</v>
      </c>
      <c r="P151" s="42"/>
      <c r="Q151" s="42"/>
      <c r="R151" s="42"/>
      <c r="S151" s="42"/>
      <c r="T151" s="42"/>
      <c r="U151" s="42"/>
      <c r="V151" s="42"/>
      <c r="W151" s="42"/>
      <c r="X151" s="42"/>
      <c r="Y151" s="42"/>
      <c r="Z151" s="42"/>
      <c r="AA151" s="42"/>
      <c r="AB151" s="42"/>
      <c r="AC151" s="42"/>
      <c r="AD151" s="42"/>
      <c r="AE151" s="42"/>
    </row>
    <row r="152" spans="1:31" x14ac:dyDescent="0.2">
      <c r="A152" s="46">
        <v>486</v>
      </c>
      <c r="B152" s="46"/>
      <c r="C152" s="46"/>
      <c r="D152" s="46" t="s">
        <v>113</v>
      </c>
      <c r="E152" s="46" t="s">
        <v>192</v>
      </c>
      <c r="F152" s="46" t="s">
        <v>115</v>
      </c>
      <c r="G152" s="47" t="s">
        <v>779</v>
      </c>
      <c r="H152" s="46" t="s">
        <v>1291</v>
      </c>
      <c r="I152" s="46"/>
      <c r="J152" s="46" t="s">
        <v>1292</v>
      </c>
      <c r="K152" s="48" t="s">
        <v>778</v>
      </c>
      <c r="L152" s="46"/>
      <c r="M152" s="46"/>
      <c r="N152" s="45" t="s">
        <v>1293</v>
      </c>
      <c r="O152" s="46" t="s">
        <v>1953</v>
      </c>
      <c r="P152" s="42"/>
      <c r="Q152" s="42"/>
      <c r="R152" s="42"/>
      <c r="S152" s="42"/>
      <c r="T152" s="42"/>
      <c r="U152" s="42"/>
      <c r="V152" s="42"/>
      <c r="W152" s="42"/>
      <c r="X152" s="42"/>
      <c r="Y152" s="42"/>
      <c r="Z152" s="42"/>
      <c r="AA152" s="42"/>
      <c r="AB152" s="42"/>
      <c r="AC152" s="42"/>
      <c r="AD152" s="42"/>
      <c r="AE152" s="42"/>
    </row>
    <row r="153" spans="1:31" x14ac:dyDescent="0.2">
      <c r="A153" s="46">
        <v>487</v>
      </c>
      <c r="B153" s="46"/>
      <c r="C153" s="46"/>
      <c r="D153" s="46" t="s">
        <v>113</v>
      </c>
      <c r="E153" s="46" t="s">
        <v>192</v>
      </c>
      <c r="F153" s="46" t="s">
        <v>115</v>
      </c>
      <c r="G153" s="47" t="s">
        <v>781</v>
      </c>
      <c r="H153" s="46" t="s">
        <v>1291</v>
      </c>
      <c r="I153" s="46"/>
      <c r="J153" s="46" t="s">
        <v>1292</v>
      </c>
      <c r="K153" s="48" t="s">
        <v>780</v>
      </c>
      <c r="L153" s="46"/>
      <c r="M153" s="46"/>
      <c r="N153" s="45" t="s">
        <v>1293</v>
      </c>
      <c r="O153" s="46" t="s">
        <v>1953</v>
      </c>
      <c r="P153" s="42"/>
      <c r="Q153" s="42"/>
      <c r="R153" s="42"/>
      <c r="S153" s="42"/>
      <c r="T153" s="42"/>
      <c r="U153" s="42"/>
      <c r="V153" s="42"/>
      <c r="W153" s="42"/>
      <c r="X153" s="42"/>
      <c r="Y153" s="42"/>
      <c r="Z153" s="42"/>
      <c r="AA153" s="42"/>
      <c r="AB153" s="42"/>
      <c r="AC153" s="42"/>
      <c r="AD153" s="42"/>
      <c r="AE153" s="42"/>
    </row>
    <row r="154" spans="1:31" x14ac:dyDescent="0.2">
      <c r="A154" s="46">
        <v>488</v>
      </c>
      <c r="B154" s="46"/>
      <c r="C154" s="46"/>
      <c r="D154" s="46" t="s">
        <v>113</v>
      </c>
      <c r="E154" s="46" t="s">
        <v>192</v>
      </c>
      <c r="F154" s="46" t="s">
        <v>115</v>
      </c>
      <c r="G154" s="47" t="s">
        <v>783</v>
      </c>
      <c r="H154" s="46" t="s">
        <v>1291</v>
      </c>
      <c r="I154" s="46"/>
      <c r="J154" s="46" t="s">
        <v>1292</v>
      </c>
      <c r="K154" s="48" t="s">
        <v>782</v>
      </c>
      <c r="L154" s="46"/>
      <c r="M154" s="46"/>
      <c r="N154" s="45" t="s">
        <v>1293</v>
      </c>
      <c r="O154" s="46" t="s">
        <v>1953</v>
      </c>
      <c r="P154" s="42"/>
      <c r="Q154" s="42"/>
      <c r="R154" s="42"/>
      <c r="S154" s="42"/>
      <c r="T154" s="42"/>
      <c r="U154" s="42"/>
      <c r="V154" s="42"/>
      <c r="W154" s="42"/>
      <c r="X154" s="42"/>
      <c r="Y154" s="42"/>
      <c r="Z154" s="42"/>
      <c r="AA154" s="42"/>
      <c r="AB154" s="42"/>
      <c r="AC154" s="42"/>
      <c r="AD154" s="42"/>
      <c r="AE154" s="42"/>
    </row>
    <row r="155" spans="1:31" x14ac:dyDescent="0.2">
      <c r="A155" s="46">
        <v>489</v>
      </c>
      <c r="B155" s="46"/>
      <c r="C155" s="46"/>
      <c r="D155" s="46" t="s">
        <v>113</v>
      </c>
      <c r="E155" s="46" t="s">
        <v>192</v>
      </c>
      <c r="F155" s="46" t="s">
        <v>115</v>
      </c>
      <c r="G155" s="47" t="s">
        <v>785</v>
      </c>
      <c r="H155" s="46" t="s">
        <v>1291</v>
      </c>
      <c r="I155" s="46"/>
      <c r="J155" s="46" t="s">
        <v>1292</v>
      </c>
      <c r="K155" s="48" t="s">
        <v>784</v>
      </c>
      <c r="L155" s="46"/>
      <c r="M155" s="46"/>
      <c r="N155" s="45" t="s">
        <v>1293</v>
      </c>
      <c r="O155" s="46" t="s">
        <v>1953</v>
      </c>
      <c r="P155" s="42"/>
      <c r="Q155" s="42"/>
      <c r="R155" s="42"/>
      <c r="S155" s="42"/>
      <c r="T155" s="42"/>
      <c r="U155" s="42"/>
      <c r="V155" s="42"/>
      <c r="W155" s="42"/>
      <c r="X155" s="42"/>
      <c r="Y155" s="42"/>
      <c r="Z155" s="42"/>
      <c r="AA155" s="42"/>
      <c r="AB155" s="42"/>
      <c r="AC155" s="42"/>
      <c r="AD155" s="42"/>
      <c r="AE155" s="42"/>
    </row>
    <row r="156" spans="1:31" x14ac:dyDescent="0.2">
      <c r="A156" s="46">
        <v>490</v>
      </c>
      <c r="B156" s="46"/>
      <c r="C156" s="46"/>
      <c r="D156" s="46" t="s">
        <v>113</v>
      </c>
      <c r="E156" s="46" t="s">
        <v>192</v>
      </c>
      <c r="F156" s="46" t="s">
        <v>115</v>
      </c>
      <c r="G156" s="47" t="s">
        <v>787</v>
      </c>
      <c r="H156" s="46" t="s">
        <v>1291</v>
      </c>
      <c r="I156" s="46"/>
      <c r="J156" s="46" t="s">
        <v>1292</v>
      </c>
      <c r="K156" s="48" t="s">
        <v>786</v>
      </c>
      <c r="L156" s="46"/>
      <c r="M156" s="46"/>
      <c r="N156" s="45" t="s">
        <v>1293</v>
      </c>
      <c r="O156" s="46" t="s">
        <v>1953</v>
      </c>
      <c r="P156" s="42"/>
      <c r="Q156" s="42"/>
      <c r="R156" s="42"/>
      <c r="S156" s="42"/>
      <c r="T156" s="42"/>
      <c r="U156" s="42"/>
      <c r="V156" s="42"/>
      <c r="W156" s="42"/>
      <c r="X156" s="42"/>
      <c r="Y156" s="42"/>
      <c r="Z156" s="42"/>
      <c r="AA156" s="42"/>
      <c r="AB156" s="42"/>
      <c r="AC156" s="42"/>
      <c r="AD156" s="42"/>
      <c r="AE156" s="42"/>
    </row>
    <row r="157" spans="1:31" x14ac:dyDescent="0.2">
      <c r="A157" s="46">
        <v>491</v>
      </c>
      <c r="B157" s="46"/>
      <c r="C157" s="46"/>
      <c r="D157" s="46" t="s">
        <v>113</v>
      </c>
      <c r="E157" s="46" t="s">
        <v>192</v>
      </c>
      <c r="F157" s="46" t="s">
        <v>115</v>
      </c>
      <c r="G157" s="47" t="s">
        <v>789</v>
      </c>
      <c r="H157" s="46" t="s">
        <v>1291</v>
      </c>
      <c r="I157" s="46"/>
      <c r="J157" s="46" t="s">
        <v>1292</v>
      </c>
      <c r="K157" s="48" t="s">
        <v>788</v>
      </c>
      <c r="L157" s="46"/>
      <c r="M157" s="46"/>
      <c r="N157" s="45" t="s">
        <v>1293</v>
      </c>
      <c r="O157" s="46" t="s">
        <v>1953</v>
      </c>
      <c r="P157" s="42"/>
      <c r="Q157" s="42"/>
      <c r="R157" s="42"/>
      <c r="S157" s="42"/>
      <c r="T157" s="42"/>
      <c r="U157" s="42"/>
      <c r="V157" s="42"/>
      <c r="W157" s="42"/>
      <c r="X157" s="42"/>
      <c r="Y157" s="42"/>
      <c r="Z157" s="42"/>
      <c r="AA157" s="42"/>
      <c r="AB157" s="42"/>
      <c r="AC157" s="42"/>
      <c r="AD157" s="42"/>
      <c r="AE157" s="42"/>
    </row>
    <row r="158" spans="1:31" x14ac:dyDescent="0.2">
      <c r="A158" s="46">
        <v>492</v>
      </c>
      <c r="B158" s="46"/>
      <c r="C158" s="46"/>
      <c r="D158" s="46" t="s">
        <v>113</v>
      </c>
      <c r="E158" s="46" t="s">
        <v>192</v>
      </c>
      <c r="F158" s="46" t="s">
        <v>115</v>
      </c>
      <c r="G158" s="47" t="s">
        <v>791</v>
      </c>
      <c r="H158" s="46" t="s">
        <v>1291</v>
      </c>
      <c r="I158" s="46"/>
      <c r="J158" s="46" t="s">
        <v>1292</v>
      </c>
      <c r="K158" s="48" t="s">
        <v>790</v>
      </c>
      <c r="L158" s="46"/>
      <c r="M158" s="46"/>
      <c r="N158" s="45" t="s">
        <v>1293</v>
      </c>
      <c r="O158" s="46" t="s">
        <v>1953</v>
      </c>
      <c r="P158" s="42"/>
      <c r="Q158" s="42"/>
      <c r="R158" s="42"/>
      <c r="S158" s="42"/>
      <c r="T158" s="42"/>
      <c r="U158" s="42"/>
      <c r="V158" s="42"/>
      <c r="W158" s="42"/>
      <c r="X158" s="42"/>
      <c r="Y158" s="42"/>
      <c r="Z158" s="42"/>
      <c r="AA158" s="42"/>
      <c r="AB158" s="42"/>
      <c r="AC158" s="42"/>
      <c r="AD158" s="42"/>
      <c r="AE158" s="42"/>
    </row>
    <row r="159" spans="1:31" x14ac:dyDescent="0.2">
      <c r="A159" s="46">
        <v>493</v>
      </c>
      <c r="B159" s="46"/>
      <c r="C159" s="46"/>
      <c r="D159" s="46" t="s">
        <v>113</v>
      </c>
      <c r="E159" s="46" t="s">
        <v>192</v>
      </c>
      <c r="F159" s="46" t="s">
        <v>115</v>
      </c>
      <c r="G159" s="47" t="s">
        <v>793</v>
      </c>
      <c r="H159" s="46" t="s">
        <v>1291</v>
      </c>
      <c r="I159" s="46"/>
      <c r="J159" s="46" t="s">
        <v>1292</v>
      </c>
      <c r="K159" s="48" t="s">
        <v>792</v>
      </c>
      <c r="L159" s="46"/>
      <c r="M159" s="46"/>
      <c r="N159" s="45" t="s">
        <v>1293</v>
      </c>
      <c r="O159" s="46" t="s">
        <v>1953</v>
      </c>
      <c r="P159" s="42"/>
      <c r="Q159" s="42"/>
      <c r="R159" s="42"/>
      <c r="S159" s="42"/>
      <c r="T159" s="42"/>
      <c r="U159" s="42"/>
      <c r="V159" s="42"/>
      <c r="W159" s="42"/>
      <c r="X159" s="42"/>
      <c r="Y159" s="42"/>
      <c r="Z159" s="42"/>
      <c r="AA159" s="42"/>
      <c r="AB159" s="42"/>
      <c r="AC159" s="42"/>
      <c r="AD159" s="42"/>
      <c r="AE159" s="42"/>
    </row>
    <row r="160" spans="1:31" x14ac:dyDescent="0.2">
      <c r="A160" s="46">
        <v>494</v>
      </c>
      <c r="B160" s="46"/>
      <c r="C160" s="46"/>
      <c r="D160" s="46" t="s">
        <v>113</v>
      </c>
      <c r="E160" s="46" t="s">
        <v>192</v>
      </c>
      <c r="F160" s="46" t="s">
        <v>115</v>
      </c>
      <c r="G160" s="47" t="s">
        <v>795</v>
      </c>
      <c r="H160" s="46" t="s">
        <v>1291</v>
      </c>
      <c r="I160" s="46"/>
      <c r="J160" s="46" t="s">
        <v>1292</v>
      </c>
      <c r="K160" s="48" t="s">
        <v>794</v>
      </c>
      <c r="L160" s="46"/>
      <c r="M160" s="46"/>
      <c r="N160" s="45" t="s">
        <v>1293</v>
      </c>
      <c r="O160" s="46" t="s">
        <v>1953</v>
      </c>
      <c r="P160" s="42"/>
      <c r="Q160" s="42"/>
      <c r="R160" s="42"/>
      <c r="S160" s="42"/>
      <c r="T160" s="42"/>
      <c r="U160" s="42"/>
      <c r="V160" s="42"/>
      <c r="W160" s="42"/>
      <c r="X160" s="42"/>
      <c r="Y160" s="42"/>
      <c r="Z160" s="42"/>
      <c r="AA160" s="42"/>
      <c r="AB160" s="42"/>
      <c r="AC160" s="42"/>
      <c r="AD160" s="42"/>
      <c r="AE160" s="42"/>
    </row>
    <row r="161" spans="1:31" x14ac:dyDescent="0.2">
      <c r="A161" s="46">
        <v>495</v>
      </c>
      <c r="B161" s="46"/>
      <c r="C161" s="46"/>
      <c r="D161" s="46" t="s">
        <v>113</v>
      </c>
      <c r="E161" s="46" t="s">
        <v>192</v>
      </c>
      <c r="F161" s="46" t="s">
        <v>115</v>
      </c>
      <c r="G161" s="47" t="s">
        <v>796</v>
      </c>
      <c r="H161" s="46" t="s">
        <v>1291</v>
      </c>
      <c r="I161" s="46"/>
      <c r="J161" s="46" t="s">
        <v>1423</v>
      </c>
      <c r="K161" s="46" t="s">
        <v>1575</v>
      </c>
      <c r="L161" s="46"/>
      <c r="M161" s="46" t="s">
        <v>1559</v>
      </c>
      <c r="N161" s="45" t="s">
        <v>1293</v>
      </c>
      <c r="O161" s="46" t="s">
        <v>1953</v>
      </c>
      <c r="P161" s="42"/>
      <c r="Q161" s="42"/>
      <c r="R161" s="42"/>
      <c r="S161" s="42"/>
      <c r="T161" s="42"/>
      <c r="U161" s="42"/>
      <c r="V161" s="42"/>
      <c r="W161" s="42"/>
      <c r="X161" s="42"/>
      <c r="Y161" s="42"/>
      <c r="Z161" s="42"/>
      <c r="AA161" s="42"/>
      <c r="AB161" s="42"/>
      <c r="AC161" s="42"/>
      <c r="AD161" s="42"/>
      <c r="AE161" s="42"/>
    </row>
    <row r="162" spans="1:31" x14ac:dyDescent="0.2">
      <c r="A162" s="46">
        <v>496</v>
      </c>
      <c r="B162" s="46"/>
      <c r="C162" s="46"/>
      <c r="D162" s="46" t="s">
        <v>113</v>
      </c>
      <c r="E162" s="46" t="s">
        <v>192</v>
      </c>
      <c r="F162" s="46" t="s">
        <v>115</v>
      </c>
      <c r="G162" s="47" t="s">
        <v>798</v>
      </c>
      <c r="H162" s="46" t="s">
        <v>1291</v>
      </c>
      <c r="I162" s="46"/>
      <c r="J162" s="46" t="s">
        <v>1292</v>
      </c>
      <c r="K162" s="48" t="s">
        <v>797</v>
      </c>
      <c r="L162" s="46"/>
      <c r="M162" s="46"/>
      <c r="N162" s="45" t="s">
        <v>1293</v>
      </c>
      <c r="O162" s="46" t="s">
        <v>1953</v>
      </c>
      <c r="P162" s="42"/>
      <c r="Q162" s="42"/>
      <c r="R162" s="42"/>
      <c r="S162" s="42"/>
      <c r="T162" s="42"/>
      <c r="U162" s="42"/>
      <c r="V162" s="42"/>
      <c r="W162" s="42"/>
      <c r="X162" s="42"/>
      <c r="Y162" s="42"/>
      <c r="Z162" s="42"/>
      <c r="AA162" s="42"/>
      <c r="AB162" s="42"/>
      <c r="AC162" s="42"/>
      <c r="AD162" s="42"/>
      <c r="AE162" s="42"/>
    </row>
    <row r="163" spans="1:31" x14ac:dyDescent="0.2">
      <c r="A163" s="46">
        <v>497</v>
      </c>
      <c r="B163" s="46"/>
      <c r="C163" s="46"/>
      <c r="D163" s="46" t="s">
        <v>113</v>
      </c>
      <c r="E163" s="46" t="s">
        <v>192</v>
      </c>
      <c r="F163" s="46" t="s">
        <v>115</v>
      </c>
      <c r="G163" s="47" t="s">
        <v>800</v>
      </c>
      <c r="H163" s="46" t="s">
        <v>1291</v>
      </c>
      <c r="I163" s="46"/>
      <c r="J163" s="46" t="s">
        <v>1292</v>
      </c>
      <c r="K163" s="48" t="s">
        <v>799</v>
      </c>
      <c r="L163" s="46"/>
      <c r="M163" s="46"/>
      <c r="N163" s="45" t="s">
        <v>1293</v>
      </c>
      <c r="O163" s="46" t="s">
        <v>1953</v>
      </c>
      <c r="P163" s="42"/>
      <c r="Q163" s="42"/>
      <c r="R163" s="42"/>
      <c r="S163" s="42"/>
      <c r="T163" s="42"/>
      <c r="U163" s="42"/>
      <c r="V163" s="42"/>
      <c r="W163" s="42"/>
      <c r="X163" s="42"/>
      <c r="Y163" s="42"/>
      <c r="Z163" s="42"/>
      <c r="AA163" s="42"/>
      <c r="AB163" s="42"/>
      <c r="AC163" s="42"/>
      <c r="AD163" s="42"/>
      <c r="AE163" s="42"/>
    </row>
    <row r="164" spans="1:31" x14ac:dyDescent="0.2">
      <c r="A164" s="46">
        <v>498</v>
      </c>
      <c r="B164" s="46"/>
      <c r="C164" s="46"/>
      <c r="D164" s="46" t="s">
        <v>113</v>
      </c>
      <c r="E164" s="46" t="s">
        <v>192</v>
      </c>
      <c r="F164" s="46" t="s">
        <v>115</v>
      </c>
      <c r="G164" s="47" t="s">
        <v>802</v>
      </c>
      <c r="H164" s="46" t="s">
        <v>1291</v>
      </c>
      <c r="I164" s="46"/>
      <c r="J164" s="46" t="s">
        <v>1292</v>
      </c>
      <c r="K164" s="48" t="s">
        <v>801</v>
      </c>
      <c r="L164" s="46"/>
      <c r="M164" s="46"/>
      <c r="N164" s="45" t="s">
        <v>1293</v>
      </c>
      <c r="O164" s="46" t="s">
        <v>1953</v>
      </c>
      <c r="P164" s="42"/>
      <c r="Q164" s="42"/>
      <c r="R164" s="42"/>
      <c r="S164" s="42"/>
      <c r="T164" s="42"/>
      <c r="U164" s="42"/>
      <c r="V164" s="42"/>
      <c r="W164" s="42"/>
      <c r="X164" s="42"/>
      <c r="Y164" s="42"/>
      <c r="Z164" s="42"/>
      <c r="AA164" s="42"/>
      <c r="AB164" s="42"/>
      <c r="AC164" s="42"/>
      <c r="AD164" s="42"/>
      <c r="AE164" s="42"/>
    </row>
    <row r="165" spans="1:31" x14ac:dyDescent="0.2">
      <c r="A165" s="46">
        <v>499</v>
      </c>
      <c r="B165" s="46"/>
      <c r="C165" s="46"/>
      <c r="D165" s="46" t="s">
        <v>113</v>
      </c>
      <c r="E165" s="46" t="s">
        <v>192</v>
      </c>
      <c r="F165" s="46" t="s">
        <v>115</v>
      </c>
      <c r="G165" s="47" t="s">
        <v>804</v>
      </c>
      <c r="H165" s="46" t="s">
        <v>1291</v>
      </c>
      <c r="I165" s="46"/>
      <c r="J165" s="46" t="s">
        <v>1292</v>
      </c>
      <c r="K165" s="48" t="s">
        <v>803</v>
      </c>
      <c r="L165" s="46"/>
      <c r="M165" s="46"/>
      <c r="N165" s="45" t="s">
        <v>1293</v>
      </c>
      <c r="O165" s="46" t="s">
        <v>1953</v>
      </c>
      <c r="P165" s="42"/>
      <c r="Q165" s="42"/>
      <c r="R165" s="42"/>
      <c r="S165" s="42"/>
      <c r="T165" s="42"/>
      <c r="U165" s="42"/>
      <c r="V165" s="42"/>
      <c r="W165" s="42"/>
      <c r="X165" s="42"/>
      <c r="Y165" s="42"/>
      <c r="Z165" s="42"/>
      <c r="AA165" s="42"/>
      <c r="AB165" s="42"/>
      <c r="AC165" s="42"/>
      <c r="AD165" s="42"/>
      <c r="AE165" s="42"/>
    </row>
    <row r="166" spans="1:31" x14ac:dyDescent="0.2">
      <c r="A166" s="46">
        <v>500</v>
      </c>
      <c r="B166" s="46"/>
      <c r="C166" s="46"/>
      <c r="D166" s="46" t="s">
        <v>113</v>
      </c>
      <c r="E166" s="46" t="s">
        <v>192</v>
      </c>
      <c r="F166" s="46" t="s">
        <v>115</v>
      </c>
      <c r="G166" s="47" t="s">
        <v>806</v>
      </c>
      <c r="H166" s="46" t="s">
        <v>1291</v>
      </c>
      <c r="I166" s="46"/>
      <c r="J166" s="46" t="s">
        <v>1292</v>
      </c>
      <c r="K166" s="48" t="s">
        <v>805</v>
      </c>
      <c r="L166" s="46"/>
      <c r="M166" s="46"/>
      <c r="N166" s="45" t="s">
        <v>1293</v>
      </c>
      <c r="O166" s="46" t="s">
        <v>1953</v>
      </c>
      <c r="P166" s="42"/>
      <c r="Q166" s="42"/>
      <c r="R166" s="42"/>
      <c r="S166" s="42"/>
      <c r="T166" s="42"/>
      <c r="U166" s="42"/>
      <c r="V166" s="42"/>
      <c r="W166" s="42"/>
      <c r="X166" s="42"/>
      <c r="Y166" s="42"/>
      <c r="Z166" s="42"/>
      <c r="AA166" s="42"/>
      <c r="AB166" s="42"/>
      <c r="AC166" s="42"/>
      <c r="AD166" s="42"/>
      <c r="AE166" s="42"/>
    </row>
    <row r="167" spans="1:31" x14ac:dyDescent="0.2">
      <c r="A167" s="46">
        <v>501</v>
      </c>
      <c r="B167" s="46"/>
      <c r="C167" s="46"/>
      <c r="D167" s="46" t="s">
        <v>113</v>
      </c>
      <c r="E167" s="46" t="s">
        <v>192</v>
      </c>
      <c r="F167" s="46" t="s">
        <v>115</v>
      </c>
      <c r="G167" s="47" t="s">
        <v>808</v>
      </c>
      <c r="H167" s="46" t="s">
        <v>1291</v>
      </c>
      <c r="I167" s="46"/>
      <c r="J167" s="46" t="s">
        <v>1292</v>
      </c>
      <c r="K167" s="48" t="s">
        <v>807</v>
      </c>
      <c r="L167" s="46"/>
      <c r="M167" s="46"/>
      <c r="N167" s="45" t="s">
        <v>1293</v>
      </c>
      <c r="O167" s="46" t="s">
        <v>1953</v>
      </c>
      <c r="P167" s="42"/>
      <c r="Q167" s="42"/>
      <c r="R167" s="42"/>
      <c r="S167" s="42"/>
      <c r="T167" s="42"/>
      <c r="U167" s="42"/>
      <c r="V167" s="42"/>
      <c r="W167" s="42"/>
      <c r="X167" s="42"/>
      <c r="Y167" s="42"/>
      <c r="Z167" s="42"/>
      <c r="AA167" s="42"/>
      <c r="AB167" s="42"/>
      <c r="AC167" s="42"/>
      <c r="AD167" s="42"/>
      <c r="AE167" s="42"/>
    </row>
    <row r="168" spans="1:31" x14ac:dyDescent="0.2">
      <c r="A168" s="46">
        <v>502</v>
      </c>
      <c r="B168" s="46"/>
      <c r="C168" s="46"/>
      <c r="D168" s="46" t="s">
        <v>113</v>
      </c>
      <c r="E168" s="46" t="s">
        <v>192</v>
      </c>
      <c r="F168" s="46" t="s">
        <v>115</v>
      </c>
      <c r="G168" s="47" t="s">
        <v>810</v>
      </c>
      <c r="H168" s="46" t="s">
        <v>1291</v>
      </c>
      <c r="I168" s="46"/>
      <c r="J168" s="46" t="s">
        <v>1292</v>
      </c>
      <c r="K168" s="48" t="s">
        <v>809</v>
      </c>
      <c r="L168" s="46"/>
      <c r="M168" s="46"/>
      <c r="N168" s="45" t="s">
        <v>1293</v>
      </c>
      <c r="O168" s="46" t="s">
        <v>1953</v>
      </c>
      <c r="P168" s="42"/>
      <c r="Q168" s="42"/>
      <c r="R168" s="42"/>
      <c r="S168" s="42"/>
      <c r="T168" s="42"/>
      <c r="U168" s="42"/>
      <c r="V168" s="42"/>
      <c r="W168" s="42"/>
      <c r="X168" s="42"/>
      <c r="Y168" s="42"/>
      <c r="Z168" s="42"/>
      <c r="AA168" s="42"/>
      <c r="AB168" s="42"/>
      <c r="AC168" s="42"/>
      <c r="AD168" s="42"/>
      <c r="AE168" s="42"/>
    </row>
    <row r="169" spans="1:31" x14ac:dyDescent="0.2">
      <c r="A169" s="46">
        <v>503</v>
      </c>
      <c r="B169" s="46"/>
      <c r="C169" s="46"/>
      <c r="D169" s="46" t="s">
        <v>113</v>
      </c>
      <c r="E169" s="46" t="s">
        <v>192</v>
      </c>
      <c r="F169" s="46" t="s">
        <v>115</v>
      </c>
      <c r="G169" s="47" t="s">
        <v>812</v>
      </c>
      <c r="H169" s="46" t="s">
        <v>1291</v>
      </c>
      <c r="I169" s="46"/>
      <c r="J169" s="46" t="s">
        <v>1292</v>
      </c>
      <c r="K169" s="48" t="s">
        <v>811</v>
      </c>
      <c r="L169" s="46"/>
      <c r="M169" s="46"/>
      <c r="N169" s="45" t="s">
        <v>1293</v>
      </c>
      <c r="O169" s="46" t="s">
        <v>1953</v>
      </c>
      <c r="P169" s="42"/>
      <c r="Q169" s="42"/>
      <c r="R169" s="42"/>
      <c r="S169" s="42"/>
      <c r="T169" s="42"/>
      <c r="U169" s="42"/>
      <c r="V169" s="42"/>
      <c r="W169" s="42"/>
      <c r="X169" s="42"/>
      <c r="Y169" s="42"/>
      <c r="Z169" s="42"/>
      <c r="AA169" s="42"/>
      <c r="AB169" s="42"/>
      <c r="AC169" s="42"/>
      <c r="AD169" s="42"/>
      <c r="AE169" s="42"/>
    </row>
    <row r="170" spans="1:31" x14ac:dyDescent="0.2">
      <c r="A170" s="46">
        <v>504</v>
      </c>
      <c r="B170" s="46"/>
      <c r="C170" s="46"/>
      <c r="D170" s="46" t="s">
        <v>113</v>
      </c>
      <c r="E170" s="46" t="s">
        <v>192</v>
      </c>
      <c r="F170" s="46" t="s">
        <v>115</v>
      </c>
      <c r="G170" s="47" t="s">
        <v>813</v>
      </c>
      <c r="H170" s="46" t="s">
        <v>1291</v>
      </c>
      <c r="I170" s="46"/>
      <c r="J170" s="46" t="s">
        <v>1292</v>
      </c>
      <c r="K170" s="48" t="s">
        <v>497</v>
      </c>
      <c r="L170" s="46"/>
      <c r="M170" s="46"/>
      <c r="N170" s="45" t="s">
        <v>1293</v>
      </c>
      <c r="O170" s="46" t="s">
        <v>1953</v>
      </c>
      <c r="P170" s="42"/>
      <c r="Q170" s="42"/>
      <c r="R170" s="42"/>
      <c r="S170" s="42"/>
      <c r="T170" s="42"/>
      <c r="U170" s="42"/>
      <c r="V170" s="42"/>
      <c r="W170" s="42"/>
      <c r="X170" s="42"/>
      <c r="Y170" s="42"/>
      <c r="Z170" s="42"/>
      <c r="AA170" s="42"/>
      <c r="AB170" s="42"/>
      <c r="AC170" s="42"/>
      <c r="AD170" s="42"/>
      <c r="AE170" s="42"/>
    </row>
    <row r="171" spans="1:31" x14ac:dyDescent="0.2">
      <c r="A171" s="46">
        <v>505</v>
      </c>
      <c r="B171" s="46"/>
      <c r="C171" s="46"/>
      <c r="D171" s="46" t="s">
        <v>113</v>
      </c>
      <c r="E171" s="46" t="s">
        <v>192</v>
      </c>
      <c r="F171" s="46" t="s">
        <v>115</v>
      </c>
      <c r="G171" s="47" t="s">
        <v>815</v>
      </c>
      <c r="H171" s="46" t="s">
        <v>1291</v>
      </c>
      <c r="I171" s="46"/>
      <c r="J171" s="46" t="s">
        <v>1292</v>
      </c>
      <c r="K171" s="48" t="s">
        <v>814</v>
      </c>
      <c r="L171" s="46"/>
      <c r="M171" s="46"/>
      <c r="N171" s="45" t="s">
        <v>1293</v>
      </c>
      <c r="O171" s="46" t="s">
        <v>1953</v>
      </c>
      <c r="P171" s="42"/>
      <c r="Q171" s="42"/>
      <c r="R171" s="42"/>
      <c r="S171" s="42"/>
      <c r="T171" s="42"/>
      <c r="U171" s="42"/>
      <c r="V171" s="42"/>
      <c r="W171" s="42"/>
      <c r="X171" s="42"/>
      <c r="Y171" s="42"/>
      <c r="Z171" s="42"/>
      <c r="AA171" s="42"/>
      <c r="AB171" s="42"/>
      <c r="AC171" s="42"/>
      <c r="AD171" s="42"/>
      <c r="AE171" s="42"/>
    </row>
    <row r="172" spans="1:31" x14ac:dyDescent="0.2">
      <c r="A172" s="46">
        <v>506</v>
      </c>
      <c r="B172" s="46"/>
      <c r="C172" s="46"/>
      <c r="D172" s="46" t="s">
        <v>113</v>
      </c>
      <c r="E172" s="46" t="s">
        <v>192</v>
      </c>
      <c r="F172" s="46" t="s">
        <v>115</v>
      </c>
      <c r="G172" s="47" t="s">
        <v>816</v>
      </c>
      <c r="H172" s="46" t="s">
        <v>1291</v>
      </c>
      <c r="I172" s="46"/>
      <c r="J172" s="46" t="s">
        <v>1423</v>
      </c>
      <c r="K172" s="46" t="s">
        <v>1555</v>
      </c>
      <c r="L172" s="46"/>
      <c r="M172" s="46" t="s">
        <v>1559</v>
      </c>
      <c r="N172" s="45" t="s">
        <v>1293</v>
      </c>
      <c r="O172" s="46" t="s">
        <v>1953</v>
      </c>
      <c r="P172" s="42"/>
      <c r="Q172" s="42"/>
      <c r="R172" s="42"/>
      <c r="S172" s="42"/>
      <c r="T172" s="42"/>
      <c r="U172" s="42"/>
      <c r="V172" s="42"/>
      <c r="W172" s="42"/>
      <c r="X172" s="42"/>
      <c r="Y172" s="42"/>
      <c r="Z172" s="42"/>
      <c r="AA172" s="42"/>
      <c r="AB172" s="42"/>
      <c r="AC172" s="42"/>
      <c r="AD172" s="42"/>
      <c r="AE172" s="42"/>
    </row>
    <row r="173" spans="1:31" x14ac:dyDescent="0.2">
      <c r="A173" s="46">
        <v>507</v>
      </c>
      <c r="B173" s="46"/>
      <c r="C173" s="46"/>
      <c r="D173" s="46" t="s">
        <v>113</v>
      </c>
      <c r="E173" s="46" t="s">
        <v>192</v>
      </c>
      <c r="F173" s="46" t="s">
        <v>115</v>
      </c>
      <c r="G173" s="47" t="s">
        <v>818</v>
      </c>
      <c r="H173" s="46" t="s">
        <v>1291</v>
      </c>
      <c r="I173" s="46"/>
      <c r="J173" s="46" t="s">
        <v>1292</v>
      </c>
      <c r="K173" s="48" t="s">
        <v>817</v>
      </c>
      <c r="L173" s="46"/>
      <c r="M173" s="46"/>
      <c r="N173" s="45" t="s">
        <v>1293</v>
      </c>
      <c r="O173" s="46" t="s">
        <v>1953</v>
      </c>
      <c r="P173" s="42"/>
      <c r="Q173" s="42"/>
      <c r="R173" s="42"/>
      <c r="S173" s="42"/>
      <c r="T173" s="42"/>
      <c r="U173" s="42"/>
      <c r="V173" s="42"/>
      <c r="W173" s="42"/>
      <c r="X173" s="42"/>
      <c r="Y173" s="42"/>
      <c r="Z173" s="42"/>
      <c r="AA173" s="42"/>
      <c r="AB173" s="42"/>
      <c r="AC173" s="42"/>
      <c r="AD173" s="42"/>
      <c r="AE173" s="42"/>
    </row>
    <row r="174" spans="1:31" x14ac:dyDescent="0.2">
      <c r="A174" s="46">
        <v>508</v>
      </c>
      <c r="B174" s="46"/>
      <c r="C174" s="46"/>
      <c r="D174" s="46" t="s">
        <v>113</v>
      </c>
      <c r="E174" s="46" t="s">
        <v>192</v>
      </c>
      <c r="F174" s="46" t="s">
        <v>115</v>
      </c>
      <c r="G174" s="47" t="s">
        <v>820</v>
      </c>
      <c r="H174" s="46" t="s">
        <v>1291</v>
      </c>
      <c r="I174" s="46"/>
      <c r="J174" s="46" t="s">
        <v>1292</v>
      </c>
      <c r="K174" s="48" t="s">
        <v>819</v>
      </c>
      <c r="L174" s="46"/>
      <c r="M174" s="46"/>
      <c r="N174" s="45" t="s">
        <v>1293</v>
      </c>
      <c r="O174" s="46" t="s">
        <v>1953</v>
      </c>
      <c r="P174" s="42"/>
      <c r="Q174" s="42"/>
      <c r="R174" s="42"/>
      <c r="S174" s="42"/>
      <c r="T174" s="42"/>
      <c r="U174" s="42"/>
      <c r="V174" s="42"/>
      <c r="W174" s="42"/>
      <c r="X174" s="42"/>
      <c r="Y174" s="42"/>
      <c r="Z174" s="42"/>
      <c r="AA174" s="42"/>
      <c r="AB174" s="42"/>
      <c r="AC174" s="42"/>
      <c r="AD174" s="42"/>
      <c r="AE174" s="42"/>
    </row>
    <row r="175" spans="1:31" x14ac:dyDescent="0.2">
      <c r="A175" s="46">
        <v>509</v>
      </c>
      <c r="B175" s="46"/>
      <c r="C175" s="46"/>
      <c r="D175" s="46" t="s">
        <v>113</v>
      </c>
      <c r="E175" s="46" t="s">
        <v>192</v>
      </c>
      <c r="F175" s="46" t="s">
        <v>115</v>
      </c>
      <c r="G175" s="47" t="s">
        <v>822</v>
      </c>
      <c r="H175" s="46" t="s">
        <v>1291</v>
      </c>
      <c r="I175" s="46"/>
      <c r="J175" s="46" t="s">
        <v>1292</v>
      </c>
      <c r="K175" s="48" t="s">
        <v>821</v>
      </c>
      <c r="L175" s="46"/>
      <c r="M175" s="46"/>
      <c r="N175" s="45" t="s">
        <v>1293</v>
      </c>
      <c r="O175" s="46" t="s">
        <v>1953</v>
      </c>
      <c r="P175" s="42"/>
      <c r="Q175" s="42"/>
      <c r="R175" s="42"/>
      <c r="S175" s="42"/>
      <c r="T175" s="42"/>
      <c r="U175" s="42"/>
      <c r="V175" s="42"/>
      <c r="W175" s="42"/>
      <c r="X175" s="42"/>
      <c r="Y175" s="42"/>
      <c r="Z175" s="42"/>
      <c r="AA175" s="42"/>
      <c r="AB175" s="42"/>
      <c r="AC175" s="42"/>
      <c r="AD175" s="42"/>
      <c r="AE175" s="42"/>
    </row>
    <row r="176" spans="1:31" x14ac:dyDescent="0.2">
      <c r="A176" s="46">
        <v>510</v>
      </c>
      <c r="B176" s="46"/>
      <c r="C176" s="46"/>
      <c r="D176" s="46" t="s">
        <v>113</v>
      </c>
      <c r="E176" s="46" t="s">
        <v>192</v>
      </c>
      <c r="F176" s="46" t="s">
        <v>115</v>
      </c>
      <c r="G176" s="47" t="s">
        <v>824</v>
      </c>
      <c r="H176" s="46" t="s">
        <v>1291</v>
      </c>
      <c r="I176" s="46"/>
      <c r="J176" s="46" t="s">
        <v>1292</v>
      </c>
      <c r="K176" s="48" t="s">
        <v>823</v>
      </c>
      <c r="L176" s="46"/>
      <c r="M176" s="46"/>
      <c r="N176" s="45" t="s">
        <v>1293</v>
      </c>
      <c r="O176" s="46" t="s">
        <v>1953</v>
      </c>
      <c r="P176" s="42"/>
      <c r="Q176" s="42"/>
      <c r="R176" s="42"/>
      <c r="S176" s="42"/>
      <c r="T176" s="42"/>
      <c r="U176" s="42"/>
      <c r="V176" s="42"/>
      <c r="W176" s="42"/>
      <c r="X176" s="42"/>
      <c r="Y176" s="42"/>
      <c r="Z176" s="42"/>
      <c r="AA176" s="42"/>
      <c r="AB176" s="42"/>
      <c r="AC176" s="42"/>
      <c r="AD176" s="42"/>
      <c r="AE176" s="42"/>
    </row>
    <row r="177" spans="1:31" x14ac:dyDescent="0.2">
      <c r="A177" s="46">
        <v>511</v>
      </c>
      <c r="B177" s="46"/>
      <c r="C177" s="46"/>
      <c r="D177" s="46" t="s">
        <v>113</v>
      </c>
      <c r="E177" s="46" t="s">
        <v>192</v>
      </c>
      <c r="F177" s="46" t="s">
        <v>115</v>
      </c>
      <c r="G177" s="47" t="s">
        <v>826</v>
      </c>
      <c r="H177" s="46" t="s">
        <v>1291</v>
      </c>
      <c r="I177" s="46"/>
      <c r="J177" s="46" t="s">
        <v>1292</v>
      </c>
      <c r="K177" s="48" t="s">
        <v>825</v>
      </c>
      <c r="L177" s="46"/>
      <c r="M177" s="46"/>
      <c r="N177" s="45" t="s">
        <v>1293</v>
      </c>
      <c r="O177" s="46" t="s">
        <v>1953</v>
      </c>
      <c r="P177" s="42"/>
      <c r="Q177" s="42"/>
      <c r="R177" s="42"/>
      <c r="S177" s="42"/>
      <c r="T177" s="42"/>
      <c r="U177" s="42"/>
      <c r="V177" s="42"/>
      <c r="W177" s="42"/>
      <c r="X177" s="42"/>
      <c r="Y177" s="42"/>
      <c r="Z177" s="42"/>
      <c r="AA177" s="42"/>
      <c r="AB177" s="42"/>
      <c r="AC177" s="42"/>
      <c r="AD177" s="42"/>
      <c r="AE177" s="42"/>
    </row>
    <row r="178" spans="1:31" x14ac:dyDescent="0.2">
      <c r="A178" s="46">
        <v>512</v>
      </c>
      <c r="B178" s="46"/>
      <c r="C178" s="46"/>
      <c r="D178" s="46" t="s">
        <v>113</v>
      </c>
      <c r="E178" s="46" t="s">
        <v>192</v>
      </c>
      <c r="F178" s="46" t="s">
        <v>115</v>
      </c>
      <c r="G178" s="47" t="s">
        <v>828</v>
      </c>
      <c r="H178" s="46" t="s">
        <v>1291</v>
      </c>
      <c r="I178" s="46"/>
      <c r="J178" s="46" t="s">
        <v>1292</v>
      </c>
      <c r="K178" s="48" t="s">
        <v>827</v>
      </c>
      <c r="L178" s="46"/>
      <c r="M178" s="46"/>
      <c r="N178" s="45" t="s">
        <v>1293</v>
      </c>
      <c r="O178" s="46" t="s">
        <v>1953</v>
      </c>
      <c r="P178" s="42"/>
      <c r="Q178" s="42"/>
      <c r="R178" s="42"/>
      <c r="S178" s="42"/>
      <c r="T178" s="42"/>
      <c r="U178" s="42"/>
      <c r="V178" s="42"/>
      <c r="W178" s="42"/>
      <c r="X178" s="42"/>
      <c r="Y178" s="42"/>
      <c r="Z178" s="42"/>
      <c r="AA178" s="42"/>
      <c r="AB178" s="42"/>
      <c r="AC178" s="42"/>
      <c r="AD178" s="42"/>
      <c r="AE178" s="42"/>
    </row>
    <row r="179" spans="1:31" x14ac:dyDescent="0.2">
      <c r="A179" s="46">
        <v>513</v>
      </c>
      <c r="B179" s="46"/>
      <c r="C179" s="46"/>
      <c r="D179" s="46" t="s">
        <v>113</v>
      </c>
      <c r="E179" s="46" t="s">
        <v>192</v>
      </c>
      <c r="F179" s="46" t="s">
        <v>115</v>
      </c>
      <c r="G179" s="47" t="s">
        <v>830</v>
      </c>
      <c r="H179" s="46" t="s">
        <v>1291</v>
      </c>
      <c r="I179" s="46"/>
      <c r="J179" s="46" t="s">
        <v>1292</v>
      </c>
      <c r="K179" s="48" t="s">
        <v>829</v>
      </c>
      <c r="L179" s="46"/>
      <c r="M179" s="46"/>
      <c r="N179" s="45" t="s">
        <v>1293</v>
      </c>
      <c r="O179" s="46" t="s">
        <v>1953</v>
      </c>
      <c r="P179" s="42"/>
      <c r="Q179" s="42"/>
      <c r="R179" s="42"/>
      <c r="S179" s="42"/>
      <c r="T179" s="42"/>
      <c r="U179" s="42"/>
      <c r="V179" s="42"/>
      <c r="W179" s="42"/>
      <c r="X179" s="42"/>
      <c r="Y179" s="42"/>
      <c r="Z179" s="42"/>
      <c r="AA179" s="42"/>
      <c r="AB179" s="42"/>
      <c r="AC179" s="42"/>
      <c r="AD179" s="42"/>
      <c r="AE179" s="42"/>
    </row>
    <row r="180" spans="1:31" x14ac:dyDescent="0.2">
      <c r="A180" s="46">
        <v>514</v>
      </c>
      <c r="B180" s="46"/>
      <c r="C180" s="46"/>
      <c r="D180" s="46" t="s">
        <v>113</v>
      </c>
      <c r="E180" s="46" t="s">
        <v>192</v>
      </c>
      <c r="F180" s="46" t="s">
        <v>115</v>
      </c>
      <c r="G180" s="47" t="s">
        <v>832</v>
      </c>
      <c r="H180" s="46" t="s">
        <v>1291</v>
      </c>
      <c r="I180" s="46"/>
      <c r="J180" s="46" t="s">
        <v>1292</v>
      </c>
      <c r="K180" s="48" t="s">
        <v>831</v>
      </c>
      <c r="L180" s="46"/>
      <c r="M180" s="46"/>
      <c r="N180" s="45" t="s">
        <v>1293</v>
      </c>
      <c r="O180" s="46" t="s">
        <v>1953</v>
      </c>
      <c r="P180" s="42"/>
      <c r="Q180" s="42"/>
      <c r="R180" s="42"/>
      <c r="S180" s="42"/>
      <c r="T180" s="42"/>
      <c r="U180" s="42"/>
      <c r="V180" s="42"/>
      <c r="W180" s="42"/>
      <c r="X180" s="42"/>
      <c r="Y180" s="42"/>
      <c r="Z180" s="42"/>
      <c r="AA180" s="42"/>
      <c r="AB180" s="42"/>
      <c r="AC180" s="42"/>
      <c r="AD180" s="42"/>
      <c r="AE180" s="42"/>
    </row>
    <row r="181" spans="1:31" x14ac:dyDescent="0.2">
      <c r="A181" s="46">
        <v>515</v>
      </c>
      <c r="B181" s="46"/>
      <c r="C181" s="46"/>
      <c r="D181" s="46" t="s">
        <v>113</v>
      </c>
      <c r="E181" s="46" t="s">
        <v>192</v>
      </c>
      <c r="F181" s="46" t="s">
        <v>115</v>
      </c>
      <c r="G181" s="47" t="s">
        <v>834</v>
      </c>
      <c r="H181" s="46" t="s">
        <v>1291</v>
      </c>
      <c r="I181" s="46"/>
      <c r="J181" s="46" t="s">
        <v>1292</v>
      </c>
      <c r="K181" s="48" t="s">
        <v>833</v>
      </c>
      <c r="L181" s="46"/>
      <c r="M181" s="46"/>
      <c r="N181" s="45" t="s">
        <v>1293</v>
      </c>
      <c r="O181" s="46" t="s">
        <v>1953</v>
      </c>
      <c r="P181" s="42"/>
      <c r="Q181" s="42"/>
      <c r="R181" s="42"/>
      <c r="S181" s="42"/>
      <c r="T181" s="42"/>
      <c r="U181" s="42"/>
      <c r="V181" s="42"/>
      <c r="W181" s="42"/>
      <c r="X181" s="42"/>
      <c r="Y181" s="42"/>
      <c r="Z181" s="42"/>
      <c r="AA181" s="42"/>
      <c r="AB181" s="42"/>
      <c r="AC181" s="42"/>
      <c r="AD181" s="42"/>
      <c r="AE181" s="42"/>
    </row>
    <row r="182" spans="1:31" x14ac:dyDescent="0.2">
      <c r="A182" s="46">
        <v>516</v>
      </c>
      <c r="B182" s="46"/>
      <c r="C182" s="46"/>
      <c r="D182" s="46" t="s">
        <v>113</v>
      </c>
      <c r="E182" s="46" t="s">
        <v>192</v>
      </c>
      <c r="F182" s="46" t="s">
        <v>115</v>
      </c>
      <c r="G182" s="47" t="s">
        <v>836</v>
      </c>
      <c r="H182" s="46" t="s">
        <v>1291</v>
      </c>
      <c r="I182" s="46"/>
      <c r="J182" s="46" t="s">
        <v>1292</v>
      </c>
      <c r="K182" s="48" t="s">
        <v>835</v>
      </c>
      <c r="L182" s="46"/>
      <c r="M182" s="46"/>
      <c r="N182" s="45" t="s">
        <v>1293</v>
      </c>
      <c r="O182" s="46" t="s">
        <v>1953</v>
      </c>
      <c r="P182" s="42"/>
      <c r="Q182" s="42"/>
      <c r="R182" s="42"/>
      <c r="S182" s="42"/>
      <c r="T182" s="42"/>
      <c r="U182" s="42"/>
      <c r="V182" s="42"/>
      <c r="W182" s="42"/>
      <c r="X182" s="42"/>
      <c r="Y182" s="42"/>
      <c r="Z182" s="42"/>
      <c r="AA182" s="42"/>
      <c r="AB182" s="42"/>
      <c r="AC182" s="42"/>
      <c r="AD182" s="42"/>
      <c r="AE182" s="42"/>
    </row>
    <row r="183" spans="1:31" x14ac:dyDescent="0.2">
      <c r="A183" s="46">
        <v>517</v>
      </c>
      <c r="B183" s="46"/>
      <c r="C183" s="46"/>
      <c r="D183" s="46" t="s">
        <v>113</v>
      </c>
      <c r="E183" s="46" t="s">
        <v>192</v>
      </c>
      <c r="F183" s="46" t="s">
        <v>115</v>
      </c>
      <c r="G183" s="47" t="s">
        <v>838</v>
      </c>
      <c r="H183" s="46" t="s">
        <v>1291</v>
      </c>
      <c r="I183" s="46"/>
      <c r="J183" s="46" t="s">
        <v>1292</v>
      </c>
      <c r="K183" s="48" t="s">
        <v>837</v>
      </c>
      <c r="L183" s="46"/>
      <c r="M183" s="46"/>
      <c r="N183" s="45" t="s">
        <v>1293</v>
      </c>
      <c r="O183" s="46" t="s">
        <v>1953</v>
      </c>
      <c r="P183" s="42"/>
      <c r="Q183" s="42"/>
      <c r="R183" s="42"/>
      <c r="S183" s="42"/>
      <c r="T183" s="42"/>
      <c r="U183" s="42"/>
      <c r="V183" s="42"/>
      <c r="W183" s="42"/>
      <c r="X183" s="42"/>
      <c r="Y183" s="42"/>
      <c r="Z183" s="42"/>
      <c r="AA183" s="42"/>
      <c r="AB183" s="42"/>
      <c r="AC183" s="42"/>
      <c r="AD183" s="42"/>
      <c r="AE183" s="42"/>
    </row>
    <row r="184" spans="1:31" x14ac:dyDescent="0.2">
      <c r="A184" s="46">
        <v>519</v>
      </c>
      <c r="B184" s="46"/>
      <c r="C184" s="46"/>
      <c r="D184" s="46" t="s">
        <v>113</v>
      </c>
      <c r="E184" s="46" t="s">
        <v>192</v>
      </c>
      <c r="F184" s="46" t="s">
        <v>115</v>
      </c>
      <c r="G184" s="47" t="s">
        <v>841</v>
      </c>
      <c r="H184" s="46" t="s">
        <v>1291</v>
      </c>
      <c r="I184" s="46"/>
      <c r="J184" s="46" t="s">
        <v>1292</v>
      </c>
      <c r="K184" s="48" t="s">
        <v>840</v>
      </c>
      <c r="L184" s="46"/>
      <c r="M184" s="46"/>
      <c r="N184" s="45" t="s">
        <v>1293</v>
      </c>
      <c r="O184" s="46" t="s">
        <v>1953</v>
      </c>
      <c r="P184" s="42"/>
      <c r="Q184" s="42"/>
      <c r="R184" s="42"/>
      <c r="S184" s="42"/>
      <c r="T184" s="42"/>
      <c r="U184" s="42"/>
      <c r="V184" s="42"/>
      <c r="W184" s="42"/>
      <c r="X184" s="42"/>
      <c r="Y184" s="42"/>
      <c r="Z184" s="42"/>
      <c r="AA184" s="42"/>
      <c r="AB184" s="42"/>
      <c r="AC184" s="42"/>
      <c r="AD184" s="42"/>
      <c r="AE184" s="42"/>
    </row>
    <row r="185" spans="1:31" x14ac:dyDescent="0.2">
      <c r="A185" s="46">
        <v>520</v>
      </c>
      <c r="B185" s="46"/>
      <c r="C185" s="46"/>
      <c r="D185" s="46" t="s">
        <v>113</v>
      </c>
      <c r="E185" s="46" t="s">
        <v>192</v>
      </c>
      <c r="F185" s="46" t="s">
        <v>115</v>
      </c>
      <c r="G185" s="47" t="s">
        <v>843</v>
      </c>
      <c r="H185" s="46" t="s">
        <v>1291</v>
      </c>
      <c r="I185" s="46"/>
      <c r="J185" s="46" t="s">
        <v>1292</v>
      </c>
      <c r="K185" s="48" t="s">
        <v>842</v>
      </c>
      <c r="L185" s="46"/>
      <c r="M185" s="46"/>
      <c r="N185" s="45" t="s">
        <v>1293</v>
      </c>
      <c r="O185" s="46" t="s">
        <v>1953</v>
      </c>
      <c r="P185" s="42"/>
      <c r="Q185" s="42"/>
      <c r="R185" s="42"/>
      <c r="S185" s="42"/>
      <c r="T185" s="42"/>
      <c r="U185" s="42"/>
      <c r="V185" s="42"/>
      <c r="W185" s="42"/>
      <c r="X185" s="42"/>
      <c r="Y185" s="42"/>
      <c r="Z185" s="42"/>
      <c r="AA185" s="42"/>
      <c r="AB185" s="42"/>
      <c r="AC185" s="42"/>
      <c r="AD185" s="42"/>
      <c r="AE185" s="42"/>
    </row>
    <row r="186" spans="1:31" x14ac:dyDescent="0.2">
      <c r="A186" s="46">
        <v>521</v>
      </c>
      <c r="B186" s="46"/>
      <c r="C186" s="46"/>
      <c r="D186" s="46" t="s">
        <v>113</v>
      </c>
      <c r="E186" s="46" t="s">
        <v>192</v>
      </c>
      <c r="F186" s="46" t="s">
        <v>115</v>
      </c>
      <c r="G186" s="47" t="s">
        <v>845</v>
      </c>
      <c r="H186" s="46" t="s">
        <v>1291</v>
      </c>
      <c r="I186" s="46"/>
      <c r="J186" s="46" t="s">
        <v>1292</v>
      </c>
      <c r="K186" s="48" t="s">
        <v>844</v>
      </c>
      <c r="L186" s="46"/>
      <c r="M186" s="46"/>
      <c r="N186" s="45" t="s">
        <v>1293</v>
      </c>
      <c r="O186" s="46" t="s">
        <v>1953</v>
      </c>
      <c r="P186" s="42"/>
      <c r="Q186" s="42"/>
      <c r="R186" s="42"/>
      <c r="S186" s="42"/>
      <c r="T186" s="42"/>
      <c r="U186" s="42"/>
      <c r="V186" s="42"/>
      <c r="W186" s="42"/>
      <c r="X186" s="42"/>
      <c r="Y186" s="42"/>
      <c r="Z186" s="42"/>
      <c r="AA186" s="42"/>
      <c r="AB186" s="42"/>
      <c r="AC186" s="42"/>
      <c r="AD186" s="42"/>
      <c r="AE186" s="42"/>
    </row>
    <row r="187" spans="1:31" x14ac:dyDescent="0.2">
      <c r="A187" s="46">
        <v>522</v>
      </c>
      <c r="B187" s="46"/>
      <c r="C187" s="46"/>
      <c r="D187" s="46" t="s">
        <v>113</v>
      </c>
      <c r="E187" s="46" t="s">
        <v>192</v>
      </c>
      <c r="F187" s="46" t="s">
        <v>115</v>
      </c>
      <c r="G187" s="47" t="s">
        <v>847</v>
      </c>
      <c r="H187" s="46" t="s">
        <v>1291</v>
      </c>
      <c r="I187" s="46"/>
      <c r="J187" s="46" t="s">
        <v>1292</v>
      </c>
      <c r="K187" s="48" t="s">
        <v>846</v>
      </c>
      <c r="L187" s="46"/>
      <c r="M187" s="46"/>
      <c r="N187" s="45" t="s">
        <v>1293</v>
      </c>
      <c r="O187" s="46" t="s">
        <v>1953</v>
      </c>
      <c r="P187" s="42"/>
      <c r="Q187" s="42"/>
      <c r="R187" s="42"/>
      <c r="S187" s="42"/>
      <c r="T187" s="42"/>
      <c r="U187" s="42"/>
      <c r="V187" s="42"/>
      <c r="W187" s="42"/>
      <c r="X187" s="42"/>
      <c r="Y187" s="42"/>
      <c r="Z187" s="42"/>
      <c r="AA187" s="42"/>
      <c r="AB187" s="42"/>
      <c r="AC187" s="42"/>
      <c r="AD187" s="42"/>
      <c r="AE187" s="42"/>
    </row>
    <row r="188" spans="1:31" x14ac:dyDescent="0.2">
      <c r="A188" s="46">
        <v>523</v>
      </c>
      <c r="B188" s="46"/>
      <c r="C188" s="46"/>
      <c r="D188" s="46" t="s">
        <v>113</v>
      </c>
      <c r="E188" s="46" t="s">
        <v>192</v>
      </c>
      <c r="F188" s="46" t="s">
        <v>115</v>
      </c>
      <c r="G188" s="47" t="s">
        <v>849</v>
      </c>
      <c r="H188" s="46" t="s">
        <v>1291</v>
      </c>
      <c r="I188" s="46"/>
      <c r="J188" s="46" t="s">
        <v>1292</v>
      </c>
      <c r="K188" s="48" t="s">
        <v>848</v>
      </c>
      <c r="L188" s="46"/>
      <c r="M188" s="46"/>
      <c r="N188" s="45" t="s">
        <v>1293</v>
      </c>
      <c r="O188" s="46" t="s">
        <v>1953</v>
      </c>
      <c r="P188" s="42"/>
      <c r="Q188" s="42"/>
      <c r="R188" s="42"/>
      <c r="S188" s="42"/>
      <c r="T188" s="42"/>
      <c r="U188" s="42"/>
      <c r="V188" s="42"/>
      <c r="W188" s="42"/>
      <c r="X188" s="42"/>
      <c r="Y188" s="42"/>
      <c r="Z188" s="42"/>
      <c r="AA188" s="42"/>
      <c r="AB188" s="42"/>
      <c r="AC188" s="42"/>
      <c r="AD188" s="42"/>
      <c r="AE188" s="42"/>
    </row>
    <row r="189" spans="1:31" x14ac:dyDescent="0.2">
      <c r="A189" s="46">
        <v>524</v>
      </c>
      <c r="B189" s="46"/>
      <c r="C189" s="46"/>
      <c r="D189" s="46" t="s">
        <v>113</v>
      </c>
      <c r="E189" s="46" t="s">
        <v>192</v>
      </c>
      <c r="F189" s="46" t="s">
        <v>115</v>
      </c>
      <c r="G189" s="47" t="s">
        <v>851</v>
      </c>
      <c r="H189" s="46" t="s">
        <v>1291</v>
      </c>
      <c r="I189" s="46"/>
      <c r="J189" s="46" t="s">
        <v>1292</v>
      </c>
      <c r="K189" s="48" t="s">
        <v>850</v>
      </c>
      <c r="L189" s="46"/>
      <c r="M189" s="46"/>
      <c r="N189" s="45" t="s">
        <v>1293</v>
      </c>
      <c r="O189" s="46" t="s">
        <v>1953</v>
      </c>
      <c r="P189" s="42"/>
      <c r="Q189" s="42"/>
      <c r="R189" s="42"/>
      <c r="S189" s="42"/>
      <c r="T189" s="42"/>
      <c r="U189" s="42"/>
      <c r="V189" s="42"/>
      <c r="W189" s="42"/>
      <c r="X189" s="42"/>
      <c r="Y189" s="42"/>
      <c r="Z189" s="42"/>
      <c r="AA189" s="42"/>
      <c r="AB189" s="42"/>
      <c r="AC189" s="42"/>
      <c r="AD189" s="42"/>
      <c r="AE189" s="42"/>
    </row>
    <row r="190" spans="1:31" x14ac:dyDescent="0.2">
      <c r="A190" s="46">
        <v>525</v>
      </c>
      <c r="B190" s="46"/>
      <c r="C190" s="46"/>
      <c r="D190" s="46" t="s">
        <v>113</v>
      </c>
      <c r="E190" s="46" t="s">
        <v>192</v>
      </c>
      <c r="F190" s="46" t="s">
        <v>115</v>
      </c>
      <c r="G190" s="47" t="s">
        <v>853</v>
      </c>
      <c r="H190" s="46" t="s">
        <v>1291</v>
      </c>
      <c r="I190" s="46"/>
      <c r="J190" s="46" t="s">
        <v>1292</v>
      </c>
      <c r="K190" s="48" t="s">
        <v>852</v>
      </c>
      <c r="L190" s="46"/>
      <c r="M190" s="46"/>
      <c r="N190" s="45" t="s">
        <v>1293</v>
      </c>
      <c r="O190" s="46" t="s">
        <v>1953</v>
      </c>
      <c r="P190" s="42"/>
      <c r="Q190" s="42"/>
      <c r="R190" s="42"/>
      <c r="S190" s="42"/>
      <c r="T190" s="42"/>
      <c r="U190" s="42"/>
      <c r="V190" s="42"/>
      <c r="W190" s="42"/>
      <c r="X190" s="42"/>
      <c r="Y190" s="42"/>
      <c r="Z190" s="42"/>
      <c r="AA190" s="42"/>
      <c r="AB190" s="42"/>
      <c r="AC190" s="42"/>
      <c r="AD190" s="42"/>
      <c r="AE190" s="42"/>
    </row>
    <row r="191" spans="1:31" x14ac:dyDescent="0.2">
      <c r="A191" s="46">
        <v>526</v>
      </c>
      <c r="B191" s="46"/>
      <c r="C191" s="46"/>
      <c r="D191" s="46" t="s">
        <v>113</v>
      </c>
      <c r="E191" s="46" t="s">
        <v>192</v>
      </c>
      <c r="F191" s="46" t="s">
        <v>115</v>
      </c>
      <c r="G191" s="47" t="s">
        <v>854</v>
      </c>
      <c r="H191" s="46" t="s">
        <v>1291</v>
      </c>
      <c r="I191" s="46"/>
      <c r="J191" s="46" t="s">
        <v>1423</v>
      </c>
      <c r="K191" s="46" t="s">
        <v>1576</v>
      </c>
      <c r="L191" s="46"/>
      <c r="M191" s="46" t="s">
        <v>1582</v>
      </c>
      <c r="N191" s="45" t="s">
        <v>1293</v>
      </c>
      <c r="O191" s="46" t="s">
        <v>1953</v>
      </c>
      <c r="P191" s="42"/>
      <c r="Q191" s="42"/>
      <c r="R191" s="42"/>
      <c r="S191" s="42"/>
      <c r="T191" s="42"/>
      <c r="U191" s="42"/>
      <c r="V191" s="42"/>
      <c r="W191" s="42"/>
      <c r="X191" s="42"/>
      <c r="Y191" s="42"/>
      <c r="Z191" s="42"/>
      <c r="AA191" s="42"/>
      <c r="AB191" s="42"/>
      <c r="AC191" s="42"/>
      <c r="AD191" s="42"/>
      <c r="AE191" s="42"/>
    </row>
    <row r="192" spans="1:31" x14ac:dyDescent="0.2">
      <c r="A192" s="46">
        <v>527</v>
      </c>
      <c r="B192" s="46"/>
      <c r="C192" s="46"/>
      <c r="D192" s="46" t="s">
        <v>113</v>
      </c>
      <c r="E192" s="46" t="s">
        <v>192</v>
      </c>
      <c r="F192" s="46" t="s">
        <v>115</v>
      </c>
      <c r="G192" s="47" t="s">
        <v>856</v>
      </c>
      <c r="H192" s="46" t="s">
        <v>1291</v>
      </c>
      <c r="I192" s="46"/>
      <c r="J192" s="46" t="s">
        <v>1292</v>
      </c>
      <c r="K192" s="48" t="s">
        <v>855</v>
      </c>
      <c r="L192" s="46"/>
      <c r="M192" s="46"/>
      <c r="N192" s="45" t="s">
        <v>1293</v>
      </c>
      <c r="O192" s="46" t="s">
        <v>1953</v>
      </c>
      <c r="P192" s="42"/>
      <c r="Q192" s="42"/>
      <c r="R192" s="42"/>
      <c r="S192" s="42"/>
      <c r="T192" s="42"/>
      <c r="U192" s="42"/>
      <c r="V192" s="42"/>
      <c r="W192" s="42"/>
      <c r="X192" s="42"/>
      <c r="Y192" s="42"/>
      <c r="Z192" s="42"/>
      <c r="AA192" s="42"/>
      <c r="AB192" s="42"/>
      <c r="AC192" s="42"/>
      <c r="AD192" s="42"/>
      <c r="AE192" s="42"/>
    </row>
    <row r="193" spans="1:31" x14ac:dyDescent="0.2">
      <c r="A193" s="46">
        <v>528</v>
      </c>
      <c r="B193" s="46"/>
      <c r="C193" s="46"/>
      <c r="D193" s="46" t="s">
        <v>113</v>
      </c>
      <c r="E193" s="46" t="s">
        <v>192</v>
      </c>
      <c r="F193" s="46" t="s">
        <v>115</v>
      </c>
      <c r="G193" s="47" t="s">
        <v>858</v>
      </c>
      <c r="H193" s="46" t="s">
        <v>1291</v>
      </c>
      <c r="I193" s="46"/>
      <c r="J193" s="46" t="s">
        <v>1292</v>
      </c>
      <c r="K193" s="48" t="s">
        <v>857</v>
      </c>
      <c r="L193" s="46"/>
      <c r="M193" s="46"/>
      <c r="N193" s="45" t="s">
        <v>1293</v>
      </c>
      <c r="O193" s="46" t="s">
        <v>1953</v>
      </c>
      <c r="P193" s="42"/>
      <c r="Q193" s="42"/>
      <c r="R193" s="42"/>
      <c r="S193" s="42"/>
      <c r="T193" s="42"/>
      <c r="U193" s="42"/>
      <c r="V193" s="42"/>
      <c r="W193" s="42"/>
      <c r="X193" s="42"/>
      <c r="Y193" s="42"/>
      <c r="Z193" s="42"/>
      <c r="AA193" s="42"/>
      <c r="AB193" s="42"/>
      <c r="AC193" s="42"/>
      <c r="AD193" s="42"/>
      <c r="AE193" s="42"/>
    </row>
    <row r="194" spans="1:31" x14ac:dyDescent="0.2">
      <c r="A194" s="46">
        <v>529</v>
      </c>
      <c r="B194" s="46"/>
      <c r="C194" s="46"/>
      <c r="D194" s="46" t="s">
        <v>113</v>
      </c>
      <c r="E194" s="46" t="s">
        <v>192</v>
      </c>
      <c r="F194" s="46" t="s">
        <v>115</v>
      </c>
      <c r="G194" s="47" t="s">
        <v>860</v>
      </c>
      <c r="H194" s="46" t="s">
        <v>1291</v>
      </c>
      <c r="I194" s="46"/>
      <c r="J194" s="46" t="s">
        <v>1292</v>
      </c>
      <c r="K194" s="48" t="s">
        <v>859</v>
      </c>
      <c r="L194" s="46"/>
      <c r="M194" s="46"/>
      <c r="N194" s="45" t="s">
        <v>1293</v>
      </c>
      <c r="O194" s="46" t="s">
        <v>1953</v>
      </c>
      <c r="P194" s="42"/>
      <c r="Q194" s="42"/>
      <c r="R194" s="42"/>
      <c r="S194" s="42"/>
      <c r="T194" s="42"/>
      <c r="U194" s="42"/>
      <c r="V194" s="42"/>
      <c r="W194" s="42"/>
      <c r="X194" s="42"/>
      <c r="Y194" s="42"/>
      <c r="Z194" s="42"/>
      <c r="AA194" s="42"/>
      <c r="AB194" s="42"/>
      <c r="AC194" s="42"/>
      <c r="AD194" s="42"/>
      <c r="AE194" s="42"/>
    </row>
    <row r="195" spans="1:31" x14ac:dyDescent="0.2">
      <c r="A195" s="46">
        <v>530</v>
      </c>
      <c r="B195" s="46"/>
      <c r="C195" s="46"/>
      <c r="D195" s="46" t="s">
        <v>113</v>
      </c>
      <c r="E195" s="46" t="s">
        <v>192</v>
      </c>
      <c r="F195" s="46" t="s">
        <v>115</v>
      </c>
      <c r="G195" s="47" t="s">
        <v>862</v>
      </c>
      <c r="H195" s="46" t="s">
        <v>1291</v>
      </c>
      <c r="I195" s="46"/>
      <c r="J195" s="46" t="s">
        <v>1292</v>
      </c>
      <c r="K195" s="48" t="s">
        <v>861</v>
      </c>
      <c r="L195" s="46"/>
      <c r="M195" s="46"/>
      <c r="N195" s="45" t="s">
        <v>1293</v>
      </c>
      <c r="O195" s="46" t="s">
        <v>1953</v>
      </c>
      <c r="P195" s="42"/>
      <c r="Q195" s="42"/>
      <c r="R195" s="42"/>
      <c r="S195" s="42"/>
      <c r="T195" s="42"/>
      <c r="U195" s="42"/>
      <c r="V195" s="42"/>
      <c r="W195" s="42"/>
      <c r="X195" s="42"/>
      <c r="Y195" s="42"/>
      <c r="Z195" s="42"/>
      <c r="AA195" s="42"/>
      <c r="AB195" s="42"/>
      <c r="AC195" s="42"/>
      <c r="AD195" s="42"/>
      <c r="AE195" s="42"/>
    </row>
    <row r="196" spans="1:31" x14ac:dyDescent="0.2">
      <c r="A196" s="46">
        <v>531</v>
      </c>
      <c r="B196" s="46"/>
      <c r="C196" s="46"/>
      <c r="D196" s="46" t="s">
        <v>113</v>
      </c>
      <c r="E196" s="46" t="s">
        <v>192</v>
      </c>
      <c r="F196" s="46" t="s">
        <v>115</v>
      </c>
      <c r="G196" s="47" t="s">
        <v>864</v>
      </c>
      <c r="H196" s="46" t="s">
        <v>1291</v>
      </c>
      <c r="I196" s="46"/>
      <c r="J196" s="46" t="s">
        <v>1292</v>
      </c>
      <c r="K196" s="48" t="s">
        <v>863</v>
      </c>
      <c r="L196" s="46"/>
      <c r="M196" s="46"/>
      <c r="N196" s="45" t="s">
        <v>1293</v>
      </c>
      <c r="O196" s="46" t="s">
        <v>1953</v>
      </c>
      <c r="P196" s="42"/>
      <c r="Q196" s="42"/>
      <c r="R196" s="42"/>
      <c r="S196" s="42"/>
      <c r="T196" s="42"/>
      <c r="U196" s="42"/>
      <c r="V196" s="42"/>
      <c r="W196" s="42"/>
      <c r="X196" s="42"/>
      <c r="Y196" s="42"/>
      <c r="Z196" s="42"/>
      <c r="AA196" s="42"/>
      <c r="AB196" s="42"/>
      <c r="AC196" s="42"/>
      <c r="AD196" s="42"/>
      <c r="AE196" s="42"/>
    </row>
    <row r="197" spans="1:31" x14ac:dyDescent="0.2">
      <c r="A197" s="46">
        <v>532</v>
      </c>
      <c r="B197" s="46"/>
      <c r="C197" s="46"/>
      <c r="D197" s="46" t="s">
        <v>113</v>
      </c>
      <c r="E197" s="46" t="s">
        <v>192</v>
      </c>
      <c r="F197" s="46" t="s">
        <v>115</v>
      </c>
      <c r="G197" s="47" t="s">
        <v>866</v>
      </c>
      <c r="H197" s="46" t="s">
        <v>1291</v>
      </c>
      <c r="I197" s="46"/>
      <c r="J197" s="46" t="s">
        <v>1292</v>
      </c>
      <c r="K197" s="48" t="s">
        <v>865</v>
      </c>
      <c r="L197" s="46"/>
      <c r="M197" s="46"/>
      <c r="N197" s="45" t="s">
        <v>1293</v>
      </c>
      <c r="O197" s="46" t="s">
        <v>1953</v>
      </c>
      <c r="P197" s="42"/>
      <c r="Q197" s="42"/>
      <c r="R197" s="42"/>
      <c r="S197" s="42"/>
      <c r="T197" s="42"/>
      <c r="U197" s="42"/>
      <c r="V197" s="42"/>
      <c r="W197" s="42"/>
      <c r="X197" s="42"/>
      <c r="Y197" s="42"/>
      <c r="Z197" s="42"/>
      <c r="AA197" s="42"/>
      <c r="AB197" s="42"/>
      <c r="AC197" s="42"/>
      <c r="AD197" s="42"/>
      <c r="AE197" s="42"/>
    </row>
    <row r="198" spans="1:31" x14ac:dyDescent="0.2">
      <c r="A198" s="46">
        <v>533</v>
      </c>
      <c r="B198" s="46"/>
      <c r="C198" s="46"/>
      <c r="D198" s="46" t="s">
        <v>113</v>
      </c>
      <c r="E198" s="46" t="s">
        <v>192</v>
      </c>
      <c r="F198" s="46" t="s">
        <v>115</v>
      </c>
      <c r="G198" s="47" t="s">
        <v>868</v>
      </c>
      <c r="H198" s="46" t="s">
        <v>1291</v>
      </c>
      <c r="I198" s="46"/>
      <c r="J198" s="46" t="s">
        <v>1292</v>
      </c>
      <c r="K198" s="48" t="s">
        <v>867</v>
      </c>
      <c r="L198" s="46"/>
      <c r="M198" s="46"/>
      <c r="N198" s="45" t="s">
        <v>1293</v>
      </c>
      <c r="O198" s="46" t="s">
        <v>1953</v>
      </c>
      <c r="P198" s="42"/>
      <c r="Q198" s="42"/>
      <c r="R198" s="42"/>
      <c r="S198" s="42"/>
      <c r="T198" s="42"/>
      <c r="U198" s="42"/>
      <c r="V198" s="42"/>
      <c r="W198" s="42"/>
      <c r="X198" s="42"/>
      <c r="Y198" s="42"/>
      <c r="Z198" s="42"/>
      <c r="AA198" s="42"/>
      <c r="AB198" s="42"/>
      <c r="AC198" s="42"/>
      <c r="AD198" s="42"/>
      <c r="AE198" s="42"/>
    </row>
    <row r="199" spans="1:31" x14ac:dyDescent="0.2">
      <c r="A199" s="46">
        <v>534</v>
      </c>
      <c r="B199" s="46"/>
      <c r="C199" s="46"/>
      <c r="D199" s="46" t="s">
        <v>113</v>
      </c>
      <c r="E199" s="46" t="s">
        <v>192</v>
      </c>
      <c r="F199" s="46" t="s">
        <v>115</v>
      </c>
      <c r="G199" s="47" t="s">
        <v>870</v>
      </c>
      <c r="H199" s="46" t="s">
        <v>1291</v>
      </c>
      <c r="I199" s="46"/>
      <c r="J199" s="46" t="s">
        <v>1292</v>
      </c>
      <c r="K199" s="48" t="s">
        <v>869</v>
      </c>
      <c r="L199" s="46"/>
      <c r="M199" s="46"/>
      <c r="N199" s="45" t="s">
        <v>1293</v>
      </c>
      <c r="O199" s="46" t="s">
        <v>1953</v>
      </c>
      <c r="P199" s="42"/>
      <c r="Q199" s="42"/>
      <c r="R199" s="42"/>
      <c r="S199" s="42"/>
      <c r="T199" s="42"/>
      <c r="U199" s="42"/>
      <c r="V199" s="42"/>
      <c r="W199" s="42"/>
      <c r="X199" s="42"/>
      <c r="Y199" s="42"/>
      <c r="Z199" s="42"/>
      <c r="AA199" s="42"/>
      <c r="AB199" s="42"/>
      <c r="AC199" s="42"/>
      <c r="AD199" s="42"/>
      <c r="AE199" s="42"/>
    </row>
    <row r="200" spans="1:31" x14ac:dyDescent="0.2">
      <c r="A200" s="46">
        <v>535</v>
      </c>
      <c r="B200" s="46"/>
      <c r="C200" s="46"/>
      <c r="D200" s="46" t="s">
        <v>113</v>
      </c>
      <c r="E200" s="46" t="s">
        <v>192</v>
      </c>
      <c r="F200" s="46" t="s">
        <v>115</v>
      </c>
      <c r="G200" s="47" t="s">
        <v>872</v>
      </c>
      <c r="H200" s="46" t="s">
        <v>1291</v>
      </c>
      <c r="I200" s="46"/>
      <c r="J200" s="46" t="s">
        <v>1292</v>
      </c>
      <c r="K200" s="48" t="s">
        <v>871</v>
      </c>
      <c r="L200" s="46"/>
      <c r="M200" s="46"/>
      <c r="N200" s="45" t="s">
        <v>1293</v>
      </c>
      <c r="O200" s="46" t="s">
        <v>1953</v>
      </c>
      <c r="P200" s="42"/>
      <c r="Q200" s="42"/>
      <c r="R200" s="42"/>
      <c r="S200" s="42"/>
      <c r="T200" s="42"/>
      <c r="U200" s="42"/>
      <c r="V200" s="42"/>
      <c r="W200" s="42"/>
      <c r="X200" s="42"/>
      <c r="Y200" s="42"/>
      <c r="Z200" s="42"/>
      <c r="AA200" s="42"/>
      <c r="AB200" s="42"/>
      <c r="AC200" s="42"/>
      <c r="AD200" s="42"/>
      <c r="AE200" s="42"/>
    </row>
    <row r="201" spans="1:31" x14ac:dyDescent="0.2">
      <c r="A201" s="46">
        <v>536</v>
      </c>
      <c r="B201" s="46"/>
      <c r="C201" s="46"/>
      <c r="D201" s="46" t="s">
        <v>113</v>
      </c>
      <c r="E201" s="46" t="s">
        <v>192</v>
      </c>
      <c r="F201" s="46" t="s">
        <v>115</v>
      </c>
      <c r="G201" s="47" t="s">
        <v>874</v>
      </c>
      <c r="H201" s="46" t="s">
        <v>1291</v>
      </c>
      <c r="I201" s="46"/>
      <c r="J201" s="46" t="s">
        <v>1292</v>
      </c>
      <c r="K201" s="48" t="s">
        <v>873</v>
      </c>
      <c r="L201" s="46"/>
      <c r="M201" s="46"/>
      <c r="N201" s="45" t="s">
        <v>1293</v>
      </c>
      <c r="O201" s="46" t="s">
        <v>1953</v>
      </c>
      <c r="P201" s="42"/>
      <c r="Q201" s="42"/>
      <c r="R201" s="42"/>
      <c r="S201" s="42"/>
      <c r="T201" s="42"/>
      <c r="U201" s="42"/>
      <c r="V201" s="42"/>
      <c r="W201" s="42"/>
      <c r="X201" s="42"/>
      <c r="Y201" s="42"/>
      <c r="Z201" s="42"/>
      <c r="AA201" s="42"/>
      <c r="AB201" s="42"/>
      <c r="AC201" s="42"/>
      <c r="AD201" s="42"/>
      <c r="AE201" s="42"/>
    </row>
    <row r="202" spans="1:31" x14ac:dyDescent="0.2">
      <c r="A202" s="46">
        <v>537</v>
      </c>
      <c r="B202" s="46"/>
      <c r="C202" s="46"/>
      <c r="D202" s="46" t="s">
        <v>113</v>
      </c>
      <c r="E202" s="46" t="s">
        <v>192</v>
      </c>
      <c r="F202" s="46" t="s">
        <v>115</v>
      </c>
      <c r="G202" s="47" t="s">
        <v>876</v>
      </c>
      <c r="H202" s="46" t="s">
        <v>1291</v>
      </c>
      <c r="I202" s="46"/>
      <c r="J202" s="46" t="s">
        <v>1292</v>
      </c>
      <c r="K202" s="48" t="s">
        <v>875</v>
      </c>
      <c r="L202" s="46"/>
      <c r="M202" s="46"/>
      <c r="N202" s="45" t="s">
        <v>1293</v>
      </c>
      <c r="O202" s="46" t="s">
        <v>1953</v>
      </c>
      <c r="P202" s="42"/>
      <c r="Q202" s="42"/>
      <c r="R202" s="42"/>
      <c r="S202" s="42"/>
      <c r="T202" s="42"/>
      <c r="U202" s="42"/>
      <c r="V202" s="42"/>
      <c r="W202" s="42"/>
      <c r="X202" s="42"/>
      <c r="Y202" s="42"/>
      <c r="Z202" s="42"/>
      <c r="AA202" s="42"/>
      <c r="AB202" s="42"/>
      <c r="AC202" s="42"/>
      <c r="AD202" s="42"/>
      <c r="AE202" s="42"/>
    </row>
    <row r="203" spans="1:31" x14ac:dyDescent="0.2">
      <c r="A203" s="46">
        <v>538</v>
      </c>
      <c r="B203" s="46"/>
      <c r="C203" s="46"/>
      <c r="D203" s="46" t="s">
        <v>113</v>
      </c>
      <c r="E203" s="46" t="s">
        <v>192</v>
      </c>
      <c r="F203" s="46" t="s">
        <v>115</v>
      </c>
      <c r="G203" s="47" t="s">
        <v>877</v>
      </c>
      <c r="H203" s="46" t="s">
        <v>1291</v>
      </c>
      <c r="I203" s="46"/>
      <c r="J203" s="46" t="s">
        <v>1423</v>
      </c>
      <c r="K203" s="46" t="s">
        <v>1577</v>
      </c>
      <c r="L203" s="46"/>
      <c r="M203" s="46" t="s">
        <v>1583</v>
      </c>
      <c r="N203" s="45" t="s">
        <v>1293</v>
      </c>
      <c r="O203" s="46" t="s">
        <v>1953</v>
      </c>
      <c r="P203" s="42"/>
      <c r="Q203" s="42"/>
      <c r="R203" s="42"/>
      <c r="S203" s="42"/>
      <c r="T203" s="42"/>
      <c r="U203" s="42"/>
      <c r="V203" s="42"/>
      <c r="W203" s="42"/>
      <c r="X203" s="42"/>
      <c r="Y203" s="42"/>
      <c r="Z203" s="42"/>
      <c r="AA203" s="42"/>
      <c r="AB203" s="42"/>
      <c r="AC203" s="42"/>
      <c r="AD203" s="42"/>
      <c r="AE203" s="42"/>
    </row>
    <row r="204" spans="1:31" x14ac:dyDescent="0.2">
      <c r="A204" s="46">
        <v>539</v>
      </c>
      <c r="B204" s="46"/>
      <c r="C204" s="46"/>
      <c r="D204" s="46" t="s">
        <v>113</v>
      </c>
      <c r="E204" s="46" t="s">
        <v>192</v>
      </c>
      <c r="F204" s="46" t="s">
        <v>115</v>
      </c>
      <c r="G204" s="47" t="s">
        <v>879</v>
      </c>
      <c r="H204" s="46" t="s">
        <v>1291</v>
      </c>
      <c r="I204" s="46"/>
      <c r="J204" s="46" t="s">
        <v>1292</v>
      </c>
      <c r="K204" s="48" t="s">
        <v>878</v>
      </c>
      <c r="L204" s="46"/>
      <c r="M204" s="46"/>
      <c r="N204" s="45" t="s">
        <v>1293</v>
      </c>
      <c r="O204" s="46" t="s">
        <v>1953</v>
      </c>
      <c r="P204" s="42"/>
      <c r="Q204" s="42"/>
      <c r="R204" s="42"/>
      <c r="S204" s="42"/>
      <c r="T204" s="42"/>
      <c r="U204" s="42"/>
      <c r="V204" s="42"/>
      <c r="W204" s="42"/>
      <c r="X204" s="42"/>
      <c r="Y204" s="42"/>
      <c r="Z204" s="42"/>
      <c r="AA204" s="42"/>
      <c r="AB204" s="42"/>
      <c r="AC204" s="42"/>
      <c r="AD204" s="42"/>
      <c r="AE204" s="42"/>
    </row>
    <row r="205" spans="1:31" x14ac:dyDescent="0.2">
      <c r="A205" s="46">
        <v>540</v>
      </c>
      <c r="B205" s="46"/>
      <c r="C205" s="46"/>
      <c r="D205" s="46" t="s">
        <v>113</v>
      </c>
      <c r="E205" s="46" t="s">
        <v>192</v>
      </c>
      <c r="F205" s="46" t="s">
        <v>115</v>
      </c>
      <c r="G205" s="47" t="s">
        <v>881</v>
      </c>
      <c r="H205" s="46" t="s">
        <v>1291</v>
      </c>
      <c r="I205" s="46"/>
      <c r="J205" s="46" t="s">
        <v>1292</v>
      </c>
      <c r="K205" s="48" t="s">
        <v>880</v>
      </c>
      <c r="L205" s="46"/>
      <c r="M205" s="46"/>
      <c r="N205" s="45" t="s">
        <v>1293</v>
      </c>
      <c r="O205" s="46" t="s">
        <v>1953</v>
      </c>
      <c r="P205" s="42"/>
      <c r="Q205" s="42"/>
      <c r="R205" s="42"/>
      <c r="S205" s="42"/>
      <c r="T205" s="42"/>
      <c r="U205" s="42"/>
      <c r="V205" s="42"/>
      <c r="W205" s="42"/>
      <c r="X205" s="42"/>
      <c r="Y205" s="42"/>
      <c r="Z205" s="42"/>
      <c r="AA205" s="42"/>
      <c r="AB205" s="42"/>
      <c r="AC205" s="42"/>
      <c r="AD205" s="42"/>
      <c r="AE205" s="42"/>
    </row>
    <row r="206" spans="1:31" x14ac:dyDescent="0.2">
      <c r="A206" s="46">
        <v>541</v>
      </c>
      <c r="B206" s="46"/>
      <c r="C206" s="46"/>
      <c r="D206" s="46" t="s">
        <v>113</v>
      </c>
      <c r="E206" s="46" t="s">
        <v>192</v>
      </c>
      <c r="F206" s="46" t="s">
        <v>115</v>
      </c>
      <c r="G206" s="47" t="s">
        <v>883</v>
      </c>
      <c r="H206" s="46" t="s">
        <v>1291</v>
      </c>
      <c r="I206" s="46"/>
      <c r="J206" s="46" t="s">
        <v>1292</v>
      </c>
      <c r="K206" s="48" t="s">
        <v>882</v>
      </c>
      <c r="L206" s="46"/>
      <c r="M206" s="46"/>
      <c r="N206" s="45" t="s">
        <v>1293</v>
      </c>
      <c r="O206" s="46" t="s">
        <v>1953</v>
      </c>
      <c r="P206" s="42"/>
      <c r="Q206" s="42"/>
      <c r="R206" s="42"/>
      <c r="S206" s="42"/>
      <c r="T206" s="42"/>
      <c r="U206" s="42"/>
      <c r="V206" s="42"/>
      <c r="W206" s="42"/>
      <c r="X206" s="42"/>
      <c r="Y206" s="42"/>
      <c r="Z206" s="42"/>
      <c r="AA206" s="42"/>
      <c r="AB206" s="42"/>
      <c r="AC206" s="42"/>
      <c r="AD206" s="42"/>
      <c r="AE206" s="42"/>
    </row>
    <row r="207" spans="1:31" x14ac:dyDescent="0.2">
      <c r="A207" s="46">
        <v>542</v>
      </c>
      <c r="B207" s="46"/>
      <c r="C207" s="46"/>
      <c r="D207" s="46" t="s">
        <v>113</v>
      </c>
      <c r="E207" s="46" t="s">
        <v>192</v>
      </c>
      <c r="F207" s="46" t="s">
        <v>115</v>
      </c>
      <c r="G207" s="47" t="s">
        <v>885</v>
      </c>
      <c r="H207" s="46" t="s">
        <v>1291</v>
      </c>
      <c r="I207" s="46"/>
      <c r="J207" s="46" t="s">
        <v>1292</v>
      </c>
      <c r="K207" s="48" t="s">
        <v>884</v>
      </c>
      <c r="L207" s="46"/>
      <c r="M207" s="46"/>
      <c r="N207" s="45" t="s">
        <v>1293</v>
      </c>
      <c r="O207" s="46" t="s">
        <v>1953</v>
      </c>
      <c r="P207" s="42"/>
      <c r="Q207" s="42"/>
      <c r="R207" s="42"/>
      <c r="S207" s="42"/>
      <c r="T207" s="42"/>
      <c r="U207" s="42"/>
      <c r="V207" s="42"/>
      <c r="W207" s="42"/>
      <c r="X207" s="42"/>
      <c r="Y207" s="42"/>
      <c r="Z207" s="42"/>
      <c r="AA207" s="42"/>
      <c r="AB207" s="42"/>
      <c r="AC207" s="42"/>
      <c r="AD207" s="42"/>
      <c r="AE207" s="42"/>
    </row>
    <row r="208" spans="1:31" x14ac:dyDescent="0.2">
      <c r="A208" s="46">
        <v>543</v>
      </c>
      <c r="B208" s="46"/>
      <c r="C208" s="46"/>
      <c r="D208" s="46" t="s">
        <v>113</v>
      </c>
      <c r="E208" s="46" t="s">
        <v>192</v>
      </c>
      <c r="F208" s="46" t="s">
        <v>115</v>
      </c>
      <c r="G208" s="47" t="s">
        <v>887</v>
      </c>
      <c r="H208" s="46" t="s">
        <v>1291</v>
      </c>
      <c r="I208" s="46"/>
      <c r="J208" s="46" t="s">
        <v>1292</v>
      </c>
      <c r="K208" s="48" t="s">
        <v>886</v>
      </c>
      <c r="L208" s="46"/>
      <c r="M208" s="46"/>
      <c r="N208" s="45" t="s">
        <v>1293</v>
      </c>
      <c r="O208" s="46" t="s">
        <v>1953</v>
      </c>
      <c r="P208" s="42"/>
      <c r="Q208" s="42"/>
      <c r="R208" s="42"/>
      <c r="S208" s="42"/>
      <c r="T208" s="42"/>
      <c r="U208" s="42"/>
      <c r="V208" s="42"/>
      <c r="W208" s="42"/>
      <c r="X208" s="42"/>
      <c r="Y208" s="42"/>
      <c r="Z208" s="42"/>
      <c r="AA208" s="42"/>
      <c r="AB208" s="42"/>
      <c r="AC208" s="42"/>
      <c r="AD208" s="42"/>
      <c r="AE208" s="42"/>
    </row>
    <row r="209" spans="1:31" x14ac:dyDescent="0.2">
      <c r="A209" s="46">
        <v>544</v>
      </c>
      <c r="B209" s="46"/>
      <c r="C209" s="46"/>
      <c r="D209" s="46" t="s">
        <v>113</v>
      </c>
      <c r="E209" s="46" t="s">
        <v>192</v>
      </c>
      <c r="F209" s="46" t="s">
        <v>115</v>
      </c>
      <c r="G209" s="47" t="s">
        <v>889</v>
      </c>
      <c r="H209" s="46" t="s">
        <v>1291</v>
      </c>
      <c r="I209" s="46"/>
      <c r="J209" s="46" t="s">
        <v>1292</v>
      </c>
      <c r="K209" s="48" t="s">
        <v>888</v>
      </c>
      <c r="L209" s="46"/>
      <c r="M209" s="46"/>
      <c r="N209" s="45" t="s">
        <v>1293</v>
      </c>
      <c r="O209" s="46" t="s">
        <v>1953</v>
      </c>
      <c r="P209" s="42"/>
      <c r="Q209" s="42"/>
      <c r="R209" s="42"/>
      <c r="S209" s="42"/>
      <c r="T209" s="42"/>
      <c r="U209" s="42"/>
      <c r="V209" s="42"/>
      <c r="W209" s="42"/>
      <c r="X209" s="42"/>
      <c r="Y209" s="42"/>
      <c r="Z209" s="42"/>
      <c r="AA209" s="42"/>
      <c r="AB209" s="42"/>
      <c r="AC209" s="42"/>
      <c r="AD209" s="42"/>
      <c r="AE209" s="42"/>
    </row>
    <row r="210" spans="1:31" x14ac:dyDescent="0.2">
      <c r="A210" s="46">
        <v>545</v>
      </c>
      <c r="B210" s="46"/>
      <c r="C210" s="46"/>
      <c r="D210" s="46" t="s">
        <v>113</v>
      </c>
      <c r="E210" s="46" t="s">
        <v>192</v>
      </c>
      <c r="F210" s="46" t="s">
        <v>115</v>
      </c>
      <c r="G210" s="47" t="s">
        <v>891</v>
      </c>
      <c r="H210" s="46" t="s">
        <v>1291</v>
      </c>
      <c r="I210" s="46"/>
      <c r="J210" s="46" t="s">
        <v>1292</v>
      </c>
      <c r="K210" s="48" t="s">
        <v>890</v>
      </c>
      <c r="L210" s="46"/>
      <c r="M210" s="46"/>
      <c r="N210" s="45" t="s">
        <v>1293</v>
      </c>
      <c r="O210" s="46" t="s">
        <v>1953</v>
      </c>
      <c r="P210" s="42"/>
      <c r="Q210" s="42"/>
      <c r="R210" s="42"/>
      <c r="S210" s="42"/>
      <c r="T210" s="42"/>
      <c r="U210" s="42"/>
      <c r="V210" s="42"/>
      <c r="W210" s="42"/>
      <c r="X210" s="42"/>
      <c r="Y210" s="42"/>
      <c r="Z210" s="42"/>
      <c r="AA210" s="42"/>
      <c r="AB210" s="42"/>
      <c r="AC210" s="42"/>
      <c r="AD210" s="42"/>
      <c r="AE210" s="42"/>
    </row>
    <row r="211" spans="1:31" x14ac:dyDescent="0.2">
      <c r="A211" s="46">
        <v>546</v>
      </c>
      <c r="B211" s="46"/>
      <c r="C211" s="46"/>
      <c r="D211" s="46" t="s">
        <v>113</v>
      </c>
      <c r="E211" s="46" t="s">
        <v>192</v>
      </c>
      <c r="F211" s="46" t="s">
        <v>115</v>
      </c>
      <c r="G211" s="47" t="s">
        <v>893</v>
      </c>
      <c r="H211" s="46" t="s">
        <v>1291</v>
      </c>
      <c r="I211" s="46"/>
      <c r="J211" s="46" t="s">
        <v>1292</v>
      </c>
      <c r="K211" s="48" t="s">
        <v>892</v>
      </c>
      <c r="L211" s="46"/>
      <c r="M211" s="46"/>
      <c r="N211" s="45" t="s">
        <v>1293</v>
      </c>
      <c r="O211" s="46" t="s">
        <v>1953</v>
      </c>
      <c r="P211" s="42"/>
      <c r="Q211" s="42"/>
      <c r="R211" s="42"/>
      <c r="S211" s="42"/>
      <c r="T211" s="42"/>
      <c r="U211" s="42"/>
      <c r="V211" s="42"/>
      <c r="W211" s="42"/>
      <c r="X211" s="42"/>
      <c r="Y211" s="42"/>
      <c r="Z211" s="42"/>
      <c r="AA211" s="42"/>
      <c r="AB211" s="42"/>
      <c r="AC211" s="42"/>
      <c r="AD211" s="42"/>
      <c r="AE211" s="42"/>
    </row>
    <row r="212" spans="1:31" x14ac:dyDescent="0.2">
      <c r="A212" s="46">
        <v>547</v>
      </c>
      <c r="B212" s="46"/>
      <c r="C212" s="46"/>
      <c r="D212" s="46" t="s">
        <v>113</v>
      </c>
      <c r="E212" s="46" t="s">
        <v>192</v>
      </c>
      <c r="F212" s="46" t="s">
        <v>115</v>
      </c>
      <c r="G212" s="47" t="s">
        <v>895</v>
      </c>
      <c r="H212" s="46" t="s">
        <v>1291</v>
      </c>
      <c r="I212" s="46"/>
      <c r="J212" s="46" t="s">
        <v>1292</v>
      </c>
      <c r="K212" s="48" t="s">
        <v>894</v>
      </c>
      <c r="L212" s="46"/>
      <c r="M212" s="46"/>
      <c r="N212" s="45" t="s">
        <v>1293</v>
      </c>
      <c r="O212" s="46" t="s">
        <v>1953</v>
      </c>
      <c r="P212" s="42"/>
      <c r="Q212" s="42"/>
      <c r="R212" s="42"/>
      <c r="S212" s="42"/>
      <c r="T212" s="42"/>
      <c r="U212" s="42"/>
      <c r="V212" s="42"/>
      <c r="W212" s="42"/>
      <c r="X212" s="42"/>
      <c r="Y212" s="42"/>
      <c r="Z212" s="42"/>
      <c r="AA212" s="42"/>
      <c r="AB212" s="42"/>
      <c r="AC212" s="42"/>
      <c r="AD212" s="42"/>
      <c r="AE212" s="42"/>
    </row>
    <row r="213" spans="1:31" x14ac:dyDescent="0.2">
      <c r="A213" s="46">
        <v>548</v>
      </c>
      <c r="B213" s="46"/>
      <c r="C213" s="46"/>
      <c r="D213" s="46" t="s">
        <v>113</v>
      </c>
      <c r="E213" s="46" t="s">
        <v>192</v>
      </c>
      <c r="F213" s="46" t="s">
        <v>115</v>
      </c>
      <c r="G213" s="47" t="s">
        <v>897</v>
      </c>
      <c r="H213" s="46" t="s">
        <v>1291</v>
      </c>
      <c r="I213" s="46"/>
      <c r="J213" s="46" t="s">
        <v>1292</v>
      </c>
      <c r="K213" s="48" t="s">
        <v>896</v>
      </c>
      <c r="L213" s="46"/>
      <c r="M213" s="46"/>
      <c r="N213" s="45" t="s">
        <v>1293</v>
      </c>
      <c r="O213" s="46" t="s">
        <v>1953</v>
      </c>
      <c r="P213" s="42"/>
      <c r="Q213" s="42"/>
      <c r="R213" s="42"/>
      <c r="S213" s="42"/>
      <c r="T213" s="42"/>
      <c r="U213" s="42"/>
      <c r="V213" s="42"/>
      <c r="W213" s="42"/>
      <c r="X213" s="42"/>
      <c r="Y213" s="42"/>
      <c r="Z213" s="42"/>
      <c r="AA213" s="42"/>
      <c r="AB213" s="42"/>
      <c r="AC213" s="42"/>
      <c r="AD213" s="42"/>
      <c r="AE213" s="42"/>
    </row>
    <row r="214" spans="1:31" x14ac:dyDescent="0.2">
      <c r="A214" s="46">
        <v>549</v>
      </c>
      <c r="B214" s="46"/>
      <c r="C214" s="46"/>
      <c r="D214" s="46" t="s">
        <v>113</v>
      </c>
      <c r="E214" s="46" t="s">
        <v>192</v>
      </c>
      <c r="F214" s="46" t="s">
        <v>115</v>
      </c>
      <c r="G214" s="47" t="s">
        <v>899</v>
      </c>
      <c r="H214" s="46" t="s">
        <v>1291</v>
      </c>
      <c r="I214" s="46"/>
      <c r="J214" s="46" t="s">
        <v>1292</v>
      </c>
      <c r="K214" s="48" t="s">
        <v>898</v>
      </c>
      <c r="L214" s="46"/>
      <c r="M214" s="46"/>
      <c r="N214" s="45" t="s">
        <v>1293</v>
      </c>
      <c r="O214" s="46" t="s">
        <v>1953</v>
      </c>
      <c r="P214" s="42"/>
      <c r="Q214" s="42"/>
      <c r="R214" s="42"/>
      <c r="S214" s="42"/>
      <c r="T214" s="42"/>
      <c r="U214" s="42"/>
      <c r="V214" s="42"/>
      <c r="W214" s="42"/>
      <c r="X214" s="42"/>
      <c r="Y214" s="42"/>
      <c r="Z214" s="42"/>
      <c r="AA214" s="42"/>
      <c r="AB214" s="42"/>
      <c r="AC214" s="42"/>
      <c r="AD214" s="42"/>
      <c r="AE214" s="42"/>
    </row>
    <row r="215" spans="1:31" x14ac:dyDescent="0.2">
      <c r="A215" s="46">
        <v>550</v>
      </c>
      <c r="B215" s="46"/>
      <c r="C215" s="46"/>
      <c r="D215" s="46" t="s">
        <v>113</v>
      </c>
      <c r="E215" s="46" t="s">
        <v>192</v>
      </c>
      <c r="F215" s="46" t="s">
        <v>115</v>
      </c>
      <c r="G215" s="47" t="s">
        <v>901</v>
      </c>
      <c r="H215" s="46" t="s">
        <v>1291</v>
      </c>
      <c r="I215" s="46"/>
      <c r="J215" s="46" t="s">
        <v>1292</v>
      </c>
      <c r="K215" s="48" t="s">
        <v>900</v>
      </c>
      <c r="L215" s="46"/>
      <c r="M215" s="46"/>
      <c r="N215" s="45" t="s">
        <v>1293</v>
      </c>
      <c r="O215" s="46" t="s">
        <v>1953</v>
      </c>
      <c r="P215" s="42"/>
      <c r="Q215" s="42"/>
      <c r="R215" s="42"/>
      <c r="S215" s="42"/>
      <c r="T215" s="42"/>
      <c r="U215" s="42"/>
      <c r="V215" s="42"/>
      <c r="W215" s="42"/>
      <c r="X215" s="42"/>
      <c r="Y215" s="42"/>
      <c r="Z215" s="42"/>
      <c r="AA215" s="42"/>
      <c r="AB215" s="42"/>
      <c r="AC215" s="42"/>
      <c r="AD215" s="42"/>
      <c r="AE215" s="42"/>
    </row>
    <row r="216" spans="1:31" x14ac:dyDescent="0.2">
      <c r="A216" s="46">
        <v>551</v>
      </c>
      <c r="B216" s="46"/>
      <c r="C216" s="46"/>
      <c r="D216" s="46" t="s">
        <v>113</v>
      </c>
      <c r="E216" s="46" t="s">
        <v>192</v>
      </c>
      <c r="F216" s="46" t="s">
        <v>115</v>
      </c>
      <c r="G216" s="47" t="s">
        <v>903</v>
      </c>
      <c r="H216" s="46" t="s">
        <v>1291</v>
      </c>
      <c r="I216" s="46"/>
      <c r="J216" s="46" t="s">
        <v>1292</v>
      </c>
      <c r="K216" s="48" t="s">
        <v>902</v>
      </c>
      <c r="L216" s="46"/>
      <c r="M216" s="46"/>
      <c r="N216" s="45" t="s">
        <v>1293</v>
      </c>
      <c r="O216" s="46" t="s">
        <v>1953</v>
      </c>
      <c r="P216" s="42"/>
      <c r="Q216" s="42"/>
      <c r="R216" s="42"/>
      <c r="S216" s="42"/>
      <c r="T216" s="42"/>
      <c r="U216" s="42"/>
      <c r="V216" s="42"/>
      <c r="W216" s="42"/>
      <c r="X216" s="42"/>
      <c r="Y216" s="42"/>
      <c r="Z216" s="42"/>
      <c r="AA216" s="42"/>
      <c r="AB216" s="42"/>
      <c r="AC216" s="42"/>
      <c r="AD216" s="42"/>
      <c r="AE216" s="42"/>
    </row>
    <row r="217" spans="1:31" x14ac:dyDescent="0.2">
      <c r="A217" s="46">
        <v>552</v>
      </c>
      <c r="B217" s="46"/>
      <c r="C217" s="46"/>
      <c r="D217" s="46" t="s">
        <v>113</v>
      </c>
      <c r="E217" s="46" t="s">
        <v>192</v>
      </c>
      <c r="F217" s="46" t="s">
        <v>115</v>
      </c>
      <c r="G217" s="47" t="s">
        <v>905</v>
      </c>
      <c r="H217" s="46" t="s">
        <v>1291</v>
      </c>
      <c r="I217" s="46"/>
      <c r="J217" s="46" t="s">
        <v>1292</v>
      </c>
      <c r="K217" s="48" t="s">
        <v>904</v>
      </c>
      <c r="L217" s="46"/>
      <c r="M217" s="46"/>
      <c r="N217" s="45" t="s">
        <v>1293</v>
      </c>
      <c r="O217" s="46" t="s">
        <v>1953</v>
      </c>
      <c r="P217" s="42"/>
      <c r="Q217" s="42"/>
      <c r="R217" s="42"/>
      <c r="S217" s="42"/>
      <c r="T217" s="42"/>
      <c r="U217" s="42"/>
      <c r="V217" s="42"/>
      <c r="W217" s="42"/>
      <c r="X217" s="42"/>
      <c r="Y217" s="42"/>
      <c r="Z217" s="42"/>
      <c r="AA217" s="42"/>
      <c r="AB217" s="42"/>
      <c r="AC217" s="42"/>
      <c r="AD217" s="42"/>
      <c r="AE217" s="42"/>
    </row>
    <row r="218" spans="1:31" x14ac:dyDescent="0.2">
      <c r="A218" s="46">
        <v>553</v>
      </c>
      <c r="B218" s="46"/>
      <c r="C218" s="46"/>
      <c r="D218" s="46" t="s">
        <v>113</v>
      </c>
      <c r="E218" s="46" t="s">
        <v>192</v>
      </c>
      <c r="F218" s="46" t="s">
        <v>115</v>
      </c>
      <c r="G218" s="47" t="s">
        <v>907</v>
      </c>
      <c r="H218" s="46" t="s">
        <v>1291</v>
      </c>
      <c r="I218" s="46"/>
      <c r="J218" s="46" t="s">
        <v>1292</v>
      </c>
      <c r="K218" s="48" t="s">
        <v>906</v>
      </c>
      <c r="L218" s="46"/>
      <c r="M218" s="46"/>
      <c r="N218" s="45" t="s">
        <v>1293</v>
      </c>
      <c r="O218" s="46" t="s">
        <v>1953</v>
      </c>
      <c r="P218" s="42"/>
      <c r="Q218" s="42"/>
      <c r="R218" s="42"/>
      <c r="S218" s="42"/>
      <c r="T218" s="42"/>
      <c r="U218" s="42"/>
      <c r="V218" s="42"/>
      <c r="W218" s="42"/>
      <c r="X218" s="42"/>
      <c r="Y218" s="42"/>
      <c r="Z218" s="42"/>
      <c r="AA218" s="42"/>
      <c r="AB218" s="42"/>
      <c r="AC218" s="42"/>
      <c r="AD218" s="42"/>
      <c r="AE218" s="42"/>
    </row>
    <row r="219" spans="1:31" x14ac:dyDescent="0.2">
      <c r="A219" s="46">
        <v>554</v>
      </c>
      <c r="B219" s="46"/>
      <c r="C219" s="46"/>
      <c r="D219" s="46" t="s">
        <v>113</v>
      </c>
      <c r="E219" s="46" t="s">
        <v>192</v>
      </c>
      <c r="F219" s="46" t="s">
        <v>115</v>
      </c>
      <c r="G219" s="47" t="s">
        <v>909</v>
      </c>
      <c r="H219" s="46" t="s">
        <v>1291</v>
      </c>
      <c r="I219" s="46"/>
      <c r="J219" s="46" t="s">
        <v>1292</v>
      </c>
      <c r="K219" s="48" t="s">
        <v>908</v>
      </c>
      <c r="L219" s="46"/>
      <c r="M219" s="46"/>
      <c r="N219" s="45" t="s">
        <v>1293</v>
      </c>
      <c r="O219" s="46" t="s">
        <v>1953</v>
      </c>
      <c r="P219" s="42"/>
      <c r="Q219" s="42"/>
      <c r="R219" s="42"/>
      <c r="S219" s="42"/>
      <c r="T219" s="42"/>
      <c r="U219" s="42"/>
      <c r="V219" s="42"/>
      <c r="W219" s="42"/>
      <c r="X219" s="42"/>
      <c r="Y219" s="42"/>
      <c r="Z219" s="42"/>
      <c r="AA219" s="42"/>
      <c r="AB219" s="42"/>
      <c r="AC219" s="42"/>
      <c r="AD219" s="42"/>
      <c r="AE219" s="42"/>
    </row>
    <row r="220" spans="1:31" x14ac:dyDescent="0.2">
      <c r="A220" s="46">
        <v>555</v>
      </c>
      <c r="B220" s="46"/>
      <c r="C220" s="46"/>
      <c r="D220" s="46" t="s">
        <v>113</v>
      </c>
      <c r="E220" s="46" t="s">
        <v>192</v>
      </c>
      <c r="F220" s="46" t="s">
        <v>115</v>
      </c>
      <c r="G220" s="47" t="s">
        <v>911</v>
      </c>
      <c r="H220" s="46" t="s">
        <v>1291</v>
      </c>
      <c r="I220" s="46"/>
      <c r="J220" s="46" t="s">
        <v>1292</v>
      </c>
      <c r="K220" s="48" t="s">
        <v>910</v>
      </c>
      <c r="L220" s="46"/>
      <c r="M220" s="46"/>
      <c r="N220" s="45" t="s">
        <v>1293</v>
      </c>
      <c r="O220" s="46" t="s">
        <v>1953</v>
      </c>
      <c r="P220" s="42"/>
      <c r="Q220" s="42"/>
      <c r="R220" s="42"/>
      <c r="S220" s="42"/>
      <c r="T220" s="42"/>
      <c r="U220" s="42"/>
      <c r="V220" s="42"/>
      <c r="W220" s="42"/>
      <c r="X220" s="42"/>
      <c r="Y220" s="42"/>
      <c r="Z220" s="42"/>
      <c r="AA220" s="42"/>
      <c r="AB220" s="42"/>
      <c r="AC220" s="42"/>
      <c r="AD220" s="42"/>
      <c r="AE220" s="42"/>
    </row>
    <row r="221" spans="1:31" x14ac:dyDescent="0.2">
      <c r="A221" s="46">
        <v>556</v>
      </c>
      <c r="B221" s="46"/>
      <c r="C221" s="46"/>
      <c r="D221" s="46" t="s">
        <v>113</v>
      </c>
      <c r="E221" s="46" t="s">
        <v>192</v>
      </c>
      <c r="F221" s="46" t="s">
        <v>115</v>
      </c>
      <c r="G221" s="47" t="s">
        <v>913</v>
      </c>
      <c r="H221" s="46" t="s">
        <v>1291</v>
      </c>
      <c r="I221" s="46"/>
      <c r="J221" s="46" t="s">
        <v>1292</v>
      </c>
      <c r="K221" s="48" t="s">
        <v>912</v>
      </c>
      <c r="L221" s="46"/>
      <c r="M221" s="46"/>
      <c r="N221" s="45" t="s">
        <v>1293</v>
      </c>
      <c r="O221" s="46" t="s">
        <v>1953</v>
      </c>
      <c r="P221" s="42"/>
      <c r="Q221" s="42"/>
      <c r="R221" s="42"/>
      <c r="S221" s="42"/>
      <c r="T221" s="42"/>
      <c r="U221" s="42"/>
      <c r="V221" s="42"/>
      <c r="W221" s="42"/>
      <c r="X221" s="42"/>
      <c r="Y221" s="42"/>
      <c r="Z221" s="42"/>
      <c r="AA221" s="42"/>
      <c r="AB221" s="42"/>
      <c r="AC221" s="42"/>
      <c r="AD221" s="42"/>
      <c r="AE221" s="42"/>
    </row>
    <row r="222" spans="1:31" x14ac:dyDescent="0.2">
      <c r="A222" s="46">
        <v>557</v>
      </c>
      <c r="B222" s="46"/>
      <c r="C222" s="46"/>
      <c r="D222" s="46" t="s">
        <v>113</v>
      </c>
      <c r="E222" s="46" t="s">
        <v>192</v>
      </c>
      <c r="F222" s="46" t="s">
        <v>115</v>
      </c>
      <c r="G222" s="47" t="s">
        <v>915</v>
      </c>
      <c r="H222" s="46" t="s">
        <v>1291</v>
      </c>
      <c r="I222" s="46"/>
      <c r="J222" s="46" t="s">
        <v>1292</v>
      </c>
      <c r="K222" s="48" t="s">
        <v>914</v>
      </c>
      <c r="L222" s="46"/>
      <c r="M222" s="46"/>
      <c r="N222" s="45" t="s">
        <v>1293</v>
      </c>
      <c r="O222" s="46" t="s">
        <v>1953</v>
      </c>
      <c r="P222" s="42"/>
      <c r="Q222" s="42"/>
      <c r="R222" s="42"/>
      <c r="S222" s="42"/>
      <c r="T222" s="42"/>
      <c r="U222" s="42"/>
      <c r="V222" s="42"/>
      <c r="W222" s="42"/>
      <c r="X222" s="42"/>
      <c r="Y222" s="42"/>
      <c r="Z222" s="42"/>
      <c r="AA222" s="42"/>
      <c r="AB222" s="42"/>
      <c r="AC222" s="42"/>
      <c r="AD222" s="42"/>
      <c r="AE222" s="42"/>
    </row>
    <row r="223" spans="1:31" x14ac:dyDescent="0.2">
      <c r="A223" s="46">
        <v>558</v>
      </c>
      <c r="B223" s="46"/>
      <c r="C223" s="46"/>
      <c r="D223" s="46" t="s">
        <v>113</v>
      </c>
      <c r="E223" s="46" t="s">
        <v>192</v>
      </c>
      <c r="F223" s="46" t="s">
        <v>115</v>
      </c>
      <c r="G223" s="47" t="s">
        <v>917</v>
      </c>
      <c r="H223" s="46" t="s">
        <v>1291</v>
      </c>
      <c r="I223" s="46"/>
      <c r="J223" s="46" t="s">
        <v>1292</v>
      </c>
      <c r="K223" s="48" t="s">
        <v>916</v>
      </c>
      <c r="L223" s="46"/>
      <c r="M223" s="46"/>
      <c r="N223" s="45" t="s">
        <v>1293</v>
      </c>
      <c r="O223" s="46" t="s">
        <v>1953</v>
      </c>
      <c r="P223" s="42"/>
      <c r="Q223" s="42"/>
      <c r="R223" s="42"/>
      <c r="S223" s="42"/>
      <c r="T223" s="42"/>
      <c r="U223" s="42"/>
      <c r="V223" s="42"/>
      <c r="W223" s="42"/>
      <c r="X223" s="42"/>
      <c r="Y223" s="42"/>
      <c r="Z223" s="42"/>
      <c r="AA223" s="42"/>
      <c r="AB223" s="42"/>
      <c r="AC223" s="42"/>
      <c r="AD223" s="42"/>
      <c r="AE223" s="42"/>
    </row>
    <row r="224" spans="1:31" x14ac:dyDescent="0.2">
      <c r="A224" s="46">
        <v>559</v>
      </c>
      <c r="B224" s="46"/>
      <c r="C224" s="46"/>
      <c r="D224" s="46" t="s">
        <v>113</v>
      </c>
      <c r="E224" s="46" t="s">
        <v>192</v>
      </c>
      <c r="F224" s="46" t="s">
        <v>115</v>
      </c>
      <c r="G224" s="47" t="s">
        <v>919</v>
      </c>
      <c r="H224" s="46" t="s">
        <v>1291</v>
      </c>
      <c r="I224" s="46"/>
      <c r="J224" s="46" t="s">
        <v>1292</v>
      </c>
      <c r="K224" s="48" t="s">
        <v>918</v>
      </c>
      <c r="L224" s="46"/>
      <c r="M224" s="46"/>
      <c r="N224" s="45" t="s">
        <v>1293</v>
      </c>
      <c r="O224" s="46" t="s">
        <v>1953</v>
      </c>
      <c r="P224" s="42"/>
      <c r="Q224" s="42"/>
      <c r="R224" s="42"/>
      <c r="S224" s="42"/>
      <c r="T224" s="42"/>
      <c r="U224" s="42"/>
      <c r="V224" s="42"/>
      <c r="W224" s="42"/>
      <c r="X224" s="42"/>
      <c r="Y224" s="42"/>
      <c r="Z224" s="42"/>
      <c r="AA224" s="42"/>
      <c r="AB224" s="42"/>
      <c r="AC224" s="42"/>
      <c r="AD224" s="42"/>
      <c r="AE224" s="42"/>
    </row>
    <row r="225" spans="1:31" x14ac:dyDescent="0.2">
      <c r="A225" s="46">
        <v>560</v>
      </c>
      <c r="B225" s="46"/>
      <c r="C225" s="46"/>
      <c r="D225" s="46" t="s">
        <v>113</v>
      </c>
      <c r="E225" s="46" t="s">
        <v>192</v>
      </c>
      <c r="F225" s="46" t="s">
        <v>115</v>
      </c>
      <c r="G225" s="47" t="s">
        <v>921</v>
      </c>
      <c r="H225" s="46" t="s">
        <v>1291</v>
      </c>
      <c r="I225" s="46"/>
      <c r="J225" s="46" t="s">
        <v>1292</v>
      </c>
      <c r="K225" s="48" t="s">
        <v>920</v>
      </c>
      <c r="L225" s="46"/>
      <c r="M225" s="46"/>
      <c r="N225" s="45" t="s">
        <v>1293</v>
      </c>
      <c r="O225" s="46" t="s">
        <v>1953</v>
      </c>
      <c r="P225" s="42"/>
      <c r="Q225" s="42"/>
      <c r="R225" s="42"/>
      <c r="S225" s="42"/>
      <c r="T225" s="42"/>
      <c r="U225" s="42"/>
      <c r="V225" s="42"/>
      <c r="W225" s="42"/>
      <c r="X225" s="42"/>
      <c r="Y225" s="42"/>
      <c r="Z225" s="42"/>
      <c r="AA225" s="42"/>
      <c r="AB225" s="42"/>
      <c r="AC225" s="42"/>
      <c r="AD225" s="42"/>
      <c r="AE225" s="42"/>
    </row>
    <row r="226" spans="1:31" x14ac:dyDescent="0.2">
      <c r="A226" s="46">
        <v>561</v>
      </c>
      <c r="B226" s="46"/>
      <c r="C226" s="46"/>
      <c r="D226" s="46" t="s">
        <v>113</v>
      </c>
      <c r="E226" s="46" t="s">
        <v>192</v>
      </c>
      <c r="F226" s="46" t="s">
        <v>115</v>
      </c>
      <c r="G226" s="47" t="s">
        <v>923</v>
      </c>
      <c r="H226" s="46" t="s">
        <v>1291</v>
      </c>
      <c r="I226" s="46"/>
      <c r="J226" s="46" t="s">
        <v>1292</v>
      </c>
      <c r="K226" s="48" t="s">
        <v>922</v>
      </c>
      <c r="L226" s="46"/>
      <c r="M226" s="46"/>
      <c r="N226" s="45" t="s">
        <v>1293</v>
      </c>
      <c r="O226" s="46" t="s">
        <v>1953</v>
      </c>
      <c r="P226" s="42"/>
      <c r="Q226" s="42"/>
      <c r="R226" s="42"/>
      <c r="S226" s="42"/>
      <c r="T226" s="42"/>
      <c r="U226" s="42"/>
      <c r="V226" s="42"/>
      <c r="W226" s="42"/>
      <c r="X226" s="42"/>
      <c r="Y226" s="42"/>
      <c r="Z226" s="42"/>
      <c r="AA226" s="42"/>
      <c r="AB226" s="42"/>
      <c r="AC226" s="42"/>
      <c r="AD226" s="42"/>
      <c r="AE226" s="42"/>
    </row>
    <row r="227" spans="1:31" x14ac:dyDescent="0.2">
      <c r="A227" s="46">
        <v>562</v>
      </c>
      <c r="B227" s="46"/>
      <c r="C227" s="46"/>
      <c r="D227" s="46" t="s">
        <v>113</v>
      </c>
      <c r="E227" s="46" t="s">
        <v>192</v>
      </c>
      <c r="F227" s="46" t="s">
        <v>115</v>
      </c>
      <c r="G227" s="47" t="s">
        <v>925</v>
      </c>
      <c r="H227" s="46" t="s">
        <v>1291</v>
      </c>
      <c r="I227" s="46"/>
      <c r="J227" s="46" t="s">
        <v>1292</v>
      </c>
      <c r="K227" s="48" t="s">
        <v>924</v>
      </c>
      <c r="L227" s="46"/>
      <c r="M227" s="46"/>
      <c r="N227" s="45" t="s">
        <v>1293</v>
      </c>
      <c r="O227" s="46" t="s">
        <v>1953</v>
      </c>
      <c r="P227" s="42"/>
      <c r="Q227" s="42"/>
      <c r="R227" s="42"/>
      <c r="S227" s="42"/>
      <c r="T227" s="42"/>
      <c r="U227" s="42"/>
      <c r="V227" s="42"/>
      <c r="W227" s="42"/>
      <c r="X227" s="42"/>
      <c r="Y227" s="42"/>
      <c r="Z227" s="42"/>
      <c r="AA227" s="42"/>
      <c r="AB227" s="42"/>
      <c r="AC227" s="42"/>
      <c r="AD227" s="42"/>
      <c r="AE227" s="42"/>
    </row>
    <row r="228" spans="1:31" x14ac:dyDescent="0.2">
      <c r="A228" s="46">
        <v>563</v>
      </c>
      <c r="B228" s="46"/>
      <c r="C228" s="46"/>
      <c r="D228" s="46" t="s">
        <v>113</v>
      </c>
      <c r="E228" s="46" t="s">
        <v>192</v>
      </c>
      <c r="F228" s="46" t="s">
        <v>115</v>
      </c>
      <c r="G228" s="47" t="s">
        <v>927</v>
      </c>
      <c r="H228" s="46" t="s">
        <v>1291</v>
      </c>
      <c r="I228" s="46"/>
      <c r="J228" s="46" t="s">
        <v>1292</v>
      </c>
      <c r="K228" s="48" t="s">
        <v>926</v>
      </c>
      <c r="L228" s="46"/>
      <c r="M228" s="46"/>
      <c r="N228" s="45" t="s">
        <v>1293</v>
      </c>
      <c r="O228" s="46" t="s">
        <v>1953</v>
      </c>
      <c r="P228" s="42"/>
      <c r="Q228" s="42"/>
      <c r="R228" s="42"/>
      <c r="S228" s="42"/>
      <c r="T228" s="42"/>
      <c r="U228" s="42"/>
      <c r="V228" s="42"/>
      <c r="W228" s="42"/>
      <c r="X228" s="42"/>
      <c r="Y228" s="42"/>
      <c r="Z228" s="42"/>
      <c r="AA228" s="42"/>
      <c r="AB228" s="42"/>
      <c r="AC228" s="42"/>
      <c r="AD228" s="42"/>
      <c r="AE228" s="42"/>
    </row>
    <row r="229" spans="1:31" x14ac:dyDescent="0.2">
      <c r="A229" s="46">
        <v>564</v>
      </c>
      <c r="B229" s="46"/>
      <c r="C229" s="46"/>
      <c r="D229" s="46" t="s">
        <v>113</v>
      </c>
      <c r="E229" s="46" t="s">
        <v>192</v>
      </c>
      <c r="F229" s="46" t="s">
        <v>115</v>
      </c>
      <c r="G229" s="47" t="s">
        <v>929</v>
      </c>
      <c r="H229" s="46" t="s">
        <v>1291</v>
      </c>
      <c r="I229" s="46"/>
      <c r="J229" s="46" t="s">
        <v>1292</v>
      </c>
      <c r="K229" s="48" t="s">
        <v>928</v>
      </c>
      <c r="L229" s="46"/>
      <c r="M229" s="46"/>
      <c r="N229" s="45" t="s">
        <v>1293</v>
      </c>
      <c r="O229" s="46" t="s">
        <v>1953</v>
      </c>
      <c r="P229" s="42"/>
      <c r="Q229" s="42"/>
      <c r="R229" s="42"/>
      <c r="S229" s="42"/>
      <c r="T229" s="42"/>
      <c r="U229" s="42"/>
      <c r="V229" s="42"/>
      <c r="W229" s="42"/>
      <c r="X229" s="42"/>
      <c r="Y229" s="42"/>
      <c r="Z229" s="42"/>
      <c r="AA229" s="42"/>
      <c r="AB229" s="42"/>
      <c r="AC229" s="42"/>
      <c r="AD229" s="42"/>
      <c r="AE229" s="42"/>
    </row>
    <row r="230" spans="1:31" x14ac:dyDescent="0.2">
      <c r="A230" s="46">
        <v>565</v>
      </c>
      <c r="B230" s="46"/>
      <c r="C230" s="46"/>
      <c r="D230" s="46" t="s">
        <v>113</v>
      </c>
      <c r="E230" s="46" t="s">
        <v>192</v>
      </c>
      <c r="F230" s="46" t="s">
        <v>115</v>
      </c>
      <c r="G230" s="47" t="s">
        <v>931</v>
      </c>
      <c r="H230" s="46" t="s">
        <v>1291</v>
      </c>
      <c r="I230" s="46"/>
      <c r="J230" s="46" t="s">
        <v>1292</v>
      </c>
      <c r="K230" s="48" t="s">
        <v>930</v>
      </c>
      <c r="L230" s="46"/>
      <c r="M230" s="46"/>
      <c r="N230" s="45" t="s">
        <v>1293</v>
      </c>
      <c r="O230" s="46" t="s">
        <v>1953</v>
      </c>
      <c r="P230" s="42"/>
      <c r="Q230" s="42"/>
      <c r="R230" s="42"/>
      <c r="S230" s="42"/>
      <c r="T230" s="42"/>
      <c r="U230" s="42"/>
      <c r="V230" s="42"/>
      <c r="W230" s="42"/>
      <c r="X230" s="42"/>
      <c r="Y230" s="42"/>
      <c r="Z230" s="42"/>
      <c r="AA230" s="42"/>
      <c r="AB230" s="42"/>
      <c r="AC230" s="42"/>
      <c r="AD230" s="42"/>
      <c r="AE230" s="42"/>
    </row>
    <row r="231" spans="1:31" x14ac:dyDescent="0.2">
      <c r="A231" s="46">
        <v>566</v>
      </c>
      <c r="B231" s="46"/>
      <c r="C231" s="46"/>
      <c r="D231" s="46" t="s">
        <v>113</v>
      </c>
      <c r="E231" s="46" t="s">
        <v>192</v>
      </c>
      <c r="F231" s="46" t="s">
        <v>115</v>
      </c>
      <c r="G231" s="47" t="s">
        <v>932</v>
      </c>
      <c r="H231" s="46" t="s">
        <v>1291</v>
      </c>
      <c r="I231" s="46"/>
      <c r="J231" s="46" t="s">
        <v>1292</v>
      </c>
      <c r="K231" s="46" t="s">
        <v>1584</v>
      </c>
      <c r="L231" s="46"/>
      <c r="M231" s="46"/>
      <c r="N231" s="45" t="s">
        <v>1293</v>
      </c>
      <c r="O231" s="46" t="s">
        <v>1953</v>
      </c>
      <c r="P231" s="42"/>
      <c r="Q231" s="42"/>
      <c r="R231" s="42"/>
      <c r="S231" s="42"/>
      <c r="T231" s="42"/>
      <c r="U231" s="42"/>
      <c r="V231" s="42"/>
      <c r="W231" s="42"/>
      <c r="X231" s="42"/>
      <c r="Y231" s="42"/>
      <c r="Z231" s="42"/>
      <c r="AA231" s="42"/>
      <c r="AB231" s="42"/>
      <c r="AC231" s="42"/>
      <c r="AD231" s="42"/>
      <c r="AE231" s="42"/>
    </row>
    <row r="232" spans="1:31" x14ac:dyDescent="0.2">
      <c r="A232" s="46">
        <v>567</v>
      </c>
      <c r="B232" s="46"/>
      <c r="C232" s="46"/>
      <c r="D232" s="46" t="s">
        <v>113</v>
      </c>
      <c r="E232" s="46" t="s">
        <v>192</v>
      </c>
      <c r="F232" s="46" t="s">
        <v>115</v>
      </c>
      <c r="G232" s="47" t="s">
        <v>934</v>
      </c>
      <c r="H232" s="46" t="s">
        <v>1291</v>
      </c>
      <c r="I232" s="46"/>
      <c r="J232" s="46" t="s">
        <v>1292</v>
      </c>
      <c r="K232" s="48" t="s">
        <v>933</v>
      </c>
      <c r="L232" s="46"/>
      <c r="M232" s="46"/>
      <c r="N232" s="45" t="s">
        <v>1293</v>
      </c>
      <c r="O232" s="46" t="s">
        <v>1953</v>
      </c>
      <c r="P232" s="42"/>
      <c r="Q232" s="42"/>
      <c r="R232" s="42"/>
      <c r="S232" s="42"/>
      <c r="T232" s="42"/>
      <c r="U232" s="42"/>
      <c r="V232" s="42"/>
      <c r="W232" s="42"/>
      <c r="X232" s="42"/>
      <c r="Y232" s="42"/>
      <c r="Z232" s="42"/>
      <c r="AA232" s="42"/>
      <c r="AB232" s="42"/>
      <c r="AC232" s="42"/>
      <c r="AD232" s="42"/>
      <c r="AE232" s="42"/>
    </row>
    <row r="233" spans="1:31" x14ac:dyDescent="0.2">
      <c r="A233" s="46">
        <v>568</v>
      </c>
      <c r="B233" s="46"/>
      <c r="C233" s="46"/>
      <c r="D233" s="46" t="s">
        <v>113</v>
      </c>
      <c r="E233" s="46" t="s">
        <v>192</v>
      </c>
      <c r="F233" s="46" t="s">
        <v>115</v>
      </c>
      <c r="G233" s="47" t="s">
        <v>936</v>
      </c>
      <c r="H233" s="46" t="s">
        <v>1291</v>
      </c>
      <c r="I233" s="46"/>
      <c r="J233" s="46" t="s">
        <v>1292</v>
      </c>
      <c r="K233" s="48" t="s">
        <v>935</v>
      </c>
      <c r="L233" s="46"/>
      <c r="M233" s="46"/>
      <c r="N233" s="45" t="s">
        <v>1293</v>
      </c>
      <c r="O233" s="46" t="s">
        <v>1953</v>
      </c>
      <c r="P233" s="42"/>
      <c r="Q233" s="42"/>
      <c r="R233" s="42"/>
      <c r="S233" s="42"/>
      <c r="T233" s="42"/>
      <c r="U233" s="42"/>
      <c r="V233" s="42"/>
      <c r="W233" s="42"/>
      <c r="X233" s="42"/>
      <c r="Y233" s="42"/>
      <c r="Z233" s="42"/>
      <c r="AA233" s="42"/>
      <c r="AB233" s="42"/>
      <c r="AC233" s="42"/>
      <c r="AD233" s="42"/>
      <c r="AE233" s="42"/>
    </row>
    <row r="234" spans="1:31" x14ac:dyDescent="0.2">
      <c r="A234" s="46">
        <v>569</v>
      </c>
      <c r="B234" s="46"/>
      <c r="C234" s="46"/>
      <c r="D234" s="46" t="s">
        <v>113</v>
      </c>
      <c r="E234" s="46" t="s">
        <v>192</v>
      </c>
      <c r="F234" s="46" t="s">
        <v>115</v>
      </c>
      <c r="G234" s="47" t="s">
        <v>938</v>
      </c>
      <c r="H234" s="46" t="s">
        <v>1291</v>
      </c>
      <c r="I234" s="46"/>
      <c r="J234" s="46" t="s">
        <v>1292</v>
      </c>
      <c r="K234" s="48" t="s">
        <v>937</v>
      </c>
      <c r="L234" s="46"/>
      <c r="M234" s="46"/>
      <c r="N234" s="45" t="s">
        <v>1293</v>
      </c>
      <c r="O234" s="46" t="s">
        <v>1953</v>
      </c>
      <c r="P234" s="42"/>
      <c r="Q234" s="42"/>
      <c r="R234" s="42"/>
      <c r="S234" s="42"/>
      <c r="T234" s="42"/>
      <c r="U234" s="42"/>
      <c r="V234" s="42"/>
      <c r="W234" s="42"/>
      <c r="X234" s="42"/>
      <c r="Y234" s="42"/>
      <c r="Z234" s="42"/>
      <c r="AA234" s="42"/>
      <c r="AB234" s="42"/>
      <c r="AC234" s="42"/>
      <c r="AD234" s="42"/>
      <c r="AE234" s="42"/>
    </row>
    <row r="235" spans="1:31" x14ac:dyDescent="0.2">
      <c r="A235" s="46">
        <v>570</v>
      </c>
      <c r="B235" s="46"/>
      <c r="C235" s="46"/>
      <c r="D235" s="46" t="s">
        <v>113</v>
      </c>
      <c r="E235" s="46" t="s">
        <v>192</v>
      </c>
      <c r="F235" s="46" t="s">
        <v>115</v>
      </c>
      <c r="G235" s="47" t="s">
        <v>940</v>
      </c>
      <c r="H235" s="46" t="s">
        <v>1291</v>
      </c>
      <c r="I235" s="46"/>
      <c r="J235" s="46" t="s">
        <v>1292</v>
      </c>
      <c r="K235" s="48" t="s">
        <v>939</v>
      </c>
      <c r="L235" s="46"/>
      <c r="M235" s="46"/>
      <c r="N235" s="45" t="s">
        <v>1293</v>
      </c>
      <c r="O235" s="46" t="s">
        <v>1953</v>
      </c>
      <c r="P235" s="42"/>
      <c r="Q235" s="42"/>
      <c r="R235" s="42"/>
      <c r="S235" s="42"/>
      <c r="T235" s="42"/>
      <c r="U235" s="42"/>
      <c r="V235" s="42"/>
      <c r="W235" s="42"/>
      <c r="X235" s="42"/>
      <c r="Y235" s="42"/>
      <c r="Z235" s="42"/>
      <c r="AA235" s="42"/>
      <c r="AB235" s="42"/>
      <c r="AC235" s="42"/>
      <c r="AD235" s="42"/>
      <c r="AE235" s="42"/>
    </row>
    <row r="236" spans="1:31" x14ac:dyDescent="0.2">
      <c r="A236" s="46">
        <v>571</v>
      </c>
      <c r="B236" s="46"/>
      <c r="C236" s="46"/>
      <c r="D236" s="46" t="s">
        <v>113</v>
      </c>
      <c r="E236" s="46" t="s">
        <v>192</v>
      </c>
      <c r="F236" s="46" t="s">
        <v>115</v>
      </c>
      <c r="G236" s="47" t="s">
        <v>942</v>
      </c>
      <c r="H236" s="46" t="s">
        <v>1291</v>
      </c>
      <c r="I236" s="46"/>
      <c r="J236" s="46" t="s">
        <v>1292</v>
      </c>
      <c r="K236" s="48" t="s">
        <v>941</v>
      </c>
      <c r="L236" s="46"/>
      <c r="M236" s="46"/>
      <c r="N236" s="45" t="s">
        <v>1293</v>
      </c>
      <c r="O236" s="46" t="s">
        <v>1953</v>
      </c>
      <c r="P236" s="42"/>
      <c r="Q236" s="42"/>
      <c r="R236" s="42"/>
      <c r="S236" s="42"/>
      <c r="T236" s="42"/>
      <c r="U236" s="42"/>
      <c r="V236" s="42"/>
      <c r="W236" s="42"/>
      <c r="X236" s="42"/>
      <c r="Y236" s="42"/>
      <c r="Z236" s="42"/>
      <c r="AA236" s="42"/>
      <c r="AB236" s="42"/>
      <c r="AC236" s="42"/>
      <c r="AD236" s="42"/>
      <c r="AE236" s="42"/>
    </row>
    <row r="237" spans="1:31" x14ac:dyDescent="0.2">
      <c r="A237" s="46">
        <v>572</v>
      </c>
      <c r="B237" s="46"/>
      <c r="C237" s="46"/>
      <c r="D237" s="46" t="s">
        <v>113</v>
      </c>
      <c r="E237" s="46" t="s">
        <v>192</v>
      </c>
      <c r="F237" s="46" t="s">
        <v>115</v>
      </c>
      <c r="G237" s="47" t="s">
        <v>943</v>
      </c>
      <c r="H237" s="46" t="s">
        <v>1291</v>
      </c>
      <c r="I237" s="46"/>
      <c r="J237" s="46" t="s">
        <v>1292</v>
      </c>
      <c r="K237" s="46" t="s">
        <v>639</v>
      </c>
      <c r="L237" s="46"/>
      <c r="M237" s="46"/>
      <c r="N237" s="45" t="s">
        <v>1293</v>
      </c>
      <c r="O237" s="46" t="s">
        <v>1953</v>
      </c>
      <c r="P237" s="42"/>
      <c r="Q237" s="42"/>
      <c r="R237" s="42"/>
      <c r="S237" s="42"/>
      <c r="T237" s="42"/>
      <c r="U237" s="42"/>
      <c r="V237" s="42"/>
      <c r="W237" s="42"/>
      <c r="X237" s="42"/>
      <c r="Y237" s="42"/>
      <c r="Z237" s="42"/>
      <c r="AA237" s="42"/>
      <c r="AB237" s="42"/>
      <c r="AC237" s="42"/>
      <c r="AD237" s="42"/>
      <c r="AE237" s="42"/>
    </row>
    <row r="238" spans="1:31" x14ac:dyDescent="0.2">
      <c r="A238" s="46">
        <v>573</v>
      </c>
      <c r="B238" s="46"/>
      <c r="C238" s="46"/>
      <c r="D238" s="46" t="s">
        <v>113</v>
      </c>
      <c r="E238" s="46" t="s">
        <v>192</v>
      </c>
      <c r="F238" s="46" t="s">
        <v>115</v>
      </c>
      <c r="G238" s="47" t="s">
        <v>945</v>
      </c>
      <c r="H238" s="46" t="s">
        <v>1291</v>
      </c>
      <c r="I238" s="46"/>
      <c r="J238" s="46" t="s">
        <v>1292</v>
      </c>
      <c r="K238" s="48" t="s">
        <v>944</v>
      </c>
      <c r="L238" s="46"/>
      <c r="M238" s="46"/>
      <c r="N238" s="45" t="s">
        <v>1293</v>
      </c>
      <c r="O238" s="46" t="s">
        <v>1953</v>
      </c>
      <c r="P238" s="42"/>
      <c r="Q238" s="42"/>
      <c r="R238" s="42"/>
      <c r="S238" s="42"/>
      <c r="T238" s="42"/>
      <c r="U238" s="42"/>
      <c r="V238" s="42"/>
      <c r="W238" s="42"/>
      <c r="X238" s="42"/>
      <c r="Y238" s="42"/>
      <c r="Z238" s="42"/>
      <c r="AA238" s="42"/>
      <c r="AB238" s="42"/>
      <c r="AC238" s="42"/>
      <c r="AD238" s="42"/>
      <c r="AE238" s="42"/>
    </row>
    <row r="239" spans="1:31" x14ac:dyDescent="0.2">
      <c r="A239" s="46">
        <v>574</v>
      </c>
      <c r="B239" s="46"/>
      <c r="C239" s="46"/>
      <c r="D239" s="46" t="s">
        <v>113</v>
      </c>
      <c r="E239" s="46" t="s">
        <v>192</v>
      </c>
      <c r="F239" s="46" t="s">
        <v>115</v>
      </c>
      <c r="G239" s="47" t="s">
        <v>947</v>
      </c>
      <c r="H239" s="46" t="s">
        <v>1291</v>
      </c>
      <c r="I239" s="46"/>
      <c r="J239" s="46" t="s">
        <v>1292</v>
      </c>
      <c r="K239" s="48" t="s">
        <v>946</v>
      </c>
      <c r="L239" s="46"/>
      <c r="M239" s="46"/>
      <c r="N239" s="45" t="s">
        <v>1293</v>
      </c>
      <c r="O239" s="46" t="s">
        <v>1953</v>
      </c>
      <c r="P239" s="42"/>
      <c r="Q239" s="42"/>
      <c r="R239" s="42"/>
      <c r="S239" s="42"/>
      <c r="T239" s="42"/>
      <c r="U239" s="42"/>
      <c r="V239" s="42"/>
      <c r="W239" s="42"/>
      <c r="X239" s="42"/>
      <c r="Y239" s="42"/>
      <c r="Z239" s="42"/>
      <c r="AA239" s="42"/>
      <c r="AB239" s="42"/>
      <c r="AC239" s="42"/>
      <c r="AD239" s="42"/>
      <c r="AE239" s="42"/>
    </row>
    <row r="240" spans="1:31" x14ac:dyDescent="0.2">
      <c r="A240" s="46">
        <v>575</v>
      </c>
      <c r="B240" s="46"/>
      <c r="C240" s="46"/>
      <c r="D240" s="46" t="s">
        <v>113</v>
      </c>
      <c r="E240" s="46" t="s">
        <v>192</v>
      </c>
      <c r="F240" s="46" t="s">
        <v>115</v>
      </c>
      <c r="G240" s="47" t="s">
        <v>949</v>
      </c>
      <c r="H240" s="46" t="s">
        <v>1291</v>
      </c>
      <c r="I240" s="46"/>
      <c r="J240" s="46" t="s">
        <v>1292</v>
      </c>
      <c r="K240" s="48" t="s">
        <v>948</v>
      </c>
      <c r="L240" s="46"/>
      <c r="M240" s="46"/>
      <c r="N240" s="45" t="s">
        <v>1293</v>
      </c>
      <c r="O240" s="46" t="s">
        <v>1953</v>
      </c>
      <c r="P240" s="42"/>
      <c r="Q240" s="42"/>
      <c r="R240" s="42"/>
      <c r="S240" s="42"/>
      <c r="T240" s="42"/>
      <c r="U240" s="42"/>
      <c r="V240" s="42"/>
      <c r="W240" s="42"/>
      <c r="X240" s="42"/>
      <c r="Y240" s="42"/>
      <c r="Z240" s="42"/>
      <c r="AA240" s="42"/>
      <c r="AB240" s="42"/>
      <c r="AC240" s="42"/>
      <c r="AD240" s="42"/>
      <c r="AE240" s="42"/>
    </row>
    <row r="241" spans="1:31" x14ac:dyDescent="0.2">
      <c r="A241" s="46">
        <v>576</v>
      </c>
      <c r="B241" s="46"/>
      <c r="C241" s="46"/>
      <c r="D241" s="46" t="s">
        <v>113</v>
      </c>
      <c r="E241" s="46" t="s">
        <v>192</v>
      </c>
      <c r="F241" s="46" t="s">
        <v>115</v>
      </c>
      <c r="G241" s="47" t="s">
        <v>951</v>
      </c>
      <c r="H241" s="46" t="s">
        <v>1291</v>
      </c>
      <c r="I241" s="46"/>
      <c r="J241" s="46" t="s">
        <v>1292</v>
      </c>
      <c r="K241" s="48" t="s">
        <v>950</v>
      </c>
      <c r="L241" s="46"/>
      <c r="M241" s="46"/>
      <c r="N241" s="45" t="s">
        <v>1293</v>
      </c>
      <c r="O241" s="46" t="s">
        <v>1953</v>
      </c>
      <c r="P241" s="42"/>
      <c r="Q241" s="42"/>
      <c r="R241" s="42"/>
      <c r="S241" s="42"/>
      <c r="T241" s="42"/>
      <c r="U241" s="42"/>
      <c r="V241" s="42"/>
      <c r="W241" s="42"/>
      <c r="X241" s="42"/>
      <c r="Y241" s="42"/>
      <c r="Z241" s="42"/>
      <c r="AA241" s="42"/>
      <c r="AB241" s="42"/>
      <c r="AC241" s="42"/>
      <c r="AD241" s="42"/>
      <c r="AE241" s="42"/>
    </row>
    <row r="242" spans="1:31" x14ac:dyDescent="0.2">
      <c r="A242" s="46">
        <v>577</v>
      </c>
      <c r="B242" s="46"/>
      <c r="C242" s="46"/>
      <c r="D242" s="46" t="s">
        <v>113</v>
      </c>
      <c r="E242" s="46" t="s">
        <v>192</v>
      </c>
      <c r="F242" s="46" t="s">
        <v>115</v>
      </c>
      <c r="G242" s="47" t="s">
        <v>953</v>
      </c>
      <c r="H242" s="46" t="s">
        <v>1291</v>
      </c>
      <c r="I242" s="46"/>
      <c r="J242" s="46" t="s">
        <v>1292</v>
      </c>
      <c r="K242" s="48" t="s">
        <v>952</v>
      </c>
      <c r="L242" s="46"/>
      <c r="M242" s="46"/>
      <c r="N242" s="45" t="s">
        <v>1293</v>
      </c>
      <c r="O242" s="46" t="s">
        <v>1953</v>
      </c>
      <c r="P242" s="42"/>
      <c r="Q242" s="42"/>
      <c r="R242" s="42"/>
      <c r="S242" s="42"/>
      <c r="T242" s="42"/>
      <c r="U242" s="42"/>
      <c r="V242" s="42"/>
      <c r="W242" s="42"/>
      <c r="X242" s="42"/>
      <c r="Y242" s="42"/>
      <c r="Z242" s="42"/>
      <c r="AA242" s="42"/>
      <c r="AB242" s="42"/>
      <c r="AC242" s="42"/>
      <c r="AD242" s="42"/>
      <c r="AE242" s="42"/>
    </row>
    <row r="243" spans="1:31" x14ac:dyDescent="0.2">
      <c r="A243" s="46">
        <v>578</v>
      </c>
      <c r="B243" s="46"/>
      <c r="C243" s="46"/>
      <c r="D243" s="46" t="s">
        <v>113</v>
      </c>
      <c r="E243" s="46" t="s">
        <v>192</v>
      </c>
      <c r="F243" s="46" t="s">
        <v>115</v>
      </c>
      <c r="G243" s="47" t="s">
        <v>955</v>
      </c>
      <c r="H243" s="46" t="s">
        <v>1291</v>
      </c>
      <c r="I243" s="46"/>
      <c r="J243" s="46" t="s">
        <v>1292</v>
      </c>
      <c r="K243" s="48" t="s">
        <v>954</v>
      </c>
      <c r="L243" s="46"/>
      <c r="M243" s="46"/>
      <c r="N243" s="45" t="s">
        <v>1293</v>
      </c>
      <c r="O243" s="46" t="s">
        <v>1953</v>
      </c>
      <c r="P243" s="42"/>
      <c r="Q243" s="42"/>
      <c r="R243" s="42"/>
      <c r="S243" s="42"/>
      <c r="T243" s="42"/>
      <c r="U243" s="42"/>
      <c r="V243" s="42"/>
      <c r="W243" s="42"/>
      <c r="X243" s="42"/>
      <c r="Y243" s="42"/>
      <c r="Z243" s="42"/>
      <c r="AA243" s="42"/>
      <c r="AB243" s="42"/>
      <c r="AC243" s="42"/>
      <c r="AD243" s="42"/>
      <c r="AE243" s="42"/>
    </row>
    <row r="244" spans="1:31" x14ac:dyDescent="0.2">
      <c r="A244" s="46">
        <v>579</v>
      </c>
      <c r="B244" s="46"/>
      <c r="C244" s="46"/>
      <c r="D244" s="46" t="s">
        <v>113</v>
      </c>
      <c r="E244" s="46" t="s">
        <v>192</v>
      </c>
      <c r="F244" s="46" t="s">
        <v>115</v>
      </c>
      <c r="G244" s="47" t="s">
        <v>957</v>
      </c>
      <c r="H244" s="46" t="s">
        <v>1291</v>
      </c>
      <c r="I244" s="46"/>
      <c r="J244" s="46" t="s">
        <v>1292</v>
      </c>
      <c r="K244" s="48" t="s">
        <v>956</v>
      </c>
      <c r="L244" s="46"/>
      <c r="M244" s="46"/>
      <c r="N244" s="45" t="s">
        <v>1293</v>
      </c>
      <c r="O244" s="46" t="s">
        <v>1953</v>
      </c>
      <c r="P244" s="42"/>
      <c r="Q244" s="42"/>
      <c r="R244" s="42"/>
      <c r="S244" s="42"/>
      <c r="T244" s="42"/>
      <c r="U244" s="42"/>
      <c r="V244" s="42"/>
      <c r="W244" s="42"/>
      <c r="X244" s="42"/>
      <c r="Y244" s="42"/>
      <c r="Z244" s="42"/>
      <c r="AA244" s="42"/>
      <c r="AB244" s="42"/>
      <c r="AC244" s="42"/>
      <c r="AD244" s="42"/>
      <c r="AE244" s="42"/>
    </row>
    <row r="245" spans="1:31" x14ac:dyDescent="0.2">
      <c r="A245" s="46">
        <v>580</v>
      </c>
      <c r="B245" s="46"/>
      <c r="C245" s="46"/>
      <c r="D245" s="46" t="s">
        <v>113</v>
      </c>
      <c r="E245" s="46" t="s">
        <v>192</v>
      </c>
      <c r="F245" s="46" t="s">
        <v>115</v>
      </c>
      <c r="G245" s="47" t="s">
        <v>959</v>
      </c>
      <c r="H245" s="46" t="s">
        <v>1291</v>
      </c>
      <c r="I245" s="46"/>
      <c r="J245" s="46" t="s">
        <v>1292</v>
      </c>
      <c r="K245" s="48" t="s">
        <v>958</v>
      </c>
      <c r="L245" s="46"/>
      <c r="M245" s="46"/>
      <c r="N245" s="45" t="s">
        <v>1293</v>
      </c>
      <c r="O245" s="46" t="s">
        <v>1953</v>
      </c>
      <c r="P245" s="42"/>
      <c r="Q245" s="42"/>
      <c r="R245" s="42"/>
      <c r="S245" s="42"/>
      <c r="T245" s="42"/>
      <c r="U245" s="42"/>
      <c r="V245" s="42"/>
      <c r="W245" s="42"/>
      <c r="X245" s="42"/>
      <c r="Y245" s="42"/>
      <c r="Z245" s="42"/>
      <c r="AA245" s="42"/>
      <c r="AB245" s="42"/>
      <c r="AC245" s="42"/>
      <c r="AD245" s="42"/>
      <c r="AE245" s="42"/>
    </row>
    <row r="246" spans="1:31" x14ac:dyDescent="0.2">
      <c r="A246" s="46">
        <v>581</v>
      </c>
      <c r="B246" s="46"/>
      <c r="C246" s="46"/>
      <c r="D246" s="46" t="s">
        <v>113</v>
      </c>
      <c r="E246" s="46" t="s">
        <v>192</v>
      </c>
      <c r="F246" s="46" t="s">
        <v>115</v>
      </c>
      <c r="G246" s="47" t="s">
        <v>961</v>
      </c>
      <c r="H246" s="46" t="s">
        <v>1291</v>
      </c>
      <c r="I246" s="46"/>
      <c r="J246" s="46" t="s">
        <v>1292</v>
      </c>
      <c r="K246" s="48" t="s">
        <v>960</v>
      </c>
      <c r="L246" s="46"/>
      <c r="M246" s="46"/>
      <c r="N246" s="45" t="s">
        <v>1293</v>
      </c>
      <c r="O246" s="46" t="s">
        <v>1953</v>
      </c>
      <c r="P246" s="42"/>
      <c r="Q246" s="42"/>
      <c r="R246" s="42"/>
      <c r="S246" s="42"/>
      <c r="T246" s="42"/>
      <c r="U246" s="42"/>
      <c r="V246" s="42"/>
      <c r="W246" s="42"/>
      <c r="X246" s="42"/>
      <c r="Y246" s="42"/>
      <c r="Z246" s="42"/>
      <c r="AA246" s="42"/>
      <c r="AB246" s="42"/>
      <c r="AC246" s="42"/>
      <c r="AD246" s="42"/>
      <c r="AE246" s="42"/>
    </row>
    <row r="247" spans="1:31" x14ac:dyDescent="0.2">
      <c r="A247" s="46">
        <v>582</v>
      </c>
      <c r="B247" s="46"/>
      <c r="C247" s="46"/>
      <c r="D247" s="46" t="s">
        <v>113</v>
      </c>
      <c r="E247" s="46" t="s">
        <v>192</v>
      </c>
      <c r="F247" s="46" t="s">
        <v>115</v>
      </c>
      <c r="G247" s="47" t="s">
        <v>963</v>
      </c>
      <c r="H247" s="46" t="s">
        <v>1291</v>
      </c>
      <c r="I247" s="46"/>
      <c r="J247" s="46" t="s">
        <v>1292</v>
      </c>
      <c r="K247" s="48" t="s">
        <v>962</v>
      </c>
      <c r="L247" s="46"/>
      <c r="M247" s="46"/>
      <c r="N247" s="45" t="s">
        <v>1293</v>
      </c>
      <c r="O247" s="46" t="s">
        <v>1953</v>
      </c>
      <c r="P247" s="42"/>
      <c r="Q247" s="42"/>
      <c r="R247" s="42"/>
      <c r="S247" s="42"/>
      <c r="T247" s="42"/>
      <c r="U247" s="42"/>
      <c r="V247" s="42"/>
      <c r="W247" s="42"/>
      <c r="X247" s="42"/>
      <c r="Y247" s="42"/>
      <c r="Z247" s="42"/>
      <c r="AA247" s="42"/>
      <c r="AB247" s="42"/>
      <c r="AC247" s="42"/>
      <c r="AD247" s="42"/>
      <c r="AE247" s="42"/>
    </row>
    <row r="248" spans="1:31" x14ac:dyDescent="0.2">
      <c r="A248" s="46">
        <v>583</v>
      </c>
      <c r="B248" s="46"/>
      <c r="C248" s="46"/>
      <c r="D248" s="46" t="s">
        <v>113</v>
      </c>
      <c r="E248" s="46" t="s">
        <v>192</v>
      </c>
      <c r="F248" s="46" t="s">
        <v>115</v>
      </c>
      <c r="G248" s="47" t="s">
        <v>965</v>
      </c>
      <c r="H248" s="46" t="s">
        <v>1291</v>
      </c>
      <c r="I248" s="46"/>
      <c r="J248" s="46" t="s">
        <v>1292</v>
      </c>
      <c r="K248" s="48" t="s">
        <v>964</v>
      </c>
      <c r="L248" s="46"/>
      <c r="M248" s="46"/>
      <c r="N248" s="45" t="s">
        <v>1293</v>
      </c>
      <c r="O248" s="46" t="s">
        <v>1953</v>
      </c>
      <c r="P248" s="42"/>
      <c r="Q248" s="42"/>
      <c r="R248" s="42"/>
      <c r="S248" s="42"/>
      <c r="T248" s="42"/>
      <c r="U248" s="42"/>
      <c r="V248" s="42"/>
      <c r="W248" s="42"/>
      <c r="X248" s="42"/>
      <c r="Y248" s="42"/>
      <c r="Z248" s="42"/>
      <c r="AA248" s="42"/>
      <c r="AB248" s="42"/>
      <c r="AC248" s="42"/>
      <c r="AD248" s="42"/>
      <c r="AE248" s="42"/>
    </row>
    <row r="249" spans="1:31" x14ac:dyDescent="0.2">
      <c r="A249" s="46">
        <v>584</v>
      </c>
      <c r="B249" s="46"/>
      <c r="C249" s="46"/>
      <c r="D249" s="46" t="s">
        <v>113</v>
      </c>
      <c r="E249" s="46" t="s">
        <v>192</v>
      </c>
      <c r="F249" s="46" t="s">
        <v>115</v>
      </c>
      <c r="G249" s="47" t="s">
        <v>967</v>
      </c>
      <c r="H249" s="46" t="s">
        <v>1291</v>
      </c>
      <c r="I249" s="46"/>
      <c r="J249" s="46" t="s">
        <v>1292</v>
      </c>
      <c r="K249" s="48" t="s">
        <v>966</v>
      </c>
      <c r="L249" s="46"/>
      <c r="M249" s="46"/>
      <c r="N249" s="45" t="s">
        <v>1293</v>
      </c>
      <c r="O249" s="46" t="s">
        <v>1953</v>
      </c>
      <c r="P249" s="42"/>
      <c r="Q249" s="42"/>
      <c r="R249" s="42"/>
      <c r="S249" s="42"/>
      <c r="T249" s="42"/>
      <c r="U249" s="42"/>
      <c r="V249" s="42"/>
      <c r="W249" s="42"/>
      <c r="X249" s="42"/>
      <c r="Y249" s="42"/>
      <c r="Z249" s="42"/>
      <c r="AA249" s="42"/>
      <c r="AB249" s="42"/>
      <c r="AC249" s="42"/>
      <c r="AD249" s="42"/>
      <c r="AE249" s="42"/>
    </row>
    <row r="250" spans="1:31" x14ac:dyDescent="0.2">
      <c r="A250" s="46">
        <v>585</v>
      </c>
      <c r="B250" s="46"/>
      <c r="C250" s="46"/>
      <c r="D250" s="46" t="s">
        <v>113</v>
      </c>
      <c r="E250" s="46" t="s">
        <v>192</v>
      </c>
      <c r="F250" s="46" t="s">
        <v>115</v>
      </c>
      <c r="G250" s="47" t="s">
        <v>968</v>
      </c>
      <c r="H250" s="46" t="s">
        <v>1291</v>
      </c>
      <c r="I250" s="46"/>
      <c r="J250" s="46" t="s">
        <v>1423</v>
      </c>
      <c r="K250" s="46" t="s">
        <v>1578</v>
      </c>
      <c r="L250" s="46"/>
      <c r="M250" s="46" t="s">
        <v>1561</v>
      </c>
      <c r="N250" s="45" t="s">
        <v>1293</v>
      </c>
      <c r="O250" s="46" t="s">
        <v>1953</v>
      </c>
      <c r="P250" s="42"/>
      <c r="Q250" s="42"/>
      <c r="R250" s="42"/>
      <c r="S250" s="42"/>
      <c r="T250" s="42"/>
      <c r="U250" s="42"/>
      <c r="V250" s="42"/>
      <c r="W250" s="42"/>
      <c r="X250" s="42"/>
      <c r="Y250" s="42"/>
      <c r="Z250" s="42"/>
      <c r="AA250" s="42"/>
      <c r="AB250" s="42"/>
      <c r="AC250" s="42"/>
      <c r="AD250" s="42"/>
      <c r="AE250" s="42"/>
    </row>
    <row r="251" spans="1:31" x14ac:dyDescent="0.2">
      <c r="A251" s="46">
        <v>586</v>
      </c>
      <c r="B251" s="46"/>
      <c r="C251" s="46"/>
      <c r="D251" s="46" t="s">
        <v>113</v>
      </c>
      <c r="E251" s="46" t="s">
        <v>192</v>
      </c>
      <c r="F251" s="46" t="s">
        <v>115</v>
      </c>
      <c r="G251" s="47" t="s">
        <v>970</v>
      </c>
      <c r="H251" s="46" t="s">
        <v>1291</v>
      </c>
      <c r="I251" s="46"/>
      <c r="J251" s="46" t="s">
        <v>1292</v>
      </c>
      <c r="K251" s="48" t="s">
        <v>969</v>
      </c>
      <c r="L251" s="46"/>
      <c r="M251" s="46"/>
      <c r="N251" s="45" t="s">
        <v>1293</v>
      </c>
      <c r="O251" s="46" t="s">
        <v>1953</v>
      </c>
      <c r="P251" s="42"/>
      <c r="Q251" s="42"/>
      <c r="R251" s="42"/>
      <c r="S251" s="42"/>
      <c r="T251" s="42"/>
      <c r="U251" s="42"/>
      <c r="V251" s="42"/>
      <c r="W251" s="42"/>
      <c r="X251" s="42"/>
      <c r="Y251" s="42"/>
      <c r="Z251" s="42"/>
      <c r="AA251" s="42"/>
      <c r="AB251" s="42"/>
      <c r="AC251" s="42"/>
      <c r="AD251" s="42"/>
      <c r="AE251" s="42"/>
    </row>
    <row r="252" spans="1:31" x14ac:dyDescent="0.2">
      <c r="A252" s="46">
        <v>587</v>
      </c>
      <c r="B252" s="46"/>
      <c r="C252" s="46"/>
      <c r="D252" s="46" t="s">
        <v>113</v>
      </c>
      <c r="E252" s="46" t="s">
        <v>192</v>
      </c>
      <c r="F252" s="46" t="s">
        <v>115</v>
      </c>
      <c r="G252" s="47" t="s">
        <v>972</v>
      </c>
      <c r="H252" s="46" t="s">
        <v>1291</v>
      </c>
      <c r="I252" s="46"/>
      <c r="J252" s="46" t="s">
        <v>1292</v>
      </c>
      <c r="K252" s="48" t="s">
        <v>971</v>
      </c>
      <c r="L252" s="46"/>
      <c r="M252" s="46"/>
      <c r="N252" s="45" t="s">
        <v>1293</v>
      </c>
      <c r="O252" s="46" t="s">
        <v>1953</v>
      </c>
      <c r="P252" s="42"/>
      <c r="Q252" s="42"/>
      <c r="R252" s="42"/>
      <c r="S252" s="42"/>
      <c r="T252" s="42"/>
      <c r="U252" s="42"/>
      <c r="V252" s="42"/>
      <c r="W252" s="42"/>
      <c r="X252" s="42"/>
      <c r="Y252" s="42"/>
      <c r="Z252" s="42"/>
      <c r="AA252" s="42"/>
      <c r="AB252" s="42"/>
      <c r="AC252" s="42"/>
      <c r="AD252" s="42"/>
      <c r="AE252" s="42"/>
    </row>
    <row r="253" spans="1:31" x14ac:dyDescent="0.2">
      <c r="A253" s="46">
        <v>588</v>
      </c>
      <c r="B253" s="46"/>
      <c r="C253" s="46"/>
      <c r="D253" s="46" t="s">
        <v>113</v>
      </c>
      <c r="E253" s="46" t="s">
        <v>192</v>
      </c>
      <c r="F253" s="46" t="s">
        <v>115</v>
      </c>
      <c r="G253" s="47" t="s">
        <v>974</v>
      </c>
      <c r="H253" s="46" t="s">
        <v>1291</v>
      </c>
      <c r="I253" s="46"/>
      <c r="J253" s="46" t="s">
        <v>1292</v>
      </c>
      <c r="K253" s="48" t="s">
        <v>973</v>
      </c>
      <c r="L253" s="46"/>
      <c r="M253" s="46"/>
      <c r="N253" s="45" t="s">
        <v>1293</v>
      </c>
      <c r="O253" s="46" t="s">
        <v>1953</v>
      </c>
      <c r="P253" s="42"/>
      <c r="Q253" s="42"/>
      <c r="R253" s="42"/>
      <c r="S253" s="42"/>
      <c r="T253" s="42"/>
      <c r="U253" s="42"/>
      <c r="V253" s="42"/>
      <c r="W253" s="42"/>
      <c r="X253" s="42"/>
      <c r="Y253" s="42"/>
      <c r="Z253" s="42"/>
      <c r="AA253" s="42"/>
      <c r="AB253" s="42"/>
      <c r="AC253" s="42"/>
      <c r="AD253" s="42"/>
      <c r="AE253" s="42"/>
    </row>
    <row r="254" spans="1:31" x14ac:dyDescent="0.2">
      <c r="A254" s="46">
        <v>589</v>
      </c>
      <c r="B254" s="46"/>
      <c r="C254" s="46"/>
      <c r="D254" s="46" t="s">
        <v>113</v>
      </c>
      <c r="E254" s="46" t="s">
        <v>192</v>
      </c>
      <c r="F254" s="46" t="s">
        <v>115</v>
      </c>
      <c r="G254" s="47" t="s">
        <v>976</v>
      </c>
      <c r="H254" s="46" t="s">
        <v>1291</v>
      </c>
      <c r="I254" s="46"/>
      <c r="J254" s="46" t="s">
        <v>1292</v>
      </c>
      <c r="K254" s="48" t="s">
        <v>975</v>
      </c>
      <c r="L254" s="46"/>
      <c r="M254" s="46"/>
      <c r="N254" s="45" t="s">
        <v>1293</v>
      </c>
      <c r="O254" s="46" t="s">
        <v>1953</v>
      </c>
      <c r="P254" s="42"/>
      <c r="Q254" s="42"/>
      <c r="R254" s="42"/>
      <c r="S254" s="42"/>
      <c r="T254" s="42"/>
      <c r="U254" s="42"/>
      <c r="V254" s="42"/>
      <c r="W254" s="42"/>
      <c r="X254" s="42"/>
      <c r="Y254" s="42"/>
      <c r="Z254" s="42"/>
      <c r="AA254" s="42"/>
      <c r="AB254" s="42"/>
      <c r="AC254" s="42"/>
      <c r="AD254" s="42"/>
      <c r="AE254" s="42"/>
    </row>
    <row r="255" spans="1:31" x14ac:dyDescent="0.2">
      <c r="A255" s="46">
        <v>590</v>
      </c>
      <c r="B255" s="46"/>
      <c r="C255" s="46"/>
      <c r="D255" s="46" t="s">
        <v>113</v>
      </c>
      <c r="E255" s="46" t="s">
        <v>192</v>
      </c>
      <c r="F255" s="46" t="s">
        <v>115</v>
      </c>
      <c r="G255" s="47" t="s">
        <v>978</v>
      </c>
      <c r="H255" s="46" t="s">
        <v>1291</v>
      </c>
      <c r="I255" s="46"/>
      <c r="J255" s="46" t="s">
        <v>1292</v>
      </c>
      <c r="K255" s="48" t="s">
        <v>977</v>
      </c>
      <c r="L255" s="46"/>
      <c r="M255" s="46"/>
      <c r="N255" s="45" t="s">
        <v>1293</v>
      </c>
      <c r="O255" s="46" t="s">
        <v>1953</v>
      </c>
      <c r="P255" s="42"/>
      <c r="Q255" s="42"/>
      <c r="R255" s="42"/>
      <c r="S255" s="42"/>
      <c r="T255" s="42"/>
      <c r="U255" s="42"/>
      <c r="V255" s="42"/>
      <c r="W255" s="42"/>
      <c r="X255" s="42"/>
      <c r="Y255" s="42"/>
      <c r="Z255" s="42"/>
      <c r="AA255" s="42"/>
      <c r="AB255" s="42"/>
      <c r="AC255" s="42"/>
      <c r="AD255" s="42"/>
      <c r="AE255" s="42"/>
    </row>
    <row r="256" spans="1:31" x14ac:dyDescent="0.2">
      <c r="A256" s="46">
        <v>591</v>
      </c>
      <c r="B256" s="46"/>
      <c r="C256" s="46"/>
      <c r="D256" s="46" t="s">
        <v>113</v>
      </c>
      <c r="E256" s="46" t="s">
        <v>192</v>
      </c>
      <c r="F256" s="46" t="s">
        <v>115</v>
      </c>
      <c r="G256" s="47" t="s">
        <v>980</v>
      </c>
      <c r="H256" s="46" t="s">
        <v>1291</v>
      </c>
      <c r="I256" s="46"/>
      <c r="J256" s="46" t="s">
        <v>1292</v>
      </c>
      <c r="K256" s="48" t="s">
        <v>979</v>
      </c>
      <c r="L256" s="46"/>
      <c r="M256" s="46"/>
      <c r="N256" s="45" t="s">
        <v>1293</v>
      </c>
      <c r="O256" s="46" t="s">
        <v>1953</v>
      </c>
      <c r="P256" s="42"/>
      <c r="Q256" s="42"/>
      <c r="R256" s="42"/>
      <c r="S256" s="42"/>
      <c r="T256" s="42"/>
      <c r="U256" s="42"/>
      <c r="V256" s="42"/>
      <c r="W256" s="42"/>
      <c r="X256" s="42"/>
      <c r="Y256" s="42"/>
      <c r="Z256" s="42"/>
      <c r="AA256" s="42"/>
      <c r="AB256" s="42"/>
      <c r="AC256" s="42"/>
      <c r="AD256" s="42"/>
      <c r="AE256" s="42"/>
    </row>
    <row r="257" spans="1:31" x14ac:dyDescent="0.2">
      <c r="A257" s="46">
        <v>592</v>
      </c>
      <c r="B257" s="46"/>
      <c r="C257" s="46"/>
      <c r="D257" s="46" t="s">
        <v>113</v>
      </c>
      <c r="E257" s="46" t="s">
        <v>192</v>
      </c>
      <c r="F257" s="46" t="s">
        <v>115</v>
      </c>
      <c r="G257" s="47" t="s">
        <v>982</v>
      </c>
      <c r="H257" s="46" t="s">
        <v>1291</v>
      </c>
      <c r="I257" s="46"/>
      <c r="J257" s="46" t="s">
        <v>1292</v>
      </c>
      <c r="K257" s="48" t="s">
        <v>981</v>
      </c>
      <c r="L257" s="46"/>
      <c r="M257" s="46"/>
      <c r="N257" s="45" t="s">
        <v>1293</v>
      </c>
      <c r="O257" s="46" t="s">
        <v>1953</v>
      </c>
      <c r="P257" s="42"/>
      <c r="Q257" s="42"/>
      <c r="R257" s="42"/>
      <c r="S257" s="42"/>
      <c r="T257" s="42"/>
      <c r="U257" s="42"/>
      <c r="V257" s="42"/>
      <c r="W257" s="42"/>
      <c r="X257" s="42"/>
      <c r="Y257" s="42"/>
      <c r="Z257" s="42"/>
      <c r="AA257" s="42"/>
      <c r="AB257" s="42"/>
      <c r="AC257" s="42"/>
      <c r="AD257" s="42"/>
      <c r="AE257" s="42"/>
    </row>
    <row r="258" spans="1:31" x14ac:dyDescent="0.2">
      <c r="A258" s="46">
        <v>593</v>
      </c>
      <c r="B258" s="46"/>
      <c r="C258" s="46"/>
      <c r="D258" s="46" t="s">
        <v>113</v>
      </c>
      <c r="E258" s="46" t="s">
        <v>192</v>
      </c>
      <c r="F258" s="46" t="s">
        <v>115</v>
      </c>
      <c r="G258" s="47" t="s">
        <v>984</v>
      </c>
      <c r="H258" s="46" t="s">
        <v>1291</v>
      </c>
      <c r="I258" s="46"/>
      <c r="J258" s="46" t="s">
        <v>1292</v>
      </c>
      <c r="K258" s="48" t="s">
        <v>983</v>
      </c>
      <c r="L258" s="46"/>
      <c r="M258" s="46"/>
      <c r="N258" s="45" t="s">
        <v>1293</v>
      </c>
      <c r="O258" s="46" t="s">
        <v>1953</v>
      </c>
      <c r="P258" s="42"/>
      <c r="Q258" s="42"/>
      <c r="R258" s="42"/>
      <c r="S258" s="42"/>
      <c r="T258" s="42"/>
      <c r="U258" s="42"/>
      <c r="V258" s="42"/>
      <c r="W258" s="42"/>
      <c r="X258" s="42"/>
      <c r="Y258" s="42"/>
      <c r="Z258" s="42"/>
      <c r="AA258" s="42"/>
      <c r="AB258" s="42"/>
      <c r="AC258" s="42"/>
      <c r="AD258" s="42"/>
      <c r="AE258" s="42"/>
    </row>
    <row r="259" spans="1:31" x14ac:dyDescent="0.2">
      <c r="A259" s="46">
        <v>594</v>
      </c>
      <c r="B259" s="46"/>
      <c r="C259" s="46"/>
      <c r="D259" s="46" t="s">
        <v>113</v>
      </c>
      <c r="E259" s="46" t="s">
        <v>192</v>
      </c>
      <c r="F259" s="46" t="s">
        <v>115</v>
      </c>
      <c r="G259" s="47" t="s">
        <v>986</v>
      </c>
      <c r="H259" s="46" t="s">
        <v>1291</v>
      </c>
      <c r="I259" s="46"/>
      <c r="J259" s="46" t="s">
        <v>1292</v>
      </c>
      <c r="K259" s="48" t="s">
        <v>985</v>
      </c>
      <c r="L259" s="46"/>
      <c r="M259" s="46"/>
      <c r="N259" s="45" t="s">
        <v>1293</v>
      </c>
      <c r="O259" s="46" t="s">
        <v>1953</v>
      </c>
      <c r="P259" s="42"/>
      <c r="Q259" s="42"/>
      <c r="R259" s="42"/>
      <c r="S259" s="42"/>
      <c r="T259" s="42"/>
      <c r="U259" s="42"/>
      <c r="V259" s="42"/>
      <c r="W259" s="42"/>
      <c r="X259" s="42"/>
      <c r="Y259" s="42"/>
      <c r="Z259" s="42"/>
      <c r="AA259" s="42"/>
      <c r="AB259" s="42"/>
      <c r="AC259" s="42"/>
      <c r="AD259" s="42"/>
      <c r="AE259" s="42"/>
    </row>
    <row r="260" spans="1:31" x14ac:dyDescent="0.2">
      <c r="A260" s="46">
        <v>595</v>
      </c>
      <c r="B260" s="46"/>
      <c r="C260" s="46"/>
      <c r="D260" s="46" t="s">
        <v>113</v>
      </c>
      <c r="E260" s="46" t="s">
        <v>192</v>
      </c>
      <c r="F260" s="46" t="s">
        <v>115</v>
      </c>
      <c r="G260" s="47" t="s">
        <v>988</v>
      </c>
      <c r="H260" s="46" t="s">
        <v>1291</v>
      </c>
      <c r="I260" s="46"/>
      <c r="J260" s="46" t="s">
        <v>1292</v>
      </c>
      <c r="K260" s="48" t="s">
        <v>987</v>
      </c>
      <c r="L260" s="46"/>
      <c r="M260" s="46"/>
      <c r="N260" s="45" t="s">
        <v>1293</v>
      </c>
      <c r="O260" s="46" t="s">
        <v>1953</v>
      </c>
      <c r="P260" s="42"/>
      <c r="Q260" s="42"/>
      <c r="R260" s="42"/>
      <c r="S260" s="42"/>
      <c r="T260" s="42"/>
      <c r="U260" s="42"/>
      <c r="V260" s="42"/>
      <c r="W260" s="42"/>
      <c r="X260" s="42"/>
      <c r="Y260" s="42"/>
      <c r="Z260" s="42"/>
      <c r="AA260" s="42"/>
      <c r="AB260" s="42"/>
      <c r="AC260" s="42"/>
      <c r="AD260" s="42"/>
      <c r="AE260" s="42"/>
    </row>
    <row r="261" spans="1:31" x14ac:dyDescent="0.2">
      <c r="A261" s="46">
        <v>596</v>
      </c>
      <c r="B261" s="46"/>
      <c r="C261" s="46"/>
      <c r="D261" s="46" t="s">
        <v>113</v>
      </c>
      <c r="E261" s="46" t="s">
        <v>192</v>
      </c>
      <c r="F261" s="46" t="s">
        <v>115</v>
      </c>
      <c r="G261" s="47" t="s">
        <v>990</v>
      </c>
      <c r="H261" s="46" t="s">
        <v>1291</v>
      </c>
      <c r="I261" s="46"/>
      <c r="J261" s="46" t="s">
        <v>1292</v>
      </c>
      <c r="K261" s="48" t="s">
        <v>989</v>
      </c>
      <c r="L261" s="46"/>
      <c r="M261" s="46"/>
      <c r="N261" s="45" t="s">
        <v>1293</v>
      </c>
      <c r="O261" s="46" t="s">
        <v>1953</v>
      </c>
      <c r="P261" s="42"/>
      <c r="Q261" s="42"/>
      <c r="R261" s="42"/>
      <c r="S261" s="42"/>
      <c r="T261" s="42"/>
      <c r="U261" s="42"/>
      <c r="V261" s="42"/>
      <c r="W261" s="42"/>
      <c r="X261" s="42"/>
      <c r="Y261" s="42"/>
      <c r="Z261" s="42"/>
      <c r="AA261" s="42"/>
      <c r="AB261" s="42"/>
      <c r="AC261" s="42"/>
      <c r="AD261" s="42"/>
      <c r="AE261" s="42"/>
    </row>
    <row r="262" spans="1:31" x14ac:dyDescent="0.2">
      <c r="A262" s="46">
        <v>597</v>
      </c>
      <c r="B262" s="46"/>
      <c r="C262" s="46"/>
      <c r="D262" s="46" t="s">
        <v>113</v>
      </c>
      <c r="E262" s="46" t="s">
        <v>192</v>
      </c>
      <c r="F262" s="46" t="s">
        <v>115</v>
      </c>
      <c r="G262" s="47" t="s">
        <v>992</v>
      </c>
      <c r="H262" s="46" t="s">
        <v>1291</v>
      </c>
      <c r="I262" s="46"/>
      <c r="J262" s="46" t="s">
        <v>1292</v>
      </c>
      <c r="K262" s="48" t="s">
        <v>991</v>
      </c>
      <c r="L262" s="46"/>
      <c r="M262" s="46"/>
      <c r="N262" s="45" t="s">
        <v>1293</v>
      </c>
      <c r="O262" s="46" t="s">
        <v>1953</v>
      </c>
      <c r="P262" s="42"/>
      <c r="Q262" s="42"/>
      <c r="R262" s="42"/>
      <c r="S262" s="42"/>
      <c r="T262" s="42"/>
      <c r="U262" s="42"/>
      <c r="V262" s="42"/>
      <c r="W262" s="42"/>
      <c r="X262" s="42"/>
      <c r="Y262" s="42"/>
      <c r="Z262" s="42"/>
      <c r="AA262" s="42"/>
      <c r="AB262" s="42"/>
      <c r="AC262" s="42"/>
      <c r="AD262" s="42"/>
      <c r="AE262" s="42"/>
    </row>
    <row r="263" spans="1:31" x14ac:dyDescent="0.2">
      <c r="A263" s="46">
        <v>598</v>
      </c>
      <c r="B263" s="46"/>
      <c r="C263" s="46"/>
      <c r="D263" s="46" t="s">
        <v>113</v>
      </c>
      <c r="E263" s="46" t="s">
        <v>192</v>
      </c>
      <c r="F263" s="46" t="s">
        <v>115</v>
      </c>
      <c r="G263" s="47" t="s">
        <v>994</v>
      </c>
      <c r="H263" s="46" t="s">
        <v>1291</v>
      </c>
      <c r="I263" s="46"/>
      <c r="J263" s="46" t="s">
        <v>1292</v>
      </c>
      <c r="K263" s="48" t="s">
        <v>993</v>
      </c>
      <c r="L263" s="46"/>
      <c r="M263" s="46"/>
      <c r="N263" s="45" t="s">
        <v>1293</v>
      </c>
      <c r="O263" s="46" t="s">
        <v>1953</v>
      </c>
      <c r="P263" s="42"/>
      <c r="Q263" s="42"/>
      <c r="R263" s="42"/>
      <c r="S263" s="42"/>
      <c r="T263" s="42"/>
      <c r="U263" s="42"/>
      <c r="V263" s="42"/>
      <c r="W263" s="42"/>
      <c r="X263" s="42"/>
      <c r="Y263" s="42"/>
      <c r="Z263" s="42"/>
      <c r="AA263" s="42"/>
      <c r="AB263" s="42"/>
      <c r="AC263" s="42"/>
      <c r="AD263" s="42"/>
      <c r="AE263" s="42"/>
    </row>
    <row r="264" spans="1:31" x14ac:dyDescent="0.2">
      <c r="A264" s="46">
        <v>599</v>
      </c>
      <c r="B264" s="46"/>
      <c r="C264" s="46"/>
      <c r="D264" s="46" t="s">
        <v>113</v>
      </c>
      <c r="E264" s="46" t="s">
        <v>192</v>
      </c>
      <c r="F264" s="46" t="s">
        <v>115</v>
      </c>
      <c r="G264" s="47" t="s">
        <v>996</v>
      </c>
      <c r="H264" s="46" t="s">
        <v>1291</v>
      </c>
      <c r="I264" s="46"/>
      <c r="J264" s="46" t="s">
        <v>1292</v>
      </c>
      <c r="K264" s="48" t="s">
        <v>995</v>
      </c>
      <c r="L264" s="46"/>
      <c r="M264" s="46"/>
      <c r="N264" s="45" t="s">
        <v>1293</v>
      </c>
      <c r="O264" s="46" t="s">
        <v>1953</v>
      </c>
      <c r="P264" s="42"/>
      <c r="Q264" s="42"/>
      <c r="R264" s="42"/>
      <c r="S264" s="42"/>
      <c r="T264" s="42"/>
      <c r="U264" s="42"/>
      <c r="V264" s="42"/>
      <c r="W264" s="42"/>
      <c r="X264" s="42"/>
      <c r="Y264" s="42"/>
      <c r="Z264" s="42"/>
      <c r="AA264" s="42"/>
      <c r="AB264" s="42"/>
      <c r="AC264" s="42"/>
      <c r="AD264" s="42"/>
      <c r="AE264" s="42"/>
    </row>
    <row r="265" spans="1:31" x14ac:dyDescent="0.2">
      <c r="A265" s="46">
        <v>600</v>
      </c>
      <c r="B265" s="46"/>
      <c r="C265" s="46"/>
      <c r="D265" s="46" t="s">
        <v>113</v>
      </c>
      <c r="E265" s="46" t="s">
        <v>192</v>
      </c>
      <c r="F265" s="46" t="s">
        <v>115</v>
      </c>
      <c r="G265" s="47" t="s">
        <v>998</v>
      </c>
      <c r="H265" s="46" t="s">
        <v>1291</v>
      </c>
      <c r="I265" s="46"/>
      <c r="J265" s="46" t="s">
        <v>1292</v>
      </c>
      <c r="K265" s="48" t="s">
        <v>997</v>
      </c>
      <c r="L265" s="46"/>
      <c r="M265" s="46"/>
      <c r="N265" s="45" t="s">
        <v>1293</v>
      </c>
      <c r="O265" s="46" t="s">
        <v>1953</v>
      </c>
      <c r="P265" s="42"/>
      <c r="Q265" s="42"/>
      <c r="R265" s="42"/>
      <c r="S265" s="42"/>
      <c r="T265" s="42"/>
      <c r="U265" s="42"/>
      <c r="V265" s="42"/>
      <c r="W265" s="42"/>
      <c r="X265" s="42"/>
      <c r="Y265" s="42"/>
      <c r="Z265" s="42"/>
      <c r="AA265" s="42"/>
      <c r="AB265" s="42"/>
      <c r="AC265" s="42"/>
      <c r="AD265" s="42"/>
      <c r="AE265" s="42"/>
    </row>
    <row r="266" spans="1:31" x14ac:dyDescent="0.2">
      <c r="A266" s="46">
        <v>601</v>
      </c>
      <c r="B266" s="46"/>
      <c r="C266" s="46"/>
      <c r="D266" s="46" t="s">
        <v>113</v>
      </c>
      <c r="E266" s="46" t="s">
        <v>192</v>
      </c>
      <c r="F266" s="46" t="s">
        <v>115</v>
      </c>
      <c r="G266" s="47" t="s">
        <v>1000</v>
      </c>
      <c r="H266" s="46" t="s">
        <v>1291</v>
      </c>
      <c r="I266" s="46"/>
      <c r="J266" s="46" t="s">
        <v>1292</v>
      </c>
      <c r="K266" s="48" t="s">
        <v>999</v>
      </c>
      <c r="L266" s="46"/>
      <c r="M266" s="46"/>
      <c r="N266" s="45" t="s">
        <v>1293</v>
      </c>
      <c r="O266" s="46" t="s">
        <v>1953</v>
      </c>
      <c r="P266" s="42"/>
      <c r="Q266" s="42"/>
      <c r="R266" s="42"/>
      <c r="S266" s="42"/>
      <c r="T266" s="42"/>
      <c r="U266" s="42"/>
      <c r="V266" s="42"/>
      <c r="W266" s="42"/>
      <c r="X266" s="42"/>
      <c r="Y266" s="42"/>
      <c r="Z266" s="42"/>
      <c r="AA266" s="42"/>
      <c r="AB266" s="42"/>
      <c r="AC266" s="42"/>
      <c r="AD266" s="42"/>
      <c r="AE266" s="42"/>
    </row>
    <row r="267" spans="1:31" x14ac:dyDescent="0.2">
      <c r="A267" s="46">
        <v>602</v>
      </c>
      <c r="B267" s="46"/>
      <c r="C267" s="46"/>
      <c r="D267" s="46" t="s">
        <v>113</v>
      </c>
      <c r="E267" s="46" t="s">
        <v>192</v>
      </c>
      <c r="F267" s="46" t="s">
        <v>115</v>
      </c>
      <c r="G267" s="47" t="s">
        <v>1001</v>
      </c>
      <c r="H267" s="46" t="s">
        <v>1291</v>
      </c>
      <c r="I267" s="46"/>
      <c r="J267" s="46" t="s">
        <v>1423</v>
      </c>
      <c r="K267" s="46" t="s">
        <v>1579</v>
      </c>
      <c r="L267" s="46"/>
      <c r="M267" s="46" t="s">
        <v>1559</v>
      </c>
      <c r="N267" s="45" t="s">
        <v>1293</v>
      </c>
      <c r="O267" s="46" t="s">
        <v>1953</v>
      </c>
      <c r="P267" s="42"/>
      <c r="Q267" s="42"/>
      <c r="R267" s="42"/>
      <c r="S267" s="42"/>
      <c r="T267" s="42"/>
      <c r="U267" s="42"/>
      <c r="V267" s="42"/>
      <c r="W267" s="42"/>
      <c r="X267" s="42"/>
      <c r="Y267" s="42"/>
      <c r="Z267" s="42"/>
      <c r="AA267" s="42"/>
      <c r="AB267" s="42"/>
      <c r="AC267" s="42"/>
      <c r="AD267" s="42"/>
      <c r="AE267" s="42"/>
    </row>
    <row r="268" spans="1:31" x14ac:dyDescent="0.2">
      <c r="A268" s="46">
        <v>603</v>
      </c>
      <c r="B268" s="46"/>
      <c r="C268" s="46"/>
      <c r="D268" s="46" t="s">
        <v>113</v>
      </c>
      <c r="E268" s="46" t="s">
        <v>192</v>
      </c>
      <c r="F268" s="46" t="s">
        <v>115</v>
      </c>
      <c r="G268" s="47" t="s">
        <v>1003</v>
      </c>
      <c r="H268" s="46" t="s">
        <v>1291</v>
      </c>
      <c r="I268" s="46"/>
      <c r="J268" s="46" t="s">
        <v>1292</v>
      </c>
      <c r="K268" s="48" t="s">
        <v>1002</v>
      </c>
      <c r="L268" s="46"/>
      <c r="M268" s="46"/>
      <c r="N268" s="45" t="s">
        <v>1293</v>
      </c>
      <c r="O268" s="46" t="s">
        <v>1953</v>
      </c>
      <c r="P268" s="42"/>
      <c r="Q268" s="42"/>
      <c r="R268" s="42"/>
      <c r="S268" s="42"/>
      <c r="T268" s="42"/>
      <c r="U268" s="42"/>
      <c r="V268" s="42"/>
      <c r="W268" s="42"/>
      <c r="X268" s="42"/>
      <c r="Y268" s="42"/>
      <c r="Z268" s="42"/>
      <c r="AA268" s="42"/>
      <c r="AB268" s="42"/>
      <c r="AC268" s="42"/>
      <c r="AD268" s="42"/>
      <c r="AE268" s="42"/>
    </row>
    <row r="269" spans="1:31" x14ac:dyDescent="0.2">
      <c r="A269" s="46">
        <v>604</v>
      </c>
      <c r="B269" s="46"/>
      <c r="C269" s="46"/>
      <c r="D269" s="46" t="s">
        <v>113</v>
      </c>
      <c r="E269" s="46" t="s">
        <v>192</v>
      </c>
      <c r="F269" s="46" t="s">
        <v>115</v>
      </c>
      <c r="G269" s="47" t="s">
        <v>1004</v>
      </c>
      <c r="H269" s="46" t="s">
        <v>1291</v>
      </c>
      <c r="I269" s="46"/>
      <c r="J269" s="46" t="s">
        <v>1423</v>
      </c>
      <c r="K269" s="46" t="s">
        <v>1580</v>
      </c>
      <c r="L269" s="46"/>
      <c r="M269" s="46" t="s">
        <v>1569</v>
      </c>
      <c r="N269" s="45" t="s">
        <v>1293</v>
      </c>
      <c r="O269" s="46" t="s">
        <v>1953</v>
      </c>
      <c r="P269" s="42"/>
      <c r="Q269" s="42"/>
      <c r="R269" s="42"/>
      <c r="S269" s="42"/>
      <c r="T269" s="42"/>
      <c r="U269" s="42"/>
      <c r="V269" s="42"/>
      <c r="W269" s="42"/>
      <c r="X269" s="42"/>
      <c r="Y269" s="42"/>
      <c r="Z269" s="42"/>
      <c r="AA269" s="42"/>
      <c r="AB269" s="42"/>
      <c r="AC269" s="42"/>
      <c r="AD269" s="42"/>
      <c r="AE269" s="42"/>
    </row>
    <row r="270" spans="1:31" x14ac:dyDescent="0.2">
      <c r="A270" s="46">
        <v>605</v>
      </c>
      <c r="B270" s="46"/>
      <c r="C270" s="46"/>
      <c r="D270" s="46" t="s">
        <v>113</v>
      </c>
      <c r="E270" s="46" t="s">
        <v>192</v>
      </c>
      <c r="F270" s="46" t="s">
        <v>115</v>
      </c>
      <c r="G270" s="47" t="s">
        <v>1006</v>
      </c>
      <c r="H270" s="46" t="s">
        <v>1291</v>
      </c>
      <c r="I270" s="46"/>
      <c r="J270" s="46" t="s">
        <v>1292</v>
      </c>
      <c r="K270" s="48" t="s">
        <v>1005</v>
      </c>
      <c r="L270" s="46"/>
      <c r="M270" s="46"/>
      <c r="N270" s="45" t="s">
        <v>1293</v>
      </c>
      <c r="O270" s="46" t="s">
        <v>1953</v>
      </c>
      <c r="P270" s="42"/>
      <c r="Q270" s="42"/>
      <c r="R270" s="42"/>
      <c r="S270" s="42"/>
      <c r="T270" s="42"/>
      <c r="U270" s="42"/>
      <c r="V270" s="42"/>
      <c r="W270" s="42"/>
      <c r="X270" s="42"/>
      <c r="Y270" s="42"/>
      <c r="Z270" s="42"/>
      <c r="AA270" s="42"/>
      <c r="AB270" s="42"/>
      <c r="AC270" s="42"/>
      <c r="AD270" s="42"/>
      <c r="AE270" s="42"/>
    </row>
    <row r="271" spans="1:31" x14ac:dyDescent="0.2">
      <c r="A271" s="46">
        <v>606</v>
      </c>
      <c r="B271" s="46"/>
      <c r="C271" s="46"/>
      <c r="D271" s="46" t="s">
        <v>113</v>
      </c>
      <c r="E271" s="46" t="s">
        <v>192</v>
      </c>
      <c r="F271" s="46" t="s">
        <v>115</v>
      </c>
      <c r="G271" s="47" t="s">
        <v>1008</v>
      </c>
      <c r="H271" s="46" t="s">
        <v>1291</v>
      </c>
      <c r="I271" s="46"/>
      <c r="J271" s="46" t="s">
        <v>1292</v>
      </c>
      <c r="K271" s="48" t="s">
        <v>1007</v>
      </c>
      <c r="L271" s="46"/>
      <c r="M271" s="46"/>
      <c r="N271" s="45" t="s">
        <v>1293</v>
      </c>
      <c r="O271" s="46" t="s">
        <v>1953</v>
      </c>
      <c r="P271" s="42"/>
      <c r="Q271" s="42"/>
      <c r="R271" s="42"/>
      <c r="S271" s="42"/>
      <c r="T271" s="42"/>
      <c r="U271" s="42"/>
      <c r="V271" s="42"/>
      <c r="W271" s="42"/>
      <c r="X271" s="42"/>
      <c r="Y271" s="42"/>
      <c r="Z271" s="42"/>
      <c r="AA271" s="42"/>
      <c r="AB271" s="42"/>
      <c r="AC271" s="42"/>
      <c r="AD271" s="42"/>
      <c r="AE271" s="42"/>
    </row>
    <row r="272" spans="1:31" x14ac:dyDescent="0.2">
      <c r="A272" s="46">
        <v>607</v>
      </c>
      <c r="B272" s="46"/>
      <c r="C272" s="46"/>
      <c r="D272" s="46" t="s">
        <v>113</v>
      </c>
      <c r="E272" s="46" t="s">
        <v>192</v>
      </c>
      <c r="F272" s="46" t="s">
        <v>115</v>
      </c>
      <c r="G272" s="47" t="s">
        <v>1010</v>
      </c>
      <c r="H272" s="46" t="s">
        <v>1291</v>
      </c>
      <c r="I272" s="46"/>
      <c r="J272" s="46" t="s">
        <v>1292</v>
      </c>
      <c r="K272" s="48" t="s">
        <v>1009</v>
      </c>
      <c r="L272" s="46"/>
      <c r="M272" s="46"/>
      <c r="N272" s="45" t="s">
        <v>1293</v>
      </c>
      <c r="O272" s="46" t="s">
        <v>1953</v>
      </c>
      <c r="P272" s="42"/>
      <c r="Q272" s="42"/>
      <c r="R272" s="42"/>
      <c r="S272" s="42"/>
      <c r="T272" s="42"/>
      <c r="U272" s="42"/>
      <c r="V272" s="42"/>
      <c r="W272" s="42"/>
      <c r="X272" s="42"/>
      <c r="Y272" s="42"/>
      <c r="Z272" s="42"/>
      <c r="AA272" s="42"/>
      <c r="AB272" s="42"/>
      <c r="AC272" s="42"/>
      <c r="AD272" s="42"/>
      <c r="AE272" s="42"/>
    </row>
    <row r="273" spans="1:31" x14ac:dyDescent="0.2">
      <c r="A273" s="46">
        <v>608</v>
      </c>
      <c r="B273" s="46"/>
      <c r="C273" s="46"/>
      <c r="D273" s="46" t="s">
        <v>113</v>
      </c>
      <c r="E273" s="46" t="s">
        <v>192</v>
      </c>
      <c r="F273" s="46" t="s">
        <v>115</v>
      </c>
      <c r="G273" s="47" t="s">
        <v>1012</v>
      </c>
      <c r="H273" s="46" t="s">
        <v>1291</v>
      </c>
      <c r="I273" s="46"/>
      <c r="J273" s="46" t="s">
        <v>1292</v>
      </c>
      <c r="K273" s="48" t="s">
        <v>1011</v>
      </c>
      <c r="L273" s="46"/>
      <c r="M273" s="46"/>
      <c r="N273" s="45" t="s">
        <v>1293</v>
      </c>
      <c r="O273" s="46" t="s">
        <v>1953</v>
      </c>
      <c r="P273" s="42"/>
      <c r="Q273" s="42"/>
      <c r="R273" s="42"/>
      <c r="S273" s="42"/>
      <c r="T273" s="42"/>
      <c r="U273" s="42"/>
      <c r="V273" s="42"/>
      <c r="W273" s="42"/>
      <c r="X273" s="42"/>
      <c r="Y273" s="42"/>
      <c r="Z273" s="42"/>
      <c r="AA273" s="42"/>
      <c r="AB273" s="42"/>
      <c r="AC273" s="42"/>
      <c r="AD273" s="42"/>
      <c r="AE273" s="42"/>
    </row>
    <row r="274" spans="1:31" x14ac:dyDescent="0.2">
      <c r="A274" s="42">
        <v>609</v>
      </c>
      <c r="B274" s="42"/>
      <c r="C274" s="23" t="b">
        <v>1</v>
      </c>
      <c r="D274" s="23" t="s">
        <v>113</v>
      </c>
      <c r="E274" s="23" t="s">
        <v>192</v>
      </c>
      <c r="F274" s="23" t="s">
        <v>116</v>
      </c>
      <c r="G274" s="49" t="s">
        <v>497</v>
      </c>
      <c r="H274" s="23" t="s">
        <v>1291</v>
      </c>
      <c r="I274" s="23"/>
      <c r="J274" s="23" t="s">
        <v>1423</v>
      </c>
      <c r="K274" s="23" t="s">
        <v>1424</v>
      </c>
      <c r="L274" s="23"/>
      <c r="M274" s="23"/>
      <c r="N274" s="45" t="s">
        <v>1425</v>
      </c>
      <c r="O274" s="23" t="s">
        <v>1954</v>
      </c>
      <c r="P274" s="42"/>
      <c r="Q274" s="42"/>
      <c r="R274" s="42"/>
      <c r="S274" s="42"/>
      <c r="T274" s="42"/>
      <c r="U274" s="42"/>
      <c r="V274" s="42"/>
      <c r="W274" s="42"/>
      <c r="X274" s="42"/>
      <c r="Y274" s="42"/>
      <c r="Z274" s="42"/>
      <c r="AA274" s="42"/>
      <c r="AB274" s="42"/>
      <c r="AC274" s="42"/>
      <c r="AD274" s="42"/>
      <c r="AE274" s="42"/>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EE50B-63F5-1546-AAB5-076951D43503}">
  <dimension ref="A1:O6"/>
  <sheetViews>
    <sheetView workbookViewId="0">
      <selection sqref="A1:XFD6"/>
    </sheetView>
  </sheetViews>
  <sheetFormatPr baseColWidth="10" defaultRowHeight="16" x14ac:dyDescent="0.2"/>
  <sheetData>
    <row r="1" spans="1:15" ht="20" thickBot="1" x14ac:dyDescent="0.3">
      <c r="A1" t="s">
        <v>1549</v>
      </c>
      <c r="B1" s="30" t="s">
        <v>1925</v>
      </c>
      <c r="C1" s="1" t="s">
        <v>0</v>
      </c>
      <c r="D1" s="2" t="s">
        <v>10</v>
      </c>
      <c r="E1" s="3" t="s">
        <v>1</v>
      </c>
      <c r="F1" s="3" t="s">
        <v>2</v>
      </c>
      <c r="G1" s="3" t="s">
        <v>3</v>
      </c>
      <c r="H1" s="3" t="s">
        <v>4</v>
      </c>
      <c r="I1" s="3" t="s">
        <v>1974</v>
      </c>
      <c r="J1" s="3" t="s">
        <v>5</v>
      </c>
      <c r="K1" s="3" t="s">
        <v>6</v>
      </c>
      <c r="L1" s="3" t="s">
        <v>1936</v>
      </c>
      <c r="M1" s="3" t="s">
        <v>8</v>
      </c>
      <c r="N1" s="4" t="s">
        <v>9</v>
      </c>
      <c r="O1" s="35" t="s">
        <v>1921</v>
      </c>
    </row>
    <row r="2" spans="1:15" x14ac:dyDescent="0.2">
      <c r="A2">
        <v>4</v>
      </c>
      <c r="C2" s="6" t="b">
        <v>1</v>
      </c>
      <c r="D2" s="6" t="s">
        <v>1192</v>
      </c>
      <c r="E2" s="6" t="s">
        <v>192</v>
      </c>
      <c r="F2" s="6" t="s">
        <v>1195</v>
      </c>
      <c r="G2" s="6" t="s">
        <v>497</v>
      </c>
      <c r="H2" s="6" t="s">
        <v>1540</v>
      </c>
      <c r="I2" s="6"/>
      <c r="J2" s="6" t="s">
        <v>1544</v>
      </c>
      <c r="K2" s="6" t="s">
        <v>1893</v>
      </c>
      <c r="L2" s="6"/>
      <c r="M2" s="6"/>
      <c r="N2" s="5" t="s">
        <v>1733</v>
      </c>
      <c r="O2" s="6" t="s">
        <v>1923</v>
      </c>
    </row>
    <row r="3" spans="1:15" x14ac:dyDescent="0.2">
      <c r="A3">
        <v>5</v>
      </c>
      <c r="C3" s="6" t="b">
        <v>1</v>
      </c>
      <c r="D3" s="6" t="s">
        <v>1192</v>
      </c>
      <c r="E3" s="6" t="s">
        <v>192</v>
      </c>
      <c r="F3" s="6" t="s">
        <v>1196</v>
      </c>
      <c r="G3" s="6" t="s">
        <v>497</v>
      </c>
      <c r="H3" s="6" t="s">
        <v>1540</v>
      </c>
      <c r="I3" s="6"/>
      <c r="J3" s="6" t="s">
        <v>1547</v>
      </c>
      <c r="K3" s="6" t="s">
        <v>1894</v>
      </c>
      <c r="L3" s="6"/>
      <c r="M3" s="6"/>
      <c r="N3" s="5" t="s">
        <v>1736</v>
      </c>
      <c r="O3" s="6" t="s">
        <v>1923</v>
      </c>
    </row>
    <row r="4" spans="1:15" x14ac:dyDescent="0.2">
      <c r="A4">
        <v>43</v>
      </c>
      <c r="C4" s="6" t="b">
        <v>1</v>
      </c>
      <c r="D4" s="6" t="s">
        <v>11</v>
      </c>
      <c r="E4" s="6" t="s">
        <v>192</v>
      </c>
      <c r="F4" s="6" t="s">
        <v>98</v>
      </c>
      <c r="G4" s="6" t="s">
        <v>497</v>
      </c>
      <c r="H4" s="6" t="s">
        <v>1540</v>
      </c>
      <c r="I4" s="6"/>
      <c r="J4" s="6" t="s">
        <v>1541</v>
      </c>
      <c r="K4" s="6" t="s">
        <v>1542</v>
      </c>
      <c r="L4" s="6"/>
      <c r="M4" s="6"/>
      <c r="N4" s="5" t="s">
        <v>1543</v>
      </c>
      <c r="O4" s="6" t="s">
        <v>1932</v>
      </c>
    </row>
    <row r="5" spans="1:15" x14ac:dyDescent="0.2">
      <c r="A5">
        <v>849</v>
      </c>
      <c r="C5" s="6" t="b">
        <v>1</v>
      </c>
      <c r="D5" s="6" t="s">
        <v>1189</v>
      </c>
      <c r="E5" s="6" t="s">
        <v>192</v>
      </c>
      <c r="F5" s="6" t="s">
        <v>102</v>
      </c>
      <c r="G5" s="6" t="s">
        <v>497</v>
      </c>
      <c r="H5" s="6" t="s">
        <v>1540</v>
      </c>
      <c r="I5" s="6"/>
      <c r="J5" s="6" t="s">
        <v>1544</v>
      </c>
      <c r="K5" s="6" t="s">
        <v>1545</v>
      </c>
      <c r="L5" s="6"/>
      <c r="M5" s="6"/>
      <c r="N5" s="5" t="s">
        <v>1546</v>
      </c>
    </row>
    <row r="6" spans="1:15" x14ac:dyDescent="0.2">
      <c r="A6">
        <v>850</v>
      </c>
      <c r="C6" s="6" t="b">
        <v>1</v>
      </c>
      <c r="D6" s="6" t="s">
        <v>1189</v>
      </c>
      <c r="E6" s="6" t="s">
        <v>192</v>
      </c>
      <c r="F6" s="6" t="s">
        <v>104</v>
      </c>
      <c r="G6" s="6" t="s">
        <v>497</v>
      </c>
      <c r="H6" s="6" t="s">
        <v>1540</v>
      </c>
      <c r="I6" s="6"/>
      <c r="J6" s="6" t="s">
        <v>1547</v>
      </c>
      <c r="K6" s="6" t="s">
        <v>1548</v>
      </c>
      <c r="L6" s="6"/>
      <c r="M6" s="6"/>
      <c r="N6" s="6"/>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F02C8-A82E-3348-AFE2-BCE3970F5643}">
  <dimension ref="A1:AC715"/>
  <sheetViews>
    <sheetView workbookViewId="0">
      <pane ySplit="1" topLeftCell="A2" activePane="bottomLeft" state="frozen"/>
      <selection pane="bottomLeft" activeCell="F130" sqref="F130"/>
    </sheetView>
  </sheetViews>
  <sheetFormatPr baseColWidth="10" defaultRowHeight="16" x14ac:dyDescent="0.2"/>
  <cols>
    <col min="1" max="1" width="9.83203125" customWidth="1"/>
    <col min="2" max="2" width="14.6640625" customWidth="1"/>
    <col min="3" max="3" width="39.6640625" customWidth="1"/>
    <col min="4" max="4" width="10.1640625" customWidth="1"/>
    <col min="5" max="5" width="60.33203125" customWidth="1"/>
    <col min="6" max="7" width="25.6640625" customWidth="1"/>
    <col min="8" max="8" width="23.33203125" customWidth="1"/>
    <col min="9" max="9" width="29.33203125" customWidth="1"/>
    <col min="10" max="10" width="14.6640625" customWidth="1"/>
    <col min="11" max="11" width="15" customWidth="1"/>
    <col min="12" max="12" width="13.5" customWidth="1"/>
  </cols>
  <sheetData>
    <row r="1" spans="1:13" ht="20" thickBot="1" x14ac:dyDescent="0.3">
      <c r="A1" t="s">
        <v>1549</v>
      </c>
      <c r="B1" s="1" t="s">
        <v>0</v>
      </c>
      <c r="C1" s="2" t="s">
        <v>10</v>
      </c>
      <c r="D1" s="3" t="s">
        <v>1</v>
      </c>
      <c r="E1" s="3" t="s">
        <v>2</v>
      </c>
      <c r="F1" s="3" t="s">
        <v>3</v>
      </c>
      <c r="G1" s="3" t="s">
        <v>4</v>
      </c>
      <c r="H1" s="3" t="s">
        <v>5</v>
      </c>
      <c r="I1" s="3" t="s">
        <v>6</v>
      </c>
      <c r="J1" s="3" t="s">
        <v>7</v>
      </c>
      <c r="K1" s="3" t="s">
        <v>8</v>
      </c>
      <c r="L1" s="4" t="s">
        <v>9</v>
      </c>
      <c r="M1" s="35" t="s">
        <v>1947</v>
      </c>
    </row>
    <row r="2" spans="1:13" x14ac:dyDescent="0.2">
      <c r="A2">
        <v>1</v>
      </c>
      <c r="B2" s="6" t="str">
        <f>IF(OR(F2="NA",G2="wide_value"),"",TRUE)</f>
        <v/>
      </c>
      <c r="C2" s="6" t="s">
        <v>1192</v>
      </c>
      <c r="D2" s="6" t="s">
        <v>192</v>
      </c>
      <c r="E2" s="6" t="s">
        <v>1197</v>
      </c>
      <c r="F2" s="6" t="s">
        <v>497</v>
      </c>
      <c r="G2" s="6" t="s">
        <v>1013</v>
      </c>
      <c r="H2" s="6" t="s">
        <v>9</v>
      </c>
      <c r="I2" s="6" t="s">
        <v>1858</v>
      </c>
      <c r="J2" s="6"/>
      <c r="K2" s="6"/>
      <c r="L2" s="5" t="s">
        <v>1859</v>
      </c>
    </row>
    <row r="3" spans="1:13" x14ac:dyDescent="0.2">
      <c r="A3">
        <v>2</v>
      </c>
      <c r="B3" s="6" t="str">
        <f>IF(OR(F3="NA",G3="wide_value"),"",TRUE)</f>
        <v/>
      </c>
      <c r="C3" s="6" t="s">
        <v>1192</v>
      </c>
      <c r="D3" s="6" t="s">
        <v>192</v>
      </c>
      <c r="E3" s="6" t="s">
        <v>1193</v>
      </c>
      <c r="F3" s="6" t="s">
        <v>497</v>
      </c>
      <c r="G3" s="9" t="s">
        <v>1113</v>
      </c>
      <c r="H3" s="6"/>
      <c r="I3" s="6"/>
      <c r="J3" s="6"/>
      <c r="K3" s="6"/>
      <c r="L3" s="5" t="s">
        <v>1733</v>
      </c>
    </row>
    <row r="4" spans="1:13" x14ac:dyDescent="0.2">
      <c r="A4">
        <v>3</v>
      </c>
      <c r="B4" s="6" t="str">
        <f>IF(OR(F4="NA",G4="wide_value"),"",TRUE)</f>
        <v/>
      </c>
      <c r="C4" s="6" t="s">
        <v>1192</v>
      </c>
      <c r="D4" s="6" t="s">
        <v>192</v>
      </c>
      <c r="E4" s="6" t="s">
        <v>1194</v>
      </c>
      <c r="F4" s="6" t="s">
        <v>497</v>
      </c>
      <c r="G4" s="6" t="s">
        <v>1331</v>
      </c>
      <c r="H4" s="6" t="s">
        <v>1734</v>
      </c>
      <c r="I4" s="6" t="s">
        <v>1892</v>
      </c>
      <c r="J4" s="6"/>
      <c r="K4" s="6"/>
      <c r="L4" s="5" t="s">
        <v>1735</v>
      </c>
    </row>
    <row r="5" spans="1:13" x14ac:dyDescent="0.2">
      <c r="A5">
        <v>4</v>
      </c>
      <c r="B5" s="6" t="str">
        <f>IF(OR(F5="NA",G5="wide_value"),"",TRUE)</f>
        <v/>
      </c>
      <c r="C5" s="6" t="s">
        <v>1192</v>
      </c>
      <c r="D5" s="6" t="s">
        <v>192</v>
      </c>
      <c r="E5" s="6" t="s">
        <v>1195</v>
      </c>
      <c r="F5" s="6" t="s">
        <v>497</v>
      </c>
      <c r="G5" s="6" t="s">
        <v>1540</v>
      </c>
      <c r="H5" s="6" t="s">
        <v>1544</v>
      </c>
      <c r="I5" s="6" t="s">
        <v>1893</v>
      </c>
      <c r="J5" s="6"/>
      <c r="K5" s="6"/>
      <c r="L5" s="5" t="s">
        <v>1733</v>
      </c>
    </row>
    <row r="6" spans="1:13" x14ac:dyDescent="0.2">
      <c r="A6">
        <v>5</v>
      </c>
      <c r="B6" s="6" t="str">
        <f>IF(OR(F6="NA",G6="wide_value"),"",TRUE)</f>
        <v/>
      </c>
      <c r="C6" s="6" t="s">
        <v>1192</v>
      </c>
      <c r="D6" s="6" t="s">
        <v>192</v>
      </c>
      <c r="E6" s="6" t="s">
        <v>1196</v>
      </c>
      <c r="F6" s="6" t="s">
        <v>497</v>
      </c>
      <c r="G6" s="6" t="s">
        <v>1540</v>
      </c>
      <c r="H6" s="6" t="s">
        <v>1547</v>
      </c>
      <c r="I6" s="6" t="s">
        <v>1894</v>
      </c>
      <c r="J6" s="6"/>
      <c r="K6" s="6"/>
      <c r="L6" s="5" t="s">
        <v>1736</v>
      </c>
    </row>
    <row r="7" spans="1:13" x14ac:dyDescent="0.2">
      <c r="A7">
        <v>6</v>
      </c>
      <c r="B7" s="6" t="str">
        <f>IF(OR(F7="NA",G7="wide_value"),"",TRUE)</f>
        <v/>
      </c>
      <c r="C7" s="6" t="s">
        <v>11</v>
      </c>
      <c r="D7" s="6" t="s">
        <v>192</v>
      </c>
      <c r="E7" s="6" t="s">
        <v>105</v>
      </c>
      <c r="F7" s="6" t="s">
        <v>497</v>
      </c>
      <c r="G7" s="6" t="s">
        <v>1536</v>
      </c>
      <c r="H7" s="6" t="s">
        <v>1739</v>
      </c>
      <c r="I7" s="6" t="s">
        <v>1895</v>
      </c>
      <c r="J7" s="6"/>
      <c r="K7" s="6"/>
      <c r="L7" s="5" t="s">
        <v>1740</v>
      </c>
    </row>
    <row r="8" spans="1:13" x14ac:dyDescent="0.2">
      <c r="A8">
        <v>7</v>
      </c>
      <c r="B8" s="6" t="str">
        <f>IF(OR(F8="NA",G8="wide_value"),"",TRUE)</f>
        <v/>
      </c>
      <c r="C8" s="6" t="s">
        <v>11</v>
      </c>
      <c r="D8" s="6" t="s">
        <v>192</v>
      </c>
      <c r="E8" s="6" t="s">
        <v>111</v>
      </c>
      <c r="F8" s="6" t="s">
        <v>497</v>
      </c>
      <c r="G8" s="9" t="s">
        <v>1113</v>
      </c>
      <c r="H8" s="6"/>
      <c r="I8" s="6"/>
      <c r="J8" s="6"/>
      <c r="K8" s="6"/>
      <c r="L8" s="5" t="s">
        <v>1465</v>
      </c>
    </row>
    <row r="9" spans="1:13" x14ac:dyDescent="0.2">
      <c r="A9">
        <v>8</v>
      </c>
      <c r="B9" s="6" t="str">
        <f>IF(OR(F9="NA",G9="wide_value"),"",TRUE)</f>
        <v/>
      </c>
      <c r="C9" s="6" t="s">
        <v>11</v>
      </c>
      <c r="D9" s="6" t="s">
        <v>192</v>
      </c>
      <c r="E9" s="6" t="s">
        <v>12</v>
      </c>
      <c r="F9" s="6" t="s">
        <v>497</v>
      </c>
      <c r="G9" s="9" t="s">
        <v>1113</v>
      </c>
      <c r="H9" s="6"/>
      <c r="I9" s="6"/>
      <c r="J9" s="6"/>
      <c r="K9" s="6"/>
      <c r="L9" s="6"/>
    </row>
    <row r="10" spans="1:13" x14ac:dyDescent="0.2">
      <c r="A10">
        <v>9</v>
      </c>
      <c r="B10" s="6" t="str">
        <f>IF(OR(F10="NA",G10="wide_value"),"",TRUE)</f>
        <v/>
      </c>
      <c r="C10" s="6" t="s">
        <v>11</v>
      </c>
      <c r="D10" s="6" t="s">
        <v>192</v>
      </c>
      <c r="E10" s="6" t="s">
        <v>13</v>
      </c>
      <c r="F10" s="6" t="s">
        <v>497</v>
      </c>
      <c r="G10" s="9" t="s">
        <v>1113</v>
      </c>
      <c r="H10" s="6"/>
      <c r="I10" s="6"/>
      <c r="J10" s="6"/>
      <c r="K10" s="6"/>
      <c r="L10" s="5" t="s">
        <v>1741</v>
      </c>
    </row>
    <row r="11" spans="1:13" x14ac:dyDescent="0.2">
      <c r="A11">
        <v>10</v>
      </c>
      <c r="B11" s="6" t="str">
        <f>IF(OR(F11="NA",G11="wide_value"),"",TRUE)</f>
        <v/>
      </c>
      <c r="C11" s="6" t="s">
        <v>11</v>
      </c>
      <c r="D11" s="6" t="s">
        <v>192</v>
      </c>
      <c r="E11" s="6" t="s">
        <v>14</v>
      </c>
      <c r="F11" s="6" t="s">
        <v>497</v>
      </c>
      <c r="G11" s="6" t="s">
        <v>1331</v>
      </c>
      <c r="H11" s="6" t="s">
        <v>1734</v>
      </c>
      <c r="I11" s="6" t="s">
        <v>1896</v>
      </c>
      <c r="J11" s="6"/>
      <c r="K11" s="6"/>
      <c r="L11" s="5" t="s">
        <v>1744</v>
      </c>
    </row>
    <row r="12" spans="1:13" x14ac:dyDescent="0.2">
      <c r="A12">
        <v>11</v>
      </c>
      <c r="B12" s="6" t="str">
        <f>IF(OR(F12="NA",G12="wide_value"),"",TRUE)</f>
        <v/>
      </c>
      <c r="C12" s="6" t="s">
        <v>11</v>
      </c>
      <c r="D12" s="6" t="s">
        <v>192</v>
      </c>
      <c r="E12" s="6" t="s">
        <v>15</v>
      </c>
      <c r="F12" s="6" t="s">
        <v>497</v>
      </c>
      <c r="G12" s="9" t="s">
        <v>1113</v>
      </c>
      <c r="H12" s="6"/>
      <c r="I12" s="6"/>
      <c r="J12" s="6"/>
      <c r="K12" s="6"/>
      <c r="L12" s="5" t="s">
        <v>1745</v>
      </c>
    </row>
    <row r="13" spans="1:13" x14ac:dyDescent="0.2">
      <c r="A13">
        <v>12</v>
      </c>
      <c r="B13" s="6" t="str">
        <f>IF(OR(F13="NA",G13="wide_value"),"",TRUE)</f>
        <v/>
      </c>
      <c r="C13" s="6" t="s">
        <v>11</v>
      </c>
      <c r="D13" s="6" t="s">
        <v>192</v>
      </c>
      <c r="E13" s="6" t="s">
        <v>18</v>
      </c>
      <c r="F13" s="6" t="s">
        <v>497</v>
      </c>
      <c r="G13" s="9" t="s">
        <v>1113</v>
      </c>
      <c r="H13" s="6"/>
      <c r="I13" s="6"/>
      <c r="J13" s="6"/>
      <c r="K13" s="6"/>
      <c r="L13" s="5" t="s">
        <v>1745</v>
      </c>
    </row>
    <row r="14" spans="1:13" x14ac:dyDescent="0.2">
      <c r="A14">
        <v>13</v>
      </c>
      <c r="B14" s="6" t="str">
        <f>IF(OR(F14="NA",G14="wide_value"),"",TRUE)</f>
        <v/>
      </c>
      <c r="C14" s="6" t="s">
        <v>11</v>
      </c>
      <c r="D14" s="6" t="s">
        <v>192</v>
      </c>
      <c r="E14" s="6" t="s">
        <v>20</v>
      </c>
      <c r="F14" s="6" t="s">
        <v>497</v>
      </c>
      <c r="G14" s="9" t="s">
        <v>1113</v>
      </c>
      <c r="H14" s="6"/>
      <c r="I14" s="6"/>
      <c r="J14" s="6"/>
      <c r="K14" s="6"/>
      <c r="L14" s="6"/>
    </row>
    <row r="15" spans="1:13" x14ac:dyDescent="0.2">
      <c r="A15">
        <v>14</v>
      </c>
      <c r="B15" s="6" t="str">
        <f>IF(OR(F15="NA",G15="wide_value"),"",TRUE)</f>
        <v/>
      </c>
      <c r="C15" s="6" t="s">
        <v>11</v>
      </c>
      <c r="D15" s="6" t="s">
        <v>192</v>
      </c>
      <c r="E15" s="6" t="s">
        <v>112</v>
      </c>
      <c r="F15" s="6" t="s">
        <v>497</v>
      </c>
      <c r="G15" s="9" t="s">
        <v>1113</v>
      </c>
      <c r="H15" s="6"/>
      <c r="I15" s="6"/>
      <c r="J15" s="6"/>
      <c r="K15" s="6"/>
      <c r="L15" s="5" t="s">
        <v>1465</v>
      </c>
    </row>
    <row r="16" spans="1:13" x14ac:dyDescent="0.2">
      <c r="A16">
        <v>15</v>
      </c>
      <c r="B16" s="6" t="str">
        <f>IF(OR(F16="NA",G16="wide_value"),"",TRUE)</f>
        <v/>
      </c>
      <c r="C16" s="6" t="s">
        <v>11</v>
      </c>
      <c r="D16" s="6" t="s">
        <v>192</v>
      </c>
      <c r="E16" s="6" t="s">
        <v>22</v>
      </c>
      <c r="F16" s="6" t="s">
        <v>497</v>
      </c>
      <c r="G16" s="9" t="s">
        <v>1113</v>
      </c>
      <c r="H16" s="6"/>
      <c r="I16" s="6"/>
      <c r="J16" s="6"/>
      <c r="K16" s="6"/>
      <c r="L16" s="6"/>
    </row>
    <row r="17" spans="1:12" x14ac:dyDescent="0.2">
      <c r="A17">
        <v>16</v>
      </c>
      <c r="B17" s="6" t="str">
        <f>IF(OR(F17="NA",G17="wide_value"),"",TRUE)</f>
        <v/>
      </c>
      <c r="C17" s="6" t="s">
        <v>11</v>
      </c>
      <c r="D17" s="6" t="s">
        <v>192</v>
      </c>
      <c r="E17" s="6" t="s">
        <v>23</v>
      </c>
      <c r="F17" s="6" t="s">
        <v>497</v>
      </c>
      <c r="G17" s="9" t="s">
        <v>1113</v>
      </c>
      <c r="H17" s="6"/>
      <c r="I17" s="6"/>
      <c r="J17" s="6"/>
      <c r="K17" s="6"/>
      <c r="L17" s="6"/>
    </row>
    <row r="18" spans="1:12" x14ac:dyDescent="0.2">
      <c r="A18">
        <v>17</v>
      </c>
      <c r="B18" s="6" t="str">
        <f>IF(OR(F18="NA",G18="wide_value"),"",TRUE)</f>
        <v/>
      </c>
      <c r="C18" s="6" t="s">
        <v>11</v>
      </c>
      <c r="D18" s="6" t="s">
        <v>192</v>
      </c>
      <c r="E18" s="6" t="s">
        <v>55</v>
      </c>
      <c r="F18" s="6" t="s">
        <v>497</v>
      </c>
      <c r="G18" s="9" t="s">
        <v>1113</v>
      </c>
      <c r="H18" s="6"/>
      <c r="I18" s="6"/>
      <c r="J18" s="6"/>
      <c r="K18" s="6"/>
      <c r="L18" s="6"/>
    </row>
    <row r="19" spans="1:12" x14ac:dyDescent="0.2">
      <c r="A19">
        <v>18</v>
      </c>
      <c r="B19" s="6" t="str">
        <f>IF(OR(F19="NA",G19="wide_value"),"",TRUE)</f>
        <v/>
      </c>
      <c r="C19" s="6" t="s">
        <v>11</v>
      </c>
      <c r="D19" s="6" t="s">
        <v>192</v>
      </c>
      <c r="E19" s="6" t="s">
        <v>58</v>
      </c>
      <c r="F19" s="6" t="s">
        <v>497</v>
      </c>
      <c r="G19" s="9" t="s">
        <v>1113</v>
      </c>
      <c r="H19" s="6"/>
      <c r="I19" s="6"/>
      <c r="J19" s="6"/>
      <c r="K19" s="6"/>
      <c r="L19" s="6"/>
    </row>
    <row r="20" spans="1:12" x14ac:dyDescent="0.2">
      <c r="A20">
        <v>19</v>
      </c>
      <c r="B20" s="6" t="str">
        <f>IF(OR(F20="NA",G20="wide_value"),"",TRUE)</f>
        <v/>
      </c>
      <c r="C20" s="6" t="s">
        <v>11</v>
      </c>
      <c r="D20" s="6" t="s">
        <v>192</v>
      </c>
      <c r="E20" s="6" t="s">
        <v>71</v>
      </c>
      <c r="F20" s="6" t="s">
        <v>497</v>
      </c>
      <c r="G20" s="9" t="s">
        <v>1113</v>
      </c>
      <c r="H20" s="6"/>
      <c r="I20" s="6"/>
      <c r="J20" s="6"/>
      <c r="K20" s="6"/>
      <c r="L20" s="6"/>
    </row>
    <row r="21" spans="1:12" x14ac:dyDescent="0.2">
      <c r="A21">
        <v>20</v>
      </c>
      <c r="B21" s="6" t="str">
        <f>IF(OR(F21="NA",G21="wide_value"),"",TRUE)</f>
        <v/>
      </c>
      <c r="C21" s="6" t="s">
        <v>11</v>
      </c>
      <c r="D21" s="6" t="s">
        <v>192</v>
      </c>
      <c r="E21" s="6" t="s">
        <v>72</v>
      </c>
      <c r="F21" s="6" t="s">
        <v>497</v>
      </c>
      <c r="G21" s="9" t="s">
        <v>1113</v>
      </c>
      <c r="H21" s="6"/>
      <c r="I21" s="6"/>
      <c r="J21" s="6"/>
      <c r="K21" s="6"/>
      <c r="L21" s="6"/>
    </row>
    <row r="22" spans="1:12" x14ac:dyDescent="0.2">
      <c r="A22">
        <v>21</v>
      </c>
      <c r="B22" s="6" t="str">
        <f>IF(OR(F22="NA",G22="wide_value"),"",TRUE)</f>
        <v/>
      </c>
      <c r="C22" s="6" t="s">
        <v>11</v>
      </c>
      <c r="D22" s="6" t="s">
        <v>192</v>
      </c>
      <c r="E22" s="6" t="s">
        <v>73</v>
      </c>
      <c r="F22" s="6" t="s">
        <v>497</v>
      </c>
      <c r="G22" s="9" t="s">
        <v>1113</v>
      </c>
      <c r="H22" s="6"/>
      <c r="I22" s="6"/>
      <c r="J22" s="6"/>
      <c r="K22" s="6"/>
      <c r="L22" s="6"/>
    </row>
    <row r="23" spans="1:12" x14ac:dyDescent="0.2">
      <c r="A23">
        <v>22</v>
      </c>
      <c r="B23" s="6" t="str">
        <f>IF(OR(F23="NA",G23="wide_value"),"",TRUE)</f>
        <v/>
      </c>
      <c r="C23" s="6" t="s">
        <v>11</v>
      </c>
      <c r="D23" s="6" t="s">
        <v>192</v>
      </c>
      <c r="E23" s="6" t="s">
        <v>74</v>
      </c>
      <c r="F23" s="6" t="s">
        <v>497</v>
      </c>
      <c r="G23" s="9" t="s">
        <v>1113</v>
      </c>
      <c r="H23" s="6"/>
      <c r="I23" s="6"/>
      <c r="J23" s="6"/>
      <c r="K23" s="6"/>
      <c r="L23" s="6"/>
    </row>
    <row r="24" spans="1:12" x14ac:dyDescent="0.2">
      <c r="A24">
        <v>23</v>
      </c>
      <c r="B24" s="6" t="str">
        <f>IF(OR(F24="NA",G24="wide_value"),"",TRUE)</f>
        <v/>
      </c>
      <c r="C24" s="6" t="s">
        <v>11</v>
      </c>
      <c r="D24" s="6" t="s">
        <v>192</v>
      </c>
      <c r="E24" s="6" t="s">
        <v>76</v>
      </c>
      <c r="F24" s="6" t="s">
        <v>497</v>
      </c>
      <c r="G24" s="9" t="s">
        <v>1113</v>
      </c>
      <c r="H24" s="6"/>
      <c r="I24" s="6"/>
      <c r="J24" s="6"/>
      <c r="K24" s="6"/>
      <c r="L24" s="6"/>
    </row>
    <row r="25" spans="1:12" x14ac:dyDescent="0.2">
      <c r="A25">
        <v>24</v>
      </c>
      <c r="B25" s="6" t="str">
        <f>IF(OR(F25="NA",G25="wide_value"),"",TRUE)</f>
        <v/>
      </c>
      <c r="C25" s="6" t="s">
        <v>11</v>
      </c>
      <c r="D25" s="6" t="s">
        <v>192</v>
      </c>
      <c r="E25" s="6" t="s">
        <v>77</v>
      </c>
      <c r="F25" s="6" t="s">
        <v>497</v>
      </c>
      <c r="G25" s="9" t="s">
        <v>1113</v>
      </c>
      <c r="H25" s="6"/>
      <c r="I25" s="6"/>
      <c r="J25" s="6"/>
      <c r="K25" s="6"/>
      <c r="L25" s="6"/>
    </row>
    <row r="26" spans="1:12" x14ac:dyDescent="0.2">
      <c r="A26">
        <v>25</v>
      </c>
      <c r="B26" s="6" t="str">
        <f>IF(OR(F26="NA",G26="wide_value"),"",TRUE)</f>
        <v/>
      </c>
      <c r="C26" s="6" t="s">
        <v>11</v>
      </c>
      <c r="D26" s="6" t="s">
        <v>192</v>
      </c>
      <c r="E26" s="6" t="s">
        <v>107</v>
      </c>
      <c r="F26" s="6" t="s">
        <v>497</v>
      </c>
      <c r="G26" s="6" t="s">
        <v>1381</v>
      </c>
      <c r="H26" s="6" t="s">
        <v>9</v>
      </c>
      <c r="I26" s="6" t="s">
        <v>1394</v>
      </c>
      <c r="J26" s="6"/>
      <c r="K26" s="6"/>
      <c r="L26" s="5" t="s">
        <v>1390</v>
      </c>
    </row>
    <row r="27" spans="1:12" x14ac:dyDescent="0.2">
      <c r="A27">
        <v>26</v>
      </c>
      <c r="B27" s="6" t="b">
        <f>IF(OR(F27="NA",G27="wide_value"),"",TRUE)</f>
        <v>1</v>
      </c>
      <c r="C27" s="6" t="s">
        <v>11</v>
      </c>
      <c r="D27" s="6" t="s">
        <v>192</v>
      </c>
      <c r="E27" s="6" t="s">
        <v>110</v>
      </c>
      <c r="F27" s="6" t="s">
        <v>477</v>
      </c>
      <c r="G27" s="6" t="s">
        <v>1381</v>
      </c>
      <c r="H27" s="6" t="s">
        <v>1380</v>
      </c>
      <c r="I27" s="6" t="s">
        <v>1379</v>
      </c>
      <c r="J27" s="6"/>
      <c r="K27" s="6"/>
      <c r="L27" s="5" t="s">
        <v>1390</v>
      </c>
    </row>
    <row r="28" spans="1:12" x14ac:dyDescent="0.2">
      <c r="A28">
        <v>27</v>
      </c>
      <c r="B28" s="6" t="b">
        <f>IF(OR(F28="NA",G28="wide_value"),"",TRUE)</f>
        <v>1</v>
      </c>
      <c r="C28" s="6" t="s">
        <v>11</v>
      </c>
      <c r="D28" s="6" t="s">
        <v>192</v>
      </c>
      <c r="E28" s="6" t="s">
        <v>110</v>
      </c>
      <c r="F28" s="6" t="s">
        <v>478</v>
      </c>
      <c r="G28" s="6" t="s">
        <v>1013</v>
      </c>
      <c r="H28" s="6" t="s">
        <v>1391</v>
      </c>
      <c r="I28" s="6" t="b">
        <v>1</v>
      </c>
      <c r="J28" s="6"/>
      <c r="K28" s="6"/>
      <c r="L28" s="5" t="s">
        <v>1392</v>
      </c>
    </row>
    <row r="29" spans="1:12" x14ac:dyDescent="0.2">
      <c r="A29">
        <v>28</v>
      </c>
      <c r="B29" s="6" t="b">
        <f>IF(OR(F29="NA",G29="wide_value"),"",TRUE)</f>
        <v>1</v>
      </c>
      <c r="C29" s="6" t="s">
        <v>11</v>
      </c>
      <c r="D29" s="6" t="s">
        <v>192</v>
      </c>
      <c r="E29" s="6" t="s">
        <v>110</v>
      </c>
      <c r="F29" s="6" t="s">
        <v>479</v>
      </c>
      <c r="G29" s="6" t="s">
        <v>1013</v>
      </c>
      <c r="H29" s="6" t="s">
        <v>1391</v>
      </c>
      <c r="I29" s="6" t="b">
        <v>0</v>
      </c>
      <c r="J29" s="6"/>
      <c r="K29" s="6"/>
      <c r="L29" s="5" t="s">
        <v>1392</v>
      </c>
    </row>
    <row r="30" spans="1:12" x14ac:dyDescent="0.2">
      <c r="A30">
        <v>29</v>
      </c>
      <c r="B30" s="6" t="b">
        <f>IF(OR(F30="NA",G30="wide_value"),"",TRUE)</f>
        <v>1</v>
      </c>
      <c r="C30" s="6" t="s">
        <v>11</v>
      </c>
      <c r="D30" s="6" t="s">
        <v>192</v>
      </c>
      <c r="E30" s="6" t="s">
        <v>110</v>
      </c>
      <c r="F30" s="6" t="s">
        <v>480</v>
      </c>
      <c r="G30" s="6" t="s">
        <v>1013</v>
      </c>
      <c r="H30" s="6" t="s">
        <v>1391</v>
      </c>
      <c r="I30" s="6" t="b">
        <v>1</v>
      </c>
      <c r="J30" s="6"/>
      <c r="K30" s="6"/>
      <c r="L30" s="5" t="s">
        <v>1393</v>
      </c>
    </row>
    <row r="31" spans="1:12" x14ac:dyDescent="0.2">
      <c r="A31">
        <v>30</v>
      </c>
      <c r="B31" s="6" t="b">
        <f>IF(OR(F31="NA",G31="wide_value"),"",TRUE)</f>
        <v>1</v>
      </c>
      <c r="C31" s="6" t="s">
        <v>11</v>
      </c>
      <c r="D31" s="6" t="s">
        <v>192</v>
      </c>
      <c r="E31" s="6" t="s">
        <v>110</v>
      </c>
      <c r="F31" s="6" t="s">
        <v>481</v>
      </c>
      <c r="G31" s="6" t="s">
        <v>1013</v>
      </c>
      <c r="H31" s="6" t="s">
        <v>1391</v>
      </c>
      <c r="I31" s="6" t="b">
        <v>1</v>
      </c>
      <c r="J31" s="6"/>
      <c r="K31" s="6"/>
      <c r="L31" s="5" t="s">
        <v>1393</v>
      </c>
    </row>
    <row r="32" spans="1:12" x14ac:dyDescent="0.2">
      <c r="A32">
        <v>31</v>
      </c>
      <c r="B32" s="6" t="b">
        <f>IF(OR(F32="NA",G32="wide_value"),"",TRUE)</f>
        <v>1</v>
      </c>
      <c r="C32" s="6" t="s">
        <v>11</v>
      </c>
      <c r="D32" s="6" t="s">
        <v>192</v>
      </c>
      <c r="E32" s="6" t="s">
        <v>110</v>
      </c>
      <c r="F32" s="6" t="s">
        <v>482</v>
      </c>
      <c r="G32" s="6" t="s">
        <v>1013</v>
      </c>
      <c r="H32" s="6" t="s">
        <v>1391</v>
      </c>
      <c r="I32" s="6" t="s">
        <v>1133</v>
      </c>
      <c r="J32" s="6"/>
      <c r="K32" s="6"/>
      <c r="L32" s="5" t="s">
        <v>1392</v>
      </c>
    </row>
    <row r="33" spans="1:12" x14ac:dyDescent="0.2">
      <c r="A33">
        <v>32</v>
      </c>
      <c r="B33" s="6" t="b">
        <f>IF(OR(F33="NA",G33="wide_value"),"",TRUE)</f>
        <v>1</v>
      </c>
      <c r="C33" s="6" t="s">
        <v>11</v>
      </c>
      <c r="D33" s="6" t="s">
        <v>192</v>
      </c>
      <c r="E33" s="6" t="s">
        <v>108</v>
      </c>
      <c r="F33" s="6" t="s">
        <v>483</v>
      </c>
      <c r="G33" s="6" t="s">
        <v>1381</v>
      </c>
      <c r="H33" s="6" t="s">
        <v>1380</v>
      </c>
      <c r="I33" s="6" t="s">
        <v>1382</v>
      </c>
      <c r="J33" s="6"/>
      <c r="K33" s="6"/>
      <c r="L33" s="5" t="s">
        <v>1390</v>
      </c>
    </row>
    <row r="34" spans="1:12" x14ac:dyDescent="0.2">
      <c r="A34">
        <v>33</v>
      </c>
      <c r="B34" s="6" t="b">
        <f>IF(OR(F34="NA",G34="wide_value"),"",TRUE)</f>
        <v>1</v>
      </c>
      <c r="C34" s="6" t="s">
        <v>11</v>
      </c>
      <c r="D34" s="6" t="s">
        <v>192</v>
      </c>
      <c r="E34" s="6" t="s">
        <v>108</v>
      </c>
      <c r="F34" s="6" t="s">
        <v>484</v>
      </c>
      <c r="G34" s="6" t="s">
        <v>1381</v>
      </c>
      <c r="H34" s="6" t="s">
        <v>1380</v>
      </c>
      <c r="I34" s="6" t="s">
        <v>1383</v>
      </c>
      <c r="J34" s="6"/>
      <c r="K34" s="6"/>
      <c r="L34" s="5" t="s">
        <v>1390</v>
      </c>
    </row>
    <row r="35" spans="1:12" x14ac:dyDescent="0.2">
      <c r="A35">
        <v>34</v>
      </c>
      <c r="B35" s="6" t="b">
        <f>IF(OR(F35="NA",G35="wide_value"),"",TRUE)</f>
        <v>1</v>
      </c>
      <c r="C35" s="6" t="s">
        <v>11</v>
      </c>
      <c r="D35" s="6" t="s">
        <v>192</v>
      </c>
      <c r="E35" s="6" t="s">
        <v>108</v>
      </c>
      <c r="F35" s="6" t="s">
        <v>485</v>
      </c>
      <c r="G35" s="6" t="s">
        <v>1381</v>
      </c>
      <c r="H35" s="6" t="s">
        <v>1380</v>
      </c>
      <c r="I35" s="6" t="s">
        <v>1384</v>
      </c>
      <c r="J35" s="6"/>
      <c r="K35" s="6"/>
      <c r="L35" s="5" t="s">
        <v>1390</v>
      </c>
    </row>
    <row r="36" spans="1:12" x14ac:dyDescent="0.2">
      <c r="A36">
        <v>35</v>
      </c>
      <c r="B36" s="6" t="b">
        <f>IF(OR(F36="NA",G36="wide_value"),"",TRUE)</f>
        <v>1</v>
      </c>
      <c r="C36" s="6" t="s">
        <v>11</v>
      </c>
      <c r="D36" s="6" t="s">
        <v>192</v>
      </c>
      <c r="E36" s="6" t="s">
        <v>108</v>
      </c>
      <c r="F36" s="6" t="s">
        <v>486</v>
      </c>
      <c r="G36" s="6" t="s">
        <v>1381</v>
      </c>
      <c r="H36" s="6" t="s">
        <v>1380</v>
      </c>
      <c r="I36" s="6" t="s">
        <v>1385</v>
      </c>
      <c r="J36" s="6"/>
      <c r="K36" s="6"/>
      <c r="L36" s="5" t="s">
        <v>1390</v>
      </c>
    </row>
    <row r="37" spans="1:12" x14ac:dyDescent="0.2">
      <c r="A37">
        <v>36</v>
      </c>
      <c r="B37" s="6" t="b">
        <f>IF(OR(F37="NA",G37="wide_value"),"",TRUE)</f>
        <v>1</v>
      </c>
      <c r="C37" s="6" t="s">
        <v>11</v>
      </c>
      <c r="D37" s="6" t="s">
        <v>192</v>
      </c>
      <c r="E37" s="6" t="s">
        <v>108</v>
      </c>
      <c r="F37" s="6" t="s">
        <v>487</v>
      </c>
      <c r="G37" s="6" t="s">
        <v>1381</v>
      </c>
      <c r="H37" s="6" t="s">
        <v>1380</v>
      </c>
      <c r="I37" s="6" t="s">
        <v>1386</v>
      </c>
      <c r="J37" s="6"/>
      <c r="K37" s="6"/>
      <c r="L37" s="5" t="s">
        <v>1390</v>
      </c>
    </row>
    <row r="38" spans="1:12" x14ac:dyDescent="0.2">
      <c r="A38">
        <v>37</v>
      </c>
      <c r="B38" s="6" t="b">
        <f>IF(OR(F38="NA",G38="wide_value"),"",TRUE)</f>
        <v>1</v>
      </c>
      <c r="C38" s="6" t="s">
        <v>11</v>
      </c>
      <c r="D38" s="6" t="s">
        <v>192</v>
      </c>
      <c r="E38" s="6" t="s">
        <v>108</v>
      </c>
      <c r="F38" s="6" t="s">
        <v>488</v>
      </c>
      <c r="G38" s="6" t="s">
        <v>1381</v>
      </c>
      <c r="H38" s="6" t="s">
        <v>1380</v>
      </c>
      <c r="I38" s="6" t="s">
        <v>1387</v>
      </c>
      <c r="J38" s="6"/>
      <c r="K38" s="6"/>
      <c r="L38" s="5" t="s">
        <v>1390</v>
      </c>
    </row>
    <row r="39" spans="1:12" x14ac:dyDescent="0.2">
      <c r="A39">
        <v>38</v>
      </c>
      <c r="B39" s="6" t="b">
        <f>IF(OR(F39="NA",G39="wide_value"),"",TRUE)</f>
        <v>1</v>
      </c>
      <c r="C39" s="6" t="s">
        <v>11</v>
      </c>
      <c r="D39" s="6" t="s">
        <v>192</v>
      </c>
      <c r="E39" s="6" t="s">
        <v>108</v>
      </c>
      <c r="F39" s="6" t="s">
        <v>489</v>
      </c>
      <c r="G39" s="6" t="s">
        <v>1381</v>
      </c>
      <c r="H39" s="6" t="s">
        <v>1380</v>
      </c>
      <c r="I39" s="6" t="s">
        <v>1388</v>
      </c>
      <c r="J39" s="6"/>
      <c r="K39" s="6"/>
      <c r="L39" s="5" t="s">
        <v>1390</v>
      </c>
    </row>
    <row r="40" spans="1:12" x14ac:dyDescent="0.2">
      <c r="A40">
        <v>39</v>
      </c>
      <c r="B40" s="6" t="b">
        <f>IF(OR(F40="NA",G40="wide_value"),"",TRUE)</f>
        <v>1</v>
      </c>
      <c r="C40" s="6" t="s">
        <v>11</v>
      </c>
      <c r="D40" s="6" t="s">
        <v>192</v>
      </c>
      <c r="E40" s="6" t="s">
        <v>108</v>
      </c>
      <c r="F40" s="6" t="s">
        <v>490</v>
      </c>
      <c r="G40" s="6" t="s">
        <v>1381</v>
      </c>
      <c r="H40" s="6" t="s">
        <v>1380</v>
      </c>
      <c r="I40" s="6" t="s">
        <v>1389</v>
      </c>
      <c r="J40" s="6"/>
      <c r="K40" s="6"/>
      <c r="L40" s="5" t="s">
        <v>1390</v>
      </c>
    </row>
    <row r="41" spans="1:12" x14ac:dyDescent="0.2">
      <c r="A41">
        <v>40</v>
      </c>
      <c r="B41" s="6" t="str">
        <f>IF(OR(F41="NA",G41="wide_value"),"",TRUE)</f>
        <v/>
      </c>
      <c r="C41" s="6" t="s">
        <v>11</v>
      </c>
      <c r="D41" s="6" t="s">
        <v>192</v>
      </c>
      <c r="E41" s="6" t="s">
        <v>78</v>
      </c>
      <c r="F41" s="6" t="s">
        <v>497</v>
      </c>
      <c r="G41" s="9" t="s">
        <v>1113</v>
      </c>
      <c r="H41" s="6"/>
      <c r="I41" s="6"/>
      <c r="J41" s="6"/>
      <c r="K41" s="6"/>
      <c r="L41" s="5" t="s">
        <v>1757</v>
      </c>
    </row>
    <row r="42" spans="1:12" x14ac:dyDescent="0.2">
      <c r="A42">
        <v>41</v>
      </c>
      <c r="B42" s="6" t="str">
        <f>IF(OR(F42="NA",G42="wide_value"),"",TRUE)</f>
        <v/>
      </c>
      <c r="C42" s="6" t="s">
        <v>11</v>
      </c>
      <c r="D42" s="6" t="s">
        <v>192</v>
      </c>
      <c r="E42" s="6" t="s">
        <v>84</v>
      </c>
      <c r="F42" s="6" t="s">
        <v>497</v>
      </c>
      <c r="G42" s="9" t="s">
        <v>1536</v>
      </c>
      <c r="H42" s="6" t="s">
        <v>1537</v>
      </c>
      <c r="I42" s="6" t="s">
        <v>1538</v>
      </c>
      <c r="J42" s="6"/>
      <c r="K42" s="6"/>
      <c r="L42" s="5" t="s">
        <v>1539</v>
      </c>
    </row>
    <row r="43" spans="1:12" x14ac:dyDescent="0.2">
      <c r="A43">
        <v>42</v>
      </c>
      <c r="B43" s="6" t="str">
        <f>IF(OR(F43="NA",G43="wide_value"),"",TRUE)</f>
        <v/>
      </c>
      <c r="C43" s="6" t="s">
        <v>11</v>
      </c>
      <c r="D43" s="6" t="s">
        <v>192</v>
      </c>
      <c r="E43" s="6" t="s">
        <v>87</v>
      </c>
      <c r="F43" s="6" t="s">
        <v>497</v>
      </c>
      <c r="G43" s="9" t="s">
        <v>1113</v>
      </c>
      <c r="H43" s="6"/>
      <c r="I43" s="6"/>
      <c r="J43" s="6"/>
      <c r="K43" s="6"/>
      <c r="L43" s="5" t="s">
        <v>1753</v>
      </c>
    </row>
    <row r="44" spans="1:12" x14ac:dyDescent="0.2">
      <c r="A44">
        <v>43</v>
      </c>
      <c r="B44" s="6" t="str">
        <f>IF(OR(F44="NA",G44="wide_value"),"",TRUE)</f>
        <v/>
      </c>
      <c r="C44" s="6" t="s">
        <v>11</v>
      </c>
      <c r="D44" s="6" t="s">
        <v>192</v>
      </c>
      <c r="E44" s="6" t="s">
        <v>98</v>
      </c>
      <c r="F44" s="6" t="s">
        <v>497</v>
      </c>
      <c r="G44" s="6" t="s">
        <v>1540</v>
      </c>
      <c r="H44" s="6" t="s">
        <v>1541</v>
      </c>
      <c r="I44" s="6" t="s">
        <v>1542</v>
      </c>
      <c r="J44" s="6"/>
      <c r="K44" s="6"/>
      <c r="L44" s="5" t="s">
        <v>1543</v>
      </c>
    </row>
    <row r="45" spans="1:12" x14ac:dyDescent="0.2">
      <c r="A45">
        <v>44</v>
      </c>
      <c r="B45" s="6" t="str">
        <f>IF(OR(F45="NA",G45="wide_value"),"",TRUE)</f>
        <v/>
      </c>
      <c r="C45" s="6" t="s">
        <v>11</v>
      </c>
      <c r="D45" s="6" t="s">
        <v>192</v>
      </c>
      <c r="E45" s="6" t="s">
        <v>99</v>
      </c>
      <c r="F45" s="6" t="s">
        <v>497</v>
      </c>
      <c r="G45" s="9" t="s">
        <v>1113</v>
      </c>
      <c r="H45" s="6"/>
      <c r="I45" s="6"/>
      <c r="J45" s="6"/>
      <c r="K45" s="6"/>
      <c r="L45" s="6"/>
    </row>
    <row r="46" spans="1:12" x14ac:dyDescent="0.2">
      <c r="A46">
        <v>45</v>
      </c>
      <c r="B46" s="6" t="str">
        <f>IF(OR(F46="NA",G46="wide_value"),"",TRUE)</f>
        <v/>
      </c>
      <c r="C46" s="6" t="s">
        <v>11</v>
      </c>
      <c r="D46" s="6" t="s">
        <v>192</v>
      </c>
      <c r="E46" s="6" t="s">
        <v>100</v>
      </c>
      <c r="F46" s="6" t="s">
        <v>497</v>
      </c>
      <c r="G46" s="9" t="s">
        <v>1113</v>
      </c>
      <c r="H46" s="6"/>
      <c r="I46" s="6"/>
      <c r="J46" s="6"/>
      <c r="K46" s="6"/>
      <c r="L46" s="5" t="s">
        <v>1755</v>
      </c>
    </row>
    <row r="47" spans="1:12" x14ac:dyDescent="0.2">
      <c r="A47">
        <v>46</v>
      </c>
      <c r="B47" s="6" t="str">
        <f>IF(OR(F47="NA",G47="wide_value"),"",TRUE)</f>
        <v/>
      </c>
      <c r="C47" s="6" t="s">
        <v>11</v>
      </c>
      <c r="D47" s="6" t="s">
        <v>192</v>
      </c>
      <c r="E47" s="6" t="s">
        <v>101</v>
      </c>
      <c r="F47" s="6" t="s">
        <v>497</v>
      </c>
      <c r="G47" s="6" t="s">
        <v>1331</v>
      </c>
      <c r="H47" s="6" t="s">
        <v>1734</v>
      </c>
      <c r="I47" s="6" t="s">
        <v>1877</v>
      </c>
      <c r="J47" s="6"/>
      <c r="K47" s="6"/>
      <c r="L47" s="5" t="s">
        <v>1754</v>
      </c>
    </row>
    <row r="48" spans="1:12" x14ac:dyDescent="0.2">
      <c r="A48">
        <v>47</v>
      </c>
      <c r="B48" s="6" t="str">
        <f>IF(OR(F48="NA",G48="wide_value"),"",TRUE)</f>
        <v/>
      </c>
      <c r="C48" s="6" t="s">
        <v>145</v>
      </c>
      <c r="D48" s="6" t="s">
        <v>192</v>
      </c>
      <c r="E48" s="6" t="s">
        <v>146</v>
      </c>
      <c r="F48" s="6" t="s">
        <v>497</v>
      </c>
      <c r="G48" s="6" t="s">
        <v>1246</v>
      </c>
      <c r="H48" s="6" t="s">
        <v>1247</v>
      </c>
      <c r="I48" s="6" t="s">
        <v>1248</v>
      </c>
      <c r="J48" s="6"/>
      <c r="K48" s="6"/>
      <c r="L48" s="5" t="s">
        <v>1249</v>
      </c>
    </row>
    <row r="49" spans="1:12" x14ac:dyDescent="0.2">
      <c r="A49">
        <v>48</v>
      </c>
      <c r="B49" s="6" t="str">
        <f>IF(OR(F49="NA",G49="wide_value"),"",TRUE)</f>
        <v/>
      </c>
      <c r="C49" s="6" t="s">
        <v>68</v>
      </c>
      <c r="D49" s="6" t="s">
        <v>192</v>
      </c>
      <c r="E49" s="6" t="s">
        <v>69</v>
      </c>
      <c r="F49" s="6" t="s">
        <v>497</v>
      </c>
      <c r="G49" s="9" t="s">
        <v>1113</v>
      </c>
      <c r="H49" s="6"/>
      <c r="I49" s="6"/>
      <c r="J49" s="6"/>
      <c r="K49" s="6"/>
      <c r="L49" s="6"/>
    </row>
    <row r="50" spans="1:12" x14ac:dyDescent="0.2">
      <c r="A50">
        <v>49</v>
      </c>
      <c r="B50" s="6" t="str">
        <f>IF(OR(F50="NA",G50="wide_value"),"",TRUE)</f>
        <v/>
      </c>
      <c r="C50" s="6" t="s">
        <v>68</v>
      </c>
      <c r="D50" s="6" t="s">
        <v>192</v>
      </c>
      <c r="E50" s="6" t="s">
        <v>70</v>
      </c>
      <c r="F50" s="6" t="s">
        <v>497</v>
      </c>
      <c r="G50" s="9" t="s">
        <v>1113</v>
      </c>
      <c r="H50" s="6"/>
      <c r="I50" s="6"/>
      <c r="J50" s="6"/>
      <c r="K50" s="6"/>
      <c r="L50" s="6"/>
    </row>
    <row r="51" spans="1:12" x14ac:dyDescent="0.2">
      <c r="A51">
        <v>50</v>
      </c>
      <c r="B51" s="6" t="str">
        <f>IF(OR(F51="NA",G51="wide_value"),"",TRUE)</f>
        <v/>
      </c>
      <c r="C51" s="6" t="s">
        <v>68</v>
      </c>
      <c r="D51" s="6" t="s">
        <v>192</v>
      </c>
      <c r="E51" s="6" t="s">
        <v>75</v>
      </c>
      <c r="F51" s="6" t="s">
        <v>497</v>
      </c>
      <c r="G51" s="9" t="s">
        <v>1113</v>
      </c>
      <c r="H51" s="6"/>
      <c r="I51" s="6"/>
      <c r="J51" s="6"/>
      <c r="K51" s="6"/>
      <c r="L51" s="6"/>
    </row>
    <row r="52" spans="1:12" x14ac:dyDescent="0.2">
      <c r="A52">
        <v>51</v>
      </c>
      <c r="B52" s="6" t="str">
        <f>IF(OR(F52="NA",G52="wide_value"),"",TRUE)</f>
        <v/>
      </c>
      <c r="C52" s="6" t="s">
        <v>68</v>
      </c>
      <c r="D52" s="6" t="s">
        <v>192</v>
      </c>
      <c r="E52" s="6" t="s">
        <v>81</v>
      </c>
      <c r="F52" s="6" t="s">
        <v>497</v>
      </c>
      <c r="G52" s="9" t="s">
        <v>1113</v>
      </c>
      <c r="H52" s="6"/>
      <c r="I52" s="6"/>
      <c r="J52" s="6"/>
      <c r="K52" s="6"/>
      <c r="L52" s="6"/>
    </row>
    <row r="53" spans="1:12" x14ac:dyDescent="0.2">
      <c r="A53">
        <v>52</v>
      </c>
      <c r="B53" s="6" t="str">
        <f>IF(OR(F53="NA",G53="wide_value"),"",TRUE)</f>
        <v/>
      </c>
      <c r="C53" s="6" t="s">
        <v>68</v>
      </c>
      <c r="D53" s="6" t="s">
        <v>192</v>
      </c>
      <c r="E53" s="6" t="s">
        <v>82</v>
      </c>
      <c r="F53" s="6" t="s">
        <v>497</v>
      </c>
      <c r="G53" s="9" t="s">
        <v>1113</v>
      </c>
      <c r="H53" s="6"/>
      <c r="I53" s="6"/>
      <c r="J53" s="6"/>
      <c r="K53" s="6"/>
      <c r="L53" s="6"/>
    </row>
    <row r="54" spans="1:12" x14ac:dyDescent="0.2">
      <c r="A54">
        <v>53</v>
      </c>
      <c r="B54" s="6" t="str">
        <f>IF(OR(F54="NA",G54="wide_value"),"",TRUE)</f>
        <v/>
      </c>
      <c r="C54" s="6" t="s">
        <v>68</v>
      </c>
      <c r="D54" s="6" t="s">
        <v>192</v>
      </c>
      <c r="E54" s="6" t="s">
        <v>83</v>
      </c>
      <c r="F54" s="6" t="s">
        <v>497</v>
      </c>
      <c r="G54" s="9" t="s">
        <v>1113</v>
      </c>
      <c r="H54" s="6"/>
      <c r="I54" s="6"/>
      <c r="J54" s="6"/>
      <c r="K54" s="6"/>
      <c r="L54" s="6"/>
    </row>
    <row r="55" spans="1:12" x14ac:dyDescent="0.2">
      <c r="A55">
        <v>54</v>
      </c>
      <c r="B55" s="6" t="str">
        <f>IF(OR(F55="NA",G55="wide_value"),"",TRUE)</f>
        <v/>
      </c>
      <c r="C55" s="6" t="s">
        <v>68</v>
      </c>
      <c r="D55" s="6" t="s">
        <v>192</v>
      </c>
      <c r="E55" s="6" t="s">
        <v>86</v>
      </c>
      <c r="F55" s="6" t="s">
        <v>497</v>
      </c>
      <c r="G55" s="9" t="s">
        <v>1113</v>
      </c>
      <c r="H55" s="6"/>
      <c r="I55" s="6"/>
      <c r="J55" s="6"/>
      <c r="K55" s="6"/>
      <c r="L55" s="6"/>
    </row>
    <row r="56" spans="1:12" x14ac:dyDescent="0.2">
      <c r="A56">
        <v>55</v>
      </c>
      <c r="B56" s="6" t="str">
        <f>IF(OR(F56="NA",G56="wide_value"),"",TRUE)</f>
        <v/>
      </c>
      <c r="C56" s="6" t="s">
        <v>68</v>
      </c>
      <c r="D56" s="6" t="s">
        <v>192</v>
      </c>
      <c r="E56" s="6" t="s">
        <v>90</v>
      </c>
      <c r="F56" s="6" t="s">
        <v>497</v>
      </c>
      <c r="G56" s="9" t="s">
        <v>1113</v>
      </c>
      <c r="H56" s="6"/>
      <c r="I56" s="6"/>
      <c r="J56" s="6"/>
      <c r="K56" s="6"/>
      <c r="L56" s="6"/>
    </row>
    <row r="57" spans="1:12" x14ac:dyDescent="0.2">
      <c r="A57">
        <v>56</v>
      </c>
      <c r="B57" s="6" t="str">
        <f>IF(OR(F57="NA",G57="wide_value"),"",TRUE)</f>
        <v/>
      </c>
      <c r="C57" s="6" t="s">
        <v>68</v>
      </c>
      <c r="D57" s="6" t="s">
        <v>192</v>
      </c>
      <c r="E57" s="6" t="s">
        <v>91</v>
      </c>
      <c r="F57" s="6" t="s">
        <v>497</v>
      </c>
      <c r="G57" s="10" t="s">
        <v>1250</v>
      </c>
      <c r="H57" s="6" t="s">
        <v>9</v>
      </c>
      <c r="I57" s="6" t="s">
        <v>1285</v>
      </c>
      <c r="J57" s="6"/>
      <c r="K57" s="6"/>
      <c r="L57" s="5" t="s">
        <v>1286</v>
      </c>
    </row>
    <row r="58" spans="1:12" x14ac:dyDescent="0.2">
      <c r="A58">
        <v>57</v>
      </c>
      <c r="B58" s="6" t="str">
        <f>IF(OR(F58="NA",G58="wide_value"),"",TRUE)</f>
        <v/>
      </c>
      <c r="C58" s="6" t="s">
        <v>68</v>
      </c>
      <c r="D58" s="6" t="s">
        <v>192</v>
      </c>
      <c r="E58" s="6" t="s">
        <v>92</v>
      </c>
      <c r="F58" s="6" t="s">
        <v>497</v>
      </c>
      <c r="G58" s="9" t="s">
        <v>1113</v>
      </c>
      <c r="H58" s="6"/>
      <c r="I58" s="6"/>
      <c r="J58" s="6"/>
      <c r="K58" s="6"/>
      <c r="L58" s="6"/>
    </row>
    <row r="59" spans="1:12" x14ac:dyDescent="0.2">
      <c r="A59">
        <v>58</v>
      </c>
      <c r="B59" s="6" t="str">
        <f>IF(OR(F59="NA",G59="wide_value"),"",TRUE)</f>
        <v/>
      </c>
      <c r="C59" s="6" t="s">
        <v>68</v>
      </c>
      <c r="D59" s="6" t="s">
        <v>192</v>
      </c>
      <c r="E59" s="6" t="s">
        <v>95</v>
      </c>
      <c r="F59" s="6" t="s">
        <v>497</v>
      </c>
      <c r="G59" s="9" t="s">
        <v>1113</v>
      </c>
      <c r="H59" s="6"/>
      <c r="I59" s="6"/>
      <c r="J59" s="6"/>
      <c r="K59" s="6"/>
      <c r="L59" s="6"/>
    </row>
    <row r="60" spans="1:12" x14ac:dyDescent="0.2">
      <c r="A60">
        <v>59</v>
      </c>
      <c r="B60" s="6" t="str">
        <f>IF(OR(F60="NA",G60="wide_value"),"",TRUE)</f>
        <v/>
      </c>
      <c r="C60" s="6" t="s">
        <v>68</v>
      </c>
      <c r="D60" s="6" t="s">
        <v>192</v>
      </c>
      <c r="E60" s="6" t="s">
        <v>1154</v>
      </c>
      <c r="F60" s="6" t="s">
        <v>497</v>
      </c>
      <c r="G60" s="6" t="s">
        <v>1276</v>
      </c>
      <c r="H60" s="6" t="s">
        <v>1277</v>
      </c>
      <c r="I60" s="6" t="s">
        <v>1865</v>
      </c>
      <c r="J60" s="6"/>
      <c r="K60" s="6"/>
      <c r="L60" s="5" t="s">
        <v>1869</v>
      </c>
    </row>
    <row r="61" spans="1:12" x14ac:dyDescent="0.2">
      <c r="A61">
        <v>60</v>
      </c>
      <c r="B61" s="6" t="str">
        <f>IF(OR(F61="NA",G61="wide_value"),"",TRUE)</f>
        <v/>
      </c>
      <c r="C61" s="6" t="s">
        <v>68</v>
      </c>
      <c r="D61" s="6" t="s">
        <v>192</v>
      </c>
      <c r="E61" s="6" t="s">
        <v>121</v>
      </c>
      <c r="F61" s="6" t="s">
        <v>497</v>
      </c>
      <c r="G61" s="6" t="s">
        <v>1276</v>
      </c>
      <c r="H61" s="6" t="s">
        <v>1277</v>
      </c>
      <c r="I61" s="6" t="s">
        <v>1866</v>
      </c>
      <c r="J61" s="6"/>
      <c r="K61" s="6"/>
      <c r="L61" s="5" t="s">
        <v>1867</v>
      </c>
    </row>
    <row r="62" spans="1:12" x14ac:dyDescent="0.2">
      <c r="A62">
        <v>61</v>
      </c>
      <c r="B62" s="6" t="str">
        <f>IF(OR(F62="NA",G62="wide_value"),"",TRUE)</f>
        <v/>
      </c>
      <c r="C62" s="6" t="s">
        <v>68</v>
      </c>
      <c r="D62" s="6" t="s">
        <v>192</v>
      </c>
      <c r="E62" s="6" t="s">
        <v>166</v>
      </c>
      <c r="F62" s="6" t="s">
        <v>497</v>
      </c>
      <c r="G62" s="10" t="s">
        <v>1282</v>
      </c>
      <c r="H62" s="6" t="s">
        <v>1283</v>
      </c>
      <c r="I62" s="6" t="s">
        <v>1284</v>
      </c>
      <c r="J62" s="6"/>
      <c r="K62" s="6"/>
      <c r="L62" s="6"/>
    </row>
    <row r="63" spans="1:12" x14ac:dyDescent="0.2">
      <c r="A63">
        <v>62</v>
      </c>
      <c r="B63" s="6" t="str">
        <f>IF(OR(F63="NA",G63="wide_value"),"",TRUE)</f>
        <v/>
      </c>
      <c r="C63" s="6" t="s">
        <v>68</v>
      </c>
      <c r="D63" s="6" t="s">
        <v>192</v>
      </c>
      <c r="E63" s="6" t="s">
        <v>1155</v>
      </c>
      <c r="F63" s="6" t="s">
        <v>497</v>
      </c>
      <c r="G63" s="6" t="s">
        <v>1246</v>
      </c>
      <c r="H63" s="6" t="s">
        <v>1279</v>
      </c>
      <c r="I63" s="6" t="s">
        <v>1280</v>
      </c>
      <c r="J63" s="6"/>
      <c r="K63" s="6"/>
      <c r="L63" s="5" t="s">
        <v>1281</v>
      </c>
    </row>
    <row r="64" spans="1:12" x14ac:dyDescent="0.2">
      <c r="A64">
        <v>63</v>
      </c>
      <c r="B64" s="6" t="str">
        <f>IF(OR(F64="NA",G64="wide_value"),"",TRUE)</f>
        <v/>
      </c>
      <c r="C64" s="6" t="s">
        <v>68</v>
      </c>
      <c r="D64" s="6" t="s">
        <v>192</v>
      </c>
      <c r="E64" s="6" t="s">
        <v>175</v>
      </c>
      <c r="F64" s="6" t="s">
        <v>497</v>
      </c>
      <c r="G64" s="6" t="s">
        <v>1276</v>
      </c>
      <c r="H64" s="6" t="s">
        <v>1277</v>
      </c>
      <c r="I64" s="6" t="s">
        <v>1278</v>
      </c>
      <c r="J64" s="6"/>
      <c r="K64" s="6"/>
      <c r="L64" s="6"/>
    </row>
    <row r="65" spans="1:29" x14ac:dyDescent="0.2">
      <c r="A65">
        <v>64</v>
      </c>
      <c r="B65" s="6" t="str">
        <f>IF(OR(F65="NA",G65="wide_value"),"",TRUE)</f>
        <v/>
      </c>
      <c r="C65" s="6" t="s">
        <v>68</v>
      </c>
      <c r="D65" s="6" t="s">
        <v>192</v>
      </c>
      <c r="E65" s="6" t="s">
        <v>158</v>
      </c>
      <c r="F65" s="6" t="s">
        <v>497</v>
      </c>
      <c r="G65" s="6" t="s">
        <v>1276</v>
      </c>
      <c r="H65" s="6" t="s">
        <v>1277</v>
      </c>
      <c r="I65" s="6" t="s">
        <v>1864</v>
      </c>
      <c r="J65" s="6"/>
      <c r="K65" s="6"/>
      <c r="L65" s="5" t="s">
        <v>1868</v>
      </c>
    </row>
    <row r="66" spans="1:29" x14ac:dyDescent="0.2">
      <c r="A66">
        <v>65</v>
      </c>
      <c r="B66" s="6" t="str">
        <f>IF(OR(F66="NA",G66="wide_value"),"",TRUE)</f>
        <v/>
      </c>
      <c r="C66" s="6" t="s">
        <v>68</v>
      </c>
      <c r="D66" s="6" t="s">
        <v>192</v>
      </c>
      <c r="E66" s="6" t="s">
        <v>126</v>
      </c>
      <c r="F66" s="6" t="s">
        <v>497</v>
      </c>
      <c r="G66" s="9" t="s">
        <v>1113</v>
      </c>
      <c r="H66" s="6"/>
      <c r="I66" s="6"/>
      <c r="J66" s="6"/>
      <c r="K66" s="6"/>
      <c r="L66" s="6"/>
    </row>
    <row r="67" spans="1:29" x14ac:dyDescent="0.2">
      <c r="A67">
        <v>66</v>
      </c>
      <c r="B67" s="6" t="str">
        <f>IF(OR(F67="NA",G67="wide_value"),"",TRUE)</f>
        <v/>
      </c>
      <c r="C67" s="6" t="s">
        <v>24</v>
      </c>
      <c r="D67" s="6" t="s">
        <v>192</v>
      </c>
      <c r="E67" s="6" t="s">
        <v>25</v>
      </c>
      <c r="F67" s="6" t="s">
        <v>497</v>
      </c>
      <c r="G67" s="6" t="s">
        <v>1013</v>
      </c>
      <c r="H67" s="6" t="s">
        <v>1014</v>
      </c>
      <c r="I67" s="6" t="s">
        <v>1016</v>
      </c>
      <c r="J67" s="6" t="s">
        <v>1046</v>
      </c>
      <c r="K67" s="6"/>
      <c r="L67" s="5" t="s">
        <v>1034</v>
      </c>
    </row>
    <row r="68" spans="1:29" x14ac:dyDescent="0.2">
      <c r="A68">
        <v>70</v>
      </c>
      <c r="B68" s="6" t="str">
        <f>IF(OR(F68="NA",G68="wide_value"),"",TRUE)</f>
        <v/>
      </c>
      <c r="C68" s="6" t="s">
        <v>24</v>
      </c>
      <c r="D68" s="6" t="s">
        <v>192</v>
      </c>
      <c r="E68" s="6" t="s">
        <v>66</v>
      </c>
      <c r="F68" s="6" t="s">
        <v>497</v>
      </c>
      <c r="G68" s="9" t="s">
        <v>1113</v>
      </c>
      <c r="H68" s="6"/>
      <c r="I68" s="6"/>
      <c r="J68" s="6"/>
      <c r="K68" s="6"/>
      <c r="L68" s="6"/>
    </row>
    <row r="69" spans="1:29" x14ac:dyDescent="0.2">
      <c r="A69">
        <v>73</v>
      </c>
      <c r="B69" s="6" t="str">
        <f>IF(OR(F69="NA",G69="wide_value"),"",TRUE)</f>
        <v/>
      </c>
      <c r="C69" s="6" t="s">
        <v>24</v>
      </c>
      <c r="D69" s="6" t="s">
        <v>192</v>
      </c>
      <c r="E69" s="6" t="s">
        <v>181</v>
      </c>
      <c r="F69" s="6" t="s">
        <v>497</v>
      </c>
      <c r="G69" s="9" t="s">
        <v>1113</v>
      </c>
      <c r="H69" s="6"/>
      <c r="I69" s="6"/>
      <c r="J69" s="6"/>
      <c r="K69" s="6"/>
      <c r="L69" s="6"/>
    </row>
    <row r="70" spans="1:29" x14ac:dyDescent="0.2">
      <c r="A70">
        <v>74</v>
      </c>
      <c r="B70" s="6" t="str">
        <f>IF(OR(F70="NA",G70="wide_value"),"",TRUE)</f>
        <v/>
      </c>
      <c r="C70" s="6" t="s">
        <v>24</v>
      </c>
      <c r="D70" s="6" t="s">
        <v>192</v>
      </c>
      <c r="E70" s="6" t="s">
        <v>26</v>
      </c>
      <c r="F70" s="6" t="s">
        <v>497</v>
      </c>
      <c r="G70" s="6" t="s">
        <v>1013</v>
      </c>
      <c r="H70" s="6" t="s">
        <v>1014</v>
      </c>
      <c r="I70" s="6" t="s">
        <v>1017</v>
      </c>
      <c r="J70" s="6" t="s">
        <v>1046</v>
      </c>
      <c r="K70" s="6"/>
      <c r="L70" s="5" t="s">
        <v>1034</v>
      </c>
      <c r="AC70" t="s">
        <v>1015</v>
      </c>
    </row>
    <row r="71" spans="1:29" x14ac:dyDescent="0.2">
      <c r="A71">
        <v>76</v>
      </c>
      <c r="B71" s="6" t="str">
        <f>IF(OR(F71="NA",G71="wide_value"),"",TRUE)</f>
        <v/>
      </c>
      <c r="C71" s="6" t="s">
        <v>24</v>
      </c>
      <c r="D71" s="6" t="s">
        <v>192</v>
      </c>
      <c r="E71" s="6" t="s">
        <v>184</v>
      </c>
      <c r="F71" s="6" t="s">
        <v>497</v>
      </c>
      <c r="G71" s="9" t="s">
        <v>1113</v>
      </c>
      <c r="H71" s="6"/>
      <c r="I71" s="6"/>
      <c r="J71" s="6"/>
      <c r="K71" s="6"/>
      <c r="L71" s="6"/>
    </row>
    <row r="72" spans="1:29" x14ac:dyDescent="0.2">
      <c r="A72">
        <v>77</v>
      </c>
      <c r="B72" s="6" t="str">
        <f>IF(OR(F72="NA",G72="wide_value"),"",TRUE)</f>
        <v/>
      </c>
      <c r="C72" s="6" t="s">
        <v>24</v>
      </c>
      <c r="D72" s="6" t="s">
        <v>192</v>
      </c>
      <c r="E72" s="6" t="s">
        <v>27</v>
      </c>
      <c r="F72" s="6" t="s">
        <v>497</v>
      </c>
      <c r="G72" s="6" t="s">
        <v>1013</v>
      </c>
      <c r="H72" s="6" t="s">
        <v>1014</v>
      </c>
      <c r="I72" s="6" t="s">
        <v>1018</v>
      </c>
      <c r="J72" s="6" t="s">
        <v>1046</v>
      </c>
      <c r="K72" s="6"/>
      <c r="L72" s="5" t="s">
        <v>1034</v>
      </c>
    </row>
    <row r="73" spans="1:29" x14ac:dyDescent="0.2">
      <c r="A73">
        <v>79</v>
      </c>
      <c r="B73" s="6" t="str">
        <f>IF(OR(F73="NA",G73="wide_value"),"",TRUE)</f>
        <v/>
      </c>
      <c r="C73" s="6" t="s">
        <v>24</v>
      </c>
      <c r="D73" s="6" t="s">
        <v>192</v>
      </c>
      <c r="E73" s="6" t="s">
        <v>185</v>
      </c>
      <c r="F73" s="6" t="s">
        <v>497</v>
      </c>
      <c r="G73" s="9" t="s">
        <v>1113</v>
      </c>
      <c r="H73" s="6"/>
      <c r="I73" s="6"/>
      <c r="J73" s="6"/>
      <c r="K73" s="6"/>
      <c r="L73" s="6"/>
    </row>
    <row r="74" spans="1:29" x14ac:dyDescent="0.2">
      <c r="A74">
        <v>80</v>
      </c>
      <c r="B74" s="6" t="str">
        <f>IF(OR(F74="NA",G74="wide_value"),"",TRUE)</f>
        <v/>
      </c>
      <c r="C74" s="6" t="s">
        <v>24</v>
      </c>
      <c r="D74" s="6" t="s">
        <v>192</v>
      </c>
      <c r="E74" s="6" t="s">
        <v>28</v>
      </c>
      <c r="F74" s="6" t="s">
        <v>497</v>
      </c>
      <c r="G74" s="6" t="s">
        <v>1013</v>
      </c>
      <c r="H74" s="6" t="s">
        <v>1014</v>
      </c>
      <c r="I74" s="6" t="s">
        <v>1019</v>
      </c>
      <c r="J74" s="6" t="s">
        <v>1046</v>
      </c>
      <c r="K74" s="6"/>
      <c r="L74" s="5" t="s">
        <v>1034</v>
      </c>
    </row>
    <row r="75" spans="1:29" x14ac:dyDescent="0.2">
      <c r="A75">
        <v>86</v>
      </c>
      <c r="B75" s="6" t="str">
        <f>IF(OR(F75="NA",G75="wide_value"),"",TRUE)</f>
        <v/>
      </c>
      <c r="C75" s="6" t="s">
        <v>24</v>
      </c>
      <c r="D75" s="6" t="s">
        <v>192</v>
      </c>
      <c r="E75" s="6" t="s">
        <v>186</v>
      </c>
      <c r="F75" s="6" t="s">
        <v>497</v>
      </c>
      <c r="G75" s="9" t="s">
        <v>1113</v>
      </c>
      <c r="H75" s="6"/>
      <c r="I75" s="6"/>
      <c r="J75" s="6"/>
      <c r="K75" s="6"/>
      <c r="L75" s="6"/>
    </row>
    <row r="76" spans="1:29" x14ac:dyDescent="0.2">
      <c r="A76">
        <v>87</v>
      </c>
      <c r="B76" s="6" t="str">
        <f>IF(OR(F76="NA",G76="wide_value"),"",TRUE)</f>
        <v/>
      </c>
      <c r="C76" s="6" t="s">
        <v>24</v>
      </c>
      <c r="D76" s="6" t="s">
        <v>192</v>
      </c>
      <c r="E76" s="6" t="s">
        <v>29</v>
      </c>
      <c r="F76" s="6" t="s">
        <v>497</v>
      </c>
      <c r="G76" s="6" t="s">
        <v>1013</v>
      </c>
      <c r="H76" s="6" t="s">
        <v>1014</v>
      </c>
      <c r="I76" s="6" t="s">
        <v>1020</v>
      </c>
      <c r="J76" s="6" t="s">
        <v>1046</v>
      </c>
      <c r="K76" s="6"/>
      <c r="L76" s="5" t="s">
        <v>1034</v>
      </c>
    </row>
    <row r="77" spans="1:29" x14ac:dyDescent="0.2">
      <c r="A77">
        <v>91</v>
      </c>
      <c r="B77" s="6" t="str">
        <f>IF(OR(F77="NA",G77="wide_value"),"",TRUE)</f>
        <v/>
      </c>
      <c r="C77" s="6" t="s">
        <v>24</v>
      </c>
      <c r="D77" s="6" t="s">
        <v>192</v>
      </c>
      <c r="E77" s="6" t="s">
        <v>79</v>
      </c>
      <c r="F77" s="6" t="s">
        <v>497</v>
      </c>
      <c r="G77" s="9" t="s">
        <v>1113</v>
      </c>
      <c r="H77" s="6"/>
      <c r="I77" s="6"/>
      <c r="J77" s="6"/>
      <c r="K77" s="6"/>
      <c r="L77" s="6"/>
    </row>
    <row r="78" spans="1:29" x14ac:dyDescent="0.2">
      <c r="A78">
        <v>92</v>
      </c>
      <c r="B78" s="6" t="str">
        <f>IF(OR(F78="NA",G78="wide_value"),"",TRUE)</f>
        <v/>
      </c>
      <c r="C78" s="6" t="s">
        <v>24</v>
      </c>
      <c r="D78" s="6" t="s">
        <v>192</v>
      </c>
      <c r="E78" s="6" t="s">
        <v>30</v>
      </c>
      <c r="F78" s="6" t="s">
        <v>497</v>
      </c>
      <c r="G78" s="6" t="s">
        <v>1013</v>
      </c>
      <c r="H78" s="6" t="s">
        <v>1014</v>
      </c>
      <c r="I78" s="6" t="s">
        <v>1021</v>
      </c>
      <c r="J78" s="6" t="s">
        <v>1046</v>
      </c>
      <c r="K78" s="6"/>
      <c r="L78" s="5" t="s">
        <v>1034</v>
      </c>
    </row>
    <row r="79" spans="1:29" x14ac:dyDescent="0.2">
      <c r="A79">
        <v>102</v>
      </c>
      <c r="B79" s="6" t="str">
        <f>IF(OR(F79="NA",G79="wide_value"),"",TRUE)</f>
        <v/>
      </c>
      <c r="C79" s="6" t="s">
        <v>24</v>
      </c>
      <c r="D79" s="6" t="s">
        <v>192</v>
      </c>
      <c r="E79" s="6" t="s">
        <v>85</v>
      </c>
      <c r="F79" s="6" t="s">
        <v>497</v>
      </c>
      <c r="G79" s="9" t="s">
        <v>1113</v>
      </c>
      <c r="H79" s="6"/>
      <c r="I79" s="6"/>
      <c r="J79" s="6"/>
      <c r="K79" s="6"/>
      <c r="L79" s="6"/>
    </row>
    <row r="80" spans="1:29" x14ac:dyDescent="0.2">
      <c r="A80">
        <v>109</v>
      </c>
      <c r="B80" s="6" t="str">
        <f>IF(OR(F80="NA",G80="wide_value"),"",TRUE)</f>
        <v/>
      </c>
      <c r="C80" s="6" t="s">
        <v>24</v>
      </c>
      <c r="D80" s="6" t="s">
        <v>192</v>
      </c>
      <c r="E80" s="6" t="s">
        <v>31</v>
      </c>
      <c r="F80" s="6" t="s">
        <v>497</v>
      </c>
      <c r="G80" s="6" t="s">
        <v>1013</v>
      </c>
      <c r="H80" s="6" t="s">
        <v>1014</v>
      </c>
      <c r="I80" s="6" t="s">
        <v>1022</v>
      </c>
      <c r="J80" s="6" t="s">
        <v>1046</v>
      </c>
      <c r="K80" s="6"/>
      <c r="L80" s="5" t="s">
        <v>1034</v>
      </c>
    </row>
    <row r="81" spans="1:12" x14ac:dyDescent="0.2">
      <c r="A81">
        <v>114</v>
      </c>
      <c r="B81" s="6" t="str">
        <f>IF(OR(F81="NA",G81="wide_value"),"",TRUE)</f>
        <v/>
      </c>
      <c r="C81" s="6" t="s">
        <v>24</v>
      </c>
      <c r="D81" s="6" t="s">
        <v>192</v>
      </c>
      <c r="E81" s="6" t="s">
        <v>154</v>
      </c>
      <c r="F81" s="6" t="s">
        <v>497</v>
      </c>
      <c r="G81" s="9" t="s">
        <v>1113</v>
      </c>
      <c r="H81" s="6"/>
      <c r="I81" s="6"/>
      <c r="J81" s="6"/>
      <c r="K81" s="6"/>
      <c r="L81" s="6"/>
    </row>
    <row r="82" spans="1:12" x14ac:dyDescent="0.2">
      <c r="A82">
        <v>115</v>
      </c>
      <c r="B82" s="6" t="str">
        <f>IF(OR(F82="NA",G82="wide_value"),"",TRUE)</f>
        <v/>
      </c>
      <c r="C82" s="6" t="s">
        <v>24</v>
      </c>
      <c r="D82" s="6" t="s">
        <v>192</v>
      </c>
      <c r="E82" s="6" t="s">
        <v>1150</v>
      </c>
      <c r="F82" s="6" t="s">
        <v>497</v>
      </c>
      <c r="G82" s="6" t="s">
        <v>1013</v>
      </c>
      <c r="H82" s="6" t="s">
        <v>1014</v>
      </c>
      <c r="I82" s="6" t="s">
        <v>1023</v>
      </c>
      <c r="J82" s="6" t="s">
        <v>1046</v>
      </c>
      <c r="K82" s="6"/>
      <c r="L82" s="5" t="s">
        <v>1034</v>
      </c>
    </row>
    <row r="83" spans="1:12" x14ac:dyDescent="0.2">
      <c r="A83">
        <v>124</v>
      </c>
      <c r="B83" s="6" t="str">
        <f>IF(OR(F83="NA",G83="wide_value"),"",TRUE)</f>
        <v/>
      </c>
      <c r="C83" s="6" t="s">
        <v>24</v>
      </c>
      <c r="D83" s="6" t="s">
        <v>192</v>
      </c>
      <c r="E83" s="6" t="s">
        <v>1148</v>
      </c>
      <c r="F83" s="6" t="s">
        <v>497</v>
      </c>
      <c r="G83" s="9" t="s">
        <v>1113</v>
      </c>
      <c r="H83" s="6"/>
      <c r="I83" s="6"/>
      <c r="J83" s="6"/>
      <c r="K83" s="6"/>
      <c r="L83" s="6"/>
    </row>
    <row r="84" spans="1:12" x14ac:dyDescent="0.2">
      <c r="A84">
        <v>125</v>
      </c>
      <c r="B84" s="6" t="str">
        <f>IF(OR(F84="NA",G84="wide_value"),"",TRUE)</f>
        <v/>
      </c>
      <c r="C84" s="6" t="s">
        <v>24</v>
      </c>
      <c r="D84" s="6" t="s">
        <v>192</v>
      </c>
      <c r="E84" s="6" t="s">
        <v>32</v>
      </c>
      <c r="F84" s="6" t="s">
        <v>497</v>
      </c>
      <c r="G84" s="6" t="s">
        <v>1013</v>
      </c>
      <c r="H84" s="6" t="s">
        <v>1014</v>
      </c>
      <c r="I84" s="6" t="s">
        <v>1024</v>
      </c>
      <c r="J84" s="6" t="s">
        <v>1046</v>
      </c>
      <c r="K84" s="6"/>
      <c r="L84" s="5" t="s">
        <v>1034</v>
      </c>
    </row>
    <row r="85" spans="1:12" x14ac:dyDescent="0.2">
      <c r="A85">
        <v>127</v>
      </c>
      <c r="B85" s="6" t="str">
        <f>IF(OR(F85="NA",G85="wide_value"),"",TRUE)</f>
        <v/>
      </c>
      <c r="C85" s="6" t="s">
        <v>24</v>
      </c>
      <c r="D85" s="6" t="s">
        <v>192</v>
      </c>
      <c r="E85" s="6" t="s">
        <v>103</v>
      </c>
      <c r="F85" s="6" t="s">
        <v>497</v>
      </c>
      <c r="G85" s="9" t="s">
        <v>1113</v>
      </c>
      <c r="H85" s="6"/>
      <c r="I85" s="6"/>
      <c r="J85" s="6"/>
      <c r="K85" s="6"/>
      <c r="L85" s="6"/>
    </row>
    <row r="86" spans="1:12" x14ac:dyDescent="0.2">
      <c r="A86">
        <v>128</v>
      </c>
      <c r="B86" s="6" t="str">
        <f>IF(OR(F86="NA",G86="wide_value"),"",TRUE)</f>
        <v/>
      </c>
      <c r="C86" s="6" t="s">
        <v>24</v>
      </c>
      <c r="D86" s="6" t="s">
        <v>192</v>
      </c>
      <c r="E86" s="6" t="s">
        <v>52</v>
      </c>
      <c r="F86" s="6" t="s">
        <v>497</v>
      </c>
      <c r="G86" s="6" t="s">
        <v>1013</v>
      </c>
      <c r="H86" s="6" t="s">
        <v>1014</v>
      </c>
      <c r="I86" s="6" t="s">
        <v>1035</v>
      </c>
      <c r="J86" s="6" t="s">
        <v>1046</v>
      </c>
      <c r="K86" s="6"/>
      <c r="L86" s="5" t="s">
        <v>1034</v>
      </c>
    </row>
    <row r="87" spans="1:12" x14ac:dyDescent="0.2">
      <c r="A87">
        <v>129</v>
      </c>
      <c r="B87" s="6" t="str">
        <f>IF(OR(F87="NA",G87="wide_value"),"",TRUE)</f>
        <v/>
      </c>
      <c r="C87" s="6" t="s">
        <v>24</v>
      </c>
      <c r="D87" s="6" t="s">
        <v>192</v>
      </c>
      <c r="E87" s="6" t="s">
        <v>176</v>
      </c>
      <c r="F87" s="6" t="s">
        <v>497</v>
      </c>
      <c r="G87" s="9" t="s">
        <v>1113</v>
      </c>
      <c r="H87" s="6"/>
      <c r="I87" s="6"/>
      <c r="J87" s="6"/>
      <c r="K87" s="6"/>
      <c r="L87" s="6"/>
    </row>
    <row r="88" spans="1:12" x14ac:dyDescent="0.2">
      <c r="A88">
        <v>130</v>
      </c>
      <c r="B88" s="6" t="str">
        <f>IF(OR(F88="NA",G88="wide_value"),"",TRUE)</f>
        <v/>
      </c>
      <c r="C88" s="6" t="s">
        <v>24</v>
      </c>
      <c r="D88" s="6" t="s">
        <v>192</v>
      </c>
      <c r="E88" s="6" t="s">
        <v>106</v>
      </c>
      <c r="F88" s="6" t="s">
        <v>311</v>
      </c>
      <c r="G88" s="9" t="s">
        <v>1113</v>
      </c>
      <c r="H88" s="6"/>
      <c r="I88" s="6"/>
      <c r="J88" s="6"/>
      <c r="K88" s="6"/>
      <c r="L88" s="6"/>
    </row>
    <row r="89" spans="1:12" x14ac:dyDescent="0.2">
      <c r="A89">
        <v>131</v>
      </c>
      <c r="B89" s="6" t="str">
        <f>IF(OR(F89="NA",G89="wide_value"),"",TRUE)</f>
        <v/>
      </c>
      <c r="C89" s="6" t="s">
        <v>24</v>
      </c>
      <c r="D89" s="6" t="s">
        <v>192</v>
      </c>
      <c r="E89" s="6" t="s">
        <v>106</v>
      </c>
      <c r="F89" s="6" t="s">
        <v>312</v>
      </c>
      <c r="G89" s="9" t="s">
        <v>1113</v>
      </c>
      <c r="H89" s="6"/>
      <c r="I89" s="6"/>
      <c r="J89" s="6"/>
      <c r="K89" s="6"/>
      <c r="L89" s="6"/>
    </row>
    <row r="90" spans="1:12" x14ac:dyDescent="0.2">
      <c r="A90">
        <v>132</v>
      </c>
      <c r="B90" s="6" t="str">
        <f>IF(OR(F90="NA",G90="wide_value"),"",TRUE)</f>
        <v/>
      </c>
      <c r="C90" s="6" t="s">
        <v>24</v>
      </c>
      <c r="D90" s="6" t="s">
        <v>192</v>
      </c>
      <c r="E90" s="6" t="s">
        <v>106</v>
      </c>
      <c r="F90" s="6" t="s">
        <v>313</v>
      </c>
      <c r="G90" s="9" t="s">
        <v>1113</v>
      </c>
      <c r="H90" s="6"/>
      <c r="I90" s="6"/>
      <c r="J90" s="6"/>
      <c r="K90" s="6"/>
      <c r="L90" s="6"/>
    </row>
    <row r="91" spans="1:12" x14ac:dyDescent="0.2">
      <c r="A91">
        <v>133</v>
      </c>
      <c r="B91" s="6" t="str">
        <f>IF(OR(F91="NA",G91="wide_value"),"",TRUE)</f>
        <v/>
      </c>
      <c r="C91" s="6" t="s">
        <v>24</v>
      </c>
      <c r="D91" s="6" t="s">
        <v>192</v>
      </c>
      <c r="E91" s="6" t="s">
        <v>33</v>
      </c>
      <c r="F91" s="6" t="s">
        <v>497</v>
      </c>
      <c r="G91" s="6" t="s">
        <v>1013</v>
      </c>
      <c r="H91" s="6" t="s">
        <v>1014</v>
      </c>
      <c r="I91" s="6" t="s">
        <v>1025</v>
      </c>
      <c r="J91" s="6" t="s">
        <v>1046</v>
      </c>
      <c r="K91" s="6"/>
      <c r="L91" s="5" t="s">
        <v>1034</v>
      </c>
    </row>
    <row r="92" spans="1:12" x14ac:dyDescent="0.2">
      <c r="A92">
        <v>139</v>
      </c>
      <c r="B92" s="6" t="str">
        <f>IF(OR(F92="NA",G92="wide_value"),"",TRUE)</f>
        <v/>
      </c>
      <c r="C92" s="6" t="s">
        <v>24</v>
      </c>
      <c r="D92" s="6" t="s">
        <v>192</v>
      </c>
      <c r="E92" s="6" t="s">
        <v>182</v>
      </c>
      <c r="F92" s="6" t="s">
        <v>497</v>
      </c>
      <c r="G92" s="9" t="s">
        <v>1113</v>
      </c>
      <c r="H92" s="6"/>
      <c r="I92" s="6"/>
      <c r="J92" s="6"/>
      <c r="K92" s="6"/>
      <c r="L92" s="6"/>
    </row>
    <row r="93" spans="1:12" x14ac:dyDescent="0.2">
      <c r="A93">
        <v>140</v>
      </c>
      <c r="B93" s="6" t="str">
        <f>IF(OR(F93="NA",G93="wide_value"),"",TRUE)</f>
        <v/>
      </c>
      <c r="C93" s="6" t="s">
        <v>24</v>
      </c>
      <c r="D93" s="6" t="s">
        <v>192</v>
      </c>
      <c r="E93" s="6" t="s">
        <v>156</v>
      </c>
      <c r="F93" s="6" t="s">
        <v>314</v>
      </c>
      <c r="G93" s="9" t="s">
        <v>1113</v>
      </c>
      <c r="H93" s="6"/>
      <c r="I93" s="6"/>
      <c r="J93" s="6"/>
      <c r="K93" s="6"/>
      <c r="L93" s="6"/>
    </row>
    <row r="94" spans="1:12" x14ac:dyDescent="0.2">
      <c r="A94">
        <v>141</v>
      </c>
      <c r="B94" s="6" t="str">
        <f>IF(OR(F94="NA",G94="wide_value"),"",TRUE)</f>
        <v/>
      </c>
      <c r="C94" s="6" t="s">
        <v>24</v>
      </c>
      <c r="D94" s="6" t="s">
        <v>192</v>
      </c>
      <c r="E94" s="6" t="s">
        <v>156</v>
      </c>
      <c r="F94" s="6" t="s">
        <v>315</v>
      </c>
      <c r="G94" s="9" t="s">
        <v>1113</v>
      </c>
      <c r="H94" s="6"/>
      <c r="I94" s="6"/>
      <c r="J94" s="6"/>
      <c r="K94" s="6"/>
      <c r="L94" s="6"/>
    </row>
    <row r="95" spans="1:12" x14ac:dyDescent="0.2">
      <c r="A95">
        <v>142</v>
      </c>
      <c r="B95" s="6" t="str">
        <f>IF(OR(F95="NA",G95="wide_value"),"",TRUE)</f>
        <v/>
      </c>
      <c r="C95" s="6" t="s">
        <v>24</v>
      </c>
      <c r="D95" s="6" t="s">
        <v>192</v>
      </c>
      <c r="E95" s="6" t="s">
        <v>156</v>
      </c>
      <c r="F95" s="6" t="s">
        <v>316</v>
      </c>
      <c r="G95" s="9" t="s">
        <v>1113</v>
      </c>
      <c r="H95" s="6"/>
      <c r="I95" s="6"/>
      <c r="J95" s="6"/>
      <c r="K95" s="6"/>
      <c r="L95" s="6"/>
    </row>
    <row r="96" spans="1:12" x14ac:dyDescent="0.2">
      <c r="A96">
        <v>143</v>
      </c>
      <c r="B96" s="6" t="str">
        <f>IF(OR(F96="NA",G96="wide_value"),"",TRUE)</f>
        <v/>
      </c>
      <c r="C96" s="6" t="s">
        <v>24</v>
      </c>
      <c r="D96" s="6" t="s">
        <v>192</v>
      </c>
      <c r="E96" s="6" t="s">
        <v>156</v>
      </c>
      <c r="F96" s="6" t="s">
        <v>317</v>
      </c>
      <c r="G96" s="9" t="s">
        <v>1113</v>
      </c>
      <c r="H96" s="6"/>
      <c r="I96" s="6"/>
      <c r="J96" s="6"/>
      <c r="K96" s="6"/>
      <c r="L96" s="6"/>
    </row>
    <row r="97" spans="1:12" x14ac:dyDescent="0.2">
      <c r="A97">
        <v>144</v>
      </c>
      <c r="B97" s="6" t="str">
        <f>IF(OR(F97="NA",G97="wide_value"),"",TRUE)</f>
        <v/>
      </c>
      <c r="C97" s="6" t="s">
        <v>24</v>
      </c>
      <c r="D97" s="6" t="s">
        <v>192</v>
      </c>
      <c r="E97" s="6" t="s">
        <v>156</v>
      </c>
      <c r="F97" s="6" t="s">
        <v>318</v>
      </c>
      <c r="G97" s="9" t="s">
        <v>1113</v>
      </c>
      <c r="H97" s="6"/>
      <c r="I97" s="6"/>
      <c r="J97" s="6"/>
      <c r="K97" s="6"/>
      <c r="L97" s="6"/>
    </row>
    <row r="98" spans="1:12" x14ac:dyDescent="0.2">
      <c r="A98">
        <v>145</v>
      </c>
      <c r="B98" s="6" t="str">
        <f>IF(OR(F98="NA",G98="wide_value"),"",TRUE)</f>
        <v/>
      </c>
      <c r="C98" s="6" t="s">
        <v>24</v>
      </c>
      <c r="D98" s="6" t="s">
        <v>192</v>
      </c>
      <c r="E98" s="6" t="s">
        <v>156</v>
      </c>
      <c r="F98" s="6" t="s">
        <v>319</v>
      </c>
      <c r="G98" s="9" t="s">
        <v>1113</v>
      </c>
      <c r="H98" s="6"/>
      <c r="I98" s="6"/>
      <c r="J98" s="6"/>
      <c r="K98" s="6"/>
      <c r="L98" s="6"/>
    </row>
    <row r="99" spans="1:12" x14ac:dyDescent="0.2">
      <c r="A99">
        <v>146</v>
      </c>
      <c r="B99" s="6" t="str">
        <f>IF(OR(F99="NA",G99="wide_value"),"",TRUE)</f>
        <v/>
      </c>
      <c r="C99" s="6" t="s">
        <v>24</v>
      </c>
      <c r="D99" s="6" t="s">
        <v>192</v>
      </c>
      <c r="E99" s="6" t="s">
        <v>156</v>
      </c>
      <c r="F99" s="6" t="s">
        <v>320</v>
      </c>
      <c r="G99" s="9" t="s">
        <v>1113</v>
      </c>
      <c r="H99" s="6"/>
      <c r="I99" s="6"/>
      <c r="J99" s="6"/>
      <c r="K99" s="6"/>
      <c r="L99" s="6"/>
    </row>
    <row r="100" spans="1:12" x14ac:dyDescent="0.2">
      <c r="A100">
        <v>147</v>
      </c>
      <c r="B100" s="6" t="str">
        <f>IF(OR(F100="NA",G100="wide_value"),"",TRUE)</f>
        <v/>
      </c>
      <c r="C100" s="6" t="s">
        <v>24</v>
      </c>
      <c r="D100" s="6" t="s">
        <v>192</v>
      </c>
      <c r="E100" s="6" t="s">
        <v>156</v>
      </c>
      <c r="F100" s="6" t="s">
        <v>321</v>
      </c>
      <c r="G100" s="9" t="s">
        <v>1113</v>
      </c>
      <c r="H100" s="6"/>
      <c r="I100" s="6"/>
      <c r="J100" s="6"/>
      <c r="K100" s="6"/>
      <c r="L100" s="6"/>
    </row>
    <row r="101" spans="1:12" x14ac:dyDescent="0.2">
      <c r="A101">
        <v>148</v>
      </c>
      <c r="B101" s="6" t="str">
        <f>IF(OR(F101="NA",G101="wide_value"),"",TRUE)</f>
        <v/>
      </c>
      <c r="C101" s="6" t="s">
        <v>24</v>
      </c>
      <c r="D101" s="6" t="s">
        <v>192</v>
      </c>
      <c r="E101" s="6" t="s">
        <v>34</v>
      </c>
      <c r="F101" s="6" t="s">
        <v>497</v>
      </c>
      <c r="G101" s="6" t="s">
        <v>1013</v>
      </c>
      <c r="H101" s="6" t="s">
        <v>1014</v>
      </c>
      <c r="I101" s="6" t="s">
        <v>1026</v>
      </c>
      <c r="J101" s="6" t="s">
        <v>1046</v>
      </c>
      <c r="K101" s="6"/>
      <c r="L101" s="5" t="s">
        <v>1034</v>
      </c>
    </row>
    <row r="102" spans="1:12" x14ac:dyDescent="0.2">
      <c r="A102">
        <v>154</v>
      </c>
      <c r="B102" s="6" t="str">
        <f>IF(OR(F102="NA",G102="wide_value"),"",TRUE)</f>
        <v/>
      </c>
      <c r="C102" s="6" t="s">
        <v>24</v>
      </c>
      <c r="D102" s="6" t="s">
        <v>192</v>
      </c>
      <c r="E102" s="6" t="s">
        <v>118</v>
      </c>
      <c r="F102" s="6" t="s">
        <v>497</v>
      </c>
      <c r="G102" s="9" t="s">
        <v>1113</v>
      </c>
      <c r="H102" s="6"/>
      <c r="I102" s="6"/>
      <c r="J102" s="6"/>
      <c r="K102" s="6"/>
      <c r="L102" s="6"/>
    </row>
    <row r="103" spans="1:12" x14ac:dyDescent="0.2">
      <c r="A103">
        <v>159</v>
      </c>
      <c r="B103" s="6" t="str">
        <f>IF(OR(F103="NA",G103="wide_value"),"",TRUE)</f>
        <v/>
      </c>
      <c r="C103" s="6" t="s">
        <v>24</v>
      </c>
      <c r="D103" s="6" t="s">
        <v>192</v>
      </c>
      <c r="E103" s="6" t="s">
        <v>180</v>
      </c>
      <c r="F103" s="6" t="s">
        <v>497</v>
      </c>
      <c r="G103" s="9" t="s">
        <v>1113</v>
      </c>
      <c r="H103" s="6"/>
      <c r="I103" s="6"/>
      <c r="J103" s="6"/>
      <c r="K103" s="6"/>
      <c r="L103" s="6"/>
    </row>
    <row r="104" spans="1:12" x14ac:dyDescent="0.2">
      <c r="A104">
        <v>160</v>
      </c>
      <c r="B104" s="6" t="str">
        <f>IF(OR(F104="NA",G104="wide_value"),"",TRUE)</f>
        <v/>
      </c>
      <c r="C104" s="6" t="s">
        <v>24</v>
      </c>
      <c r="D104" s="6" t="s">
        <v>192</v>
      </c>
      <c r="E104" s="6" t="s">
        <v>177</v>
      </c>
      <c r="F104" s="6" t="s">
        <v>497</v>
      </c>
      <c r="G104" s="9" t="s">
        <v>1113</v>
      </c>
      <c r="H104" s="6"/>
      <c r="I104" s="6"/>
      <c r="J104" s="6"/>
      <c r="K104" s="6"/>
      <c r="L104" s="6"/>
    </row>
    <row r="105" spans="1:12" x14ac:dyDescent="0.2">
      <c r="A105">
        <v>161</v>
      </c>
      <c r="B105" s="6" t="str">
        <f>IF(OR(F105="NA",G105="wide_value"),"",TRUE)</f>
        <v/>
      </c>
      <c r="C105" s="6" t="s">
        <v>24</v>
      </c>
      <c r="D105" s="6" t="s">
        <v>192</v>
      </c>
      <c r="E105" s="6" t="s">
        <v>183</v>
      </c>
      <c r="F105" s="6" t="s">
        <v>314</v>
      </c>
      <c r="G105" s="9" t="s">
        <v>1113</v>
      </c>
      <c r="H105" s="6"/>
      <c r="I105" s="6"/>
      <c r="J105" s="6"/>
      <c r="K105" s="6"/>
      <c r="L105" s="6"/>
    </row>
    <row r="106" spans="1:12" x14ac:dyDescent="0.2">
      <c r="A106">
        <v>162</v>
      </c>
      <c r="B106" s="6" t="str">
        <f>IF(OR(F106="NA",G106="wide_value"),"",TRUE)</f>
        <v/>
      </c>
      <c r="C106" s="6" t="s">
        <v>24</v>
      </c>
      <c r="D106" s="6" t="s">
        <v>192</v>
      </c>
      <c r="E106" s="6" t="s">
        <v>183</v>
      </c>
      <c r="F106" s="6" t="s">
        <v>315</v>
      </c>
      <c r="G106" s="9" t="s">
        <v>1113</v>
      </c>
      <c r="H106" s="6"/>
      <c r="I106" s="6"/>
      <c r="J106" s="6"/>
      <c r="K106" s="6"/>
      <c r="L106" s="6"/>
    </row>
    <row r="107" spans="1:12" x14ac:dyDescent="0.2">
      <c r="A107">
        <v>163</v>
      </c>
      <c r="B107" s="6" t="str">
        <f>IF(OR(F107="NA",G107="wide_value"),"",TRUE)</f>
        <v/>
      </c>
      <c r="C107" s="6" t="s">
        <v>24</v>
      </c>
      <c r="D107" s="6" t="s">
        <v>192</v>
      </c>
      <c r="E107" s="6" t="s">
        <v>183</v>
      </c>
      <c r="F107" s="6" t="s">
        <v>316</v>
      </c>
      <c r="G107" s="9" t="s">
        <v>1113</v>
      </c>
      <c r="H107" s="6"/>
      <c r="I107" s="6"/>
      <c r="J107" s="6"/>
      <c r="K107" s="6"/>
      <c r="L107" s="6"/>
    </row>
    <row r="108" spans="1:12" x14ac:dyDescent="0.2">
      <c r="A108">
        <v>164</v>
      </c>
      <c r="B108" s="6" t="str">
        <f>IF(OR(F108="NA",G108="wide_value"),"",TRUE)</f>
        <v/>
      </c>
      <c r="C108" s="6" t="s">
        <v>24</v>
      </c>
      <c r="D108" s="6" t="s">
        <v>192</v>
      </c>
      <c r="E108" s="6" t="s">
        <v>183</v>
      </c>
      <c r="F108" s="6" t="s">
        <v>317</v>
      </c>
      <c r="G108" s="9" t="s">
        <v>1113</v>
      </c>
      <c r="H108" s="6"/>
      <c r="I108" s="6"/>
      <c r="J108" s="6"/>
      <c r="K108" s="6"/>
      <c r="L108" s="6"/>
    </row>
    <row r="109" spans="1:12" x14ac:dyDescent="0.2">
      <c r="A109">
        <v>165</v>
      </c>
      <c r="B109" s="6" t="str">
        <f>IF(OR(F109="NA",G109="wide_value"),"",TRUE)</f>
        <v/>
      </c>
      <c r="C109" s="6" t="s">
        <v>24</v>
      </c>
      <c r="D109" s="6" t="s">
        <v>192</v>
      </c>
      <c r="E109" s="6" t="s">
        <v>183</v>
      </c>
      <c r="F109" s="6" t="s">
        <v>318</v>
      </c>
      <c r="G109" s="9" t="s">
        <v>1113</v>
      </c>
      <c r="H109" s="6"/>
      <c r="I109" s="6"/>
      <c r="J109" s="6"/>
      <c r="K109" s="6"/>
      <c r="L109" s="6"/>
    </row>
    <row r="110" spans="1:12" x14ac:dyDescent="0.2">
      <c r="A110">
        <v>166</v>
      </c>
      <c r="B110" s="6" t="str">
        <f>IF(OR(F110="NA",G110="wide_value"),"",TRUE)</f>
        <v/>
      </c>
      <c r="C110" s="6" t="s">
        <v>24</v>
      </c>
      <c r="D110" s="6" t="s">
        <v>192</v>
      </c>
      <c r="E110" s="6" t="s">
        <v>183</v>
      </c>
      <c r="F110" s="6" t="s">
        <v>319</v>
      </c>
      <c r="G110" s="9" t="s">
        <v>1113</v>
      </c>
      <c r="H110" s="6"/>
      <c r="I110" s="6"/>
      <c r="J110" s="6"/>
      <c r="K110" s="6"/>
      <c r="L110" s="6"/>
    </row>
    <row r="111" spans="1:12" x14ac:dyDescent="0.2">
      <c r="A111">
        <v>167</v>
      </c>
      <c r="B111" s="6" t="str">
        <f>IF(OR(F111="NA",G111="wide_value"),"",TRUE)</f>
        <v/>
      </c>
      <c r="C111" s="6" t="s">
        <v>24</v>
      </c>
      <c r="D111" s="6" t="s">
        <v>192</v>
      </c>
      <c r="E111" s="6" t="s">
        <v>183</v>
      </c>
      <c r="F111" s="6" t="s">
        <v>320</v>
      </c>
      <c r="G111" s="9" t="s">
        <v>1113</v>
      </c>
      <c r="H111" s="6"/>
      <c r="I111" s="6"/>
      <c r="J111" s="6"/>
      <c r="K111" s="6"/>
      <c r="L111" s="6"/>
    </row>
    <row r="112" spans="1:12" x14ac:dyDescent="0.2">
      <c r="A112">
        <v>168</v>
      </c>
      <c r="B112" s="6" t="str">
        <f>IF(OR(F112="NA",G112="wide_value"),"",TRUE)</f>
        <v/>
      </c>
      <c r="C112" s="6" t="s">
        <v>24</v>
      </c>
      <c r="D112" s="6" t="s">
        <v>192</v>
      </c>
      <c r="E112" s="6" t="s">
        <v>183</v>
      </c>
      <c r="F112" s="6" t="s">
        <v>321</v>
      </c>
      <c r="G112" s="9" t="s">
        <v>1113</v>
      </c>
      <c r="H112" s="6"/>
      <c r="I112" s="6"/>
      <c r="J112" s="6"/>
      <c r="K112" s="6"/>
      <c r="L112" s="6"/>
    </row>
    <row r="113" spans="1:12" x14ac:dyDescent="0.2">
      <c r="A113">
        <v>169</v>
      </c>
      <c r="B113" s="6" t="str">
        <f>IF(OR(F113="NA",G113="wide_value"),"",TRUE)</f>
        <v/>
      </c>
      <c r="C113" s="6" t="s">
        <v>24</v>
      </c>
      <c r="D113" s="6" t="s">
        <v>192</v>
      </c>
      <c r="E113" s="6" t="s">
        <v>1147</v>
      </c>
      <c r="F113" s="6" t="s">
        <v>497</v>
      </c>
      <c r="G113" s="6" t="s">
        <v>1013</v>
      </c>
      <c r="H113" s="6" t="s">
        <v>1014</v>
      </c>
      <c r="I113" s="6" t="s">
        <v>1023</v>
      </c>
      <c r="J113" s="6" t="s">
        <v>1046</v>
      </c>
      <c r="K113" s="6"/>
      <c r="L113" s="5" t="s">
        <v>1034</v>
      </c>
    </row>
    <row r="114" spans="1:12" x14ac:dyDescent="0.2">
      <c r="A114">
        <v>178</v>
      </c>
      <c r="B114" s="6" t="str">
        <f>IF(OR(F114="NA",G114="wide_value"),"",TRUE)</f>
        <v/>
      </c>
      <c r="C114" s="6" t="s">
        <v>24</v>
      </c>
      <c r="D114" s="6" t="s">
        <v>192</v>
      </c>
      <c r="E114" s="6" t="s">
        <v>1145</v>
      </c>
      <c r="F114" s="6" t="s">
        <v>497</v>
      </c>
      <c r="G114" s="9" t="s">
        <v>1113</v>
      </c>
      <c r="H114" s="6"/>
      <c r="I114" s="6"/>
      <c r="J114" s="6"/>
      <c r="K114" s="6"/>
      <c r="L114" s="6"/>
    </row>
    <row r="115" spans="1:12" x14ac:dyDescent="0.2">
      <c r="A115">
        <v>179</v>
      </c>
      <c r="B115" s="6" t="str">
        <f>IF(OR(F115="NA",G115="wide_value"),"",TRUE)</f>
        <v/>
      </c>
      <c r="C115" s="6" t="s">
        <v>24</v>
      </c>
      <c r="D115" s="6" t="s">
        <v>192</v>
      </c>
      <c r="E115" s="6" t="s">
        <v>35</v>
      </c>
      <c r="F115" s="6" t="s">
        <v>497</v>
      </c>
      <c r="G115" s="6" t="s">
        <v>1013</v>
      </c>
      <c r="H115" s="6" t="s">
        <v>1014</v>
      </c>
      <c r="I115" s="6" t="s">
        <v>1027</v>
      </c>
      <c r="J115" s="6" t="s">
        <v>1046</v>
      </c>
      <c r="K115" s="6"/>
      <c r="L115" s="5" t="s">
        <v>1034</v>
      </c>
    </row>
    <row r="116" spans="1:12" x14ac:dyDescent="0.2">
      <c r="A116">
        <v>182</v>
      </c>
      <c r="B116" s="6" t="str">
        <f>IF(OR(F116="NA",G116="wide_value"),"",TRUE)</f>
        <v/>
      </c>
      <c r="C116" s="6" t="s">
        <v>24</v>
      </c>
      <c r="D116" s="6" t="s">
        <v>192</v>
      </c>
      <c r="E116" s="6" t="s">
        <v>129</v>
      </c>
      <c r="F116" s="6" t="s">
        <v>497</v>
      </c>
      <c r="G116" s="9" t="s">
        <v>1113</v>
      </c>
      <c r="H116" s="6"/>
      <c r="I116" s="6"/>
      <c r="J116" s="6"/>
      <c r="K116" s="6"/>
      <c r="L116" s="6"/>
    </row>
    <row r="117" spans="1:12" x14ac:dyDescent="0.2">
      <c r="A117">
        <v>183</v>
      </c>
      <c r="B117" s="6" t="str">
        <f>IF(OR(F117="NA",G117="wide_value"),"",TRUE)</f>
        <v/>
      </c>
      <c r="C117" s="6" t="s">
        <v>24</v>
      </c>
      <c r="D117" s="6" t="s">
        <v>192</v>
      </c>
      <c r="E117" s="6" t="s">
        <v>36</v>
      </c>
      <c r="F117" s="6" t="s">
        <v>497</v>
      </c>
      <c r="G117" s="6" t="s">
        <v>1013</v>
      </c>
      <c r="H117" s="6" t="s">
        <v>1014</v>
      </c>
      <c r="I117" s="6" t="s">
        <v>1028</v>
      </c>
      <c r="J117" s="6" t="s">
        <v>1046</v>
      </c>
      <c r="K117" s="6"/>
      <c r="L117" s="5" t="s">
        <v>1034</v>
      </c>
    </row>
    <row r="118" spans="1:12" x14ac:dyDescent="0.2">
      <c r="A118">
        <v>187</v>
      </c>
      <c r="B118" s="6" t="str">
        <f>IF(OR(F118="NA",G118="wide_value"),"",TRUE)</f>
        <v/>
      </c>
      <c r="C118" s="6" t="s">
        <v>24</v>
      </c>
      <c r="D118" s="6" t="s">
        <v>192</v>
      </c>
      <c r="E118" s="6" t="s">
        <v>188</v>
      </c>
      <c r="F118" s="6" t="s">
        <v>497</v>
      </c>
      <c r="G118" s="9" t="s">
        <v>1113</v>
      </c>
      <c r="H118" s="6"/>
      <c r="I118" s="6"/>
      <c r="J118" s="6"/>
      <c r="K118" s="6"/>
      <c r="L118" s="6"/>
    </row>
    <row r="119" spans="1:12" x14ac:dyDescent="0.2">
      <c r="A119">
        <v>188</v>
      </c>
      <c r="B119" s="6" t="str">
        <f>IF(OR(F119="NA",G119="wide_value"),"",TRUE)</f>
        <v/>
      </c>
      <c r="C119" s="6" t="s">
        <v>24</v>
      </c>
      <c r="D119" s="6" t="s">
        <v>192</v>
      </c>
      <c r="E119" s="6" t="s">
        <v>37</v>
      </c>
      <c r="F119" s="6" t="s">
        <v>497</v>
      </c>
      <c r="G119" s="6" t="s">
        <v>1013</v>
      </c>
      <c r="H119" s="6" t="s">
        <v>1014</v>
      </c>
      <c r="I119" s="6" t="s">
        <v>1029</v>
      </c>
      <c r="J119" s="6" t="s">
        <v>1046</v>
      </c>
      <c r="K119" s="6"/>
      <c r="L119" s="5" t="s">
        <v>1034</v>
      </c>
    </row>
    <row r="120" spans="1:12" x14ac:dyDescent="0.2">
      <c r="A120">
        <v>194</v>
      </c>
      <c r="B120" s="6" t="str">
        <f>IF(OR(F120="NA",G120="wide_value"),"",TRUE)</f>
        <v/>
      </c>
      <c r="C120" s="6" t="s">
        <v>24</v>
      </c>
      <c r="D120" s="6" t="s">
        <v>192</v>
      </c>
      <c r="E120" s="6" t="s">
        <v>187</v>
      </c>
      <c r="F120" s="6" t="s">
        <v>497</v>
      </c>
      <c r="G120" s="9" t="s">
        <v>1113</v>
      </c>
      <c r="H120" s="6"/>
      <c r="I120" s="6"/>
      <c r="J120" s="6"/>
      <c r="K120" s="6"/>
      <c r="L120" s="6"/>
    </row>
    <row r="121" spans="1:12" x14ac:dyDescent="0.2">
      <c r="A121">
        <v>195</v>
      </c>
      <c r="B121" s="6" t="str">
        <f>IF(OR(F121="NA",G121="wide_value"),"",TRUE)</f>
        <v/>
      </c>
      <c r="C121" s="6" t="s">
        <v>24</v>
      </c>
      <c r="D121" s="6" t="s">
        <v>192</v>
      </c>
      <c r="E121" s="6" t="s">
        <v>38</v>
      </c>
      <c r="F121" s="6" t="s">
        <v>497</v>
      </c>
      <c r="G121" s="6" t="s">
        <v>1013</v>
      </c>
      <c r="H121" s="6" t="s">
        <v>1014</v>
      </c>
      <c r="I121" s="6" t="s">
        <v>1030</v>
      </c>
      <c r="J121" s="6" t="s">
        <v>1046</v>
      </c>
      <c r="K121" s="6"/>
      <c r="L121" s="5" t="s">
        <v>1034</v>
      </c>
    </row>
    <row r="122" spans="1:12" x14ac:dyDescent="0.2">
      <c r="A122">
        <v>198</v>
      </c>
      <c r="B122" s="6" t="str">
        <f>IF(OR(F122="NA",G122="wide_value"),"",TRUE)</f>
        <v/>
      </c>
      <c r="C122" s="6" t="s">
        <v>24</v>
      </c>
      <c r="D122" s="6" t="s">
        <v>192</v>
      </c>
      <c r="E122" s="6" t="s">
        <v>189</v>
      </c>
      <c r="F122" s="6" t="s">
        <v>497</v>
      </c>
      <c r="G122" s="9" t="s">
        <v>1113</v>
      </c>
      <c r="H122" s="6"/>
      <c r="I122" s="6"/>
      <c r="J122" s="6"/>
      <c r="K122" s="6"/>
      <c r="L122" s="6"/>
    </row>
    <row r="123" spans="1:12" x14ac:dyDescent="0.2">
      <c r="A123">
        <v>199</v>
      </c>
      <c r="B123" s="6" t="str">
        <f>IF(OR(F123="NA",G123="wide_value"),"",TRUE)</f>
        <v/>
      </c>
      <c r="C123" s="6" t="s">
        <v>24</v>
      </c>
      <c r="D123" s="6" t="s">
        <v>192</v>
      </c>
      <c r="E123" s="6" t="s">
        <v>39</v>
      </c>
      <c r="F123" s="6" t="s">
        <v>497</v>
      </c>
      <c r="G123" s="6" t="s">
        <v>1013</v>
      </c>
      <c r="H123" s="6" t="s">
        <v>1014</v>
      </c>
      <c r="I123" s="6" t="s">
        <v>1031</v>
      </c>
      <c r="J123" s="6" t="s">
        <v>1046</v>
      </c>
      <c r="K123" s="6"/>
      <c r="L123" s="5" t="s">
        <v>1034</v>
      </c>
    </row>
    <row r="124" spans="1:12" x14ac:dyDescent="0.2">
      <c r="A124">
        <v>202</v>
      </c>
      <c r="B124" s="6" t="str">
        <f>IF(OR(F124="NA",G124="wide_value"),"",TRUE)</f>
        <v/>
      </c>
      <c r="C124" s="6" t="s">
        <v>24</v>
      </c>
      <c r="D124" s="6" t="s">
        <v>192</v>
      </c>
      <c r="E124" s="6" t="s">
        <v>190</v>
      </c>
      <c r="F124" s="6" t="s">
        <v>497</v>
      </c>
      <c r="G124" s="9" t="s">
        <v>1113</v>
      </c>
      <c r="H124" s="6"/>
      <c r="I124" s="6"/>
      <c r="J124" s="6"/>
      <c r="K124" s="6"/>
      <c r="L124" s="6"/>
    </row>
    <row r="125" spans="1:12" x14ac:dyDescent="0.2">
      <c r="A125">
        <v>203</v>
      </c>
      <c r="B125" s="6" t="str">
        <f>IF(OR(F125="NA",G125="wide_value"),"",TRUE)</f>
        <v/>
      </c>
      <c r="C125" s="6" t="s">
        <v>24</v>
      </c>
      <c r="D125" s="6" t="s">
        <v>192</v>
      </c>
      <c r="E125" s="6" t="s">
        <v>40</v>
      </c>
      <c r="F125" s="6" t="s">
        <v>497</v>
      </c>
      <c r="G125" s="6" t="s">
        <v>1013</v>
      </c>
      <c r="H125" s="6" t="s">
        <v>1014</v>
      </c>
      <c r="I125" s="6" t="s">
        <v>1032</v>
      </c>
      <c r="J125" s="6" t="s">
        <v>1046</v>
      </c>
      <c r="K125" s="6"/>
      <c r="L125" s="5" t="s">
        <v>1034</v>
      </c>
    </row>
    <row r="126" spans="1:12" x14ac:dyDescent="0.2">
      <c r="A126">
        <v>206</v>
      </c>
      <c r="B126" s="6" t="str">
        <f>IF(OR(F126="NA",G126="wide_value"),"",TRUE)</f>
        <v/>
      </c>
      <c r="C126" s="6" t="s">
        <v>24</v>
      </c>
      <c r="D126" s="6" t="s">
        <v>192</v>
      </c>
      <c r="E126" s="6" t="s">
        <v>191</v>
      </c>
      <c r="F126" s="6" t="s">
        <v>497</v>
      </c>
      <c r="G126" s="9" t="s">
        <v>1113</v>
      </c>
      <c r="H126" s="6"/>
      <c r="I126" s="6"/>
      <c r="J126" s="6"/>
      <c r="K126" s="6"/>
      <c r="L126" s="6"/>
    </row>
    <row r="127" spans="1:12" x14ac:dyDescent="0.2">
      <c r="A127">
        <v>208</v>
      </c>
      <c r="B127" s="6" t="str">
        <f>IF(OR(F127="NA",G127="wide_value"),"",TRUE)</f>
        <v/>
      </c>
      <c r="C127" s="6" t="s">
        <v>24</v>
      </c>
      <c r="D127" s="6" t="s">
        <v>192</v>
      </c>
      <c r="E127" s="6" t="s">
        <v>41</v>
      </c>
      <c r="F127" s="6" t="s">
        <v>497</v>
      </c>
      <c r="G127" s="6" t="s">
        <v>1013</v>
      </c>
      <c r="H127" s="6" t="s">
        <v>1014</v>
      </c>
      <c r="I127" s="6" t="s">
        <v>1033</v>
      </c>
      <c r="J127" s="6" t="s">
        <v>1046</v>
      </c>
      <c r="K127" s="6"/>
      <c r="L127" s="5" t="s">
        <v>1034</v>
      </c>
    </row>
    <row r="128" spans="1:12" x14ac:dyDescent="0.2">
      <c r="A128">
        <v>210</v>
      </c>
      <c r="B128" s="6" t="str">
        <f>IF(OR(F128="NA",G128="wide_value"),"",TRUE)</f>
        <v/>
      </c>
      <c r="C128" s="6" t="s">
        <v>24</v>
      </c>
      <c r="D128" s="6" t="s">
        <v>192</v>
      </c>
      <c r="E128" s="6" t="s">
        <v>160</v>
      </c>
      <c r="F128" s="6" t="s">
        <v>497</v>
      </c>
      <c r="G128" s="9" t="s">
        <v>1113</v>
      </c>
      <c r="H128" s="6"/>
      <c r="I128" s="6"/>
      <c r="J128" s="6"/>
      <c r="K128" s="6"/>
      <c r="L128" s="6"/>
    </row>
    <row r="129" spans="1:12" x14ac:dyDescent="0.2">
      <c r="A129">
        <v>215</v>
      </c>
      <c r="B129" s="6" t="str">
        <f>IF(OR(F129="NA",G129="wide_value"),"",TRUE)</f>
        <v/>
      </c>
      <c r="C129" s="6" t="s">
        <v>24</v>
      </c>
      <c r="D129" s="6" t="s">
        <v>192</v>
      </c>
      <c r="E129" s="6" t="s">
        <v>162</v>
      </c>
      <c r="F129" s="6" t="s">
        <v>497</v>
      </c>
      <c r="G129" s="9" t="s">
        <v>1113</v>
      </c>
      <c r="H129" s="6"/>
      <c r="I129" s="6"/>
      <c r="J129" s="6"/>
      <c r="K129" s="6"/>
      <c r="L129" s="6"/>
    </row>
    <row r="130" spans="1:12" x14ac:dyDescent="0.2">
      <c r="A130">
        <v>216</v>
      </c>
      <c r="B130" s="6" t="str">
        <f>IF(OR(F130="NA",G130="wide_value"),"",TRUE)</f>
        <v/>
      </c>
      <c r="C130" s="6" t="s">
        <v>24</v>
      </c>
      <c r="D130" s="6" t="s">
        <v>192</v>
      </c>
      <c r="E130" s="6" t="s">
        <v>163</v>
      </c>
      <c r="F130" s="6"/>
      <c r="G130" s="9" t="s">
        <v>1113</v>
      </c>
      <c r="H130" s="6"/>
      <c r="I130" s="6"/>
      <c r="J130" s="6"/>
      <c r="K130" s="6"/>
      <c r="L130" s="6"/>
    </row>
    <row r="131" spans="1:12" x14ac:dyDescent="0.2">
      <c r="A131">
        <v>217</v>
      </c>
      <c r="B131" s="6" t="str">
        <f>IF(OR(F131="NA",G131="wide_value"),"",TRUE)</f>
        <v/>
      </c>
      <c r="C131" s="6" t="s">
        <v>24</v>
      </c>
      <c r="D131" s="6" t="s">
        <v>192</v>
      </c>
      <c r="E131" s="6" t="s">
        <v>133</v>
      </c>
      <c r="F131" s="6" t="s">
        <v>497</v>
      </c>
      <c r="G131" s="9" t="s">
        <v>1113</v>
      </c>
      <c r="H131" s="6"/>
      <c r="I131" s="6"/>
      <c r="J131" s="6"/>
      <c r="K131" s="6"/>
      <c r="L131" s="6"/>
    </row>
    <row r="132" spans="1:12" x14ac:dyDescent="0.2">
      <c r="A132">
        <v>218</v>
      </c>
      <c r="B132" s="6" t="str">
        <f>IF(OR(F132="NA",G132="wide_value"),"",TRUE)</f>
        <v/>
      </c>
      <c r="C132" s="6" t="s">
        <v>24</v>
      </c>
      <c r="D132" s="6" t="s">
        <v>192</v>
      </c>
      <c r="E132" s="6" t="s">
        <v>130</v>
      </c>
      <c r="F132" s="6" t="s">
        <v>300</v>
      </c>
      <c r="G132" s="9" t="s">
        <v>1113</v>
      </c>
      <c r="H132" s="6"/>
      <c r="I132" s="6"/>
      <c r="J132" s="6"/>
      <c r="K132" s="6"/>
      <c r="L132" s="6"/>
    </row>
    <row r="133" spans="1:12" x14ac:dyDescent="0.2">
      <c r="A133">
        <v>219</v>
      </c>
      <c r="B133" s="6" t="str">
        <f>IF(OR(F133="NA",G133="wide_value"),"",TRUE)</f>
        <v/>
      </c>
      <c r="C133" s="6" t="s">
        <v>24</v>
      </c>
      <c r="D133" s="6" t="s">
        <v>192</v>
      </c>
      <c r="E133" s="6" t="s">
        <v>130</v>
      </c>
      <c r="F133" s="6" t="s">
        <v>301</v>
      </c>
      <c r="G133" s="9" t="s">
        <v>1113</v>
      </c>
      <c r="H133" s="6"/>
      <c r="I133" s="6"/>
      <c r="J133" s="6"/>
      <c r="K133" s="6"/>
      <c r="L133" s="6"/>
    </row>
    <row r="134" spans="1:12" x14ac:dyDescent="0.2">
      <c r="A134">
        <v>220</v>
      </c>
      <c r="B134" s="6" t="str">
        <f>IF(OR(F134="NA",G134="wide_value"),"",TRUE)</f>
        <v/>
      </c>
      <c r="C134" s="6" t="s">
        <v>24</v>
      </c>
      <c r="D134" s="6" t="s">
        <v>192</v>
      </c>
      <c r="E134" s="6" t="s">
        <v>130</v>
      </c>
      <c r="F134" s="6" t="s">
        <v>302</v>
      </c>
      <c r="G134" s="9" t="s">
        <v>1113</v>
      </c>
      <c r="H134" s="6"/>
      <c r="I134" s="6"/>
      <c r="J134" s="6"/>
      <c r="K134" s="6"/>
      <c r="L134" s="6"/>
    </row>
    <row r="135" spans="1:12" x14ac:dyDescent="0.2">
      <c r="A135">
        <v>221</v>
      </c>
      <c r="B135" s="6" t="str">
        <f>IF(OR(F135="NA",G135="wide_value"),"",TRUE)</f>
        <v/>
      </c>
      <c r="C135" s="6" t="s">
        <v>24</v>
      </c>
      <c r="D135" s="6" t="s">
        <v>192</v>
      </c>
      <c r="E135" s="6" t="s">
        <v>130</v>
      </c>
      <c r="F135" s="6" t="s">
        <v>303</v>
      </c>
      <c r="G135" s="9" t="s">
        <v>1113</v>
      </c>
      <c r="H135" s="6"/>
      <c r="I135" s="6"/>
      <c r="J135" s="6"/>
      <c r="K135" s="6"/>
      <c r="L135" s="6"/>
    </row>
    <row r="136" spans="1:12" x14ac:dyDescent="0.2">
      <c r="A136">
        <v>222</v>
      </c>
      <c r="B136" s="6" t="str">
        <f>IF(OR(F136="NA",G136="wide_value"),"",TRUE)</f>
        <v/>
      </c>
      <c r="C136" s="6" t="s">
        <v>24</v>
      </c>
      <c r="D136" s="6" t="s">
        <v>192</v>
      </c>
      <c r="E136" s="6" t="s">
        <v>130</v>
      </c>
      <c r="F136" s="6" t="s">
        <v>304</v>
      </c>
      <c r="G136" s="9" t="s">
        <v>1113</v>
      </c>
      <c r="H136" s="6"/>
      <c r="I136" s="6"/>
      <c r="J136" s="6"/>
      <c r="K136" s="6"/>
      <c r="L136" s="6"/>
    </row>
    <row r="137" spans="1:12" x14ac:dyDescent="0.2">
      <c r="A137">
        <v>223</v>
      </c>
      <c r="B137" s="6" t="str">
        <f>IF(OR(F137="NA",G137="wide_value"),"",TRUE)</f>
        <v/>
      </c>
      <c r="C137" s="6" t="s">
        <v>24</v>
      </c>
      <c r="D137" s="6" t="s">
        <v>192</v>
      </c>
      <c r="E137" s="6" t="s">
        <v>130</v>
      </c>
      <c r="F137" s="6" t="s">
        <v>305</v>
      </c>
      <c r="G137" s="9" t="s">
        <v>1113</v>
      </c>
      <c r="H137" s="6"/>
      <c r="I137" s="6"/>
      <c r="J137" s="6"/>
      <c r="K137" s="6"/>
      <c r="L137" s="6"/>
    </row>
    <row r="138" spans="1:12" x14ac:dyDescent="0.2">
      <c r="A138">
        <v>224</v>
      </c>
      <c r="B138" s="6" t="str">
        <f>IF(OR(F138="NA",G138="wide_value"),"",TRUE)</f>
        <v/>
      </c>
      <c r="C138" s="6" t="s">
        <v>24</v>
      </c>
      <c r="D138" s="6" t="s">
        <v>192</v>
      </c>
      <c r="E138" s="6" t="s">
        <v>130</v>
      </c>
      <c r="F138" s="6" t="s">
        <v>306</v>
      </c>
      <c r="G138" s="9" t="s">
        <v>1113</v>
      </c>
      <c r="H138" s="6"/>
      <c r="I138" s="6"/>
      <c r="J138" s="6"/>
      <c r="K138" s="6"/>
      <c r="L138" s="6"/>
    </row>
    <row r="139" spans="1:12" x14ac:dyDescent="0.2">
      <c r="A139">
        <v>225</v>
      </c>
      <c r="B139" s="6" t="str">
        <f>IF(OR(F139="NA",G139="wide_value"),"",TRUE)</f>
        <v/>
      </c>
      <c r="C139" s="6" t="s">
        <v>1198</v>
      </c>
      <c r="D139" s="6" t="s">
        <v>192</v>
      </c>
      <c r="E139" s="6" t="s">
        <v>1202</v>
      </c>
      <c r="F139" s="6" t="s">
        <v>497</v>
      </c>
      <c r="G139" s="6" t="s">
        <v>1013</v>
      </c>
      <c r="H139" s="6" t="s">
        <v>9</v>
      </c>
      <c r="I139" s="6" t="s">
        <v>1860</v>
      </c>
      <c r="J139" s="6"/>
      <c r="K139" s="6"/>
      <c r="L139" s="5" t="s">
        <v>1862</v>
      </c>
    </row>
    <row r="140" spans="1:12" x14ac:dyDescent="0.2">
      <c r="A140">
        <v>226</v>
      </c>
      <c r="B140" s="6" t="str">
        <f>IF(OR(F140="NA",G140="wide_value"),"",TRUE)</f>
        <v/>
      </c>
      <c r="C140" s="6" t="s">
        <v>1198</v>
      </c>
      <c r="D140" s="6" t="s">
        <v>192</v>
      </c>
      <c r="E140" s="6" t="s">
        <v>1200</v>
      </c>
      <c r="F140" s="6" t="s">
        <v>497</v>
      </c>
      <c r="G140" s="9" t="s">
        <v>1113</v>
      </c>
      <c r="H140" s="6"/>
      <c r="I140" s="6"/>
      <c r="J140" s="6"/>
      <c r="K140" s="6"/>
      <c r="L140" s="5" t="s">
        <v>1759</v>
      </c>
    </row>
    <row r="141" spans="1:12" x14ac:dyDescent="0.2">
      <c r="A141">
        <v>227</v>
      </c>
      <c r="B141" s="6" t="str">
        <f>IF(OR(F141="NA",G141="wide_value"),"",TRUE)</f>
        <v/>
      </c>
      <c r="C141" s="6" t="s">
        <v>1198</v>
      </c>
      <c r="D141" s="6" t="s">
        <v>192</v>
      </c>
      <c r="E141" s="6" t="s">
        <v>1201</v>
      </c>
      <c r="F141" s="6" t="s">
        <v>497</v>
      </c>
      <c r="G141" s="6" t="s">
        <v>1331</v>
      </c>
      <c r="H141" s="6" t="s">
        <v>1734</v>
      </c>
      <c r="I141" s="6" t="s">
        <v>1878</v>
      </c>
      <c r="J141" s="6"/>
      <c r="K141" s="6"/>
      <c r="L141" s="5" t="s">
        <v>1758</v>
      </c>
    </row>
    <row r="142" spans="1:12" x14ac:dyDescent="0.2">
      <c r="A142">
        <v>228</v>
      </c>
      <c r="B142" s="6" t="str">
        <f>IF(OR(F142="NA",G142="wide_value"),"",TRUE)</f>
        <v/>
      </c>
      <c r="C142" s="6" t="s">
        <v>1198</v>
      </c>
      <c r="D142" s="6" t="s">
        <v>192</v>
      </c>
      <c r="E142" s="6" t="s">
        <v>1199</v>
      </c>
      <c r="F142" s="6" t="s">
        <v>497</v>
      </c>
      <c r="G142" s="6" t="s">
        <v>1013</v>
      </c>
      <c r="H142" s="6" t="s">
        <v>1091</v>
      </c>
      <c r="I142" s="6" t="s">
        <v>1762</v>
      </c>
      <c r="J142" s="6"/>
      <c r="K142" s="6"/>
      <c r="L142" s="5" t="s">
        <v>1763</v>
      </c>
    </row>
    <row r="143" spans="1:12" x14ac:dyDescent="0.2">
      <c r="A143">
        <v>229</v>
      </c>
      <c r="B143" s="6" t="b">
        <f>IF(OR(F143="NA",G143="wide_value"),"",TRUE)</f>
        <v>1</v>
      </c>
      <c r="C143" s="6" t="s">
        <v>497</v>
      </c>
      <c r="D143" s="6" t="s">
        <v>192</v>
      </c>
      <c r="E143" s="6" t="s">
        <v>491</v>
      </c>
      <c r="F143" s="6" t="s">
        <v>492</v>
      </c>
      <c r="G143" s="6" t="s">
        <v>497</v>
      </c>
      <c r="H143" s="6" t="s">
        <v>497</v>
      </c>
      <c r="I143" s="6" t="s">
        <v>497</v>
      </c>
      <c r="J143" s="6"/>
      <c r="K143" s="6"/>
      <c r="L143" s="5" t="s">
        <v>1136</v>
      </c>
    </row>
    <row r="144" spans="1:12" x14ac:dyDescent="0.2">
      <c r="A144">
        <v>230</v>
      </c>
      <c r="B144" s="6" t="b">
        <f>IF(OR(F144="NA",G144="wide_value"),"",TRUE)</f>
        <v>1</v>
      </c>
      <c r="C144" s="6" t="s">
        <v>497</v>
      </c>
      <c r="D144" s="6" t="s">
        <v>192</v>
      </c>
      <c r="E144" s="6" t="s">
        <v>491</v>
      </c>
      <c r="F144" s="6" t="s">
        <v>493</v>
      </c>
      <c r="G144" s="6" t="s">
        <v>497</v>
      </c>
      <c r="H144" s="6" t="s">
        <v>497</v>
      </c>
      <c r="I144" s="6" t="s">
        <v>497</v>
      </c>
      <c r="J144" s="6"/>
      <c r="K144" s="6"/>
      <c r="L144" s="5" t="s">
        <v>1136</v>
      </c>
    </row>
    <row r="145" spans="1:12" x14ac:dyDescent="0.2">
      <c r="A145">
        <v>231</v>
      </c>
      <c r="B145" s="6" t="b">
        <f>IF(OR(F145="NA",G145="wide_value"),"",TRUE)</f>
        <v>1</v>
      </c>
      <c r="C145" s="6" t="s">
        <v>497</v>
      </c>
      <c r="D145" s="6" t="s">
        <v>192</v>
      </c>
      <c r="E145" s="6" t="s">
        <v>491</v>
      </c>
      <c r="F145" s="6" t="s">
        <v>494</v>
      </c>
      <c r="G145" s="6" t="s">
        <v>497</v>
      </c>
      <c r="H145" s="6" t="s">
        <v>497</v>
      </c>
      <c r="I145" s="6" t="s">
        <v>1134</v>
      </c>
      <c r="J145" s="6"/>
      <c r="K145" s="6"/>
      <c r="L145" s="6"/>
    </row>
    <row r="146" spans="1:12" x14ac:dyDescent="0.2">
      <c r="A146">
        <v>232</v>
      </c>
      <c r="B146" s="6" t="b">
        <f>IF(OR(F146="NA",G146="wide_value"),"",TRUE)</f>
        <v>1</v>
      </c>
      <c r="C146" s="6" t="s">
        <v>497</v>
      </c>
      <c r="D146" s="6" t="s">
        <v>192</v>
      </c>
      <c r="E146" s="6" t="s">
        <v>491</v>
      </c>
      <c r="F146" s="6" t="s">
        <v>495</v>
      </c>
      <c r="G146" s="6" t="s">
        <v>497</v>
      </c>
      <c r="H146" s="6" t="s">
        <v>497</v>
      </c>
      <c r="I146" s="6" t="s">
        <v>1133</v>
      </c>
      <c r="J146" s="6"/>
      <c r="K146" s="6"/>
      <c r="L146" s="6"/>
    </row>
    <row r="147" spans="1:12" x14ac:dyDescent="0.2">
      <c r="A147">
        <v>233</v>
      </c>
      <c r="B147" s="6" t="b">
        <f>IF(OR(F147="NA",G147="wide_value"),"",TRUE)</f>
        <v>1</v>
      </c>
      <c r="C147" s="6" t="s">
        <v>497</v>
      </c>
      <c r="D147" s="6" t="s">
        <v>192</v>
      </c>
      <c r="E147" s="6" t="s">
        <v>491</v>
      </c>
      <c r="F147" s="6" t="s">
        <v>496</v>
      </c>
      <c r="G147" s="6" t="s">
        <v>497</v>
      </c>
      <c r="H147" s="6" t="s">
        <v>497</v>
      </c>
      <c r="I147" s="6" t="s">
        <v>1135</v>
      </c>
      <c r="J147" s="6"/>
      <c r="K147" s="6"/>
      <c r="L147" s="6"/>
    </row>
    <row r="148" spans="1:12" x14ac:dyDescent="0.2">
      <c r="A148">
        <v>234</v>
      </c>
      <c r="B148" s="6" t="str">
        <f>IF(OR(F148="NA",G148="wide_value"),"",TRUE)</f>
        <v/>
      </c>
      <c r="C148" s="6" t="s">
        <v>149</v>
      </c>
      <c r="D148" s="6" t="s">
        <v>192</v>
      </c>
      <c r="E148" s="6" t="s">
        <v>150</v>
      </c>
      <c r="F148" s="6" t="s">
        <v>1241</v>
      </c>
      <c r="G148" s="9" t="s">
        <v>1113</v>
      </c>
      <c r="H148" s="6"/>
      <c r="I148" s="6"/>
      <c r="J148" s="6"/>
      <c r="K148" s="6"/>
      <c r="L148" s="6"/>
    </row>
    <row r="149" spans="1:12" x14ac:dyDescent="0.2">
      <c r="A149">
        <v>235</v>
      </c>
      <c r="B149" s="6" t="str">
        <f>IF(OR(F149="NA",G149="wide_value"),"",TRUE)</f>
        <v/>
      </c>
      <c r="C149" s="6" t="s">
        <v>149</v>
      </c>
      <c r="D149" s="6" t="s">
        <v>192</v>
      </c>
      <c r="E149" s="6" t="s">
        <v>150</v>
      </c>
      <c r="F149" s="6" t="s">
        <v>1242</v>
      </c>
      <c r="G149" s="9" t="s">
        <v>1113</v>
      </c>
      <c r="H149" s="6"/>
      <c r="I149" s="6"/>
      <c r="J149" s="6"/>
      <c r="K149" s="6"/>
      <c r="L149" s="6"/>
    </row>
    <row r="150" spans="1:12" x14ac:dyDescent="0.2">
      <c r="A150">
        <v>236</v>
      </c>
      <c r="B150" s="6" t="str">
        <f>IF(OR(F150="NA",G150="wide_value"),"",TRUE)</f>
        <v/>
      </c>
      <c r="C150" s="6" t="s">
        <v>149</v>
      </c>
      <c r="D150" s="6" t="s">
        <v>192</v>
      </c>
      <c r="E150" s="6" t="s">
        <v>150</v>
      </c>
      <c r="F150" s="6" t="s">
        <v>1243</v>
      </c>
      <c r="G150" s="9" t="s">
        <v>1113</v>
      </c>
      <c r="H150" s="6"/>
      <c r="I150" s="6"/>
      <c r="J150" s="6"/>
      <c r="K150" s="6"/>
      <c r="L150" s="6"/>
    </row>
    <row r="151" spans="1:12" x14ac:dyDescent="0.2">
      <c r="A151">
        <v>244</v>
      </c>
      <c r="B151" s="6" t="str">
        <f>IF(OR(F151="NA",G151="wide_value"),"",TRUE)</f>
        <v/>
      </c>
      <c r="C151" s="6" t="s">
        <v>149</v>
      </c>
      <c r="D151" s="6" t="s">
        <v>192</v>
      </c>
      <c r="E151" s="6" t="s">
        <v>152</v>
      </c>
      <c r="F151" s="6"/>
      <c r="G151" s="9" t="s">
        <v>1113</v>
      </c>
      <c r="H151" s="6"/>
      <c r="I151" s="6"/>
      <c r="J151" s="6"/>
      <c r="K151" s="6"/>
      <c r="L151" s="6"/>
    </row>
    <row r="152" spans="1:12" x14ac:dyDescent="0.2">
      <c r="A152">
        <v>245</v>
      </c>
      <c r="B152" s="6" t="str">
        <f>IF(OR(F152="NA",G152="wide_value"),"",TRUE)</f>
        <v/>
      </c>
      <c r="C152" s="6" t="s">
        <v>149</v>
      </c>
      <c r="D152" s="6" t="s">
        <v>192</v>
      </c>
      <c r="E152" s="6" t="s">
        <v>1203</v>
      </c>
      <c r="F152" s="6" t="s">
        <v>1239</v>
      </c>
      <c r="G152" s="9" t="s">
        <v>1113</v>
      </c>
      <c r="H152" s="6"/>
      <c r="I152" s="6"/>
      <c r="J152" s="6"/>
      <c r="K152" s="6"/>
      <c r="L152" s="6"/>
    </row>
    <row r="153" spans="1:12" x14ac:dyDescent="0.2">
      <c r="A153">
        <v>246</v>
      </c>
      <c r="B153" s="6" t="str">
        <f>IF(OR(F153="NA",G153="wide_value"),"",TRUE)</f>
        <v/>
      </c>
      <c r="C153" s="6" t="s">
        <v>149</v>
      </c>
      <c r="D153" s="6" t="s">
        <v>192</v>
      </c>
      <c r="E153" s="6" t="s">
        <v>1203</v>
      </c>
      <c r="F153" s="6" t="s">
        <v>1240</v>
      </c>
      <c r="G153" s="9" t="s">
        <v>1113</v>
      </c>
      <c r="H153" s="6"/>
      <c r="I153" s="6"/>
      <c r="J153" s="6"/>
      <c r="K153" s="6"/>
      <c r="L153" s="6"/>
    </row>
    <row r="154" spans="1:12" x14ac:dyDescent="0.2">
      <c r="A154">
        <v>247</v>
      </c>
      <c r="B154" s="6" t="b">
        <f>IF(OR(F154="NA",G154="wide_value"),"",TRUE)</f>
        <v>1</v>
      </c>
      <c r="C154" s="6" t="s">
        <v>149</v>
      </c>
      <c r="D154" s="6" t="s">
        <v>192</v>
      </c>
      <c r="E154" s="6" t="s">
        <v>155</v>
      </c>
      <c r="F154" s="6"/>
      <c r="G154" s="6" t="s">
        <v>1013</v>
      </c>
      <c r="H154" s="6" t="s">
        <v>1091</v>
      </c>
      <c r="I154" s="6" t="s">
        <v>1527</v>
      </c>
      <c r="J154" s="6"/>
      <c r="K154" s="6"/>
      <c r="L154" s="5" t="s">
        <v>1526</v>
      </c>
    </row>
    <row r="155" spans="1:12" x14ac:dyDescent="0.2">
      <c r="A155">
        <v>248</v>
      </c>
      <c r="B155" s="6" t="str">
        <f>IF(OR(F155="NA",G155="wide_value"),"",TRUE)</f>
        <v/>
      </c>
      <c r="C155" s="6" t="s">
        <v>149</v>
      </c>
      <c r="D155" s="6" t="s">
        <v>192</v>
      </c>
      <c r="E155" s="6" t="s">
        <v>122</v>
      </c>
      <c r="F155" s="6" t="s">
        <v>497</v>
      </c>
      <c r="G155" s="6" t="s">
        <v>1013</v>
      </c>
      <c r="H155" s="6" t="s">
        <v>1297</v>
      </c>
      <c r="I155" s="6" t="s">
        <v>1429</v>
      </c>
      <c r="J155" s="6"/>
      <c r="K155" s="6"/>
      <c r="L155" s="5" t="s">
        <v>1526</v>
      </c>
    </row>
    <row r="156" spans="1:12" x14ac:dyDescent="0.2">
      <c r="A156">
        <v>266</v>
      </c>
      <c r="B156" s="6" t="str">
        <f>IF(OR(F156="NA",G156="wide_value"),"",TRUE)</f>
        <v/>
      </c>
      <c r="C156" s="6" t="s">
        <v>113</v>
      </c>
      <c r="D156" s="6" t="s">
        <v>192</v>
      </c>
      <c r="E156" s="6" t="s">
        <v>1167</v>
      </c>
      <c r="F156" s="6" t="s">
        <v>497</v>
      </c>
      <c r="G156" s="9" t="s">
        <v>1113</v>
      </c>
      <c r="H156" s="6"/>
      <c r="I156" s="6"/>
      <c r="J156" s="6"/>
      <c r="K156" s="6"/>
      <c r="L156" s="5" t="s">
        <v>1764</v>
      </c>
    </row>
    <row r="157" spans="1:12" x14ac:dyDescent="0.2">
      <c r="A157">
        <v>276</v>
      </c>
      <c r="B157" s="6" t="str">
        <f>IF(OR(F157="NA",G157="wide_value"),"",TRUE)</f>
        <v/>
      </c>
      <c r="C157" s="6" t="s">
        <v>113</v>
      </c>
      <c r="D157" s="6" t="s">
        <v>192</v>
      </c>
      <c r="E157" s="6" t="s">
        <v>131</v>
      </c>
      <c r="F157" s="6" t="s">
        <v>277</v>
      </c>
      <c r="G157" s="9" t="s">
        <v>1113</v>
      </c>
      <c r="H157" s="6"/>
      <c r="I157" s="6"/>
      <c r="J157" s="6"/>
      <c r="K157" s="6"/>
      <c r="L157" s="5" t="s">
        <v>1673</v>
      </c>
    </row>
    <row r="158" spans="1:12" x14ac:dyDescent="0.2">
      <c r="A158">
        <v>277</v>
      </c>
      <c r="B158" s="6" t="str">
        <f>IF(OR(F158="NA",G158="wide_value"),"",TRUE)</f>
        <v/>
      </c>
      <c r="C158" s="6" t="s">
        <v>113</v>
      </c>
      <c r="D158" s="6" t="s">
        <v>192</v>
      </c>
      <c r="E158" s="6" t="s">
        <v>131</v>
      </c>
      <c r="F158" s="6" t="s">
        <v>278</v>
      </c>
      <c r="G158" s="9" t="s">
        <v>1113</v>
      </c>
      <c r="H158" s="6"/>
      <c r="I158" s="6"/>
      <c r="J158" s="6"/>
      <c r="K158" s="6"/>
      <c r="L158" s="5" t="s">
        <v>1673</v>
      </c>
    </row>
    <row r="159" spans="1:12" x14ac:dyDescent="0.2">
      <c r="A159">
        <v>278</v>
      </c>
      <c r="B159" s="6" t="str">
        <f>IF(OR(F159="NA",G159="wide_value"),"",TRUE)</f>
        <v/>
      </c>
      <c r="C159" s="6" t="s">
        <v>113</v>
      </c>
      <c r="D159" s="6" t="s">
        <v>192</v>
      </c>
      <c r="E159" s="6" t="s">
        <v>131</v>
      </c>
      <c r="F159" s="6" t="s">
        <v>279</v>
      </c>
      <c r="G159" s="9" t="s">
        <v>1113</v>
      </c>
      <c r="H159" s="6"/>
      <c r="I159" s="6"/>
      <c r="J159" s="6"/>
      <c r="K159" s="6"/>
      <c r="L159" s="5" t="s">
        <v>1673</v>
      </c>
    </row>
    <row r="160" spans="1:12" x14ac:dyDescent="0.2">
      <c r="A160">
        <v>279</v>
      </c>
      <c r="B160" s="6" t="str">
        <f>IF(OR(F160="NA",G160="wide_value"),"",TRUE)</f>
        <v/>
      </c>
      <c r="C160" s="6" t="s">
        <v>113</v>
      </c>
      <c r="D160" s="6" t="s">
        <v>192</v>
      </c>
      <c r="E160" s="6" t="s">
        <v>131</v>
      </c>
      <c r="F160" s="6" t="s">
        <v>280</v>
      </c>
      <c r="G160" s="9" t="s">
        <v>1113</v>
      </c>
      <c r="H160" s="6"/>
      <c r="I160" s="6"/>
      <c r="J160" s="6"/>
      <c r="K160" s="6"/>
      <c r="L160" s="5" t="s">
        <v>1673</v>
      </c>
    </row>
    <row r="161" spans="1:12" x14ac:dyDescent="0.2">
      <c r="A161">
        <v>280</v>
      </c>
      <c r="B161" s="6" t="str">
        <f>IF(OR(F161="NA",G161="wide_value"),"",TRUE)</f>
        <v/>
      </c>
      <c r="C161" s="6" t="s">
        <v>113</v>
      </c>
      <c r="D161" s="6" t="s">
        <v>192</v>
      </c>
      <c r="E161" s="6" t="s">
        <v>131</v>
      </c>
      <c r="F161" s="6" t="s">
        <v>281</v>
      </c>
      <c r="G161" s="9" t="s">
        <v>1113</v>
      </c>
      <c r="H161" s="6"/>
      <c r="I161" s="6"/>
      <c r="J161" s="6"/>
      <c r="K161" s="6"/>
      <c r="L161" s="5" t="s">
        <v>1673</v>
      </c>
    </row>
    <row r="162" spans="1:12" x14ac:dyDescent="0.2">
      <c r="A162">
        <v>281</v>
      </c>
      <c r="B162" s="6" t="str">
        <f>IF(OR(F162="NA",G162="wide_value"),"",TRUE)</f>
        <v/>
      </c>
      <c r="C162" s="6" t="s">
        <v>113</v>
      </c>
      <c r="D162" s="6" t="s">
        <v>192</v>
      </c>
      <c r="E162" s="6" t="s">
        <v>131</v>
      </c>
      <c r="F162" s="6" t="s">
        <v>1213</v>
      </c>
      <c r="G162" s="9" t="s">
        <v>1113</v>
      </c>
      <c r="H162" s="6"/>
      <c r="I162" s="6"/>
      <c r="J162" s="6"/>
      <c r="K162" s="6"/>
      <c r="L162" s="5" t="s">
        <v>1673</v>
      </c>
    </row>
    <row r="163" spans="1:12" x14ac:dyDescent="0.2">
      <c r="A163">
        <v>282</v>
      </c>
      <c r="B163" s="6" t="str">
        <f>IF(OR(F163="NA",G163="wide_value"),"",TRUE)</f>
        <v/>
      </c>
      <c r="C163" s="6" t="s">
        <v>113</v>
      </c>
      <c r="D163" s="6" t="s">
        <v>192</v>
      </c>
      <c r="E163" s="6" t="s">
        <v>131</v>
      </c>
      <c r="F163" s="6" t="s">
        <v>1214</v>
      </c>
      <c r="G163" s="9" t="s">
        <v>1113</v>
      </c>
      <c r="H163" s="6"/>
      <c r="I163" s="6"/>
      <c r="J163" s="6"/>
      <c r="K163" s="6"/>
      <c r="L163" s="5" t="s">
        <v>1673</v>
      </c>
    </row>
    <row r="164" spans="1:12" x14ac:dyDescent="0.2">
      <c r="A164">
        <v>283</v>
      </c>
      <c r="B164" s="6" t="str">
        <f>IF(OR(F164="NA",G164="wide_value"),"",TRUE)</f>
        <v/>
      </c>
      <c r="C164" s="6" t="s">
        <v>113</v>
      </c>
      <c r="D164" s="6" t="s">
        <v>192</v>
      </c>
      <c r="E164" s="6" t="s">
        <v>131</v>
      </c>
      <c r="F164" s="6" t="s">
        <v>282</v>
      </c>
      <c r="G164" s="9" t="s">
        <v>1113</v>
      </c>
      <c r="H164" s="6"/>
      <c r="I164" s="6"/>
      <c r="J164" s="6"/>
      <c r="K164" s="6"/>
      <c r="L164" s="5" t="s">
        <v>1673</v>
      </c>
    </row>
    <row r="165" spans="1:12" x14ac:dyDescent="0.2">
      <c r="A165">
        <v>284</v>
      </c>
      <c r="B165" s="6" t="str">
        <f>IF(OR(F165="NA",G165="wide_value"),"",TRUE)</f>
        <v/>
      </c>
      <c r="C165" s="6" t="s">
        <v>113</v>
      </c>
      <c r="D165" s="6" t="s">
        <v>192</v>
      </c>
      <c r="E165" s="6" t="s">
        <v>131</v>
      </c>
      <c r="F165" s="6" t="s">
        <v>283</v>
      </c>
      <c r="G165" s="9" t="s">
        <v>1113</v>
      </c>
      <c r="H165" s="6"/>
      <c r="I165" s="6"/>
      <c r="J165" s="6"/>
      <c r="K165" s="6"/>
      <c r="L165" s="5" t="s">
        <v>1673</v>
      </c>
    </row>
    <row r="166" spans="1:12" x14ac:dyDescent="0.2">
      <c r="A166">
        <v>285</v>
      </c>
      <c r="B166" s="6" t="str">
        <f>IF(OR(F166="NA",G166="wide_value"),"",TRUE)</f>
        <v/>
      </c>
      <c r="C166" s="6" t="s">
        <v>113</v>
      </c>
      <c r="D166" s="6" t="s">
        <v>192</v>
      </c>
      <c r="E166" s="6" t="s">
        <v>131</v>
      </c>
      <c r="F166" s="6" t="s">
        <v>1215</v>
      </c>
      <c r="G166" s="9" t="s">
        <v>1113</v>
      </c>
      <c r="H166" s="6"/>
      <c r="I166" s="6"/>
      <c r="J166" s="6"/>
      <c r="K166" s="6"/>
      <c r="L166" s="5" t="s">
        <v>1673</v>
      </c>
    </row>
    <row r="167" spans="1:12" x14ac:dyDescent="0.2">
      <c r="A167">
        <v>286</v>
      </c>
      <c r="B167" s="6" t="str">
        <f>IF(OR(F167="NA",G167="wide_value"),"",TRUE)</f>
        <v/>
      </c>
      <c r="C167" s="6" t="s">
        <v>113</v>
      </c>
      <c r="D167" s="6" t="s">
        <v>192</v>
      </c>
      <c r="E167" s="6" t="s">
        <v>131</v>
      </c>
      <c r="F167" s="6" t="s">
        <v>1216</v>
      </c>
      <c r="G167" s="9" t="s">
        <v>1113</v>
      </c>
      <c r="H167" s="6"/>
      <c r="I167" s="6"/>
      <c r="J167" s="6"/>
      <c r="K167" s="6"/>
      <c r="L167" s="5" t="s">
        <v>1673</v>
      </c>
    </row>
    <row r="168" spans="1:12" x14ac:dyDescent="0.2">
      <c r="A168">
        <v>287</v>
      </c>
      <c r="B168" s="6" t="b">
        <f>IF(OR(F168="NA",G168="wide_value"),"",TRUE)</f>
        <v>1</v>
      </c>
      <c r="C168" s="6" t="s">
        <v>113</v>
      </c>
      <c r="D168" s="6" t="s">
        <v>192</v>
      </c>
      <c r="E168" s="6" t="s">
        <v>165</v>
      </c>
      <c r="F168" s="6" t="s">
        <v>236</v>
      </c>
      <c r="G168" s="6" t="s">
        <v>1282</v>
      </c>
      <c r="H168" s="6" t="s">
        <v>1354</v>
      </c>
      <c r="I168" s="6" t="s">
        <v>1338</v>
      </c>
      <c r="J168" s="6"/>
      <c r="K168" s="6"/>
      <c r="L168" s="6"/>
    </row>
    <row r="169" spans="1:12" x14ac:dyDescent="0.2">
      <c r="A169">
        <v>288</v>
      </c>
      <c r="B169" s="6" t="b">
        <f>IF(OR(F169="NA",G169="wide_value"),"",TRUE)</f>
        <v>1</v>
      </c>
      <c r="C169" s="6" t="s">
        <v>113</v>
      </c>
      <c r="D169" s="6" t="s">
        <v>192</v>
      </c>
      <c r="E169" s="6" t="s">
        <v>165</v>
      </c>
      <c r="F169" s="6" t="s">
        <v>237</v>
      </c>
      <c r="G169" s="6" t="s">
        <v>1282</v>
      </c>
      <c r="H169" s="6" t="s">
        <v>1354</v>
      </c>
      <c r="I169" s="6" t="s">
        <v>1646</v>
      </c>
      <c r="J169" s="6"/>
      <c r="K169" s="6"/>
      <c r="L169" s="6"/>
    </row>
    <row r="170" spans="1:12" x14ac:dyDescent="0.2">
      <c r="A170">
        <v>289</v>
      </c>
      <c r="B170" s="6" t="b">
        <f>IF(OR(F170="NA",G170="wide_value"),"",TRUE)</f>
        <v>1</v>
      </c>
      <c r="C170" s="6" t="s">
        <v>113</v>
      </c>
      <c r="D170" s="6" t="s">
        <v>192</v>
      </c>
      <c r="E170" s="6" t="s">
        <v>165</v>
      </c>
      <c r="F170" s="6" t="s">
        <v>238</v>
      </c>
      <c r="G170" s="6" t="s">
        <v>1282</v>
      </c>
      <c r="H170" s="6" t="s">
        <v>1354</v>
      </c>
      <c r="I170" s="6" t="s">
        <v>1339</v>
      </c>
      <c r="J170" s="6"/>
      <c r="K170" s="6"/>
      <c r="L170" s="6"/>
    </row>
    <row r="171" spans="1:12" x14ac:dyDescent="0.2">
      <c r="A171">
        <v>290</v>
      </c>
      <c r="B171" s="6" t="b">
        <f>IF(OR(F171="NA",G171="wide_value"),"",TRUE)</f>
        <v>1</v>
      </c>
      <c r="C171" s="6" t="s">
        <v>113</v>
      </c>
      <c r="D171" s="6" t="s">
        <v>192</v>
      </c>
      <c r="E171" s="6" t="s">
        <v>165</v>
      </c>
      <c r="F171" s="6" t="s">
        <v>239</v>
      </c>
      <c r="G171" s="6" t="s">
        <v>1282</v>
      </c>
      <c r="H171" s="6" t="s">
        <v>1354</v>
      </c>
      <c r="I171" s="6" t="s">
        <v>1647</v>
      </c>
      <c r="J171" s="6"/>
      <c r="K171" s="6"/>
      <c r="L171" s="6"/>
    </row>
    <row r="172" spans="1:12" x14ac:dyDescent="0.2">
      <c r="A172">
        <v>291</v>
      </c>
      <c r="B172" s="6" t="b">
        <f>IF(OR(F172="NA",G172="wide_value"),"",TRUE)</f>
        <v>1</v>
      </c>
      <c r="C172" s="6" t="s">
        <v>113</v>
      </c>
      <c r="D172" s="6" t="s">
        <v>192</v>
      </c>
      <c r="E172" s="6" t="s">
        <v>165</v>
      </c>
      <c r="F172" s="6" t="s">
        <v>240</v>
      </c>
      <c r="G172" s="6" t="s">
        <v>1282</v>
      </c>
      <c r="H172" s="6" t="s">
        <v>1354</v>
      </c>
      <c r="I172" s="6" t="s">
        <v>1648</v>
      </c>
      <c r="J172" s="6"/>
      <c r="K172" s="6"/>
      <c r="L172" s="6"/>
    </row>
    <row r="173" spans="1:12" x14ac:dyDescent="0.2">
      <c r="A173">
        <v>292</v>
      </c>
      <c r="B173" s="6" t="b">
        <f>IF(OR(F173="NA",G173="wide_value"),"",TRUE)</f>
        <v>1</v>
      </c>
      <c r="C173" s="6" t="s">
        <v>113</v>
      </c>
      <c r="D173" s="6" t="s">
        <v>192</v>
      </c>
      <c r="E173" s="6" t="s">
        <v>165</v>
      </c>
      <c r="F173" s="6" t="s">
        <v>241</v>
      </c>
      <c r="G173" s="6" t="s">
        <v>1282</v>
      </c>
      <c r="H173" s="6" t="s">
        <v>1354</v>
      </c>
      <c r="I173" s="6" t="s">
        <v>1353</v>
      </c>
      <c r="J173" s="6"/>
      <c r="K173" s="6"/>
      <c r="L173" s="6"/>
    </row>
    <row r="174" spans="1:12" x14ac:dyDescent="0.2">
      <c r="A174">
        <v>293</v>
      </c>
      <c r="B174" s="6" t="b">
        <f>IF(OR(F174="NA",G174="wide_value"),"",TRUE)</f>
        <v>1</v>
      </c>
      <c r="C174" s="6" t="s">
        <v>113</v>
      </c>
      <c r="D174" s="6" t="s">
        <v>192</v>
      </c>
      <c r="E174" s="6" t="s">
        <v>165</v>
      </c>
      <c r="F174" s="6" t="s">
        <v>242</v>
      </c>
      <c r="G174" s="6" t="s">
        <v>1282</v>
      </c>
      <c r="H174" s="6" t="s">
        <v>1354</v>
      </c>
      <c r="I174" s="6" t="s">
        <v>1349</v>
      </c>
      <c r="J174" s="6"/>
      <c r="K174" s="6"/>
      <c r="L174" s="6"/>
    </row>
    <row r="175" spans="1:12" x14ac:dyDescent="0.2">
      <c r="A175">
        <v>294</v>
      </c>
      <c r="B175" s="6" t="b">
        <f>IF(OR(F175="NA",G175="wide_value"),"",TRUE)</f>
        <v>1</v>
      </c>
      <c r="C175" s="6" t="s">
        <v>113</v>
      </c>
      <c r="D175" s="6" t="s">
        <v>192</v>
      </c>
      <c r="E175" s="6" t="s">
        <v>165</v>
      </c>
      <c r="F175" s="6" t="s">
        <v>243</v>
      </c>
      <c r="G175" s="6" t="s">
        <v>1282</v>
      </c>
      <c r="H175" s="6" t="s">
        <v>1354</v>
      </c>
      <c r="I175" s="6" t="s">
        <v>1352</v>
      </c>
      <c r="J175" s="6"/>
      <c r="K175" s="6"/>
      <c r="L175" s="6"/>
    </row>
    <row r="176" spans="1:12" x14ac:dyDescent="0.2">
      <c r="A176">
        <v>295</v>
      </c>
      <c r="B176" s="6" t="b">
        <f>IF(OR(F176="NA",G176="wide_value"),"",TRUE)</f>
        <v>1</v>
      </c>
      <c r="C176" s="6" t="s">
        <v>113</v>
      </c>
      <c r="D176" s="6" t="s">
        <v>192</v>
      </c>
      <c r="E176" s="6" t="s">
        <v>165</v>
      </c>
      <c r="F176" s="6" t="s">
        <v>244</v>
      </c>
      <c r="G176" s="6" t="s">
        <v>1282</v>
      </c>
      <c r="H176" s="6" t="s">
        <v>1354</v>
      </c>
      <c r="I176" s="6" t="s">
        <v>1645</v>
      </c>
      <c r="J176" s="6"/>
      <c r="K176" s="6"/>
      <c r="L176" s="6"/>
    </row>
    <row r="177" spans="1:12" x14ac:dyDescent="0.2">
      <c r="A177">
        <v>296</v>
      </c>
      <c r="B177" s="6" t="b">
        <f>IF(OR(F177="NA",G177="wide_value"),"",TRUE)</f>
        <v>1</v>
      </c>
      <c r="C177" s="6" t="s">
        <v>113</v>
      </c>
      <c r="D177" s="6" t="s">
        <v>192</v>
      </c>
      <c r="E177" s="6" t="s">
        <v>165</v>
      </c>
      <c r="F177" s="6" t="s">
        <v>245</v>
      </c>
      <c r="G177" s="6" t="s">
        <v>1282</v>
      </c>
      <c r="H177" s="6" t="s">
        <v>1354</v>
      </c>
      <c r="I177" s="6" t="s">
        <v>1350</v>
      </c>
      <c r="J177" s="6"/>
      <c r="K177" s="6"/>
      <c r="L177" s="6"/>
    </row>
    <row r="178" spans="1:12" x14ac:dyDescent="0.2">
      <c r="A178">
        <v>297</v>
      </c>
      <c r="B178" s="6" t="b">
        <f>IF(OR(F178="NA",G178="wide_value"),"",TRUE)</f>
        <v>1</v>
      </c>
      <c r="C178" s="6" t="s">
        <v>113</v>
      </c>
      <c r="D178" s="6" t="s">
        <v>192</v>
      </c>
      <c r="E178" s="6" t="s">
        <v>165</v>
      </c>
      <c r="F178" s="6" t="s">
        <v>246</v>
      </c>
      <c r="G178" s="6" t="s">
        <v>1282</v>
      </c>
      <c r="H178" s="6" t="s">
        <v>1354</v>
      </c>
      <c r="I178" s="6" t="s">
        <v>1351</v>
      </c>
      <c r="J178" s="6"/>
      <c r="K178" s="6"/>
      <c r="L178" s="6"/>
    </row>
    <row r="179" spans="1:12" x14ac:dyDescent="0.2">
      <c r="A179">
        <v>298</v>
      </c>
      <c r="B179" s="6" t="b">
        <f>IF(OR(F179="NA",G179="wide_value"),"",TRUE)</f>
        <v>1</v>
      </c>
      <c r="C179" s="6" t="s">
        <v>113</v>
      </c>
      <c r="D179" s="6" t="s">
        <v>192</v>
      </c>
      <c r="E179" s="6" t="s">
        <v>165</v>
      </c>
      <c r="F179" s="6" t="s">
        <v>247</v>
      </c>
      <c r="G179" s="6" t="s">
        <v>1282</v>
      </c>
      <c r="H179" s="6" t="s">
        <v>1354</v>
      </c>
      <c r="I179" s="6" t="s">
        <v>1649</v>
      </c>
      <c r="J179" s="6"/>
      <c r="K179" s="6"/>
      <c r="L179" s="6"/>
    </row>
    <row r="180" spans="1:12" x14ac:dyDescent="0.2">
      <c r="A180">
        <v>299</v>
      </c>
      <c r="B180" s="6" t="b">
        <f>IF(OR(F180="NA",G180="wide_value"),"",TRUE)</f>
        <v>1</v>
      </c>
      <c r="C180" s="6" t="s">
        <v>113</v>
      </c>
      <c r="D180" s="6" t="s">
        <v>192</v>
      </c>
      <c r="E180" s="6" t="s">
        <v>165</v>
      </c>
      <c r="F180" s="6" t="s">
        <v>248</v>
      </c>
      <c r="G180" s="6" t="s">
        <v>1282</v>
      </c>
      <c r="H180" s="6" t="s">
        <v>1354</v>
      </c>
      <c r="I180" s="6" t="s">
        <v>1348</v>
      </c>
      <c r="J180" s="6"/>
      <c r="K180" s="6"/>
      <c r="L180" s="6"/>
    </row>
    <row r="181" spans="1:12" x14ac:dyDescent="0.2">
      <c r="A181">
        <v>300</v>
      </c>
      <c r="B181" s="6" t="b">
        <f>IF(OR(F181="NA",G181="wide_value"),"",TRUE)</f>
        <v>1</v>
      </c>
      <c r="C181" s="6" t="s">
        <v>113</v>
      </c>
      <c r="D181" s="6" t="s">
        <v>192</v>
      </c>
      <c r="E181" s="6" t="s">
        <v>165</v>
      </c>
      <c r="F181" s="6" t="s">
        <v>249</v>
      </c>
      <c r="G181" s="6" t="s">
        <v>1282</v>
      </c>
      <c r="H181" s="6" t="s">
        <v>1354</v>
      </c>
      <c r="I181" s="6" t="s">
        <v>1650</v>
      </c>
      <c r="J181" s="6"/>
      <c r="K181" s="6"/>
      <c r="L181" s="6"/>
    </row>
    <row r="182" spans="1:12" x14ac:dyDescent="0.2">
      <c r="A182">
        <v>301</v>
      </c>
      <c r="B182" s="6" t="b">
        <f>IF(OR(F182="NA",G182="wide_value"),"",TRUE)</f>
        <v>1</v>
      </c>
      <c r="C182" s="6" t="s">
        <v>113</v>
      </c>
      <c r="D182" s="6" t="s">
        <v>192</v>
      </c>
      <c r="E182" s="6" t="s">
        <v>165</v>
      </c>
      <c r="F182" s="6" t="s">
        <v>250</v>
      </c>
      <c r="G182" s="6" t="s">
        <v>1282</v>
      </c>
      <c r="H182" s="6" t="s">
        <v>1354</v>
      </c>
      <c r="I182" s="6" t="s">
        <v>1651</v>
      </c>
      <c r="J182" s="6"/>
      <c r="K182" s="6"/>
      <c r="L182" s="6"/>
    </row>
    <row r="183" spans="1:12" x14ac:dyDescent="0.2">
      <c r="A183">
        <v>302</v>
      </c>
      <c r="B183" s="6" t="b">
        <f>IF(OR(F183="NA",G183="wide_value"),"",TRUE)</f>
        <v>1</v>
      </c>
      <c r="C183" s="6" t="s">
        <v>113</v>
      </c>
      <c r="D183" s="6" t="s">
        <v>192</v>
      </c>
      <c r="E183" s="6" t="s">
        <v>165</v>
      </c>
      <c r="F183" s="6" t="s">
        <v>251</v>
      </c>
      <c r="G183" s="6" t="s">
        <v>1282</v>
      </c>
      <c r="H183" s="6" t="s">
        <v>1354</v>
      </c>
      <c r="I183" s="6" t="s">
        <v>1652</v>
      </c>
      <c r="J183" s="6"/>
      <c r="K183" s="6"/>
      <c r="L183" s="6"/>
    </row>
    <row r="184" spans="1:12" x14ac:dyDescent="0.2">
      <c r="A184">
        <v>303</v>
      </c>
      <c r="B184" s="6" t="b">
        <f>IF(OR(F184="NA",G184="wide_value"),"",TRUE)</f>
        <v>1</v>
      </c>
      <c r="C184" s="6" t="s">
        <v>113</v>
      </c>
      <c r="D184" s="6" t="s">
        <v>192</v>
      </c>
      <c r="E184" s="6" t="s">
        <v>165</v>
      </c>
      <c r="F184" s="6" t="s">
        <v>252</v>
      </c>
      <c r="G184" s="6" t="s">
        <v>1282</v>
      </c>
      <c r="H184" s="6" t="s">
        <v>1354</v>
      </c>
      <c r="I184" s="6" t="s">
        <v>1653</v>
      </c>
      <c r="J184" s="6"/>
      <c r="K184" s="6"/>
      <c r="L184" s="6"/>
    </row>
    <row r="185" spans="1:12" x14ac:dyDescent="0.2">
      <c r="A185">
        <v>304</v>
      </c>
      <c r="B185" s="6" t="b">
        <f>IF(OR(F185="NA",G185="wide_value"),"",TRUE)</f>
        <v>1</v>
      </c>
      <c r="C185" s="6" t="s">
        <v>113</v>
      </c>
      <c r="D185" s="6" t="s">
        <v>192</v>
      </c>
      <c r="E185" s="6" t="s">
        <v>165</v>
      </c>
      <c r="F185" s="6" t="s">
        <v>253</v>
      </c>
      <c r="G185" s="6" t="s">
        <v>1282</v>
      </c>
      <c r="H185" s="6" t="s">
        <v>1354</v>
      </c>
      <c r="I185" s="6" t="s">
        <v>1654</v>
      </c>
      <c r="J185" s="6"/>
      <c r="K185" s="6"/>
      <c r="L185" s="6"/>
    </row>
    <row r="186" spans="1:12" x14ac:dyDescent="0.2">
      <c r="A186">
        <v>305</v>
      </c>
      <c r="B186" s="6" t="b">
        <f>IF(OR(F186="NA",G186="wide_value"),"",TRUE)</f>
        <v>1</v>
      </c>
      <c r="C186" s="6" t="s">
        <v>113</v>
      </c>
      <c r="D186" s="6" t="s">
        <v>192</v>
      </c>
      <c r="E186" s="6" t="s">
        <v>165</v>
      </c>
      <c r="F186" s="6" t="s">
        <v>254</v>
      </c>
      <c r="G186" s="6" t="s">
        <v>1282</v>
      </c>
      <c r="H186" s="6" t="s">
        <v>1355</v>
      </c>
      <c r="I186" s="6" t="s">
        <v>1636</v>
      </c>
      <c r="J186" s="6"/>
      <c r="K186" s="6"/>
      <c r="L186" s="6"/>
    </row>
    <row r="187" spans="1:12" x14ac:dyDescent="0.2">
      <c r="A187">
        <v>306</v>
      </c>
      <c r="B187" s="6" t="b">
        <f>IF(OR(F187="NA",G187="wide_value"),"",TRUE)</f>
        <v>1</v>
      </c>
      <c r="C187" s="6" t="s">
        <v>113</v>
      </c>
      <c r="D187" s="6" t="s">
        <v>192</v>
      </c>
      <c r="E187" s="6" t="s">
        <v>165</v>
      </c>
      <c r="F187" s="6" t="s">
        <v>255</v>
      </c>
      <c r="G187" s="6" t="s">
        <v>1282</v>
      </c>
      <c r="H187" s="6" t="s">
        <v>1355</v>
      </c>
      <c r="I187" s="6" t="s">
        <v>1637</v>
      </c>
      <c r="J187" s="6"/>
      <c r="K187" s="6"/>
      <c r="L187" s="6"/>
    </row>
    <row r="188" spans="1:12" x14ac:dyDescent="0.2">
      <c r="A188">
        <v>307</v>
      </c>
      <c r="B188" s="6" t="b">
        <f>IF(OR(F188="NA",G188="wide_value"),"",TRUE)</f>
        <v>1</v>
      </c>
      <c r="C188" s="6" t="s">
        <v>113</v>
      </c>
      <c r="D188" s="6" t="s">
        <v>192</v>
      </c>
      <c r="E188" s="6" t="s">
        <v>165</v>
      </c>
      <c r="F188" s="6" t="s">
        <v>256</v>
      </c>
      <c r="G188" s="6" t="s">
        <v>1282</v>
      </c>
      <c r="H188" s="6" t="s">
        <v>1355</v>
      </c>
      <c r="I188" s="6" t="s">
        <v>1340</v>
      </c>
      <c r="J188" s="6"/>
      <c r="K188" s="6"/>
      <c r="L188" s="6"/>
    </row>
    <row r="189" spans="1:12" x14ac:dyDescent="0.2">
      <c r="A189">
        <v>308</v>
      </c>
      <c r="B189" s="6" t="b">
        <f>IF(OR(F189="NA",G189="wide_value"),"",TRUE)</f>
        <v>1</v>
      </c>
      <c r="C189" s="6" t="s">
        <v>113</v>
      </c>
      <c r="D189" s="6" t="s">
        <v>192</v>
      </c>
      <c r="E189" s="6" t="s">
        <v>165</v>
      </c>
      <c r="F189" s="6" t="s">
        <v>257</v>
      </c>
      <c r="G189" s="6" t="s">
        <v>1282</v>
      </c>
      <c r="H189" s="6" t="s">
        <v>1355</v>
      </c>
      <c r="I189" s="6" t="s">
        <v>1638</v>
      </c>
      <c r="J189" s="6"/>
      <c r="K189" s="6"/>
      <c r="L189" s="6"/>
    </row>
    <row r="190" spans="1:12" x14ac:dyDescent="0.2">
      <c r="A190">
        <v>309</v>
      </c>
      <c r="B190" s="6" t="b">
        <f>IF(OR(F190="NA",G190="wide_value"),"",TRUE)</f>
        <v>1</v>
      </c>
      <c r="C190" s="6" t="s">
        <v>113</v>
      </c>
      <c r="D190" s="6" t="s">
        <v>192</v>
      </c>
      <c r="E190" s="6" t="s">
        <v>165</v>
      </c>
      <c r="F190" s="6" t="s">
        <v>258</v>
      </c>
      <c r="G190" s="6" t="s">
        <v>1282</v>
      </c>
      <c r="H190" s="6" t="s">
        <v>1355</v>
      </c>
      <c r="I190" s="6" t="s">
        <v>1341</v>
      </c>
      <c r="J190" s="6"/>
      <c r="K190" s="6"/>
      <c r="L190" s="6"/>
    </row>
    <row r="191" spans="1:12" x14ac:dyDescent="0.2">
      <c r="A191">
        <v>310</v>
      </c>
      <c r="B191" s="6" t="b">
        <f>IF(OR(F191="NA",G191="wide_value"),"",TRUE)</f>
        <v>1</v>
      </c>
      <c r="C191" s="6" t="s">
        <v>113</v>
      </c>
      <c r="D191" s="6" t="s">
        <v>192</v>
      </c>
      <c r="E191" s="6" t="s">
        <v>165</v>
      </c>
      <c r="F191" s="6" t="s">
        <v>259</v>
      </c>
      <c r="G191" s="6" t="s">
        <v>1282</v>
      </c>
      <c r="H191" s="6" t="s">
        <v>1355</v>
      </c>
      <c r="I191" s="6" t="s">
        <v>1342</v>
      </c>
      <c r="J191" s="6"/>
      <c r="K191" s="6"/>
      <c r="L191" s="6"/>
    </row>
    <row r="192" spans="1:12" x14ac:dyDescent="0.2">
      <c r="A192">
        <v>311</v>
      </c>
      <c r="B192" s="6" t="b">
        <f>IF(OR(F192="NA",G192="wide_value"),"",TRUE)</f>
        <v>1</v>
      </c>
      <c r="C192" s="6" t="s">
        <v>113</v>
      </c>
      <c r="D192" s="6" t="s">
        <v>192</v>
      </c>
      <c r="E192" s="6" t="s">
        <v>165</v>
      </c>
      <c r="F192" s="6" t="s">
        <v>260</v>
      </c>
      <c r="G192" s="6" t="s">
        <v>1282</v>
      </c>
      <c r="H192" s="6" t="s">
        <v>1355</v>
      </c>
      <c r="I192" s="6" t="s">
        <v>1343</v>
      </c>
      <c r="J192" s="6"/>
      <c r="K192" s="6"/>
      <c r="L192" s="6"/>
    </row>
    <row r="193" spans="1:12" x14ac:dyDescent="0.2">
      <c r="A193">
        <v>312</v>
      </c>
      <c r="B193" s="6" t="b">
        <f>IF(OR(F193="NA",G193="wide_value"),"",TRUE)</f>
        <v>1</v>
      </c>
      <c r="C193" s="6" t="s">
        <v>113</v>
      </c>
      <c r="D193" s="6" t="s">
        <v>192</v>
      </c>
      <c r="E193" s="6" t="s">
        <v>165</v>
      </c>
      <c r="F193" s="6" t="s">
        <v>261</v>
      </c>
      <c r="G193" s="6" t="s">
        <v>1282</v>
      </c>
      <c r="H193" s="6" t="s">
        <v>1355</v>
      </c>
      <c r="I193" s="6" t="s">
        <v>1639</v>
      </c>
      <c r="J193" s="6"/>
      <c r="K193" s="6"/>
      <c r="L193" s="6"/>
    </row>
    <row r="194" spans="1:12" x14ac:dyDescent="0.2">
      <c r="A194">
        <v>313</v>
      </c>
      <c r="B194" s="6" t="b">
        <f>IF(OR(F194="NA",G194="wide_value"),"",TRUE)</f>
        <v>1</v>
      </c>
      <c r="C194" s="6" t="s">
        <v>113</v>
      </c>
      <c r="D194" s="6" t="s">
        <v>192</v>
      </c>
      <c r="E194" s="6" t="s">
        <v>165</v>
      </c>
      <c r="F194" s="6" t="s">
        <v>262</v>
      </c>
      <c r="G194" s="6" t="s">
        <v>1282</v>
      </c>
      <c r="H194" s="6" t="s">
        <v>1355</v>
      </c>
      <c r="I194" s="6" t="s">
        <v>1640</v>
      </c>
      <c r="J194" s="6"/>
      <c r="K194" s="6"/>
      <c r="L194" s="6"/>
    </row>
    <row r="195" spans="1:12" x14ac:dyDescent="0.2">
      <c r="A195">
        <v>314</v>
      </c>
      <c r="B195" s="6" t="b">
        <f>IF(OR(F195="NA",G195="wide_value"),"",TRUE)</f>
        <v>1</v>
      </c>
      <c r="C195" s="6" t="s">
        <v>113</v>
      </c>
      <c r="D195" s="6" t="s">
        <v>192</v>
      </c>
      <c r="E195" s="6" t="s">
        <v>165</v>
      </c>
      <c r="F195" s="6" t="s">
        <v>263</v>
      </c>
      <c r="G195" s="6" t="s">
        <v>1282</v>
      </c>
      <c r="H195" s="6" t="s">
        <v>1355</v>
      </c>
      <c r="I195" s="6" t="s">
        <v>1641</v>
      </c>
      <c r="J195" s="6"/>
      <c r="K195" s="6"/>
      <c r="L195" s="6"/>
    </row>
    <row r="196" spans="1:12" x14ac:dyDescent="0.2">
      <c r="A196">
        <v>315</v>
      </c>
      <c r="B196" s="6" t="b">
        <f>IF(OR(F196="NA",G196="wide_value"),"",TRUE)</f>
        <v>1</v>
      </c>
      <c r="C196" s="6" t="s">
        <v>113</v>
      </c>
      <c r="D196" s="6" t="s">
        <v>192</v>
      </c>
      <c r="E196" s="6" t="s">
        <v>165</v>
      </c>
      <c r="F196" s="6" t="s">
        <v>264</v>
      </c>
      <c r="G196" s="6" t="s">
        <v>1282</v>
      </c>
      <c r="H196" s="6" t="s">
        <v>1355</v>
      </c>
      <c r="I196" s="6" t="s">
        <v>1642</v>
      </c>
      <c r="J196" s="6"/>
      <c r="K196" s="6"/>
      <c r="L196" s="6"/>
    </row>
    <row r="197" spans="1:12" x14ac:dyDescent="0.2">
      <c r="A197">
        <v>316</v>
      </c>
      <c r="B197" s="6" t="b">
        <f>IF(OR(F197="NA",G197="wide_value"),"",TRUE)</f>
        <v>1</v>
      </c>
      <c r="C197" s="6" t="s">
        <v>113</v>
      </c>
      <c r="D197" s="6" t="s">
        <v>192</v>
      </c>
      <c r="E197" s="6" t="s">
        <v>165</v>
      </c>
      <c r="F197" s="6" t="s">
        <v>265</v>
      </c>
      <c r="G197" s="6" t="s">
        <v>1282</v>
      </c>
      <c r="H197" s="6" t="s">
        <v>1355</v>
      </c>
      <c r="I197" s="6" t="s">
        <v>1643</v>
      </c>
      <c r="J197" s="6"/>
      <c r="K197" s="6"/>
      <c r="L197" s="6"/>
    </row>
    <row r="198" spans="1:12" x14ac:dyDescent="0.2">
      <c r="A198">
        <v>317</v>
      </c>
      <c r="B198" s="6" t="b">
        <f>IF(OR(F198="NA",G198="wide_value"),"",TRUE)</f>
        <v>1</v>
      </c>
      <c r="C198" s="6" t="s">
        <v>113</v>
      </c>
      <c r="D198" s="6" t="s">
        <v>192</v>
      </c>
      <c r="E198" s="6" t="s">
        <v>165</v>
      </c>
      <c r="F198" s="6" t="s">
        <v>1211</v>
      </c>
      <c r="G198" s="6" t="s">
        <v>1282</v>
      </c>
      <c r="H198" s="6" t="s">
        <v>1355</v>
      </c>
      <c r="I198" s="6" t="s">
        <v>1344</v>
      </c>
      <c r="J198" s="6"/>
      <c r="K198" s="6"/>
      <c r="L198" s="6"/>
    </row>
    <row r="199" spans="1:12" x14ac:dyDescent="0.2">
      <c r="A199">
        <v>318</v>
      </c>
      <c r="B199" s="6" t="b">
        <f>IF(OR(F199="NA",G199="wide_value"),"",TRUE)</f>
        <v>1</v>
      </c>
      <c r="C199" s="6" t="s">
        <v>113</v>
      </c>
      <c r="D199" s="6" t="s">
        <v>192</v>
      </c>
      <c r="E199" s="6" t="s">
        <v>165</v>
      </c>
      <c r="F199" s="6" t="s">
        <v>1212</v>
      </c>
      <c r="G199" s="6" t="s">
        <v>1282</v>
      </c>
      <c r="H199" s="6" t="s">
        <v>1355</v>
      </c>
      <c r="I199" s="6" t="s">
        <v>1644</v>
      </c>
      <c r="J199" s="6"/>
      <c r="K199" s="6"/>
      <c r="L199" s="6"/>
    </row>
    <row r="200" spans="1:12" x14ac:dyDescent="0.2">
      <c r="A200">
        <v>319</v>
      </c>
      <c r="B200" s="6" t="b">
        <f>IF(OR(F200="NA",G200="wide_value"),"",TRUE)</f>
        <v>1</v>
      </c>
      <c r="C200" s="6" t="s">
        <v>113</v>
      </c>
      <c r="D200" s="6" t="s">
        <v>192</v>
      </c>
      <c r="E200" s="6" t="s">
        <v>165</v>
      </c>
      <c r="F200" s="6" t="s">
        <v>266</v>
      </c>
      <c r="G200" s="6" t="s">
        <v>1282</v>
      </c>
      <c r="H200" s="6" t="s">
        <v>1354</v>
      </c>
      <c r="I200" s="6" t="s">
        <v>1655</v>
      </c>
      <c r="J200" s="6"/>
      <c r="K200" s="6"/>
      <c r="L200" s="6"/>
    </row>
    <row r="201" spans="1:12" x14ac:dyDescent="0.2">
      <c r="A201">
        <v>320</v>
      </c>
      <c r="B201" s="6" t="b">
        <f>IF(OR(F201="NA",G201="wide_value"),"",TRUE)</f>
        <v>1</v>
      </c>
      <c r="C201" s="6" t="s">
        <v>113</v>
      </c>
      <c r="D201" s="6" t="s">
        <v>192</v>
      </c>
      <c r="E201" s="6" t="s">
        <v>165</v>
      </c>
      <c r="F201" s="6" t="s">
        <v>267</v>
      </c>
      <c r="G201" s="6" t="s">
        <v>1282</v>
      </c>
      <c r="H201" s="6" t="s">
        <v>1354</v>
      </c>
      <c r="I201" s="6" t="s">
        <v>1347</v>
      </c>
      <c r="J201" s="6"/>
      <c r="K201" s="6"/>
      <c r="L201" s="6"/>
    </row>
    <row r="202" spans="1:12" x14ac:dyDescent="0.2">
      <c r="A202">
        <v>321</v>
      </c>
      <c r="B202" s="6" t="b">
        <f>IF(OR(F202="NA",G202="wide_value"),"",TRUE)</f>
        <v>1</v>
      </c>
      <c r="C202" s="6" t="s">
        <v>113</v>
      </c>
      <c r="D202" s="6" t="s">
        <v>192</v>
      </c>
      <c r="E202" s="6" t="s">
        <v>165</v>
      </c>
      <c r="F202" s="6" t="s">
        <v>268</v>
      </c>
      <c r="G202" s="6" t="s">
        <v>1282</v>
      </c>
      <c r="H202" s="6" t="s">
        <v>1354</v>
      </c>
      <c r="I202" s="6" t="s">
        <v>1346</v>
      </c>
      <c r="J202" s="6"/>
      <c r="K202" s="6"/>
      <c r="L202" s="6"/>
    </row>
    <row r="203" spans="1:12" x14ac:dyDescent="0.2">
      <c r="A203">
        <v>322</v>
      </c>
      <c r="B203" s="6" t="b">
        <f>IF(OR(F203="NA",G203="wide_value"),"",TRUE)</f>
        <v>1</v>
      </c>
      <c r="C203" s="6" t="s">
        <v>113</v>
      </c>
      <c r="D203" s="6" t="s">
        <v>192</v>
      </c>
      <c r="E203" s="6" t="s">
        <v>165</v>
      </c>
      <c r="F203" s="6" t="s">
        <v>269</v>
      </c>
      <c r="G203" s="6" t="s">
        <v>1282</v>
      </c>
      <c r="H203" s="6" t="s">
        <v>1355</v>
      </c>
      <c r="I203" s="6" t="s">
        <v>1345</v>
      </c>
      <c r="J203" s="6"/>
      <c r="K203" s="6"/>
      <c r="L203" s="6"/>
    </row>
    <row r="204" spans="1:12" x14ac:dyDescent="0.2">
      <c r="A204">
        <v>323</v>
      </c>
      <c r="B204" s="6" t="str">
        <f>IF(OR(F204="NA",G204="wide_value"),"",TRUE)</f>
        <v/>
      </c>
      <c r="C204" s="6" t="s">
        <v>113</v>
      </c>
      <c r="D204" s="6" t="s">
        <v>192</v>
      </c>
      <c r="E204" s="6" t="s">
        <v>171</v>
      </c>
      <c r="F204" s="6" t="s">
        <v>497</v>
      </c>
      <c r="G204" s="6" t="s">
        <v>1536</v>
      </c>
      <c r="H204" s="6" t="s">
        <v>1632</v>
      </c>
      <c r="I204" s="6" t="s">
        <v>1768</v>
      </c>
      <c r="J204" s="6"/>
      <c r="K204" s="6"/>
      <c r="L204" s="5" t="s">
        <v>1769</v>
      </c>
    </row>
    <row r="205" spans="1:12" x14ac:dyDescent="0.2">
      <c r="A205">
        <v>324</v>
      </c>
      <c r="B205" s="6" t="str">
        <f>IF(OR(F205="NA",G205="wide_value"),"",TRUE)</f>
        <v/>
      </c>
      <c r="C205" s="6" t="s">
        <v>113</v>
      </c>
      <c r="D205" s="6" t="s">
        <v>192</v>
      </c>
      <c r="E205" s="6" t="s">
        <v>1165</v>
      </c>
      <c r="F205" s="6" t="s">
        <v>497</v>
      </c>
      <c r="G205" s="6" t="s">
        <v>1536</v>
      </c>
      <c r="H205" s="6" t="s">
        <v>1014</v>
      </c>
      <c r="I205" s="6" t="s">
        <v>1721</v>
      </c>
      <c r="J205" s="6"/>
      <c r="K205" s="6"/>
      <c r="L205" s="6"/>
    </row>
    <row r="206" spans="1:12" x14ac:dyDescent="0.2">
      <c r="A206">
        <v>329</v>
      </c>
      <c r="B206" s="6" t="str">
        <f>IF(OR(F206="NA",G206="wide_value"),"",TRUE)</f>
        <v/>
      </c>
      <c r="C206" s="6" t="s">
        <v>113</v>
      </c>
      <c r="D206" s="6" t="s">
        <v>1776</v>
      </c>
      <c r="E206" s="6" t="s">
        <v>147</v>
      </c>
      <c r="F206" s="6" t="s">
        <v>497</v>
      </c>
      <c r="G206" s="9" t="s">
        <v>1113</v>
      </c>
      <c r="H206" s="6"/>
      <c r="I206" s="6"/>
      <c r="J206" s="6"/>
      <c r="K206" s="6"/>
      <c r="L206" s="5" t="s">
        <v>1770</v>
      </c>
    </row>
    <row r="207" spans="1:12" x14ac:dyDescent="0.2">
      <c r="A207">
        <v>330</v>
      </c>
      <c r="B207" s="6" t="str">
        <f>IF(OR(F207="NA",G207="wide_value"),"",TRUE)</f>
        <v/>
      </c>
      <c r="C207" s="6" t="s">
        <v>113</v>
      </c>
      <c r="D207" s="6" t="s">
        <v>192</v>
      </c>
      <c r="E207" s="6" t="s">
        <v>148</v>
      </c>
      <c r="F207" s="6" t="s">
        <v>497</v>
      </c>
      <c r="G207" s="6" t="s">
        <v>1331</v>
      </c>
      <c r="H207" s="6" t="s">
        <v>1632</v>
      </c>
      <c r="I207" s="6" t="s">
        <v>1772</v>
      </c>
      <c r="J207" s="6"/>
      <c r="K207" s="6"/>
      <c r="L207" s="5" t="s">
        <v>1771</v>
      </c>
    </row>
    <row r="208" spans="1:12" x14ac:dyDescent="0.2">
      <c r="A208">
        <v>331</v>
      </c>
      <c r="B208" s="6" t="str">
        <f>IF(OR(F208="NA",G208="wide_value"),"",TRUE)</f>
        <v/>
      </c>
      <c r="C208" s="6" t="s">
        <v>113</v>
      </c>
      <c r="D208" s="6" t="s">
        <v>192</v>
      </c>
      <c r="E208" s="6" t="s">
        <v>1169</v>
      </c>
      <c r="F208" s="6" t="s">
        <v>497</v>
      </c>
      <c r="G208" s="6" t="s">
        <v>1331</v>
      </c>
      <c r="H208" s="6" t="s">
        <v>1632</v>
      </c>
      <c r="I208" s="6" t="s">
        <v>1777</v>
      </c>
      <c r="J208" s="6"/>
      <c r="K208" s="6"/>
      <c r="L208" s="5" t="s">
        <v>1778</v>
      </c>
    </row>
    <row r="209" spans="1:12" x14ac:dyDescent="0.2">
      <c r="A209">
        <v>332</v>
      </c>
      <c r="B209" s="6" t="str">
        <f>IF(OR(F209="NA",G209="wide_value"),"",TRUE)</f>
        <v/>
      </c>
      <c r="C209" s="6" t="s">
        <v>113</v>
      </c>
      <c r="D209" s="6" t="s">
        <v>192</v>
      </c>
      <c r="E209" s="6" t="s">
        <v>1168</v>
      </c>
      <c r="F209" s="6" t="s">
        <v>497</v>
      </c>
      <c r="G209" s="9" t="s">
        <v>1113</v>
      </c>
      <c r="H209" s="6"/>
      <c r="I209" s="6"/>
      <c r="J209" s="6"/>
      <c r="K209" s="6"/>
      <c r="L209" s="5" t="s">
        <v>1779</v>
      </c>
    </row>
    <row r="210" spans="1:12" x14ac:dyDescent="0.2">
      <c r="A210">
        <v>333</v>
      </c>
      <c r="B210" s="6" t="str">
        <f>IF(OR(F210="NA",G210="wide_value"),"",TRUE)</f>
        <v/>
      </c>
      <c r="C210" s="6" t="s">
        <v>113</v>
      </c>
      <c r="D210" s="6" t="s">
        <v>192</v>
      </c>
      <c r="E210" s="6" t="s">
        <v>1157</v>
      </c>
      <c r="F210" s="6" t="s">
        <v>497</v>
      </c>
      <c r="G210" s="6" t="s">
        <v>1282</v>
      </c>
      <c r="H210" s="6" t="s">
        <v>1416</v>
      </c>
      <c r="I210" s="6" t="s">
        <v>1418</v>
      </c>
      <c r="J210" s="6"/>
      <c r="K210" s="6"/>
      <c r="L210" s="6"/>
    </row>
    <row r="211" spans="1:12" x14ac:dyDescent="0.2">
      <c r="A211">
        <v>334</v>
      </c>
      <c r="B211" s="6" t="str">
        <f>IF(OR(F211="NA",G211="wide_value"),"",TRUE)</f>
        <v/>
      </c>
      <c r="C211" s="6" t="s">
        <v>113</v>
      </c>
      <c r="D211" s="6" t="s">
        <v>192</v>
      </c>
      <c r="E211" s="6" t="s">
        <v>1158</v>
      </c>
      <c r="F211" s="6" t="s">
        <v>497</v>
      </c>
      <c r="G211" s="6" t="s">
        <v>1282</v>
      </c>
      <c r="H211" s="6" t="s">
        <v>1417</v>
      </c>
      <c r="I211" s="6" t="s">
        <v>1419</v>
      </c>
      <c r="J211" s="6"/>
      <c r="K211" s="6"/>
      <c r="L211" s="6"/>
    </row>
    <row r="212" spans="1:12" x14ac:dyDescent="0.2">
      <c r="A212">
        <v>335</v>
      </c>
      <c r="B212" s="6" t="str">
        <f>IF(OR(F212="NA",G212="wide_value"),"",TRUE)</f>
        <v/>
      </c>
      <c r="C212" s="6" t="s">
        <v>113</v>
      </c>
      <c r="D212" s="6" t="s">
        <v>192</v>
      </c>
      <c r="E212" s="6" t="s">
        <v>134</v>
      </c>
      <c r="F212" s="6" t="s">
        <v>497</v>
      </c>
      <c r="G212" s="6" t="s">
        <v>1291</v>
      </c>
      <c r="H212" s="6" t="s">
        <v>9</v>
      </c>
      <c r="I212" s="6" t="s">
        <v>1433</v>
      </c>
      <c r="J212" s="6"/>
      <c r="K212" s="6"/>
      <c r="L212" s="6"/>
    </row>
    <row r="213" spans="1:12" x14ac:dyDescent="0.2">
      <c r="A213">
        <v>336</v>
      </c>
      <c r="B213" s="6" t="str">
        <f>IF(OR(F213="NA",G213="wide_value"),"",TRUE)</f>
        <v/>
      </c>
      <c r="C213" s="6" t="s">
        <v>113</v>
      </c>
      <c r="D213" s="6" t="s">
        <v>192</v>
      </c>
      <c r="E213" s="6" t="s">
        <v>164</v>
      </c>
      <c r="F213" s="6" t="s">
        <v>497</v>
      </c>
      <c r="G213" s="6" t="s">
        <v>1282</v>
      </c>
      <c r="H213" s="6" t="s">
        <v>1247</v>
      </c>
      <c r="I213" s="6" t="s">
        <v>1308</v>
      </c>
      <c r="J213" s="6"/>
      <c r="K213" s="6"/>
      <c r="L213" s="6"/>
    </row>
    <row r="214" spans="1:12" x14ac:dyDescent="0.2">
      <c r="A214">
        <v>337</v>
      </c>
      <c r="B214" s="6" t="str">
        <f>IF(OR(F214="NA",G214="wide_value"),"",TRUE)</f>
        <v/>
      </c>
      <c r="C214" s="6" t="s">
        <v>113</v>
      </c>
      <c r="D214" s="6" t="s">
        <v>192</v>
      </c>
      <c r="E214" s="6" t="s">
        <v>114</v>
      </c>
      <c r="F214" s="6" t="s">
        <v>497</v>
      </c>
      <c r="G214" s="6" t="s">
        <v>1291</v>
      </c>
      <c r="H214" s="6" t="s">
        <v>1421</v>
      </c>
      <c r="I214" s="6" t="s">
        <v>1420</v>
      </c>
      <c r="J214" s="6"/>
      <c r="K214" s="6"/>
      <c r="L214" s="5" t="s">
        <v>1422</v>
      </c>
    </row>
    <row r="215" spans="1:12" x14ac:dyDescent="0.2">
      <c r="A215">
        <v>338</v>
      </c>
      <c r="B215" s="6" t="b">
        <f>IF(OR(F215="NA",G215="wide_value"),"",TRUE)</f>
        <v>1</v>
      </c>
      <c r="C215" s="6" t="s">
        <v>113</v>
      </c>
      <c r="D215" s="6" t="s">
        <v>192</v>
      </c>
      <c r="E215" s="6" t="s">
        <v>115</v>
      </c>
      <c r="F215" s="15" t="s">
        <v>499</v>
      </c>
      <c r="G215" s="6" t="s">
        <v>1291</v>
      </c>
      <c r="H215" s="6" t="s">
        <v>1292</v>
      </c>
      <c r="I215" s="16" t="s">
        <v>498</v>
      </c>
      <c r="J215" s="6"/>
      <c r="K215" s="6"/>
      <c r="L215" s="5" t="s">
        <v>1293</v>
      </c>
    </row>
    <row r="216" spans="1:12" x14ac:dyDescent="0.2">
      <c r="A216">
        <v>339</v>
      </c>
      <c r="B216" s="6" t="b">
        <f>IF(OR(F216="NA",G216="wide_value"),"",TRUE)</f>
        <v>1</v>
      </c>
      <c r="C216" s="6" t="s">
        <v>113</v>
      </c>
      <c r="D216" s="6" t="s">
        <v>192</v>
      </c>
      <c r="E216" s="6" t="s">
        <v>115</v>
      </c>
      <c r="F216" s="15" t="s">
        <v>501</v>
      </c>
      <c r="G216" s="6" t="s">
        <v>1291</v>
      </c>
      <c r="H216" s="6" t="s">
        <v>1292</v>
      </c>
      <c r="I216" s="16" t="s">
        <v>500</v>
      </c>
      <c r="J216" s="6"/>
      <c r="K216" s="6"/>
      <c r="L216" s="5" t="s">
        <v>1293</v>
      </c>
    </row>
    <row r="217" spans="1:12" x14ac:dyDescent="0.2">
      <c r="A217">
        <v>340</v>
      </c>
      <c r="B217" s="6" t="b">
        <f>IF(OR(F217="NA",G217="wide_value"),"",TRUE)</f>
        <v>1</v>
      </c>
      <c r="C217" s="6" t="s">
        <v>113</v>
      </c>
      <c r="D217" s="6" t="s">
        <v>192</v>
      </c>
      <c r="E217" s="6" t="s">
        <v>115</v>
      </c>
      <c r="F217" s="15" t="s">
        <v>503</v>
      </c>
      <c r="G217" s="6" t="s">
        <v>1291</v>
      </c>
      <c r="H217" s="6" t="s">
        <v>1292</v>
      </c>
      <c r="I217" s="16" t="s">
        <v>502</v>
      </c>
      <c r="J217" s="6"/>
      <c r="K217" s="6"/>
      <c r="L217" s="5" t="s">
        <v>1293</v>
      </c>
    </row>
    <row r="218" spans="1:12" x14ac:dyDescent="0.2">
      <c r="A218">
        <v>341</v>
      </c>
      <c r="B218" s="6" t="b">
        <f>IF(OR(F218="NA",G218="wide_value"),"",TRUE)</f>
        <v>1</v>
      </c>
      <c r="C218" s="6" t="s">
        <v>113</v>
      </c>
      <c r="D218" s="6" t="s">
        <v>192</v>
      </c>
      <c r="E218" s="6" t="s">
        <v>115</v>
      </c>
      <c r="F218" s="15" t="s">
        <v>505</v>
      </c>
      <c r="G218" s="6" t="s">
        <v>1291</v>
      </c>
      <c r="H218" s="6" t="s">
        <v>1292</v>
      </c>
      <c r="I218" s="16" t="s">
        <v>504</v>
      </c>
      <c r="J218" s="6"/>
      <c r="K218" s="6"/>
      <c r="L218" s="5" t="s">
        <v>1293</v>
      </c>
    </row>
    <row r="219" spans="1:12" x14ac:dyDescent="0.2">
      <c r="A219">
        <v>342</v>
      </c>
      <c r="B219" s="6" t="b">
        <f>IF(OR(F219="NA",G219="wide_value"),"",TRUE)</f>
        <v>1</v>
      </c>
      <c r="C219" s="6" t="s">
        <v>113</v>
      </c>
      <c r="D219" s="6" t="s">
        <v>192</v>
      </c>
      <c r="E219" s="6" t="s">
        <v>115</v>
      </c>
      <c r="F219" s="15" t="s">
        <v>507</v>
      </c>
      <c r="G219" s="6" t="s">
        <v>1291</v>
      </c>
      <c r="H219" s="6" t="s">
        <v>1292</v>
      </c>
      <c r="I219" s="16" t="s">
        <v>506</v>
      </c>
      <c r="J219" s="6"/>
      <c r="K219" s="6"/>
      <c r="L219" s="5" t="s">
        <v>1293</v>
      </c>
    </row>
    <row r="220" spans="1:12" x14ac:dyDescent="0.2">
      <c r="A220">
        <v>343</v>
      </c>
      <c r="B220" s="6" t="b">
        <f>IF(OR(F220="NA",G220="wide_value"),"",TRUE)</f>
        <v>1</v>
      </c>
      <c r="C220" s="6" t="s">
        <v>113</v>
      </c>
      <c r="D220" s="6" t="s">
        <v>192</v>
      </c>
      <c r="E220" s="6" t="s">
        <v>115</v>
      </c>
      <c r="F220" s="15" t="s">
        <v>509</v>
      </c>
      <c r="G220" s="6" t="s">
        <v>1291</v>
      </c>
      <c r="H220" s="6" t="s">
        <v>1292</v>
      </c>
      <c r="I220" s="16" t="s">
        <v>508</v>
      </c>
      <c r="J220" s="6"/>
      <c r="K220" s="6"/>
      <c r="L220" s="5" t="s">
        <v>1293</v>
      </c>
    </row>
    <row r="221" spans="1:12" x14ac:dyDescent="0.2">
      <c r="A221">
        <v>344</v>
      </c>
      <c r="B221" s="6" t="b">
        <f>IF(OR(F221="NA",G221="wide_value"),"",TRUE)</f>
        <v>1</v>
      </c>
      <c r="C221" s="6" t="s">
        <v>113</v>
      </c>
      <c r="D221" s="6" t="s">
        <v>192</v>
      </c>
      <c r="E221" s="6" t="s">
        <v>115</v>
      </c>
      <c r="F221" s="15" t="s">
        <v>511</v>
      </c>
      <c r="G221" s="6" t="s">
        <v>1291</v>
      </c>
      <c r="H221" s="6" t="s">
        <v>1292</v>
      </c>
      <c r="I221" s="16" t="s">
        <v>510</v>
      </c>
      <c r="J221" s="6"/>
      <c r="K221" s="6"/>
      <c r="L221" s="5" t="s">
        <v>1293</v>
      </c>
    </row>
    <row r="222" spans="1:12" x14ac:dyDescent="0.2">
      <c r="A222">
        <v>345</v>
      </c>
      <c r="B222" s="6" t="b">
        <f>IF(OR(F222="NA",G222="wide_value"),"",TRUE)</f>
        <v>1</v>
      </c>
      <c r="C222" s="6" t="s">
        <v>113</v>
      </c>
      <c r="D222" s="6" t="s">
        <v>192</v>
      </c>
      <c r="E222" s="6" t="s">
        <v>115</v>
      </c>
      <c r="F222" s="15" t="s">
        <v>513</v>
      </c>
      <c r="G222" s="6" t="s">
        <v>1291</v>
      </c>
      <c r="H222" s="6" t="s">
        <v>1292</v>
      </c>
      <c r="I222" s="16" t="s">
        <v>512</v>
      </c>
      <c r="J222" s="6"/>
      <c r="K222" s="6"/>
      <c r="L222" s="5" t="s">
        <v>1293</v>
      </c>
    </row>
    <row r="223" spans="1:12" x14ac:dyDescent="0.2">
      <c r="A223">
        <v>346</v>
      </c>
      <c r="B223" s="6" t="b">
        <f>IF(OR(F223="NA",G223="wide_value"),"",TRUE)</f>
        <v>1</v>
      </c>
      <c r="C223" s="6" t="s">
        <v>113</v>
      </c>
      <c r="D223" s="6" t="s">
        <v>192</v>
      </c>
      <c r="E223" s="6" t="s">
        <v>115</v>
      </c>
      <c r="F223" s="15" t="s">
        <v>515</v>
      </c>
      <c r="G223" s="6" t="s">
        <v>1291</v>
      </c>
      <c r="H223" s="6" t="s">
        <v>1292</v>
      </c>
      <c r="I223" s="16" t="s">
        <v>514</v>
      </c>
      <c r="J223" s="6"/>
      <c r="K223" s="6"/>
      <c r="L223" s="5" t="s">
        <v>1293</v>
      </c>
    </row>
    <row r="224" spans="1:12" x14ac:dyDescent="0.2">
      <c r="A224">
        <v>347</v>
      </c>
      <c r="B224" s="6" t="b">
        <f>IF(OR(F224="NA",G224="wide_value"),"",TRUE)</f>
        <v>1</v>
      </c>
      <c r="C224" s="6" t="s">
        <v>113</v>
      </c>
      <c r="D224" s="6" t="s">
        <v>192</v>
      </c>
      <c r="E224" s="6" t="s">
        <v>115</v>
      </c>
      <c r="F224" s="15" t="s">
        <v>517</v>
      </c>
      <c r="G224" s="6" t="s">
        <v>1291</v>
      </c>
      <c r="H224" s="6" t="s">
        <v>1292</v>
      </c>
      <c r="I224" s="16" t="s">
        <v>516</v>
      </c>
      <c r="J224" s="6"/>
      <c r="K224" s="6"/>
      <c r="L224" s="5" t="s">
        <v>1293</v>
      </c>
    </row>
    <row r="225" spans="1:12" x14ac:dyDescent="0.2">
      <c r="A225">
        <v>348</v>
      </c>
      <c r="B225" s="6" t="b">
        <f>IF(OR(F225="NA",G225="wide_value"),"",TRUE)</f>
        <v>1</v>
      </c>
      <c r="C225" s="6" t="s">
        <v>113</v>
      </c>
      <c r="D225" s="6" t="s">
        <v>192</v>
      </c>
      <c r="E225" s="6" t="s">
        <v>115</v>
      </c>
      <c r="F225" s="15" t="s">
        <v>519</v>
      </c>
      <c r="G225" s="6" t="s">
        <v>1291</v>
      </c>
      <c r="H225" s="6" t="s">
        <v>1292</v>
      </c>
      <c r="I225" s="16" t="s">
        <v>518</v>
      </c>
      <c r="J225" s="6"/>
      <c r="K225" s="6"/>
      <c r="L225" s="5" t="s">
        <v>1293</v>
      </c>
    </row>
    <row r="226" spans="1:12" x14ac:dyDescent="0.2">
      <c r="A226">
        <v>349</v>
      </c>
      <c r="B226" s="6" t="b">
        <f>IF(OR(F226="NA",G226="wide_value"),"",TRUE)</f>
        <v>1</v>
      </c>
      <c r="C226" s="6" t="s">
        <v>113</v>
      </c>
      <c r="D226" s="6" t="s">
        <v>192</v>
      </c>
      <c r="E226" s="6" t="s">
        <v>115</v>
      </c>
      <c r="F226" s="15" t="s">
        <v>521</v>
      </c>
      <c r="G226" s="6" t="s">
        <v>1291</v>
      </c>
      <c r="H226" s="6" t="s">
        <v>1292</v>
      </c>
      <c r="I226" s="16" t="s">
        <v>520</v>
      </c>
      <c r="J226" s="6"/>
      <c r="K226" s="6"/>
      <c r="L226" s="5" t="s">
        <v>1293</v>
      </c>
    </row>
    <row r="227" spans="1:12" x14ac:dyDescent="0.2">
      <c r="A227">
        <v>350</v>
      </c>
      <c r="B227" s="6" t="b">
        <f>IF(OR(F227="NA",G227="wide_value"),"",TRUE)</f>
        <v>1</v>
      </c>
      <c r="C227" s="6" t="s">
        <v>113</v>
      </c>
      <c r="D227" s="6" t="s">
        <v>192</v>
      </c>
      <c r="E227" s="6" t="s">
        <v>115</v>
      </c>
      <c r="F227" s="15" t="s">
        <v>522</v>
      </c>
      <c r="G227" s="6" t="s">
        <v>1291</v>
      </c>
      <c r="H227" s="6" t="s">
        <v>1423</v>
      </c>
      <c r="I227" s="6" t="s">
        <v>1556</v>
      </c>
      <c r="J227" s="6"/>
      <c r="K227" s="6" t="s">
        <v>1557</v>
      </c>
      <c r="L227" s="5" t="s">
        <v>1293</v>
      </c>
    </row>
    <row r="228" spans="1:12" x14ac:dyDescent="0.2">
      <c r="A228">
        <v>351</v>
      </c>
      <c r="B228" s="6" t="b">
        <f>IF(OR(F228="NA",G228="wide_value"),"",TRUE)</f>
        <v>1</v>
      </c>
      <c r="C228" s="6" t="s">
        <v>113</v>
      </c>
      <c r="D228" s="6" t="s">
        <v>192</v>
      </c>
      <c r="E228" s="6" t="s">
        <v>115</v>
      </c>
      <c r="F228" s="15" t="s">
        <v>524</v>
      </c>
      <c r="G228" s="6" t="s">
        <v>1291</v>
      </c>
      <c r="H228" s="6" t="s">
        <v>1292</v>
      </c>
      <c r="I228" s="16" t="s">
        <v>523</v>
      </c>
      <c r="J228" s="6"/>
      <c r="K228" s="6"/>
      <c r="L228" s="5" t="s">
        <v>1293</v>
      </c>
    </row>
    <row r="229" spans="1:12" x14ac:dyDescent="0.2">
      <c r="A229">
        <v>352</v>
      </c>
      <c r="B229" s="6" t="b">
        <f>IF(OR(F229="NA",G229="wide_value"),"",TRUE)</f>
        <v>1</v>
      </c>
      <c r="C229" s="6" t="s">
        <v>113</v>
      </c>
      <c r="D229" s="6" t="s">
        <v>192</v>
      </c>
      <c r="E229" s="6" t="s">
        <v>115</v>
      </c>
      <c r="F229" s="15" t="s">
        <v>526</v>
      </c>
      <c r="G229" s="6" t="s">
        <v>1291</v>
      </c>
      <c r="H229" s="6" t="s">
        <v>1292</v>
      </c>
      <c r="I229" s="16" t="s">
        <v>525</v>
      </c>
      <c r="J229" s="6"/>
      <c r="K229" s="6"/>
      <c r="L229" s="5" t="s">
        <v>1293</v>
      </c>
    </row>
    <row r="230" spans="1:12" x14ac:dyDescent="0.2">
      <c r="A230">
        <v>353</v>
      </c>
      <c r="B230" s="6" t="b">
        <f>IF(OR(F230="NA",G230="wide_value"),"",TRUE)</f>
        <v>1</v>
      </c>
      <c r="C230" s="6" t="s">
        <v>113</v>
      </c>
      <c r="D230" s="6" t="s">
        <v>192</v>
      </c>
      <c r="E230" s="6" t="s">
        <v>115</v>
      </c>
      <c r="F230" s="15" t="s">
        <v>528</v>
      </c>
      <c r="G230" s="6" t="s">
        <v>1291</v>
      </c>
      <c r="H230" s="6" t="s">
        <v>1292</v>
      </c>
      <c r="I230" s="16" t="s">
        <v>527</v>
      </c>
      <c r="J230" s="6"/>
      <c r="K230" s="6"/>
      <c r="L230" s="5" t="s">
        <v>1293</v>
      </c>
    </row>
    <row r="231" spans="1:12" x14ac:dyDescent="0.2">
      <c r="A231">
        <v>354</v>
      </c>
      <c r="B231" s="6" t="b">
        <f>IF(OR(F231="NA",G231="wide_value"),"",TRUE)</f>
        <v>1</v>
      </c>
      <c r="C231" s="6" t="s">
        <v>113</v>
      </c>
      <c r="D231" s="6" t="s">
        <v>192</v>
      </c>
      <c r="E231" s="6" t="s">
        <v>115</v>
      </c>
      <c r="F231" s="15" t="s">
        <v>530</v>
      </c>
      <c r="G231" s="6" t="s">
        <v>1291</v>
      </c>
      <c r="H231" s="6" t="s">
        <v>1292</v>
      </c>
      <c r="I231" s="16" t="s">
        <v>529</v>
      </c>
      <c r="J231" s="6"/>
      <c r="K231" s="6"/>
      <c r="L231" s="5" t="s">
        <v>1293</v>
      </c>
    </row>
    <row r="232" spans="1:12" x14ac:dyDescent="0.2">
      <c r="A232">
        <v>355</v>
      </c>
      <c r="B232" s="6" t="b">
        <f>IF(OR(F232="NA",G232="wide_value"),"",TRUE)</f>
        <v>1</v>
      </c>
      <c r="C232" s="6" t="s">
        <v>113</v>
      </c>
      <c r="D232" s="6" t="s">
        <v>192</v>
      </c>
      <c r="E232" s="6" t="s">
        <v>115</v>
      </c>
      <c r="F232" s="15" t="s">
        <v>532</v>
      </c>
      <c r="G232" s="6" t="s">
        <v>1291</v>
      </c>
      <c r="H232" s="6" t="s">
        <v>1292</v>
      </c>
      <c r="I232" s="16" t="s">
        <v>531</v>
      </c>
      <c r="J232" s="6"/>
      <c r="K232" s="6"/>
      <c r="L232" s="5" t="s">
        <v>1293</v>
      </c>
    </row>
    <row r="233" spans="1:12" x14ac:dyDescent="0.2">
      <c r="A233">
        <v>356</v>
      </c>
      <c r="B233" s="6" t="b">
        <f>IF(OR(F233="NA",G233="wide_value"),"",TRUE)</f>
        <v>1</v>
      </c>
      <c r="C233" s="6" t="s">
        <v>113</v>
      </c>
      <c r="D233" s="6" t="s">
        <v>192</v>
      </c>
      <c r="E233" s="6" t="s">
        <v>115</v>
      </c>
      <c r="F233" s="15" t="s">
        <v>533</v>
      </c>
      <c r="G233" s="6" t="s">
        <v>1291</v>
      </c>
      <c r="H233" s="6" t="s">
        <v>1423</v>
      </c>
      <c r="I233" s="20" t="s">
        <v>1558</v>
      </c>
      <c r="J233" s="6"/>
      <c r="K233" s="6" t="s">
        <v>1559</v>
      </c>
      <c r="L233" s="5" t="s">
        <v>1293</v>
      </c>
    </row>
    <row r="234" spans="1:12" x14ac:dyDescent="0.2">
      <c r="A234">
        <v>357</v>
      </c>
      <c r="B234" s="6" t="b">
        <f>IF(OR(F234="NA",G234="wide_value"),"",TRUE)</f>
        <v>1</v>
      </c>
      <c r="C234" s="6" t="s">
        <v>113</v>
      </c>
      <c r="D234" s="6" t="s">
        <v>192</v>
      </c>
      <c r="E234" s="6" t="s">
        <v>115</v>
      </c>
      <c r="F234" s="15" t="s">
        <v>535</v>
      </c>
      <c r="G234" s="6" t="s">
        <v>1291</v>
      </c>
      <c r="H234" s="6" t="s">
        <v>1292</v>
      </c>
      <c r="I234" s="16" t="s">
        <v>534</v>
      </c>
      <c r="J234" s="6"/>
      <c r="K234" s="6"/>
      <c r="L234" s="5" t="s">
        <v>1293</v>
      </c>
    </row>
    <row r="235" spans="1:12" x14ac:dyDescent="0.2">
      <c r="A235">
        <v>358</v>
      </c>
      <c r="B235" s="6" t="b">
        <f>IF(OR(F235="NA",G235="wide_value"),"",TRUE)</f>
        <v>1</v>
      </c>
      <c r="C235" s="6" t="s">
        <v>113</v>
      </c>
      <c r="D235" s="6" t="s">
        <v>192</v>
      </c>
      <c r="E235" s="6" t="s">
        <v>115</v>
      </c>
      <c r="F235" s="15" t="s">
        <v>537</v>
      </c>
      <c r="G235" s="6" t="s">
        <v>1291</v>
      </c>
      <c r="H235" s="6" t="s">
        <v>1292</v>
      </c>
      <c r="I235" s="16" t="s">
        <v>536</v>
      </c>
      <c r="J235" s="6"/>
      <c r="K235" s="6"/>
      <c r="L235" s="5" t="s">
        <v>1293</v>
      </c>
    </row>
    <row r="236" spans="1:12" x14ac:dyDescent="0.2">
      <c r="A236">
        <v>359</v>
      </c>
      <c r="B236" s="6" t="b">
        <f>IF(OR(F236="NA",G236="wide_value"),"",TRUE)</f>
        <v>1</v>
      </c>
      <c r="C236" s="6" t="s">
        <v>113</v>
      </c>
      <c r="D236" s="6" t="s">
        <v>192</v>
      </c>
      <c r="E236" s="6" t="s">
        <v>115</v>
      </c>
      <c r="F236" s="15" t="s">
        <v>538</v>
      </c>
      <c r="G236" s="6" t="s">
        <v>1291</v>
      </c>
      <c r="H236" s="6" t="s">
        <v>1423</v>
      </c>
      <c r="I236" s="20" t="s">
        <v>1560</v>
      </c>
      <c r="J236" s="6"/>
      <c r="K236" s="6" t="s">
        <v>1561</v>
      </c>
      <c r="L236" s="5" t="s">
        <v>1293</v>
      </c>
    </row>
    <row r="237" spans="1:12" x14ac:dyDescent="0.2">
      <c r="A237">
        <v>360</v>
      </c>
      <c r="B237" s="6" t="b">
        <f>IF(OR(F237="NA",G237="wide_value"),"",TRUE)</f>
        <v>1</v>
      </c>
      <c r="C237" s="6" t="s">
        <v>113</v>
      </c>
      <c r="D237" s="6" t="s">
        <v>192</v>
      </c>
      <c r="E237" s="6" t="s">
        <v>115</v>
      </c>
      <c r="F237" s="15" t="s">
        <v>540</v>
      </c>
      <c r="G237" s="6" t="s">
        <v>1291</v>
      </c>
      <c r="H237" s="6" t="s">
        <v>1292</v>
      </c>
      <c r="I237" s="16" t="s">
        <v>539</v>
      </c>
      <c r="J237" s="6"/>
      <c r="K237" s="6"/>
      <c r="L237" s="5" t="s">
        <v>1293</v>
      </c>
    </row>
    <row r="238" spans="1:12" x14ac:dyDescent="0.2">
      <c r="A238">
        <v>361</v>
      </c>
      <c r="B238" s="6" t="b">
        <f>IF(OR(F238="NA",G238="wide_value"),"",TRUE)</f>
        <v>1</v>
      </c>
      <c r="C238" s="6" t="s">
        <v>113</v>
      </c>
      <c r="D238" s="6" t="s">
        <v>192</v>
      </c>
      <c r="E238" s="6" t="s">
        <v>115</v>
      </c>
      <c r="F238" s="15" t="s">
        <v>542</v>
      </c>
      <c r="G238" s="6" t="s">
        <v>1291</v>
      </c>
      <c r="H238" s="6" t="s">
        <v>1292</v>
      </c>
      <c r="I238" s="16" t="s">
        <v>541</v>
      </c>
      <c r="J238" s="6"/>
      <c r="K238" s="6"/>
      <c r="L238" s="5" t="s">
        <v>1293</v>
      </c>
    </row>
    <row r="239" spans="1:12" x14ac:dyDescent="0.2">
      <c r="A239">
        <v>362</v>
      </c>
      <c r="B239" s="6" t="b">
        <f>IF(OR(F239="NA",G239="wide_value"),"",TRUE)</f>
        <v>1</v>
      </c>
      <c r="C239" s="6" t="s">
        <v>113</v>
      </c>
      <c r="D239" s="6" t="s">
        <v>192</v>
      </c>
      <c r="E239" s="6" t="s">
        <v>115</v>
      </c>
      <c r="F239" s="15" t="s">
        <v>544</v>
      </c>
      <c r="G239" s="6" t="s">
        <v>1291</v>
      </c>
      <c r="H239" s="6" t="s">
        <v>1292</v>
      </c>
      <c r="I239" s="16" t="s">
        <v>543</v>
      </c>
      <c r="J239" s="6"/>
      <c r="K239" s="6"/>
      <c r="L239" s="5" t="s">
        <v>1293</v>
      </c>
    </row>
    <row r="240" spans="1:12" x14ac:dyDescent="0.2">
      <c r="A240">
        <v>363</v>
      </c>
      <c r="B240" s="6" t="b">
        <f>IF(OR(F240="NA",G240="wide_value"),"",TRUE)</f>
        <v>1</v>
      </c>
      <c r="C240" s="6" t="s">
        <v>113</v>
      </c>
      <c r="D240" s="6" t="s">
        <v>192</v>
      </c>
      <c r="E240" s="6" t="s">
        <v>115</v>
      </c>
      <c r="F240" s="15" t="s">
        <v>546</v>
      </c>
      <c r="G240" s="6" t="s">
        <v>1291</v>
      </c>
      <c r="H240" s="6" t="s">
        <v>1292</v>
      </c>
      <c r="I240" s="16" t="s">
        <v>545</v>
      </c>
      <c r="J240" s="6"/>
      <c r="K240" s="6"/>
      <c r="L240" s="5" t="s">
        <v>1293</v>
      </c>
    </row>
    <row r="241" spans="1:12" x14ac:dyDescent="0.2">
      <c r="A241">
        <v>364</v>
      </c>
      <c r="B241" s="6" t="b">
        <f>IF(OR(F241="NA",G241="wide_value"),"",TRUE)</f>
        <v>1</v>
      </c>
      <c r="C241" s="6" t="s">
        <v>113</v>
      </c>
      <c r="D241" s="6" t="s">
        <v>192</v>
      </c>
      <c r="E241" s="6" t="s">
        <v>115</v>
      </c>
      <c r="F241" s="15" t="s">
        <v>548</v>
      </c>
      <c r="G241" s="6" t="s">
        <v>1291</v>
      </c>
      <c r="H241" s="6" t="s">
        <v>1292</v>
      </c>
      <c r="I241" s="16" t="s">
        <v>547</v>
      </c>
      <c r="J241" s="6"/>
      <c r="K241" s="6"/>
      <c r="L241" s="5" t="s">
        <v>1293</v>
      </c>
    </row>
    <row r="242" spans="1:12" x14ac:dyDescent="0.2">
      <c r="A242">
        <v>365</v>
      </c>
      <c r="B242" s="6" t="b">
        <f>IF(OR(F242="NA",G242="wide_value"),"",TRUE)</f>
        <v>1</v>
      </c>
      <c r="C242" s="6" t="s">
        <v>113</v>
      </c>
      <c r="D242" s="6" t="s">
        <v>192</v>
      </c>
      <c r="E242" s="6" t="s">
        <v>115</v>
      </c>
      <c r="F242" s="15" t="s">
        <v>550</v>
      </c>
      <c r="G242" s="6" t="s">
        <v>1291</v>
      </c>
      <c r="H242" s="6" t="s">
        <v>1292</v>
      </c>
      <c r="I242" s="16" t="s">
        <v>549</v>
      </c>
      <c r="J242" s="6"/>
      <c r="K242" s="6"/>
      <c r="L242" s="5" t="s">
        <v>1293</v>
      </c>
    </row>
    <row r="243" spans="1:12" x14ac:dyDescent="0.2">
      <c r="A243">
        <v>366</v>
      </c>
      <c r="B243" s="6" t="b">
        <f>IF(OR(F243="NA",G243="wide_value"),"",TRUE)</f>
        <v>1</v>
      </c>
      <c r="C243" s="6" t="s">
        <v>113</v>
      </c>
      <c r="D243" s="6" t="s">
        <v>192</v>
      </c>
      <c r="E243" s="6" t="s">
        <v>115</v>
      </c>
      <c r="F243" s="15" t="s">
        <v>552</v>
      </c>
      <c r="G243" s="6" t="s">
        <v>1291</v>
      </c>
      <c r="H243" s="6" t="s">
        <v>1292</v>
      </c>
      <c r="I243" s="16" t="s">
        <v>551</v>
      </c>
      <c r="J243" s="6"/>
      <c r="K243" s="6"/>
      <c r="L243" s="5" t="s">
        <v>1293</v>
      </c>
    </row>
    <row r="244" spans="1:12" x14ac:dyDescent="0.2">
      <c r="A244">
        <v>367</v>
      </c>
      <c r="B244" s="6" t="b">
        <f>IF(OR(F244="NA",G244="wide_value"),"",TRUE)</f>
        <v>1</v>
      </c>
      <c r="C244" s="6" t="s">
        <v>113</v>
      </c>
      <c r="D244" s="6" t="s">
        <v>192</v>
      </c>
      <c r="E244" s="6" t="s">
        <v>115</v>
      </c>
      <c r="F244" s="15" t="s">
        <v>554</v>
      </c>
      <c r="G244" s="6" t="s">
        <v>1291</v>
      </c>
      <c r="H244" s="6" t="s">
        <v>1292</v>
      </c>
      <c r="I244" s="16" t="s">
        <v>553</v>
      </c>
      <c r="J244" s="6"/>
      <c r="K244" s="6"/>
      <c r="L244" s="5" t="s">
        <v>1293</v>
      </c>
    </row>
    <row r="245" spans="1:12" x14ac:dyDescent="0.2">
      <c r="A245">
        <v>368</v>
      </c>
      <c r="B245" s="6" t="b">
        <f>IF(OR(F245="NA",G245="wide_value"),"",TRUE)</f>
        <v>1</v>
      </c>
      <c r="C245" s="6" t="s">
        <v>113</v>
      </c>
      <c r="D245" s="6" t="s">
        <v>192</v>
      </c>
      <c r="E245" s="6" t="s">
        <v>115</v>
      </c>
      <c r="F245" s="15" t="s">
        <v>556</v>
      </c>
      <c r="G245" s="6" t="s">
        <v>1291</v>
      </c>
      <c r="H245" s="6" t="s">
        <v>1292</v>
      </c>
      <c r="I245" s="16" t="s">
        <v>555</v>
      </c>
      <c r="J245" s="6"/>
      <c r="K245" s="6"/>
      <c r="L245" s="5" t="s">
        <v>1293</v>
      </c>
    </row>
    <row r="246" spans="1:12" x14ac:dyDescent="0.2">
      <c r="A246">
        <v>369</v>
      </c>
      <c r="B246" s="6" t="b">
        <f>IF(OR(F246="NA",G246="wide_value"),"",TRUE)</f>
        <v>1</v>
      </c>
      <c r="C246" s="6" t="s">
        <v>113</v>
      </c>
      <c r="D246" s="6" t="s">
        <v>192</v>
      </c>
      <c r="E246" s="6" t="s">
        <v>115</v>
      </c>
      <c r="F246" s="15" t="s">
        <v>558</v>
      </c>
      <c r="G246" s="6" t="s">
        <v>1291</v>
      </c>
      <c r="H246" s="6" t="s">
        <v>1292</v>
      </c>
      <c r="I246" s="16" t="s">
        <v>557</v>
      </c>
      <c r="J246" s="6"/>
      <c r="K246" s="6"/>
      <c r="L246" s="5" t="s">
        <v>1293</v>
      </c>
    </row>
    <row r="247" spans="1:12" x14ac:dyDescent="0.2">
      <c r="A247">
        <v>370</v>
      </c>
      <c r="B247" s="6" t="b">
        <f>IF(OR(F247="NA",G247="wide_value"),"",TRUE)</f>
        <v>1</v>
      </c>
      <c r="C247" s="6" t="s">
        <v>113</v>
      </c>
      <c r="D247" s="6" t="s">
        <v>192</v>
      </c>
      <c r="E247" s="6" t="s">
        <v>115</v>
      </c>
      <c r="F247" s="15" t="s">
        <v>560</v>
      </c>
      <c r="G247" s="6" t="s">
        <v>1291</v>
      </c>
      <c r="H247" s="6" t="s">
        <v>1292</v>
      </c>
      <c r="I247" s="16" t="s">
        <v>559</v>
      </c>
      <c r="J247" s="6"/>
      <c r="K247" s="6"/>
      <c r="L247" s="5" t="s">
        <v>1293</v>
      </c>
    </row>
    <row r="248" spans="1:12" x14ac:dyDescent="0.2">
      <c r="A248">
        <v>371</v>
      </c>
      <c r="B248" s="6" t="b">
        <f>IF(OR(F248="NA",G248="wide_value"),"",TRUE)</f>
        <v>1</v>
      </c>
      <c r="C248" s="6" t="s">
        <v>113</v>
      </c>
      <c r="D248" s="6" t="s">
        <v>192</v>
      </c>
      <c r="E248" s="6" t="s">
        <v>115</v>
      </c>
      <c r="F248" s="15" t="s">
        <v>562</v>
      </c>
      <c r="G248" s="6" t="s">
        <v>1291</v>
      </c>
      <c r="H248" s="6" t="s">
        <v>1292</v>
      </c>
      <c r="I248" s="16" t="s">
        <v>561</v>
      </c>
      <c r="J248" s="6"/>
      <c r="K248" s="6"/>
      <c r="L248" s="5" t="s">
        <v>1293</v>
      </c>
    </row>
    <row r="249" spans="1:12" x14ac:dyDescent="0.2">
      <c r="A249">
        <v>372</v>
      </c>
      <c r="B249" s="6" t="b">
        <f>IF(OR(F249="NA",G249="wide_value"),"",TRUE)</f>
        <v>1</v>
      </c>
      <c r="C249" s="6" t="s">
        <v>113</v>
      </c>
      <c r="D249" s="6" t="s">
        <v>192</v>
      </c>
      <c r="E249" s="6" t="s">
        <v>115</v>
      </c>
      <c r="F249" s="15" t="s">
        <v>564</v>
      </c>
      <c r="G249" s="6" t="s">
        <v>1291</v>
      </c>
      <c r="H249" s="6" t="s">
        <v>1292</v>
      </c>
      <c r="I249" s="16" t="s">
        <v>563</v>
      </c>
      <c r="J249" s="6"/>
      <c r="K249" s="6"/>
      <c r="L249" s="5" t="s">
        <v>1293</v>
      </c>
    </row>
    <row r="250" spans="1:12" x14ac:dyDescent="0.2">
      <c r="A250">
        <v>373</v>
      </c>
      <c r="B250" s="6" t="b">
        <f>IF(OR(F250="NA",G250="wide_value"),"",TRUE)</f>
        <v>1</v>
      </c>
      <c r="C250" s="6" t="s">
        <v>113</v>
      </c>
      <c r="D250" s="6" t="s">
        <v>192</v>
      </c>
      <c r="E250" s="6" t="s">
        <v>115</v>
      </c>
      <c r="F250" s="15" t="s">
        <v>566</v>
      </c>
      <c r="G250" s="6" t="s">
        <v>1291</v>
      </c>
      <c r="H250" s="6" t="s">
        <v>1292</v>
      </c>
      <c r="I250" s="16" t="s">
        <v>565</v>
      </c>
      <c r="J250" s="6"/>
      <c r="K250" s="6"/>
      <c r="L250" s="5" t="s">
        <v>1293</v>
      </c>
    </row>
    <row r="251" spans="1:12" x14ac:dyDescent="0.2">
      <c r="A251">
        <v>374</v>
      </c>
      <c r="B251" s="6" t="b">
        <f>IF(OR(F251="NA",G251="wide_value"),"",TRUE)</f>
        <v>1</v>
      </c>
      <c r="C251" s="6" t="s">
        <v>113</v>
      </c>
      <c r="D251" s="6" t="s">
        <v>192</v>
      </c>
      <c r="E251" s="6" t="s">
        <v>115</v>
      </c>
      <c r="F251" s="15" t="s">
        <v>568</v>
      </c>
      <c r="G251" s="6" t="s">
        <v>1291</v>
      </c>
      <c r="H251" s="6" t="s">
        <v>1292</v>
      </c>
      <c r="I251" s="16" t="s">
        <v>567</v>
      </c>
      <c r="J251" s="6"/>
      <c r="K251" s="6"/>
      <c r="L251" s="5" t="s">
        <v>1293</v>
      </c>
    </row>
    <row r="252" spans="1:12" x14ac:dyDescent="0.2">
      <c r="A252">
        <v>375</v>
      </c>
      <c r="B252" s="6" t="b">
        <f>IF(OR(F252="NA",G252="wide_value"),"",TRUE)</f>
        <v>1</v>
      </c>
      <c r="C252" s="6" t="s">
        <v>113</v>
      </c>
      <c r="D252" s="6" t="s">
        <v>192</v>
      </c>
      <c r="E252" s="6" t="s">
        <v>115</v>
      </c>
      <c r="F252" s="15" t="s">
        <v>570</v>
      </c>
      <c r="G252" s="6" t="s">
        <v>1291</v>
      </c>
      <c r="H252" s="6" t="s">
        <v>1292</v>
      </c>
      <c r="I252" s="16" t="s">
        <v>569</v>
      </c>
      <c r="J252" s="6"/>
      <c r="K252" s="6"/>
      <c r="L252" s="5" t="s">
        <v>1293</v>
      </c>
    </row>
    <row r="253" spans="1:12" x14ac:dyDescent="0.2">
      <c r="A253">
        <v>376</v>
      </c>
      <c r="B253" s="6" t="b">
        <f>IF(OR(F253="NA",G253="wide_value"),"",TRUE)</f>
        <v>1</v>
      </c>
      <c r="C253" s="6" t="s">
        <v>113</v>
      </c>
      <c r="D253" s="6" t="s">
        <v>192</v>
      </c>
      <c r="E253" s="6" t="s">
        <v>115</v>
      </c>
      <c r="F253" s="15" t="s">
        <v>572</v>
      </c>
      <c r="G253" s="6" t="s">
        <v>1291</v>
      </c>
      <c r="H253" s="6" t="s">
        <v>1292</v>
      </c>
      <c r="I253" s="16" t="s">
        <v>571</v>
      </c>
      <c r="J253" s="6"/>
      <c r="K253" s="6"/>
      <c r="L253" s="5" t="s">
        <v>1293</v>
      </c>
    </row>
    <row r="254" spans="1:12" x14ac:dyDescent="0.2">
      <c r="A254">
        <v>377</v>
      </c>
      <c r="B254" s="6" t="b">
        <f>IF(OR(F254="NA",G254="wide_value"),"",TRUE)</f>
        <v>1</v>
      </c>
      <c r="C254" s="6" t="s">
        <v>113</v>
      </c>
      <c r="D254" s="6" t="s">
        <v>192</v>
      </c>
      <c r="E254" s="6" t="s">
        <v>115</v>
      </c>
      <c r="F254" s="15" t="s">
        <v>574</v>
      </c>
      <c r="G254" s="6" t="s">
        <v>1291</v>
      </c>
      <c r="H254" s="6" t="s">
        <v>1292</v>
      </c>
      <c r="I254" s="16" t="s">
        <v>573</v>
      </c>
      <c r="J254" s="6"/>
      <c r="K254" s="6"/>
      <c r="L254" s="5" t="s">
        <v>1293</v>
      </c>
    </row>
    <row r="255" spans="1:12" x14ac:dyDescent="0.2">
      <c r="A255">
        <v>378</v>
      </c>
      <c r="B255" s="6" t="b">
        <f>IF(OR(F255="NA",G255="wide_value"),"",TRUE)</f>
        <v>1</v>
      </c>
      <c r="C255" s="6" t="s">
        <v>113</v>
      </c>
      <c r="D255" s="6" t="s">
        <v>192</v>
      </c>
      <c r="E255" s="6" t="s">
        <v>115</v>
      </c>
      <c r="F255" s="15" t="s">
        <v>576</v>
      </c>
      <c r="G255" s="6" t="s">
        <v>1291</v>
      </c>
      <c r="H255" s="6" t="s">
        <v>1292</v>
      </c>
      <c r="I255" s="16" t="s">
        <v>575</v>
      </c>
      <c r="J255" s="6"/>
      <c r="K255" s="6"/>
      <c r="L255" s="5" t="s">
        <v>1293</v>
      </c>
    </row>
    <row r="256" spans="1:12" x14ac:dyDescent="0.2">
      <c r="A256">
        <v>379</v>
      </c>
      <c r="B256" s="6" t="b">
        <f>IF(OR(F256="NA",G256="wide_value"),"",TRUE)</f>
        <v>1</v>
      </c>
      <c r="C256" s="6" t="s">
        <v>113</v>
      </c>
      <c r="D256" s="6" t="s">
        <v>192</v>
      </c>
      <c r="E256" s="6" t="s">
        <v>115</v>
      </c>
      <c r="F256" s="15" t="s">
        <v>578</v>
      </c>
      <c r="G256" s="6" t="s">
        <v>1291</v>
      </c>
      <c r="H256" s="6" t="s">
        <v>1292</v>
      </c>
      <c r="I256" s="16" t="s">
        <v>577</v>
      </c>
      <c r="J256" s="6"/>
      <c r="K256" s="6"/>
      <c r="L256" s="5" t="s">
        <v>1293</v>
      </c>
    </row>
    <row r="257" spans="1:12" x14ac:dyDescent="0.2">
      <c r="A257">
        <v>380</v>
      </c>
      <c r="B257" s="6" t="b">
        <f>IF(OR(F257="NA",G257="wide_value"),"",TRUE)</f>
        <v>1</v>
      </c>
      <c r="C257" s="6" t="s">
        <v>113</v>
      </c>
      <c r="D257" s="6" t="s">
        <v>192</v>
      </c>
      <c r="E257" s="6" t="s">
        <v>115</v>
      </c>
      <c r="F257" s="15" t="s">
        <v>580</v>
      </c>
      <c r="G257" s="6" t="s">
        <v>1291</v>
      </c>
      <c r="H257" s="6" t="s">
        <v>1292</v>
      </c>
      <c r="I257" s="16" t="s">
        <v>579</v>
      </c>
      <c r="J257" s="6"/>
      <c r="K257" s="6"/>
      <c r="L257" s="5" t="s">
        <v>1293</v>
      </c>
    </row>
    <row r="258" spans="1:12" x14ac:dyDescent="0.2">
      <c r="A258">
        <v>381</v>
      </c>
      <c r="B258" s="6" t="b">
        <f>IF(OR(F258="NA",G258="wide_value"),"",TRUE)</f>
        <v>1</v>
      </c>
      <c r="C258" s="6" t="s">
        <v>113</v>
      </c>
      <c r="D258" s="6" t="s">
        <v>192</v>
      </c>
      <c r="E258" s="6" t="s">
        <v>115</v>
      </c>
      <c r="F258" s="15" t="s">
        <v>582</v>
      </c>
      <c r="G258" s="6" t="s">
        <v>1291</v>
      </c>
      <c r="H258" s="6" t="s">
        <v>1292</v>
      </c>
      <c r="I258" s="16" t="s">
        <v>581</v>
      </c>
      <c r="J258" s="6"/>
      <c r="K258" s="6"/>
      <c r="L258" s="5" t="s">
        <v>1293</v>
      </c>
    </row>
    <row r="259" spans="1:12" x14ac:dyDescent="0.2">
      <c r="A259">
        <v>382</v>
      </c>
      <c r="B259" s="6" t="b">
        <f>IF(OR(F259="NA",G259="wide_value"),"",TRUE)</f>
        <v>1</v>
      </c>
      <c r="C259" s="6" t="s">
        <v>113</v>
      </c>
      <c r="D259" s="6" t="s">
        <v>192</v>
      </c>
      <c r="E259" s="6" t="s">
        <v>115</v>
      </c>
      <c r="F259" s="15" t="s">
        <v>584</v>
      </c>
      <c r="G259" s="6" t="s">
        <v>1291</v>
      </c>
      <c r="H259" s="6" t="s">
        <v>1292</v>
      </c>
      <c r="I259" s="16" t="s">
        <v>583</v>
      </c>
      <c r="J259" s="6"/>
      <c r="K259" s="6"/>
      <c r="L259" s="5" t="s">
        <v>1293</v>
      </c>
    </row>
    <row r="260" spans="1:12" x14ac:dyDescent="0.2">
      <c r="A260">
        <v>383</v>
      </c>
      <c r="B260" s="6" t="b">
        <f>IF(OR(F260="NA",G260="wide_value"),"",TRUE)</f>
        <v>1</v>
      </c>
      <c r="C260" s="6" t="s">
        <v>113</v>
      </c>
      <c r="D260" s="6" t="s">
        <v>192</v>
      </c>
      <c r="E260" s="6" t="s">
        <v>115</v>
      </c>
      <c r="F260" s="15" t="s">
        <v>586</v>
      </c>
      <c r="G260" s="6" t="s">
        <v>1291</v>
      </c>
      <c r="H260" s="6" t="s">
        <v>1292</v>
      </c>
      <c r="I260" s="16" t="s">
        <v>585</v>
      </c>
      <c r="J260" s="6"/>
      <c r="K260" s="6"/>
      <c r="L260" s="5" t="s">
        <v>1293</v>
      </c>
    </row>
    <row r="261" spans="1:12" x14ac:dyDescent="0.2">
      <c r="A261">
        <v>384</v>
      </c>
      <c r="B261" s="6" t="b">
        <f>IF(OR(F261="NA",G261="wide_value"),"",TRUE)</f>
        <v>1</v>
      </c>
      <c r="C261" s="6" t="s">
        <v>113</v>
      </c>
      <c r="D261" s="6" t="s">
        <v>192</v>
      </c>
      <c r="E261" s="6" t="s">
        <v>115</v>
      </c>
      <c r="F261" s="15" t="s">
        <v>588</v>
      </c>
      <c r="G261" s="6" t="s">
        <v>1291</v>
      </c>
      <c r="H261" s="6" t="s">
        <v>1292</v>
      </c>
      <c r="I261" s="16" t="s">
        <v>587</v>
      </c>
      <c r="J261" s="6"/>
      <c r="K261" s="6"/>
      <c r="L261" s="5" t="s">
        <v>1293</v>
      </c>
    </row>
    <row r="262" spans="1:12" x14ac:dyDescent="0.2">
      <c r="A262">
        <v>385</v>
      </c>
      <c r="B262" s="6" t="b">
        <f>IF(OR(F262="NA",G262="wide_value"),"",TRUE)</f>
        <v>1</v>
      </c>
      <c r="C262" s="6" t="s">
        <v>113</v>
      </c>
      <c r="D262" s="6" t="s">
        <v>192</v>
      </c>
      <c r="E262" s="6" t="s">
        <v>115</v>
      </c>
      <c r="F262" s="15" t="s">
        <v>590</v>
      </c>
      <c r="G262" s="6" t="s">
        <v>1291</v>
      </c>
      <c r="H262" s="6" t="s">
        <v>1292</v>
      </c>
      <c r="I262" s="16" t="s">
        <v>589</v>
      </c>
      <c r="J262" s="6"/>
      <c r="K262" s="6"/>
      <c r="L262" s="5" t="s">
        <v>1293</v>
      </c>
    </row>
    <row r="263" spans="1:12" x14ac:dyDescent="0.2">
      <c r="A263">
        <v>386</v>
      </c>
      <c r="B263" s="6" t="b">
        <f>IF(OR(F263="NA",G263="wide_value"),"",TRUE)</f>
        <v>1</v>
      </c>
      <c r="C263" s="6" t="s">
        <v>113</v>
      </c>
      <c r="D263" s="6" t="s">
        <v>192</v>
      </c>
      <c r="E263" s="6" t="s">
        <v>115</v>
      </c>
      <c r="F263" s="15" t="s">
        <v>592</v>
      </c>
      <c r="G263" s="6" t="s">
        <v>1291</v>
      </c>
      <c r="H263" s="6" t="s">
        <v>1292</v>
      </c>
      <c r="I263" s="16" t="s">
        <v>591</v>
      </c>
      <c r="J263" s="6"/>
      <c r="K263" s="6"/>
      <c r="L263" s="5" t="s">
        <v>1293</v>
      </c>
    </row>
    <row r="264" spans="1:12" x14ac:dyDescent="0.2">
      <c r="A264">
        <v>387</v>
      </c>
      <c r="B264" s="6" t="b">
        <f>IF(OR(F264="NA",G264="wide_value"),"",TRUE)</f>
        <v>1</v>
      </c>
      <c r="C264" s="6" t="s">
        <v>113</v>
      </c>
      <c r="D264" s="6" t="s">
        <v>192</v>
      </c>
      <c r="E264" s="6" t="s">
        <v>115</v>
      </c>
      <c r="F264" s="15" t="s">
        <v>593</v>
      </c>
      <c r="G264" s="6" t="s">
        <v>1291</v>
      </c>
      <c r="H264" s="6" t="s">
        <v>1423</v>
      </c>
      <c r="I264" s="20" t="s">
        <v>1562</v>
      </c>
      <c r="J264" s="6"/>
      <c r="K264" s="6" t="s">
        <v>1561</v>
      </c>
      <c r="L264" s="5" t="s">
        <v>1293</v>
      </c>
    </row>
    <row r="265" spans="1:12" x14ac:dyDescent="0.2">
      <c r="A265">
        <v>388</v>
      </c>
      <c r="B265" s="6" t="b">
        <f>IF(OR(F265="NA",G265="wide_value"),"",TRUE)</f>
        <v>1</v>
      </c>
      <c r="C265" s="6" t="s">
        <v>113</v>
      </c>
      <c r="D265" s="6" t="s">
        <v>192</v>
      </c>
      <c r="E265" s="6" t="s">
        <v>115</v>
      </c>
      <c r="F265" s="15" t="s">
        <v>595</v>
      </c>
      <c r="G265" s="6" t="s">
        <v>1291</v>
      </c>
      <c r="H265" s="6" t="s">
        <v>1292</v>
      </c>
      <c r="I265" s="16" t="s">
        <v>594</v>
      </c>
      <c r="J265" s="6"/>
      <c r="K265" s="6"/>
      <c r="L265" s="5" t="s">
        <v>1293</v>
      </c>
    </row>
    <row r="266" spans="1:12" x14ac:dyDescent="0.2">
      <c r="A266">
        <v>389</v>
      </c>
      <c r="B266" s="6" t="b">
        <f>IF(OR(F266="NA",G266="wide_value"),"",TRUE)</f>
        <v>1</v>
      </c>
      <c r="C266" s="6" t="s">
        <v>113</v>
      </c>
      <c r="D266" s="6" t="s">
        <v>192</v>
      </c>
      <c r="E266" s="6" t="s">
        <v>115</v>
      </c>
      <c r="F266" s="15" t="s">
        <v>597</v>
      </c>
      <c r="G266" s="6" t="s">
        <v>1291</v>
      </c>
      <c r="H266" s="6" t="s">
        <v>1292</v>
      </c>
      <c r="I266" s="16" t="s">
        <v>596</v>
      </c>
      <c r="J266" s="6"/>
      <c r="K266" s="6"/>
      <c r="L266" s="5" t="s">
        <v>1293</v>
      </c>
    </row>
    <row r="267" spans="1:12" x14ac:dyDescent="0.2">
      <c r="A267">
        <v>390</v>
      </c>
      <c r="B267" s="6" t="b">
        <f>IF(OR(F267="NA",G267="wide_value"),"",TRUE)</f>
        <v>1</v>
      </c>
      <c r="C267" s="6" t="s">
        <v>113</v>
      </c>
      <c r="D267" s="6" t="s">
        <v>192</v>
      </c>
      <c r="E267" s="6" t="s">
        <v>115</v>
      </c>
      <c r="F267" s="15" t="s">
        <v>599</v>
      </c>
      <c r="G267" s="6" t="s">
        <v>1291</v>
      </c>
      <c r="H267" s="6" t="s">
        <v>1292</v>
      </c>
      <c r="I267" s="16" t="s">
        <v>598</v>
      </c>
      <c r="J267" s="6"/>
      <c r="K267" s="6"/>
      <c r="L267" s="5" t="s">
        <v>1293</v>
      </c>
    </row>
    <row r="268" spans="1:12" x14ac:dyDescent="0.2">
      <c r="A268">
        <v>391</v>
      </c>
      <c r="B268" s="6" t="b">
        <f>IF(OR(F268="NA",G268="wide_value"),"",TRUE)</f>
        <v>1</v>
      </c>
      <c r="C268" s="6" t="s">
        <v>113</v>
      </c>
      <c r="D268" s="6" t="s">
        <v>192</v>
      </c>
      <c r="E268" s="6" t="s">
        <v>115</v>
      </c>
      <c r="F268" s="15" t="s">
        <v>601</v>
      </c>
      <c r="G268" s="6" t="s">
        <v>1291</v>
      </c>
      <c r="H268" s="6" t="s">
        <v>1292</v>
      </c>
      <c r="I268" s="16" t="s">
        <v>600</v>
      </c>
      <c r="J268" s="6"/>
      <c r="K268" s="6"/>
      <c r="L268" s="5" t="s">
        <v>1293</v>
      </c>
    </row>
    <row r="269" spans="1:12" x14ac:dyDescent="0.2">
      <c r="A269">
        <v>392</v>
      </c>
      <c r="B269" s="6" t="b">
        <f>IF(OR(F269="NA",G269="wide_value"),"",TRUE)</f>
        <v>1</v>
      </c>
      <c r="C269" s="6" t="s">
        <v>113</v>
      </c>
      <c r="D269" s="6" t="s">
        <v>192</v>
      </c>
      <c r="E269" s="6" t="s">
        <v>115</v>
      </c>
      <c r="F269" s="15" t="s">
        <v>602</v>
      </c>
      <c r="G269" s="6" t="s">
        <v>1291</v>
      </c>
      <c r="H269" s="6" t="s">
        <v>1423</v>
      </c>
      <c r="I269" s="20" t="s">
        <v>1563</v>
      </c>
      <c r="J269" s="6"/>
      <c r="K269" s="6" t="s">
        <v>1557</v>
      </c>
      <c r="L269" s="5" t="s">
        <v>1293</v>
      </c>
    </row>
    <row r="270" spans="1:12" x14ac:dyDescent="0.2">
      <c r="A270">
        <v>393</v>
      </c>
      <c r="B270" s="6" t="b">
        <f>IF(OR(F270="NA",G270="wide_value"),"",TRUE)</f>
        <v>1</v>
      </c>
      <c r="C270" s="6" t="s">
        <v>113</v>
      </c>
      <c r="D270" s="6" t="s">
        <v>192</v>
      </c>
      <c r="E270" s="6" t="s">
        <v>115</v>
      </c>
      <c r="F270" s="15" t="s">
        <v>604</v>
      </c>
      <c r="G270" s="6" t="s">
        <v>1291</v>
      </c>
      <c r="H270" s="6" t="s">
        <v>1292</v>
      </c>
      <c r="I270" s="16" t="s">
        <v>603</v>
      </c>
      <c r="J270" s="6"/>
      <c r="K270" s="6"/>
      <c r="L270" s="5" t="s">
        <v>1293</v>
      </c>
    </row>
    <row r="271" spans="1:12" x14ac:dyDescent="0.2">
      <c r="A271">
        <v>394</v>
      </c>
      <c r="B271" s="6" t="b">
        <f>IF(OR(F271="NA",G271="wide_value"),"",TRUE)</f>
        <v>1</v>
      </c>
      <c r="C271" s="6" t="s">
        <v>113</v>
      </c>
      <c r="D271" s="6" t="s">
        <v>192</v>
      </c>
      <c r="E271" s="6" t="s">
        <v>115</v>
      </c>
      <c r="F271" s="15" t="s">
        <v>606</v>
      </c>
      <c r="G271" s="6" t="s">
        <v>1291</v>
      </c>
      <c r="H271" s="6" t="s">
        <v>1292</v>
      </c>
      <c r="I271" s="16" t="s">
        <v>605</v>
      </c>
      <c r="J271" s="6"/>
      <c r="K271" s="6"/>
      <c r="L271" s="5" t="s">
        <v>1293</v>
      </c>
    </row>
    <row r="272" spans="1:12" x14ac:dyDescent="0.2">
      <c r="A272">
        <v>395</v>
      </c>
      <c r="B272" s="6" t="b">
        <f>IF(OR(F272="NA",G272="wide_value"),"",TRUE)</f>
        <v>1</v>
      </c>
      <c r="C272" s="6" t="s">
        <v>113</v>
      </c>
      <c r="D272" s="6" t="s">
        <v>192</v>
      </c>
      <c r="E272" s="6" t="s">
        <v>115</v>
      </c>
      <c r="F272" s="15" t="s">
        <v>608</v>
      </c>
      <c r="G272" s="6" t="s">
        <v>1291</v>
      </c>
      <c r="H272" s="6" t="s">
        <v>1292</v>
      </c>
      <c r="I272" s="16" t="s">
        <v>607</v>
      </c>
      <c r="J272" s="6"/>
      <c r="K272" s="6"/>
      <c r="L272" s="5" t="s">
        <v>1293</v>
      </c>
    </row>
    <row r="273" spans="1:12" x14ac:dyDescent="0.2">
      <c r="A273">
        <v>396</v>
      </c>
      <c r="B273" s="6" t="b">
        <f>IF(OR(F273="NA",G273="wide_value"),"",TRUE)</f>
        <v>1</v>
      </c>
      <c r="C273" s="6" t="s">
        <v>113</v>
      </c>
      <c r="D273" s="6" t="s">
        <v>192</v>
      </c>
      <c r="E273" s="6" t="s">
        <v>115</v>
      </c>
      <c r="F273" s="15" t="s">
        <v>610</v>
      </c>
      <c r="G273" s="6" t="s">
        <v>1291</v>
      </c>
      <c r="H273" s="6" t="s">
        <v>1292</v>
      </c>
      <c r="I273" s="16" t="s">
        <v>609</v>
      </c>
      <c r="J273" s="6"/>
      <c r="K273" s="6"/>
      <c r="L273" s="5" t="s">
        <v>1293</v>
      </c>
    </row>
    <row r="274" spans="1:12" x14ac:dyDescent="0.2">
      <c r="A274">
        <v>397</v>
      </c>
      <c r="B274" s="6" t="b">
        <f>IF(OR(F274="NA",G274="wide_value"),"",TRUE)</f>
        <v>1</v>
      </c>
      <c r="C274" s="6" t="s">
        <v>113</v>
      </c>
      <c r="D274" s="6" t="s">
        <v>192</v>
      </c>
      <c r="E274" s="6" t="s">
        <v>115</v>
      </c>
      <c r="F274" s="15" t="s">
        <v>612</v>
      </c>
      <c r="G274" s="6" t="s">
        <v>1291</v>
      </c>
      <c r="H274" s="6" t="s">
        <v>1292</v>
      </c>
      <c r="I274" s="16" t="s">
        <v>611</v>
      </c>
      <c r="J274" s="6"/>
      <c r="K274" s="6"/>
      <c r="L274" s="5" t="s">
        <v>1293</v>
      </c>
    </row>
    <row r="275" spans="1:12" x14ac:dyDescent="0.2">
      <c r="A275">
        <v>398</v>
      </c>
      <c r="B275" s="6" t="b">
        <f>IF(OR(F275="NA",G275="wide_value"),"",TRUE)</f>
        <v>1</v>
      </c>
      <c r="C275" s="6" t="s">
        <v>113</v>
      </c>
      <c r="D275" s="6" t="s">
        <v>192</v>
      </c>
      <c r="E275" s="6" t="s">
        <v>115</v>
      </c>
      <c r="F275" s="15" t="s">
        <v>614</v>
      </c>
      <c r="G275" s="6" t="s">
        <v>1291</v>
      </c>
      <c r="H275" s="6" t="s">
        <v>1292</v>
      </c>
      <c r="I275" s="16" t="s">
        <v>613</v>
      </c>
      <c r="J275" s="6"/>
      <c r="K275" s="6"/>
      <c r="L275" s="5" t="s">
        <v>1293</v>
      </c>
    </row>
    <row r="276" spans="1:12" x14ac:dyDescent="0.2">
      <c r="A276">
        <v>399</v>
      </c>
      <c r="B276" s="6" t="b">
        <f>IF(OR(F276="NA",G276="wide_value"),"",TRUE)</f>
        <v>1</v>
      </c>
      <c r="C276" s="6" t="s">
        <v>113</v>
      </c>
      <c r="D276" s="6" t="s">
        <v>192</v>
      </c>
      <c r="E276" s="6" t="s">
        <v>115</v>
      </c>
      <c r="F276" s="15" t="s">
        <v>616</v>
      </c>
      <c r="G276" s="6" t="s">
        <v>1291</v>
      </c>
      <c r="H276" s="6" t="s">
        <v>1292</v>
      </c>
      <c r="I276" s="16" t="s">
        <v>615</v>
      </c>
      <c r="J276" s="6"/>
      <c r="K276" s="6"/>
      <c r="L276" s="5" t="s">
        <v>1293</v>
      </c>
    </row>
    <row r="277" spans="1:12" x14ac:dyDescent="0.2">
      <c r="A277">
        <v>400</v>
      </c>
      <c r="B277" s="6" t="b">
        <f>IF(OR(F277="NA",G277="wide_value"),"",TRUE)</f>
        <v>1</v>
      </c>
      <c r="C277" s="6" t="s">
        <v>113</v>
      </c>
      <c r="D277" s="6" t="s">
        <v>192</v>
      </c>
      <c r="E277" s="6" t="s">
        <v>115</v>
      </c>
      <c r="F277" s="15" t="s">
        <v>618</v>
      </c>
      <c r="G277" s="6" t="s">
        <v>1291</v>
      </c>
      <c r="H277" s="6" t="s">
        <v>1292</v>
      </c>
      <c r="I277" s="16" t="s">
        <v>617</v>
      </c>
      <c r="J277" s="6"/>
      <c r="K277" s="6"/>
      <c r="L277" s="5" t="s">
        <v>1293</v>
      </c>
    </row>
    <row r="278" spans="1:12" x14ac:dyDescent="0.2">
      <c r="A278">
        <v>401</v>
      </c>
      <c r="B278" s="6" t="b">
        <f>IF(OR(F278="NA",G278="wide_value"),"",TRUE)</f>
        <v>1</v>
      </c>
      <c r="C278" s="6" t="s">
        <v>113</v>
      </c>
      <c r="D278" s="6" t="s">
        <v>192</v>
      </c>
      <c r="E278" s="6" t="s">
        <v>115</v>
      </c>
      <c r="F278" s="15" t="s">
        <v>620</v>
      </c>
      <c r="G278" s="6" t="s">
        <v>1291</v>
      </c>
      <c r="H278" s="6" t="s">
        <v>1292</v>
      </c>
      <c r="I278" s="16" t="s">
        <v>619</v>
      </c>
      <c r="J278" s="6"/>
      <c r="K278" s="6"/>
      <c r="L278" s="5" t="s">
        <v>1293</v>
      </c>
    </row>
    <row r="279" spans="1:12" x14ac:dyDescent="0.2">
      <c r="A279">
        <v>402</v>
      </c>
      <c r="B279" s="6" t="b">
        <f>IF(OR(F279="NA",G279="wide_value"),"",TRUE)</f>
        <v>1</v>
      </c>
      <c r="C279" s="6" t="s">
        <v>113</v>
      </c>
      <c r="D279" s="6" t="s">
        <v>192</v>
      </c>
      <c r="E279" s="6" t="s">
        <v>115</v>
      </c>
      <c r="F279" s="15" t="s">
        <v>622</v>
      </c>
      <c r="G279" s="6" t="s">
        <v>1291</v>
      </c>
      <c r="H279" s="6" t="s">
        <v>1292</v>
      </c>
      <c r="I279" s="16" t="s">
        <v>621</v>
      </c>
      <c r="J279" s="6"/>
      <c r="K279" s="6"/>
      <c r="L279" s="5" t="s">
        <v>1293</v>
      </c>
    </row>
    <row r="280" spans="1:12" x14ac:dyDescent="0.2">
      <c r="A280">
        <v>403</v>
      </c>
      <c r="B280" s="6" t="b">
        <f>IF(OR(F280="NA",G280="wide_value"),"",TRUE)</f>
        <v>1</v>
      </c>
      <c r="C280" s="6" t="s">
        <v>113</v>
      </c>
      <c r="D280" s="6" t="s">
        <v>192</v>
      </c>
      <c r="E280" s="6" t="s">
        <v>115</v>
      </c>
      <c r="F280" s="15" t="s">
        <v>624</v>
      </c>
      <c r="G280" s="6" t="s">
        <v>1291</v>
      </c>
      <c r="H280" s="6" t="s">
        <v>1292</v>
      </c>
      <c r="I280" s="16" t="s">
        <v>623</v>
      </c>
      <c r="J280" s="6"/>
      <c r="K280" s="6"/>
      <c r="L280" s="5" t="s">
        <v>1293</v>
      </c>
    </row>
    <row r="281" spans="1:12" x14ac:dyDescent="0.2">
      <c r="A281">
        <v>404</v>
      </c>
      <c r="B281" s="6" t="b">
        <f>IF(OR(F281="NA",G281="wide_value"),"",TRUE)</f>
        <v>1</v>
      </c>
      <c r="C281" s="6" t="s">
        <v>113</v>
      </c>
      <c r="D281" s="6" t="s">
        <v>192</v>
      </c>
      <c r="E281" s="6" t="s">
        <v>115</v>
      </c>
      <c r="F281" s="15" t="s">
        <v>626</v>
      </c>
      <c r="G281" s="6" t="s">
        <v>1291</v>
      </c>
      <c r="H281" s="6" t="s">
        <v>1292</v>
      </c>
      <c r="I281" s="16" t="s">
        <v>625</v>
      </c>
      <c r="J281" s="6"/>
      <c r="K281" s="6"/>
      <c r="L281" s="5" t="s">
        <v>1293</v>
      </c>
    </row>
    <row r="282" spans="1:12" x14ac:dyDescent="0.2">
      <c r="A282">
        <v>405</v>
      </c>
      <c r="B282" s="6" t="b">
        <f>IF(OR(F282="NA",G282="wide_value"),"",TRUE)</f>
        <v>1</v>
      </c>
      <c r="C282" s="6" t="s">
        <v>113</v>
      </c>
      <c r="D282" s="6" t="s">
        <v>192</v>
      </c>
      <c r="E282" s="6" t="s">
        <v>115</v>
      </c>
      <c r="F282" s="15" t="s">
        <v>628</v>
      </c>
      <c r="G282" s="6" t="s">
        <v>1291</v>
      </c>
      <c r="H282" s="6" t="s">
        <v>1292</v>
      </c>
      <c r="I282" s="16" t="s">
        <v>627</v>
      </c>
      <c r="J282" s="6"/>
      <c r="K282" s="6"/>
      <c r="L282" s="5" t="s">
        <v>1293</v>
      </c>
    </row>
    <row r="283" spans="1:12" x14ac:dyDescent="0.2">
      <c r="A283">
        <v>406</v>
      </c>
      <c r="B283" s="6" t="b">
        <f>IF(OR(F283="NA",G283="wide_value"),"",TRUE)</f>
        <v>1</v>
      </c>
      <c r="C283" s="6" t="s">
        <v>113</v>
      </c>
      <c r="D283" s="6" t="s">
        <v>192</v>
      </c>
      <c r="E283" s="6" t="s">
        <v>115</v>
      </c>
      <c r="F283" s="15" t="s">
        <v>630</v>
      </c>
      <c r="G283" s="6" t="s">
        <v>1291</v>
      </c>
      <c r="H283" s="6" t="s">
        <v>1292</v>
      </c>
      <c r="I283" s="16" t="s">
        <v>629</v>
      </c>
      <c r="J283" s="6"/>
      <c r="K283" s="6"/>
      <c r="L283" s="5" t="s">
        <v>1293</v>
      </c>
    </row>
    <row r="284" spans="1:12" x14ac:dyDescent="0.2">
      <c r="A284">
        <v>407</v>
      </c>
      <c r="B284" s="6" t="b">
        <f>IF(OR(F284="NA",G284="wide_value"),"",TRUE)</f>
        <v>1</v>
      </c>
      <c r="C284" s="6" t="s">
        <v>113</v>
      </c>
      <c r="D284" s="6" t="s">
        <v>192</v>
      </c>
      <c r="E284" s="6" t="s">
        <v>115</v>
      </c>
      <c r="F284" s="15" t="s">
        <v>632</v>
      </c>
      <c r="G284" s="6" t="s">
        <v>1291</v>
      </c>
      <c r="H284" s="6" t="s">
        <v>1292</v>
      </c>
      <c r="I284" s="16" t="s">
        <v>631</v>
      </c>
      <c r="J284" s="6"/>
      <c r="K284" s="6"/>
      <c r="L284" s="5" t="s">
        <v>1293</v>
      </c>
    </row>
    <row r="285" spans="1:12" x14ac:dyDescent="0.2">
      <c r="A285">
        <v>408</v>
      </c>
      <c r="B285" s="6" t="b">
        <f>IF(OR(F285="NA",G285="wide_value"),"",TRUE)</f>
        <v>1</v>
      </c>
      <c r="C285" s="6" t="s">
        <v>113</v>
      </c>
      <c r="D285" s="6" t="s">
        <v>192</v>
      </c>
      <c r="E285" s="6" t="s">
        <v>115</v>
      </c>
      <c r="F285" s="15" t="s">
        <v>634</v>
      </c>
      <c r="G285" s="6" t="s">
        <v>1291</v>
      </c>
      <c r="H285" s="6" t="s">
        <v>1292</v>
      </c>
      <c r="I285" s="16" t="s">
        <v>633</v>
      </c>
      <c r="J285" s="6"/>
      <c r="K285" s="6"/>
      <c r="L285" s="5" t="s">
        <v>1293</v>
      </c>
    </row>
    <row r="286" spans="1:12" x14ac:dyDescent="0.2">
      <c r="A286">
        <v>409</v>
      </c>
      <c r="B286" s="6" t="b">
        <f>IF(OR(F286="NA",G286="wide_value"),"",TRUE)</f>
        <v>1</v>
      </c>
      <c r="C286" s="6" t="s">
        <v>113</v>
      </c>
      <c r="D286" s="6" t="s">
        <v>192</v>
      </c>
      <c r="E286" s="6" t="s">
        <v>115</v>
      </c>
      <c r="F286" s="15" t="s">
        <v>636</v>
      </c>
      <c r="G286" s="6" t="s">
        <v>1291</v>
      </c>
      <c r="H286" s="6" t="s">
        <v>1292</v>
      </c>
      <c r="I286" s="16" t="s">
        <v>635</v>
      </c>
      <c r="J286" s="6"/>
      <c r="K286" s="6"/>
      <c r="L286" s="5" t="s">
        <v>1293</v>
      </c>
    </row>
    <row r="287" spans="1:12" x14ac:dyDescent="0.2">
      <c r="A287">
        <v>410</v>
      </c>
      <c r="B287" s="6" t="b">
        <f>IF(OR(F287="NA",G287="wide_value"),"",TRUE)</f>
        <v>1</v>
      </c>
      <c r="C287" s="6" t="s">
        <v>113</v>
      </c>
      <c r="D287" s="6" t="s">
        <v>192</v>
      </c>
      <c r="E287" s="6" t="s">
        <v>115</v>
      </c>
      <c r="F287" s="15" t="s">
        <v>638</v>
      </c>
      <c r="G287" s="6" t="s">
        <v>1291</v>
      </c>
      <c r="H287" s="6" t="s">
        <v>1292</v>
      </c>
      <c r="I287" s="16" t="s">
        <v>637</v>
      </c>
      <c r="J287" s="6"/>
      <c r="K287" s="6"/>
      <c r="L287" s="5" t="s">
        <v>1293</v>
      </c>
    </row>
    <row r="288" spans="1:12" x14ac:dyDescent="0.2">
      <c r="A288">
        <v>411</v>
      </c>
      <c r="B288" s="6" t="b">
        <f>IF(OR(F288="NA",G288="wide_value"),"",TRUE)</f>
        <v>1</v>
      </c>
      <c r="C288" s="6" t="s">
        <v>113</v>
      </c>
      <c r="D288" s="6" t="s">
        <v>192</v>
      </c>
      <c r="E288" s="6" t="s">
        <v>115</v>
      </c>
      <c r="F288" s="15" t="s">
        <v>640</v>
      </c>
      <c r="G288" s="6" t="s">
        <v>1291</v>
      </c>
      <c r="H288" s="6" t="s">
        <v>1292</v>
      </c>
      <c r="I288" s="16" t="s">
        <v>639</v>
      </c>
      <c r="J288" s="6"/>
      <c r="K288" s="6"/>
      <c r="L288" s="5" t="s">
        <v>1293</v>
      </c>
    </row>
    <row r="289" spans="1:12" x14ac:dyDescent="0.2">
      <c r="A289">
        <v>412</v>
      </c>
      <c r="B289" s="6" t="b">
        <f>IF(OR(F289="NA",G289="wide_value"),"",TRUE)</f>
        <v>1</v>
      </c>
      <c r="C289" s="6" t="s">
        <v>113</v>
      </c>
      <c r="D289" s="6" t="s">
        <v>192</v>
      </c>
      <c r="E289" s="6" t="s">
        <v>115</v>
      </c>
      <c r="F289" s="15" t="s">
        <v>642</v>
      </c>
      <c r="G289" s="6" t="s">
        <v>1291</v>
      </c>
      <c r="H289" s="6" t="s">
        <v>1292</v>
      </c>
      <c r="I289" s="16" t="s">
        <v>641</v>
      </c>
      <c r="J289" s="6"/>
      <c r="K289" s="6"/>
      <c r="L289" s="5" t="s">
        <v>1293</v>
      </c>
    </row>
    <row r="290" spans="1:12" x14ac:dyDescent="0.2">
      <c r="A290">
        <v>413</v>
      </c>
      <c r="B290" s="6" t="b">
        <f>IF(OR(F290="NA",G290="wide_value"),"",TRUE)</f>
        <v>1</v>
      </c>
      <c r="C290" s="6" t="s">
        <v>113</v>
      </c>
      <c r="D290" s="6" t="s">
        <v>192</v>
      </c>
      <c r="E290" s="6" t="s">
        <v>115</v>
      </c>
      <c r="F290" s="15" t="s">
        <v>643</v>
      </c>
      <c r="G290" s="6" t="s">
        <v>1291</v>
      </c>
      <c r="H290" s="6" t="s">
        <v>1423</v>
      </c>
      <c r="I290" s="20" t="s">
        <v>1564</v>
      </c>
      <c r="J290" s="6"/>
      <c r="K290" s="6" t="s">
        <v>1561</v>
      </c>
      <c r="L290" s="5" t="s">
        <v>1293</v>
      </c>
    </row>
    <row r="291" spans="1:12" x14ac:dyDescent="0.2">
      <c r="A291">
        <v>414</v>
      </c>
      <c r="B291" s="6" t="b">
        <f>IF(OR(F291="NA",G291="wide_value"),"",TRUE)</f>
        <v>1</v>
      </c>
      <c r="C291" s="6" t="s">
        <v>113</v>
      </c>
      <c r="D291" s="6" t="s">
        <v>192</v>
      </c>
      <c r="E291" s="6" t="s">
        <v>115</v>
      </c>
      <c r="F291" s="15" t="s">
        <v>645</v>
      </c>
      <c r="G291" s="6" t="s">
        <v>1291</v>
      </c>
      <c r="H291" s="6" t="s">
        <v>1292</v>
      </c>
      <c r="I291" s="16" t="s">
        <v>644</v>
      </c>
      <c r="J291" s="6"/>
      <c r="K291" s="6"/>
      <c r="L291" s="5" t="s">
        <v>1293</v>
      </c>
    </row>
    <row r="292" spans="1:12" x14ac:dyDescent="0.2">
      <c r="A292">
        <v>415</v>
      </c>
      <c r="B292" s="6" t="b">
        <f>IF(OR(F292="NA",G292="wide_value"),"",TRUE)</f>
        <v>1</v>
      </c>
      <c r="C292" s="6" t="s">
        <v>113</v>
      </c>
      <c r="D292" s="6" t="s">
        <v>192</v>
      </c>
      <c r="E292" s="6" t="s">
        <v>115</v>
      </c>
      <c r="F292" s="15" t="s">
        <v>647</v>
      </c>
      <c r="G292" s="6" t="s">
        <v>1291</v>
      </c>
      <c r="H292" s="6" t="s">
        <v>1292</v>
      </c>
      <c r="I292" s="16" t="s">
        <v>646</v>
      </c>
      <c r="J292" s="6"/>
      <c r="K292" s="6"/>
      <c r="L292" s="5" t="s">
        <v>1293</v>
      </c>
    </row>
    <row r="293" spans="1:12" x14ac:dyDescent="0.2">
      <c r="A293">
        <v>416</v>
      </c>
      <c r="B293" s="6" t="b">
        <f>IF(OR(F293="NA",G293="wide_value"),"",TRUE)</f>
        <v>1</v>
      </c>
      <c r="C293" s="6" t="s">
        <v>113</v>
      </c>
      <c r="D293" s="6" t="s">
        <v>192</v>
      </c>
      <c r="E293" s="6" t="s">
        <v>115</v>
      </c>
      <c r="F293" s="15" t="s">
        <v>649</v>
      </c>
      <c r="G293" s="6" t="s">
        <v>1291</v>
      </c>
      <c r="H293" s="6" t="s">
        <v>1292</v>
      </c>
      <c r="I293" s="16" t="s">
        <v>648</v>
      </c>
      <c r="J293" s="6"/>
      <c r="K293" s="6"/>
      <c r="L293" s="5" t="s">
        <v>1293</v>
      </c>
    </row>
    <row r="294" spans="1:12" x14ac:dyDescent="0.2">
      <c r="A294">
        <v>417</v>
      </c>
      <c r="B294" s="6" t="b">
        <f>IF(OR(F294="NA",G294="wide_value"),"",TRUE)</f>
        <v>1</v>
      </c>
      <c r="C294" s="6" t="s">
        <v>113</v>
      </c>
      <c r="D294" s="6" t="s">
        <v>192</v>
      </c>
      <c r="E294" s="6" t="s">
        <v>115</v>
      </c>
      <c r="F294" s="15" t="s">
        <v>651</v>
      </c>
      <c r="G294" s="6" t="s">
        <v>1291</v>
      </c>
      <c r="H294" s="6" t="s">
        <v>1292</v>
      </c>
      <c r="I294" s="16" t="s">
        <v>650</v>
      </c>
      <c r="J294" s="6"/>
      <c r="K294" s="6"/>
      <c r="L294" s="5" t="s">
        <v>1293</v>
      </c>
    </row>
    <row r="295" spans="1:12" x14ac:dyDescent="0.2">
      <c r="A295">
        <v>418</v>
      </c>
      <c r="B295" s="6" t="b">
        <f>IF(OR(F295="NA",G295="wide_value"),"",TRUE)</f>
        <v>1</v>
      </c>
      <c r="C295" s="6" t="s">
        <v>113</v>
      </c>
      <c r="D295" s="6" t="s">
        <v>192</v>
      </c>
      <c r="E295" s="6" t="s">
        <v>115</v>
      </c>
      <c r="F295" s="15" t="s">
        <v>653</v>
      </c>
      <c r="G295" s="6" t="s">
        <v>1291</v>
      </c>
      <c r="H295" s="6" t="s">
        <v>1292</v>
      </c>
      <c r="I295" s="16" t="s">
        <v>652</v>
      </c>
      <c r="J295" s="6"/>
      <c r="K295" s="6"/>
      <c r="L295" s="5" t="s">
        <v>1293</v>
      </c>
    </row>
    <row r="296" spans="1:12" x14ac:dyDescent="0.2">
      <c r="A296">
        <v>419</v>
      </c>
      <c r="B296" s="6" t="b">
        <f>IF(OR(F296="NA",G296="wide_value"),"",TRUE)</f>
        <v>1</v>
      </c>
      <c r="C296" s="6" t="s">
        <v>113</v>
      </c>
      <c r="D296" s="6" t="s">
        <v>192</v>
      </c>
      <c r="E296" s="6" t="s">
        <v>115</v>
      </c>
      <c r="F296" s="15" t="s">
        <v>655</v>
      </c>
      <c r="G296" s="6" t="s">
        <v>1291</v>
      </c>
      <c r="H296" s="6" t="s">
        <v>1292</v>
      </c>
      <c r="I296" s="16" t="s">
        <v>654</v>
      </c>
      <c r="J296" s="6"/>
      <c r="K296" s="6"/>
      <c r="L296" s="5" t="s">
        <v>1293</v>
      </c>
    </row>
    <row r="297" spans="1:12" x14ac:dyDescent="0.2">
      <c r="A297">
        <v>420</v>
      </c>
      <c r="B297" s="6" t="b">
        <f>IF(OR(F297="NA",G297="wide_value"),"",TRUE)</f>
        <v>1</v>
      </c>
      <c r="C297" s="6" t="s">
        <v>113</v>
      </c>
      <c r="D297" s="6" t="s">
        <v>192</v>
      </c>
      <c r="E297" s="6" t="s">
        <v>115</v>
      </c>
      <c r="F297" s="15" t="s">
        <v>657</v>
      </c>
      <c r="G297" s="6" t="s">
        <v>1291</v>
      </c>
      <c r="H297" s="6" t="s">
        <v>1292</v>
      </c>
      <c r="I297" s="16" t="s">
        <v>656</v>
      </c>
      <c r="J297" s="6"/>
      <c r="K297" s="6"/>
      <c r="L297" s="5" t="s">
        <v>1293</v>
      </c>
    </row>
    <row r="298" spans="1:12" x14ac:dyDescent="0.2">
      <c r="A298">
        <v>421</v>
      </c>
      <c r="B298" s="6" t="b">
        <f>IF(OR(F298="NA",G298="wide_value"),"",TRUE)</f>
        <v>1</v>
      </c>
      <c r="C298" s="6" t="s">
        <v>113</v>
      </c>
      <c r="D298" s="6" t="s">
        <v>192</v>
      </c>
      <c r="E298" s="6" t="s">
        <v>115</v>
      </c>
      <c r="F298" s="15" t="s">
        <v>659</v>
      </c>
      <c r="G298" s="6" t="s">
        <v>1291</v>
      </c>
      <c r="H298" s="6" t="s">
        <v>1292</v>
      </c>
      <c r="I298" s="16" t="s">
        <v>658</v>
      </c>
      <c r="J298" s="6"/>
      <c r="K298" s="6"/>
      <c r="L298" s="5" t="s">
        <v>1293</v>
      </c>
    </row>
    <row r="299" spans="1:12" x14ac:dyDescent="0.2">
      <c r="A299">
        <v>422</v>
      </c>
      <c r="B299" s="6" t="b">
        <f>IF(OR(F299="NA",G299="wide_value"),"",TRUE)</f>
        <v>1</v>
      </c>
      <c r="C299" s="6" t="s">
        <v>113</v>
      </c>
      <c r="D299" s="6" t="s">
        <v>192</v>
      </c>
      <c r="E299" s="6" t="s">
        <v>115</v>
      </c>
      <c r="F299" s="15" t="s">
        <v>661</v>
      </c>
      <c r="G299" s="6" t="s">
        <v>1291</v>
      </c>
      <c r="H299" s="6" t="s">
        <v>1292</v>
      </c>
      <c r="I299" s="16" t="s">
        <v>660</v>
      </c>
      <c r="J299" s="6"/>
      <c r="K299" s="6"/>
      <c r="L299" s="5" t="s">
        <v>1293</v>
      </c>
    </row>
    <row r="300" spans="1:12" x14ac:dyDescent="0.2">
      <c r="A300">
        <v>423</v>
      </c>
      <c r="B300" s="6" t="b">
        <f>IF(OR(F300="NA",G300="wide_value"),"",TRUE)</f>
        <v>1</v>
      </c>
      <c r="C300" s="6" t="s">
        <v>113</v>
      </c>
      <c r="D300" s="6" t="s">
        <v>192</v>
      </c>
      <c r="E300" s="6" t="s">
        <v>115</v>
      </c>
      <c r="F300" s="15" t="s">
        <v>663</v>
      </c>
      <c r="G300" s="6" t="s">
        <v>1291</v>
      </c>
      <c r="H300" s="6" t="s">
        <v>1292</v>
      </c>
      <c r="I300" s="16" t="s">
        <v>662</v>
      </c>
      <c r="J300" s="6"/>
      <c r="K300" s="6"/>
      <c r="L300" s="5" t="s">
        <v>1293</v>
      </c>
    </row>
    <row r="301" spans="1:12" x14ac:dyDescent="0.2">
      <c r="A301">
        <v>424</v>
      </c>
      <c r="B301" s="6" t="b">
        <f>IF(OR(F301="NA",G301="wide_value"),"",TRUE)</f>
        <v>1</v>
      </c>
      <c r="C301" s="6" t="s">
        <v>113</v>
      </c>
      <c r="D301" s="6" t="s">
        <v>192</v>
      </c>
      <c r="E301" s="6" t="s">
        <v>115</v>
      </c>
      <c r="F301" s="15" t="s">
        <v>664</v>
      </c>
      <c r="G301" s="6" t="s">
        <v>1291</v>
      </c>
      <c r="H301" s="6" t="s">
        <v>1423</v>
      </c>
      <c r="I301" s="20" t="s">
        <v>1565</v>
      </c>
      <c r="J301" s="6"/>
      <c r="K301" s="6" t="s">
        <v>1569</v>
      </c>
      <c r="L301" s="5" t="s">
        <v>1293</v>
      </c>
    </row>
    <row r="302" spans="1:12" x14ac:dyDescent="0.2">
      <c r="A302">
        <v>425</v>
      </c>
      <c r="B302" s="6" t="b">
        <f>IF(OR(F302="NA",G302="wide_value"),"",TRUE)</f>
        <v>1</v>
      </c>
      <c r="C302" s="6" t="s">
        <v>113</v>
      </c>
      <c r="D302" s="6" t="s">
        <v>192</v>
      </c>
      <c r="E302" s="6" t="s">
        <v>115</v>
      </c>
      <c r="F302" s="15" t="s">
        <v>666</v>
      </c>
      <c r="G302" s="6" t="s">
        <v>1291</v>
      </c>
      <c r="H302" s="6" t="s">
        <v>1292</v>
      </c>
      <c r="I302" s="16" t="s">
        <v>665</v>
      </c>
      <c r="J302" s="6"/>
      <c r="K302" s="6"/>
      <c r="L302" s="5" t="s">
        <v>1293</v>
      </c>
    </row>
    <row r="303" spans="1:12" x14ac:dyDescent="0.2">
      <c r="A303">
        <v>426</v>
      </c>
      <c r="B303" s="6" t="b">
        <f>IF(OR(F303="NA",G303="wide_value"),"",TRUE)</f>
        <v>1</v>
      </c>
      <c r="C303" s="6" t="s">
        <v>113</v>
      </c>
      <c r="D303" s="6" t="s">
        <v>192</v>
      </c>
      <c r="E303" s="6" t="s">
        <v>115</v>
      </c>
      <c r="F303" s="15" t="s">
        <v>668</v>
      </c>
      <c r="G303" s="6" t="s">
        <v>1291</v>
      </c>
      <c r="H303" s="6" t="s">
        <v>1292</v>
      </c>
      <c r="I303" s="16" t="s">
        <v>667</v>
      </c>
      <c r="J303" s="6"/>
      <c r="K303" s="6"/>
      <c r="L303" s="5" t="s">
        <v>1293</v>
      </c>
    </row>
    <row r="304" spans="1:12" x14ac:dyDescent="0.2">
      <c r="A304">
        <v>427</v>
      </c>
      <c r="B304" s="6" t="b">
        <f>IF(OR(F304="NA",G304="wide_value"),"",TRUE)</f>
        <v>1</v>
      </c>
      <c r="C304" s="6" t="s">
        <v>113</v>
      </c>
      <c r="D304" s="6" t="s">
        <v>192</v>
      </c>
      <c r="E304" s="6" t="s">
        <v>115</v>
      </c>
      <c r="F304" s="15" t="s">
        <v>670</v>
      </c>
      <c r="G304" s="6" t="s">
        <v>1291</v>
      </c>
      <c r="H304" s="6" t="s">
        <v>1292</v>
      </c>
      <c r="I304" s="16" t="s">
        <v>669</v>
      </c>
      <c r="J304" s="6"/>
      <c r="K304" s="6"/>
      <c r="L304" s="5" t="s">
        <v>1293</v>
      </c>
    </row>
    <row r="305" spans="1:12" x14ac:dyDescent="0.2">
      <c r="A305">
        <v>428</v>
      </c>
      <c r="B305" s="6" t="b">
        <f>IF(OR(F305="NA",G305="wide_value"),"",TRUE)</f>
        <v>1</v>
      </c>
      <c r="C305" s="6" t="s">
        <v>113</v>
      </c>
      <c r="D305" s="6" t="s">
        <v>192</v>
      </c>
      <c r="E305" s="6" t="s">
        <v>115</v>
      </c>
      <c r="F305" s="15" t="s">
        <v>672</v>
      </c>
      <c r="G305" s="6" t="s">
        <v>1291</v>
      </c>
      <c r="H305" s="6" t="s">
        <v>1292</v>
      </c>
      <c r="I305" s="16" t="s">
        <v>671</v>
      </c>
      <c r="J305" s="6"/>
      <c r="K305" s="6"/>
      <c r="L305" s="5" t="s">
        <v>1293</v>
      </c>
    </row>
    <row r="306" spans="1:12" x14ac:dyDescent="0.2">
      <c r="A306">
        <v>429</v>
      </c>
      <c r="B306" s="6" t="b">
        <f>IF(OR(F306="NA",G306="wide_value"),"",TRUE)</f>
        <v>1</v>
      </c>
      <c r="C306" s="6" t="s">
        <v>113</v>
      </c>
      <c r="D306" s="6" t="s">
        <v>192</v>
      </c>
      <c r="E306" s="6" t="s">
        <v>115</v>
      </c>
      <c r="F306" s="15" t="s">
        <v>673</v>
      </c>
      <c r="G306" s="6" t="s">
        <v>1291</v>
      </c>
      <c r="H306" s="6" t="s">
        <v>1423</v>
      </c>
      <c r="I306" s="20" t="s">
        <v>1566</v>
      </c>
      <c r="J306" s="6"/>
      <c r="K306" s="6" t="s">
        <v>1561</v>
      </c>
      <c r="L306" s="5" t="s">
        <v>1293</v>
      </c>
    </row>
    <row r="307" spans="1:12" x14ac:dyDescent="0.2">
      <c r="A307">
        <v>430</v>
      </c>
      <c r="B307" s="6" t="b">
        <f>IF(OR(F307="NA",G307="wide_value"),"",TRUE)</f>
        <v>1</v>
      </c>
      <c r="C307" s="6" t="s">
        <v>113</v>
      </c>
      <c r="D307" s="6" t="s">
        <v>192</v>
      </c>
      <c r="E307" s="6" t="s">
        <v>115</v>
      </c>
      <c r="F307" s="15" t="s">
        <v>675</v>
      </c>
      <c r="G307" s="6" t="s">
        <v>1291</v>
      </c>
      <c r="H307" s="6" t="s">
        <v>1292</v>
      </c>
      <c r="I307" s="16" t="s">
        <v>674</v>
      </c>
      <c r="J307" s="6"/>
      <c r="K307" s="6"/>
      <c r="L307" s="5" t="s">
        <v>1293</v>
      </c>
    </row>
    <row r="308" spans="1:12" x14ac:dyDescent="0.2">
      <c r="A308">
        <v>431</v>
      </c>
      <c r="B308" s="6" t="b">
        <f>IF(OR(F308="NA",G308="wide_value"),"",TRUE)</f>
        <v>1</v>
      </c>
      <c r="C308" s="6" t="s">
        <v>113</v>
      </c>
      <c r="D308" s="6" t="s">
        <v>192</v>
      </c>
      <c r="E308" s="6" t="s">
        <v>115</v>
      </c>
      <c r="F308" s="15" t="s">
        <v>677</v>
      </c>
      <c r="G308" s="6" t="s">
        <v>1291</v>
      </c>
      <c r="H308" s="6" t="s">
        <v>1292</v>
      </c>
      <c r="I308" s="16" t="s">
        <v>676</v>
      </c>
      <c r="J308" s="6"/>
      <c r="K308" s="6"/>
      <c r="L308" s="5" t="s">
        <v>1293</v>
      </c>
    </row>
    <row r="309" spans="1:12" x14ac:dyDescent="0.2">
      <c r="A309">
        <v>432</v>
      </c>
      <c r="B309" s="6" t="b">
        <f>IF(OR(F309="NA",G309="wide_value"),"",TRUE)</f>
        <v>1</v>
      </c>
      <c r="C309" s="6" t="s">
        <v>113</v>
      </c>
      <c r="D309" s="6" t="s">
        <v>192</v>
      </c>
      <c r="E309" s="6" t="s">
        <v>115</v>
      </c>
      <c r="F309" s="15" t="s">
        <v>679</v>
      </c>
      <c r="G309" s="6" t="s">
        <v>1291</v>
      </c>
      <c r="H309" s="6" t="s">
        <v>1292</v>
      </c>
      <c r="I309" s="16" t="s">
        <v>678</v>
      </c>
      <c r="J309" s="6"/>
      <c r="K309" s="6"/>
      <c r="L309" s="5" t="s">
        <v>1293</v>
      </c>
    </row>
    <row r="310" spans="1:12" x14ac:dyDescent="0.2">
      <c r="A310">
        <v>433</v>
      </c>
      <c r="B310" s="6" t="b">
        <f>IF(OR(F310="NA",G310="wide_value"),"",TRUE)</f>
        <v>1</v>
      </c>
      <c r="C310" s="6" t="s">
        <v>113</v>
      </c>
      <c r="D310" s="6" t="s">
        <v>192</v>
      </c>
      <c r="E310" s="6" t="s">
        <v>115</v>
      </c>
      <c r="F310" s="15" t="s">
        <v>681</v>
      </c>
      <c r="G310" s="6" t="s">
        <v>1291</v>
      </c>
      <c r="H310" s="6" t="s">
        <v>1292</v>
      </c>
      <c r="I310" s="16" t="s">
        <v>680</v>
      </c>
      <c r="J310" s="6"/>
      <c r="K310" s="6"/>
      <c r="L310" s="5" t="s">
        <v>1293</v>
      </c>
    </row>
    <row r="311" spans="1:12" x14ac:dyDescent="0.2">
      <c r="A311">
        <v>434</v>
      </c>
      <c r="B311" s="6" t="b">
        <f>IF(OR(F311="NA",G311="wide_value"),"",TRUE)</f>
        <v>1</v>
      </c>
      <c r="C311" s="6" t="s">
        <v>113</v>
      </c>
      <c r="D311" s="6" t="s">
        <v>192</v>
      </c>
      <c r="E311" s="6" t="s">
        <v>115</v>
      </c>
      <c r="F311" s="15" t="s">
        <v>683</v>
      </c>
      <c r="G311" s="6" t="s">
        <v>1291</v>
      </c>
      <c r="H311" s="6" t="s">
        <v>1292</v>
      </c>
      <c r="I311" s="16" t="s">
        <v>682</v>
      </c>
      <c r="J311" s="6"/>
      <c r="K311" s="6"/>
      <c r="L311" s="5" t="s">
        <v>1293</v>
      </c>
    </row>
    <row r="312" spans="1:12" x14ac:dyDescent="0.2">
      <c r="A312">
        <v>435</v>
      </c>
      <c r="B312" s="6" t="b">
        <f>IF(OR(F312="NA",G312="wide_value"),"",TRUE)</f>
        <v>1</v>
      </c>
      <c r="C312" s="6" t="s">
        <v>113</v>
      </c>
      <c r="D312" s="6" t="s">
        <v>192</v>
      </c>
      <c r="E312" s="6" t="s">
        <v>115</v>
      </c>
      <c r="F312" s="15" t="s">
        <v>685</v>
      </c>
      <c r="G312" s="6" t="s">
        <v>1291</v>
      </c>
      <c r="H312" s="6" t="s">
        <v>1292</v>
      </c>
      <c r="I312" s="16" t="s">
        <v>684</v>
      </c>
      <c r="J312" s="6"/>
      <c r="K312" s="6"/>
      <c r="L312" s="5" t="s">
        <v>1293</v>
      </c>
    </row>
    <row r="313" spans="1:12" x14ac:dyDescent="0.2">
      <c r="A313">
        <v>436</v>
      </c>
      <c r="B313" s="6" t="b">
        <f>IF(OR(F313="NA",G313="wide_value"),"",TRUE)</f>
        <v>1</v>
      </c>
      <c r="C313" s="6" t="s">
        <v>113</v>
      </c>
      <c r="D313" s="6" t="s">
        <v>192</v>
      </c>
      <c r="E313" s="6" t="s">
        <v>115</v>
      </c>
      <c r="F313" s="15" t="s">
        <v>687</v>
      </c>
      <c r="G313" s="6" t="s">
        <v>1291</v>
      </c>
      <c r="H313" s="6" t="s">
        <v>1292</v>
      </c>
      <c r="I313" s="16" t="s">
        <v>686</v>
      </c>
      <c r="J313" s="6"/>
      <c r="K313" s="6"/>
      <c r="L313" s="5" t="s">
        <v>1293</v>
      </c>
    </row>
    <row r="314" spans="1:12" x14ac:dyDescent="0.2">
      <c r="A314">
        <v>437</v>
      </c>
      <c r="B314" s="6" t="b">
        <f>IF(OR(F314="NA",G314="wide_value"),"",TRUE)</f>
        <v>1</v>
      </c>
      <c r="C314" s="6" t="s">
        <v>113</v>
      </c>
      <c r="D314" s="6" t="s">
        <v>192</v>
      </c>
      <c r="E314" s="6" t="s">
        <v>115</v>
      </c>
      <c r="F314" s="15" t="s">
        <v>689</v>
      </c>
      <c r="G314" s="6" t="s">
        <v>1291</v>
      </c>
      <c r="H314" s="6" t="s">
        <v>1292</v>
      </c>
      <c r="I314" s="16" t="s">
        <v>688</v>
      </c>
      <c r="J314" s="6"/>
      <c r="K314" s="6"/>
      <c r="L314" s="5" t="s">
        <v>1293</v>
      </c>
    </row>
    <row r="315" spans="1:12" x14ac:dyDescent="0.2">
      <c r="A315">
        <v>438</v>
      </c>
      <c r="B315" s="6" t="b">
        <f>IF(OR(F315="NA",G315="wide_value"),"",TRUE)</f>
        <v>1</v>
      </c>
      <c r="C315" s="6" t="s">
        <v>113</v>
      </c>
      <c r="D315" s="6" t="s">
        <v>192</v>
      </c>
      <c r="E315" s="6" t="s">
        <v>115</v>
      </c>
      <c r="F315" s="15" t="s">
        <v>691</v>
      </c>
      <c r="G315" s="6" t="s">
        <v>1291</v>
      </c>
      <c r="H315" s="6" t="s">
        <v>1292</v>
      </c>
      <c r="I315" s="16" t="s">
        <v>690</v>
      </c>
      <c r="J315" s="6"/>
      <c r="K315" s="6"/>
      <c r="L315" s="5" t="s">
        <v>1293</v>
      </c>
    </row>
    <row r="316" spans="1:12" x14ac:dyDescent="0.2">
      <c r="A316">
        <v>439</v>
      </c>
      <c r="B316" s="6" t="b">
        <f>IF(OR(F316="NA",G316="wide_value"),"",TRUE)</f>
        <v>1</v>
      </c>
      <c r="C316" s="6" t="s">
        <v>113</v>
      </c>
      <c r="D316" s="6" t="s">
        <v>192</v>
      </c>
      <c r="E316" s="6" t="s">
        <v>115</v>
      </c>
      <c r="F316" s="15" t="s">
        <v>693</v>
      </c>
      <c r="G316" s="6" t="s">
        <v>1291</v>
      </c>
      <c r="H316" s="6" t="s">
        <v>1292</v>
      </c>
      <c r="I316" s="16" t="s">
        <v>692</v>
      </c>
      <c r="J316" s="6"/>
      <c r="K316" s="6"/>
      <c r="L316" s="5" t="s">
        <v>1293</v>
      </c>
    </row>
    <row r="317" spans="1:12" x14ac:dyDescent="0.2">
      <c r="A317">
        <v>440</v>
      </c>
      <c r="B317" s="6" t="b">
        <f>IF(OR(F317="NA",G317="wide_value"),"",TRUE)</f>
        <v>1</v>
      </c>
      <c r="C317" s="6" t="s">
        <v>113</v>
      </c>
      <c r="D317" s="6" t="s">
        <v>192</v>
      </c>
      <c r="E317" s="6" t="s">
        <v>115</v>
      </c>
      <c r="F317" s="15" t="s">
        <v>695</v>
      </c>
      <c r="G317" s="6" t="s">
        <v>1291</v>
      </c>
      <c r="H317" s="6" t="s">
        <v>1292</v>
      </c>
      <c r="I317" s="16" t="s">
        <v>694</v>
      </c>
      <c r="J317" s="6"/>
      <c r="K317" s="6"/>
      <c r="L317" s="5" t="s">
        <v>1293</v>
      </c>
    </row>
    <row r="318" spans="1:12" x14ac:dyDescent="0.2">
      <c r="A318">
        <v>441</v>
      </c>
      <c r="B318" s="6" t="b">
        <f>IF(OR(F318="NA",G318="wide_value"),"",TRUE)</f>
        <v>1</v>
      </c>
      <c r="C318" s="6" t="s">
        <v>113</v>
      </c>
      <c r="D318" s="6" t="s">
        <v>192</v>
      </c>
      <c r="E318" s="6" t="s">
        <v>115</v>
      </c>
      <c r="F318" s="15" t="s">
        <v>697</v>
      </c>
      <c r="G318" s="6" t="s">
        <v>1291</v>
      </c>
      <c r="H318" s="6" t="s">
        <v>1292</v>
      </c>
      <c r="I318" s="16" t="s">
        <v>696</v>
      </c>
      <c r="J318" s="6"/>
      <c r="K318" s="6"/>
      <c r="L318" s="5" t="s">
        <v>1293</v>
      </c>
    </row>
    <row r="319" spans="1:12" x14ac:dyDescent="0.2">
      <c r="A319">
        <v>442</v>
      </c>
      <c r="B319" s="6" t="b">
        <f>IF(OR(F319="NA",G319="wide_value"),"",TRUE)</f>
        <v>1</v>
      </c>
      <c r="C319" s="6" t="s">
        <v>113</v>
      </c>
      <c r="D319" s="6" t="s">
        <v>192</v>
      </c>
      <c r="E319" s="6" t="s">
        <v>115</v>
      </c>
      <c r="F319" s="15" t="s">
        <v>699</v>
      </c>
      <c r="G319" s="6" t="s">
        <v>1291</v>
      </c>
      <c r="H319" s="6" t="s">
        <v>1292</v>
      </c>
      <c r="I319" s="16" t="s">
        <v>698</v>
      </c>
      <c r="J319" s="6"/>
      <c r="K319" s="6"/>
      <c r="L319" s="5" t="s">
        <v>1293</v>
      </c>
    </row>
    <row r="320" spans="1:12" x14ac:dyDescent="0.2">
      <c r="A320">
        <v>443</v>
      </c>
      <c r="B320" s="6" t="b">
        <f>IF(OR(F320="NA",G320="wide_value"),"",TRUE)</f>
        <v>1</v>
      </c>
      <c r="C320" s="6" t="s">
        <v>113</v>
      </c>
      <c r="D320" s="6" t="s">
        <v>192</v>
      </c>
      <c r="E320" s="6" t="s">
        <v>115</v>
      </c>
      <c r="F320" s="15" t="s">
        <v>701</v>
      </c>
      <c r="G320" s="6" t="s">
        <v>1291</v>
      </c>
      <c r="H320" s="6" t="s">
        <v>1292</v>
      </c>
      <c r="I320" s="16" t="s">
        <v>700</v>
      </c>
      <c r="J320" s="6"/>
      <c r="K320" s="6"/>
      <c r="L320" s="5" t="s">
        <v>1293</v>
      </c>
    </row>
    <row r="321" spans="1:12" x14ac:dyDescent="0.2">
      <c r="A321">
        <v>444</v>
      </c>
      <c r="B321" s="6" t="b">
        <f>IF(OR(F321="NA",G321="wide_value"),"",TRUE)</f>
        <v>1</v>
      </c>
      <c r="C321" s="6" t="s">
        <v>113</v>
      </c>
      <c r="D321" s="6" t="s">
        <v>192</v>
      </c>
      <c r="E321" s="6" t="s">
        <v>115</v>
      </c>
      <c r="F321" s="15" t="s">
        <v>702</v>
      </c>
      <c r="G321" s="6" t="s">
        <v>1291</v>
      </c>
      <c r="H321" s="6" t="s">
        <v>1423</v>
      </c>
      <c r="I321" s="20" t="s">
        <v>1567</v>
      </c>
      <c r="J321" s="6"/>
      <c r="K321" s="6" t="s">
        <v>1559</v>
      </c>
      <c r="L321" s="5" t="s">
        <v>1293</v>
      </c>
    </row>
    <row r="322" spans="1:12" x14ac:dyDescent="0.2">
      <c r="A322">
        <v>445</v>
      </c>
      <c r="B322" s="6" t="b">
        <f>IF(OR(F322="NA",G322="wide_value"),"",TRUE)</f>
        <v>1</v>
      </c>
      <c r="C322" s="6" t="s">
        <v>113</v>
      </c>
      <c r="D322" s="6" t="s">
        <v>192</v>
      </c>
      <c r="E322" s="6" t="s">
        <v>115</v>
      </c>
      <c r="F322" s="15" t="s">
        <v>704</v>
      </c>
      <c r="G322" s="6" t="s">
        <v>1291</v>
      </c>
      <c r="H322" s="6" t="s">
        <v>1292</v>
      </c>
      <c r="I322" s="16" t="s">
        <v>703</v>
      </c>
      <c r="J322" s="6"/>
      <c r="K322" s="6"/>
      <c r="L322" s="5" t="s">
        <v>1293</v>
      </c>
    </row>
    <row r="323" spans="1:12" x14ac:dyDescent="0.2">
      <c r="A323">
        <v>446</v>
      </c>
      <c r="B323" s="6" t="b">
        <f>IF(OR(F323="NA",G323="wide_value"),"",TRUE)</f>
        <v>1</v>
      </c>
      <c r="C323" s="6" t="s">
        <v>113</v>
      </c>
      <c r="D323" s="6" t="s">
        <v>192</v>
      </c>
      <c r="E323" s="6" t="s">
        <v>115</v>
      </c>
      <c r="F323" s="15" t="s">
        <v>706</v>
      </c>
      <c r="G323" s="6" t="s">
        <v>1291</v>
      </c>
      <c r="H323" s="6" t="s">
        <v>1292</v>
      </c>
      <c r="I323" s="16" t="s">
        <v>705</v>
      </c>
      <c r="J323" s="6"/>
      <c r="K323" s="6"/>
      <c r="L323" s="5" t="s">
        <v>1293</v>
      </c>
    </row>
    <row r="324" spans="1:12" x14ac:dyDescent="0.2">
      <c r="A324">
        <v>447</v>
      </c>
      <c r="B324" s="6" t="b">
        <f>IF(OR(F324="NA",G324="wide_value"),"",TRUE)</f>
        <v>1</v>
      </c>
      <c r="C324" s="6" t="s">
        <v>113</v>
      </c>
      <c r="D324" s="6" t="s">
        <v>192</v>
      </c>
      <c r="E324" s="6" t="s">
        <v>115</v>
      </c>
      <c r="F324" s="15" t="s">
        <v>708</v>
      </c>
      <c r="G324" s="6" t="s">
        <v>1291</v>
      </c>
      <c r="H324" s="6" t="s">
        <v>1292</v>
      </c>
      <c r="I324" s="16" t="s">
        <v>707</v>
      </c>
      <c r="J324" s="6"/>
      <c r="K324" s="6"/>
      <c r="L324" s="5" t="s">
        <v>1293</v>
      </c>
    </row>
    <row r="325" spans="1:12" x14ac:dyDescent="0.2">
      <c r="A325">
        <v>448</v>
      </c>
      <c r="B325" s="6" t="b">
        <f>IF(OR(F325="NA",G325="wide_value"),"",TRUE)</f>
        <v>1</v>
      </c>
      <c r="C325" s="6" t="s">
        <v>113</v>
      </c>
      <c r="D325" s="6" t="s">
        <v>192</v>
      </c>
      <c r="E325" s="6" t="s">
        <v>115</v>
      </c>
      <c r="F325" s="15" t="s">
        <v>710</v>
      </c>
      <c r="G325" s="6" t="s">
        <v>1291</v>
      </c>
      <c r="H325" s="6" t="s">
        <v>1292</v>
      </c>
      <c r="I325" s="16" t="s">
        <v>709</v>
      </c>
      <c r="J325" s="6"/>
      <c r="K325" s="6"/>
      <c r="L325" s="5" t="s">
        <v>1293</v>
      </c>
    </row>
    <row r="326" spans="1:12" x14ac:dyDescent="0.2">
      <c r="A326">
        <v>449</v>
      </c>
      <c r="B326" s="6" t="b">
        <f>IF(OR(F326="NA",G326="wide_value"),"",TRUE)</f>
        <v>1</v>
      </c>
      <c r="C326" s="6" t="s">
        <v>113</v>
      </c>
      <c r="D326" s="6" t="s">
        <v>192</v>
      </c>
      <c r="E326" s="6" t="s">
        <v>115</v>
      </c>
      <c r="F326" s="15" t="s">
        <v>712</v>
      </c>
      <c r="G326" s="6" t="s">
        <v>1291</v>
      </c>
      <c r="H326" s="6" t="s">
        <v>1292</v>
      </c>
      <c r="I326" s="16" t="s">
        <v>711</v>
      </c>
      <c r="J326" s="6"/>
      <c r="K326" s="6"/>
      <c r="L326" s="5" t="s">
        <v>1293</v>
      </c>
    </row>
    <row r="327" spans="1:12" x14ac:dyDescent="0.2">
      <c r="A327">
        <v>450</v>
      </c>
      <c r="B327" s="6" t="b">
        <f>IF(OR(F327="NA",G327="wide_value"),"",TRUE)</f>
        <v>1</v>
      </c>
      <c r="C327" s="6" t="s">
        <v>113</v>
      </c>
      <c r="D327" s="6" t="s">
        <v>192</v>
      </c>
      <c r="E327" s="6" t="s">
        <v>115</v>
      </c>
      <c r="F327" s="15" t="s">
        <v>714</v>
      </c>
      <c r="G327" s="6" t="s">
        <v>1291</v>
      </c>
      <c r="H327" s="6" t="s">
        <v>1292</v>
      </c>
      <c r="I327" s="16" t="s">
        <v>713</v>
      </c>
      <c r="J327" s="6"/>
      <c r="K327" s="6"/>
      <c r="L327" s="5" t="s">
        <v>1293</v>
      </c>
    </row>
    <row r="328" spans="1:12" x14ac:dyDescent="0.2">
      <c r="A328">
        <v>451</v>
      </c>
      <c r="B328" s="6" t="b">
        <f>IF(OR(F328="NA",G328="wide_value"),"",TRUE)</f>
        <v>1</v>
      </c>
      <c r="C328" s="6" t="s">
        <v>113</v>
      </c>
      <c r="D328" s="6" t="s">
        <v>192</v>
      </c>
      <c r="E328" s="6" t="s">
        <v>115</v>
      </c>
      <c r="F328" s="15" t="s">
        <v>716</v>
      </c>
      <c r="G328" s="6" t="s">
        <v>1291</v>
      </c>
      <c r="H328" s="6" t="s">
        <v>1292</v>
      </c>
      <c r="I328" s="16" t="s">
        <v>715</v>
      </c>
      <c r="J328" s="6"/>
      <c r="K328" s="6"/>
      <c r="L328" s="5" t="s">
        <v>1293</v>
      </c>
    </row>
    <row r="329" spans="1:12" x14ac:dyDescent="0.2">
      <c r="A329">
        <v>452</v>
      </c>
      <c r="B329" s="6" t="b">
        <f>IF(OR(F329="NA",G329="wide_value"),"",TRUE)</f>
        <v>1</v>
      </c>
      <c r="C329" s="6" t="s">
        <v>113</v>
      </c>
      <c r="D329" s="6" t="s">
        <v>192</v>
      </c>
      <c r="E329" s="6" t="s">
        <v>115</v>
      </c>
      <c r="F329" s="15" t="s">
        <v>718</v>
      </c>
      <c r="G329" s="6" t="s">
        <v>1291</v>
      </c>
      <c r="H329" s="6" t="s">
        <v>1292</v>
      </c>
      <c r="I329" s="16" t="s">
        <v>717</v>
      </c>
      <c r="J329" s="6"/>
      <c r="K329" s="6"/>
      <c r="L329" s="5" t="s">
        <v>1293</v>
      </c>
    </row>
    <row r="330" spans="1:12" x14ac:dyDescent="0.2">
      <c r="A330">
        <v>453</v>
      </c>
      <c r="B330" s="6" t="b">
        <f>IF(OR(F330="NA",G330="wide_value"),"",TRUE)</f>
        <v>1</v>
      </c>
      <c r="C330" s="6" t="s">
        <v>113</v>
      </c>
      <c r="D330" s="6" t="s">
        <v>192</v>
      </c>
      <c r="E330" s="6" t="s">
        <v>115</v>
      </c>
      <c r="F330" s="15" t="s">
        <v>720</v>
      </c>
      <c r="G330" s="6" t="s">
        <v>1291</v>
      </c>
      <c r="H330" s="6" t="s">
        <v>1292</v>
      </c>
      <c r="I330" s="16" t="s">
        <v>719</v>
      </c>
      <c r="J330" s="6"/>
      <c r="K330" s="6"/>
      <c r="L330" s="5" t="s">
        <v>1293</v>
      </c>
    </row>
    <row r="331" spans="1:12" x14ac:dyDescent="0.2">
      <c r="A331">
        <v>454</v>
      </c>
      <c r="B331" s="6" t="b">
        <f>IF(OR(F331="NA",G331="wide_value"),"",TRUE)</f>
        <v>1</v>
      </c>
      <c r="C331" s="6" t="s">
        <v>113</v>
      </c>
      <c r="D331" s="6" t="s">
        <v>192</v>
      </c>
      <c r="E331" s="6" t="s">
        <v>115</v>
      </c>
      <c r="F331" s="15" t="s">
        <v>722</v>
      </c>
      <c r="G331" s="6" t="s">
        <v>1291</v>
      </c>
      <c r="H331" s="6" t="s">
        <v>1292</v>
      </c>
      <c r="I331" s="16" t="s">
        <v>721</v>
      </c>
      <c r="J331" s="6"/>
      <c r="K331" s="6"/>
      <c r="L331" s="5" t="s">
        <v>1293</v>
      </c>
    </row>
    <row r="332" spans="1:12" x14ac:dyDescent="0.2">
      <c r="A332">
        <v>455</v>
      </c>
      <c r="B332" s="6" t="b">
        <f>IF(OR(F332="NA",G332="wide_value"),"",TRUE)</f>
        <v>1</v>
      </c>
      <c r="C332" s="6" t="s">
        <v>113</v>
      </c>
      <c r="D332" s="6" t="s">
        <v>192</v>
      </c>
      <c r="E332" s="6" t="s">
        <v>115</v>
      </c>
      <c r="F332" s="15" t="s">
        <v>724</v>
      </c>
      <c r="G332" s="6" t="s">
        <v>1291</v>
      </c>
      <c r="H332" s="6" t="s">
        <v>1292</v>
      </c>
      <c r="I332" s="16" t="s">
        <v>723</v>
      </c>
      <c r="J332" s="6"/>
      <c r="K332" s="6"/>
      <c r="L332" s="5" t="s">
        <v>1293</v>
      </c>
    </row>
    <row r="333" spans="1:12" x14ac:dyDescent="0.2">
      <c r="A333">
        <v>456</v>
      </c>
      <c r="B333" s="6" t="b">
        <f>IF(OR(F333="NA",G333="wide_value"),"",TRUE)</f>
        <v>1</v>
      </c>
      <c r="C333" s="6" t="s">
        <v>113</v>
      </c>
      <c r="D333" s="6" t="s">
        <v>192</v>
      </c>
      <c r="E333" s="6" t="s">
        <v>115</v>
      </c>
      <c r="F333" s="15" t="s">
        <v>725</v>
      </c>
      <c r="G333" s="6" t="s">
        <v>1291</v>
      </c>
      <c r="H333" s="6" t="s">
        <v>1292</v>
      </c>
      <c r="I333" s="20" t="s">
        <v>941</v>
      </c>
      <c r="J333" s="6"/>
      <c r="K333" s="6"/>
      <c r="L333" s="5" t="s">
        <v>1293</v>
      </c>
    </row>
    <row r="334" spans="1:12" x14ac:dyDescent="0.2">
      <c r="A334">
        <v>457</v>
      </c>
      <c r="B334" s="6" t="b">
        <f>IF(OR(F334="NA",G334="wide_value"),"",TRUE)</f>
        <v>1</v>
      </c>
      <c r="C334" s="6" t="s">
        <v>113</v>
      </c>
      <c r="D334" s="6" t="s">
        <v>192</v>
      </c>
      <c r="E334" s="6" t="s">
        <v>115</v>
      </c>
      <c r="F334" s="15" t="s">
        <v>727</v>
      </c>
      <c r="G334" s="6" t="s">
        <v>1291</v>
      </c>
      <c r="H334" s="6" t="s">
        <v>1292</v>
      </c>
      <c r="I334" s="16" t="s">
        <v>726</v>
      </c>
      <c r="J334" s="6"/>
      <c r="K334" s="6"/>
      <c r="L334" s="5" t="s">
        <v>1293</v>
      </c>
    </row>
    <row r="335" spans="1:12" x14ac:dyDescent="0.2">
      <c r="A335">
        <v>458</v>
      </c>
      <c r="B335" s="6" t="b">
        <f>IF(OR(F335="NA",G335="wide_value"),"",TRUE)</f>
        <v>1</v>
      </c>
      <c r="C335" s="6" t="s">
        <v>113</v>
      </c>
      <c r="D335" s="6" t="s">
        <v>192</v>
      </c>
      <c r="E335" s="6" t="s">
        <v>115</v>
      </c>
      <c r="F335" s="15" t="s">
        <v>728</v>
      </c>
      <c r="G335" s="6" t="s">
        <v>1291</v>
      </c>
      <c r="H335" s="6" t="s">
        <v>1423</v>
      </c>
      <c r="I335" s="20" t="s">
        <v>1568</v>
      </c>
      <c r="J335" s="6"/>
      <c r="K335" s="6" t="s">
        <v>1559</v>
      </c>
      <c r="L335" s="5" t="s">
        <v>1293</v>
      </c>
    </row>
    <row r="336" spans="1:12" x14ac:dyDescent="0.2">
      <c r="A336">
        <v>459</v>
      </c>
      <c r="B336" s="6" t="b">
        <f>IF(OR(F336="NA",G336="wide_value"),"",TRUE)</f>
        <v>1</v>
      </c>
      <c r="C336" s="6" t="s">
        <v>113</v>
      </c>
      <c r="D336" s="6" t="s">
        <v>192</v>
      </c>
      <c r="E336" s="6" t="s">
        <v>115</v>
      </c>
      <c r="F336" s="15" t="s">
        <v>730</v>
      </c>
      <c r="G336" s="6" t="s">
        <v>1291</v>
      </c>
      <c r="H336" s="6" t="s">
        <v>1292</v>
      </c>
      <c r="I336" s="16" t="s">
        <v>729</v>
      </c>
      <c r="J336" s="6"/>
      <c r="K336" s="6"/>
      <c r="L336" s="5" t="s">
        <v>1293</v>
      </c>
    </row>
    <row r="337" spans="1:12" x14ac:dyDescent="0.2">
      <c r="A337">
        <v>460</v>
      </c>
      <c r="B337" s="6" t="b">
        <f>IF(OR(F337="NA",G337="wide_value"),"",TRUE)</f>
        <v>1</v>
      </c>
      <c r="C337" s="6" t="s">
        <v>113</v>
      </c>
      <c r="D337" s="6" t="s">
        <v>192</v>
      </c>
      <c r="E337" s="6" t="s">
        <v>115</v>
      </c>
      <c r="F337" s="15" t="s">
        <v>731</v>
      </c>
      <c r="G337" s="6" t="s">
        <v>1291</v>
      </c>
      <c r="H337" s="6" t="s">
        <v>1423</v>
      </c>
      <c r="I337" s="20" t="s">
        <v>1570</v>
      </c>
      <c r="J337" s="6"/>
      <c r="K337" s="6" t="s">
        <v>1559</v>
      </c>
      <c r="L337" s="5" t="s">
        <v>1293</v>
      </c>
    </row>
    <row r="338" spans="1:12" x14ac:dyDescent="0.2">
      <c r="A338">
        <v>461</v>
      </c>
      <c r="B338" s="6" t="b">
        <f>IF(OR(F338="NA",G338="wide_value"),"",TRUE)</f>
        <v>1</v>
      </c>
      <c r="C338" s="6" t="s">
        <v>113</v>
      </c>
      <c r="D338" s="6" t="s">
        <v>192</v>
      </c>
      <c r="E338" s="6" t="s">
        <v>115</v>
      </c>
      <c r="F338" s="15" t="s">
        <v>733</v>
      </c>
      <c r="G338" s="6" t="s">
        <v>1291</v>
      </c>
      <c r="H338" s="6" t="s">
        <v>1292</v>
      </c>
      <c r="I338" s="16" t="s">
        <v>732</v>
      </c>
      <c r="J338" s="6"/>
      <c r="K338" s="6"/>
      <c r="L338" s="5" t="s">
        <v>1293</v>
      </c>
    </row>
    <row r="339" spans="1:12" x14ac:dyDescent="0.2">
      <c r="A339">
        <v>462</v>
      </c>
      <c r="B339" s="6" t="b">
        <f>IF(OR(F339="NA",G339="wide_value"),"",TRUE)</f>
        <v>1</v>
      </c>
      <c r="C339" s="6" t="s">
        <v>113</v>
      </c>
      <c r="D339" s="6" t="s">
        <v>192</v>
      </c>
      <c r="E339" s="6" t="s">
        <v>115</v>
      </c>
      <c r="F339" s="15" t="s">
        <v>734</v>
      </c>
      <c r="G339" s="6" t="s">
        <v>1291</v>
      </c>
      <c r="H339" s="6" t="s">
        <v>1423</v>
      </c>
      <c r="I339" s="20" t="s">
        <v>1571</v>
      </c>
      <c r="J339" s="6"/>
      <c r="K339" s="6" t="s">
        <v>1561</v>
      </c>
      <c r="L339" s="5" t="s">
        <v>1293</v>
      </c>
    </row>
    <row r="340" spans="1:12" x14ac:dyDescent="0.2">
      <c r="A340">
        <v>463</v>
      </c>
      <c r="B340" s="6" t="b">
        <f>IF(OR(F340="NA",G340="wide_value"),"",TRUE)</f>
        <v>1</v>
      </c>
      <c r="C340" s="6" t="s">
        <v>113</v>
      </c>
      <c r="D340" s="6" t="s">
        <v>192</v>
      </c>
      <c r="E340" s="6" t="s">
        <v>115</v>
      </c>
      <c r="F340" s="15" t="s">
        <v>736</v>
      </c>
      <c r="G340" s="6" t="s">
        <v>1291</v>
      </c>
      <c r="H340" s="6" t="s">
        <v>1292</v>
      </c>
      <c r="I340" s="16" t="s">
        <v>735</v>
      </c>
      <c r="J340" s="6"/>
      <c r="K340" s="6"/>
      <c r="L340" s="5" t="s">
        <v>1293</v>
      </c>
    </row>
    <row r="341" spans="1:12" x14ac:dyDescent="0.2">
      <c r="A341">
        <v>464</v>
      </c>
      <c r="B341" s="6" t="b">
        <f>IF(OR(F341="NA",G341="wide_value"),"",TRUE)</f>
        <v>1</v>
      </c>
      <c r="C341" s="6" t="s">
        <v>113</v>
      </c>
      <c r="D341" s="6" t="s">
        <v>192</v>
      </c>
      <c r="E341" s="6" t="s">
        <v>115</v>
      </c>
      <c r="F341" s="15" t="s">
        <v>738</v>
      </c>
      <c r="G341" s="6" t="s">
        <v>1291</v>
      </c>
      <c r="H341" s="6" t="s">
        <v>1292</v>
      </c>
      <c r="I341" s="16" t="s">
        <v>737</v>
      </c>
      <c r="J341" s="6"/>
      <c r="K341" s="6"/>
      <c r="L341" s="5" t="s">
        <v>1293</v>
      </c>
    </row>
    <row r="342" spans="1:12" x14ac:dyDescent="0.2">
      <c r="A342">
        <v>465</v>
      </c>
      <c r="B342" s="6" t="b">
        <f>IF(OR(F342="NA",G342="wide_value"),"",TRUE)</f>
        <v>1</v>
      </c>
      <c r="C342" s="6" t="s">
        <v>113</v>
      </c>
      <c r="D342" s="6" t="s">
        <v>192</v>
      </c>
      <c r="E342" s="6" t="s">
        <v>115</v>
      </c>
      <c r="F342" s="15" t="s">
        <v>739</v>
      </c>
      <c r="G342" s="6" t="s">
        <v>1291</v>
      </c>
      <c r="H342" s="6" t="s">
        <v>1423</v>
      </c>
      <c r="I342" s="20" t="s">
        <v>1572</v>
      </c>
      <c r="J342" s="6"/>
      <c r="K342" s="6" t="s">
        <v>1561</v>
      </c>
      <c r="L342" s="5" t="s">
        <v>1293</v>
      </c>
    </row>
    <row r="343" spans="1:12" x14ac:dyDescent="0.2">
      <c r="A343">
        <v>466</v>
      </c>
      <c r="B343" s="6" t="b">
        <f>IF(OR(F343="NA",G343="wide_value"),"",TRUE)</f>
        <v>1</v>
      </c>
      <c r="C343" s="6" t="s">
        <v>113</v>
      </c>
      <c r="D343" s="6" t="s">
        <v>192</v>
      </c>
      <c r="E343" s="6" t="s">
        <v>115</v>
      </c>
      <c r="F343" s="15" t="s">
        <v>740</v>
      </c>
      <c r="G343" s="6" t="s">
        <v>1291</v>
      </c>
      <c r="H343" s="6" t="s">
        <v>1423</v>
      </c>
      <c r="I343" s="20" t="s">
        <v>1573</v>
      </c>
      <c r="J343" s="6"/>
      <c r="K343" s="6" t="s">
        <v>1559</v>
      </c>
      <c r="L343" s="5" t="s">
        <v>1293</v>
      </c>
    </row>
    <row r="344" spans="1:12" x14ac:dyDescent="0.2">
      <c r="A344">
        <v>467</v>
      </c>
      <c r="B344" s="6" t="b">
        <f>IF(OR(F344="NA",G344="wide_value"),"",TRUE)</f>
        <v>1</v>
      </c>
      <c r="C344" s="6" t="s">
        <v>113</v>
      </c>
      <c r="D344" s="6" t="s">
        <v>192</v>
      </c>
      <c r="E344" s="6" t="s">
        <v>115</v>
      </c>
      <c r="F344" s="15" t="s">
        <v>742</v>
      </c>
      <c r="G344" s="6" t="s">
        <v>1291</v>
      </c>
      <c r="H344" s="6" t="s">
        <v>1292</v>
      </c>
      <c r="I344" s="16" t="s">
        <v>741</v>
      </c>
      <c r="J344" s="6"/>
      <c r="K344" s="6"/>
      <c r="L344" s="5" t="s">
        <v>1293</v>
      </c>
    </row>
    <row r="345" spans="1:12" x14ac:dyDescent="0.2">
      <c r="A345">
        <v>468</v>
      </c>
      <c r="B345" s="6" t="b">
        <f>IF(OR(F345="NA",G345="wide_value"),"",TRUE)</f>
        <v>1</v>
      </c>
      <c r="C345" s="6" t="s">
        <v>113</v>
      </c>
      <c r="D345" s="6" t="s">
        <v>192</v>
      </c>
      <c r="E345" s="6" t="s">
        <v>115</v>
      </c>
      <c r="F345" s="15" t="s">
        <v>744</v>
      </c>
      <c r="G345" s="6" t="s">
        <v>1291</v>
      </c>
      <c r="H345" s="6" t="s">
        <v>1292</v>
      </c>
      <c r="I345" s="16" t="s">
        <v>743</v>
      </c>
      <c r="J345" s="6"/>
      <c r="K345" s="6"/>
      <c r="L345" s="5" t="s">
        <v>1293</v>
      </c>
    </row>
    <row r="346" spans="1:12" x14ac:dyDescent="0.2">
      <c r="A346">
        <v>469</v>
      </c>
      <c r="B346" s="6" t="b">
        <f>IF(OR(F346="NA",G346="wide_value"),"",TRUE)</f>
        <v>1</v>
      </c>
      <c r="C346" s="6" t="s">
        <v>113</v>
      </c>
      <c r="D346" s="6" t="s">
        <v>192</v>
      </c>
      <c r="E346" s="6" t="s">
        <v>115</v>
      </c>
      <c r="F346" s="15" t="s">
        <v>746</v>
      </c>
      <c r="G346" s="6" t="s">
        <v>1291</v>
      </c>
      <c r="H346" s="6" t="s">
        <v>1292</v>
      </c>
      <c r="I346" s="16" t="s">
        <v>745</v>
      </c>
      <c r="J346" s="6"/>
      <c r="K346" s="6"/>
      <c r="L346" s="5" t="s">
        <v>1293</v>
      </c>
    </row>
    <row r="347" spans="1:12" x14ac:dyDescent="0.2">
      <c r="A347">
        <v>470</v>
      </c>
      <c r="B347" s="6" t="b">
        <f>IF(OR(F347="NA",G347="wide_value"),"",TRUE)</f>
        <v>1</v>
      </c>
      <c r="C347" s="6" t="s">
        <v>113</v>
      </c>
      <c r="D347" s="6" t="s">
        <v>192</v>
      </c>
      <c r="E347" s="6" t="s">
        <v>115</v>
      </c>
      <c r="F347" s="15" t="s">
        <v>748</v>
      </c>
      <c r="G347" s="6" t="s">
        <v>1291</v>
      </c>
      <c r="H347" s="6" t="s">
        <v>1292</v>
      </c>
      <c r="I347" s="16" t="s">
        <v>747</v>
      </c>
      <c r="J347" s="6"/>
      <c r="K347" s="6"/>
      <c r="L347" s="5" t="s">
        <v>1293</v>
      </c>
    </row>
    <row r="348" spans="1:12" x14ac:dyDescent="0.2">
      <c r="A348">
        <v>471</v>
      </c>
      <c r="B348" s="6" t="b">
        <f>IF(OR(F348="NA",G348="wide_value"),"",TRUE)</f>
        <v>1</v>
      </c>
      <c r="C348" s="6" t="s">
        <v>113</v>
      </c>
      <c r="D348" s="6" t="s">
        <v>192</v>
      </c>
      <c r="E348" s="6" t="s">
        <v>115</v>
      </c>
      <c r="F348" s="15" t="s">
        <v>750</v>
      </c>
      <c r="G348" s="6" t="s">
        <v>1291</v>
      </c>
      <c r="H348" s="6" t="s">
        <v>1292</v>
      </c>
      <c r="I348" s="16" t="s">
        <v>749</v>
      </c>
      <c r="J348" s="6"/>
      <c r="K348" s="6"/>
      <c r="L348" s="5" t="s">
        <v>1293</v>
      </c>
    </row>
    <row r="349" spans="1:12" x14ac:dyDescent="0.2">
      <c r="A349">
        <v>472</v>
      </c>
      <c r="B349" s="6" t="b">
        <f>IF(OR(F349="NA",G349="wide_value"),"",TRUE)</f>
        <v>1</v>
      </c>
      <c r="C349" s="6" t="s">
        <v>113</v>
      </c>
      <c r="D349" s="6" t="s">
        <v>192</v>
      </c>
      <c r="E349" s="6" t="s">
        <v>115</v>
      </c>
      <c r="F349" s="15" t="s">
        <v>752</v>
      </c>
      <c r="G349" s="6" t="s">
        <v>1291</v>
      </c>
      <c r="H349" s="6" t="s">
        <v>1292</v>
      </c>
      <c r="I349" s="16" t="s">
        <v>751</v>
      </c>
      <c r="J349" s="6"/>
      <c r="K349" s="6"/>
      <c r="L349" s="5" t="s">
        <v>1293</v>
      </c>
    </row>
    <row r="350" spans="1:12" x14ac:dyDescent="0.2">
      <c r="A350">
        <v>473</v>
      </c>
      <c r="B350" s="6" t="b">
        <f>IF(OR(F350="NA",G350="wide_value"),"",TRUE)</f>
        <v>1</v>
      </c>
      <c r="C350" s="6" t="s">
        <v>113</v>
      </c>
      <c r="D350" s="6" t="s">
        <v>192</v>
      </c>
      <c r="E350" s="6" t="s">
        <v>115</v>
      </c>
      <c r="F350" s="15" t="s">
        <v>754</v>
      </c>
      <c r="G350" s="6" t="s">
        <v>1291</v>
      </c>
      <c r="H350" s="6" t="s">
        <v>1292</v>
      </c>
      <c r="I350" s="16" t="s">
        <v>753</v>
      </c>
      <c r="J350" s="6"/>
      <c r="K350" s="6"/>
      <c r="L350" s="5" t="s">
        <v>1293</v>
      </c>
    </row>
    <row r="351" spans="1:12" x14ac:dyDescent="0.2">
      <c r="A351">
        <v>474</v>
      </c>
      <c r="B351" s="6" t="b">
        <f>IF(OR(F351="NA",G351="wide_value"),"",TRUE)</f>
        <v>1</v>
      </c>
      <c r="C351" s="6" t="s">
        <v>113</v>
      </c>
      <c r="D351" s="6" t="s">
        <v>192</v>
      </c>
      <c r="E351" s="6" t="s">
        <v>115</v>
      </c>
      <c r="F351" s="15" t="s">
        <v>756</v>
      </c>
      <c r="G351" s="6" t="s">
        <v>1291</v>
      </c>
      <c r="H351" s="6" t="s">
        <v>1292</v>
      </c>
      <c r="I351" s="16" t="s">
        <v>755</v>
      </c>
      <c r="J351" s="6"/>
      <c r="K351" s="6"/>
      <c r="L351" s="5" t="s">
        <v>1293</v>
      </c>
    </row>
    <row r="352" spans="1:12" x14ac:dyDescent="0.2">
      <c r="A352">
        <v>475</v>
      </c>
      <c r="B352" s="6" t="b">
        <f>IF(OR(F352="NA",G352="wide_value"),"",TRUE)</f>
        <v>1</v>
      </c>
      <c r="C352" s="6" t="s">
        <v>113</v>
      </c>
      <c r="D352" s="6" t="s">
        <v>192</v>
      </c>
      <c r="E352" s="6" t="s">
        <v>115</v>
      </c>
      <c r="F352" s="15" t="s">
        <v>758</v>
      </c>
      <c r="G352" s="6" t="s">
        <v>1291</v>
      </c>
      <c r="H352" s="6" t="s">
        <v>1292</v>
      </c>
      <c r="I352" s="16" t="s">
        <v>757</v>
      </c>
      <c r="J352" s="6"/>
      <c r="K352" s="6"/>
      <c r="L352" s="5" t="s">
        <v>1293</v>
      </c>
    </row>
    <row r="353" spans="1:12" x14ac:dyDescent="0.2">
      <c r="A353">
        <v>476</v>
      </c>
      <c r="B353" s="6" t="b">
        <f>IF(OR(F353="NA",G353="wide_value"),"",TRUE)</f>
        <v>1</v>
      </c>
      <c r="C353" s="6" t="s">
        <v>113</v>
      </c>
      <c r="D353" s="6" t="s">
        <v>192</v>
      </c>
      <c r="E353" s="6" t="s">
        <v>115</v>
      </c>
      <c r="F353" s="15" t="s">
        <v>760</v>
      </c>
      <c r="G353" s="6" t="s">
        <v>1291</v>
      </c>
      <c r="H353" s="6" t="s">
        <v>1292</v>
      </c>
      <c r="I353" s="16" t="s">
        <v>759</v>
      </c>
      <c r="J353" s="6"/>
      <c r="K353" s="6"/>
      <c r="L353" s="5" t="s">
        <v>1293</v>
      </c>
    </row>
    <row r="354" spans="1:12" x14ac:dyDescent="0.2">
      <c r="A354">
        <v>477</v>
      </c>
      <c r="B354" s="6" t="b">
        <f>IF(OR(F354="NA",G354="wide_value"),"",TRUE)</f>
        <v>1</v>
      </c>
      <c r="C354" s="6" t="s">
        <v>113</v>
      </c>
      <c r="D354" s="6" t="s">
        <v>192</v>
      </c>
      <c r="E354" s="6" t="s">
        <v>115</v>
      </c>
      <c r="F354" s="15" t="s">
        <v>762</v>
      </c>
      <c r="G354" s="6" t="s">
        <v>1291</v>
      </c>
      <c r="H354" s="6" t="s">
        <v>1292</v>
      </c>
      <c r="I354" s="16" t="s">
        <v>761</v>
      </c>
      <c r="J354" s="6"/>
      <c r="K354" s="6"/>
      <c r="L354" s="5" t="s">
        <v>1293</v>
      </c>
    </row>
    <row r="355" spans="1:12" x14ac:dyDescent="0.2">
      <c r="A355">
        <v>478</v>
      </c>
      <c r="B355" s="6" t="b">
        <f>IF(OR(F355="NA",G355="wide_value"),"",TRUE)</f>
        <v>1</v>
      </c>
      <c r="C355" s="6" t="s">
        <v>113</v>
      </c>
      <c r="D355" s="6" t="s">
        <v>192</v>
      </c>
      <c r="E355" s="6" t="s">
        <v>115</v>
      </c>
      <c r="F355" s="15" t="s">
        <v>763</v>
      </c>
      <c r="G355" s="6" t="s">
        <v>1291</v>
      </c>
      <c r="H355" s="6" t="s">
        <v>1423</v>
      </c>
      <c r="I355" s="20" t="s">
        <v>1574</v>
      </c>
      <c r="J355" s="6"/>
      <c r="K355" s="6" t="s">
        <v>1581</v>
      </c>
      <c r="L355" s="5" t="s">
        <v>1293</v>
      </c>
    </row>
    <row r="356" spans="1:12" x14ac:dyDescent="0.2">
      <c r="A356">
        <v>479</v>
      </c>
      <c r="B356" s="6" t="b">
        <f>IF(OR(F356="NA",G356="wide_value"),"",TRUE)</f>
        <v>1</v>
      </c>
      <c r="C356" s="6" t="s">
        <v>113</v>
      </c>
      <c r="D356" s="6" t="s">
        <v>192</v>
      </c>
      <c r="E356" s="6" t="s">
        <v>115</v>
      </c>
      <c r="F356" s="15" t="s">
        <v>765</v>
      </c>
      <c r="G356" s="6" t="s">
        <v>1291</v>
      </c>
      <c r="H356" s="6" t="s">
        <v>1292</v>
      </c>
      <c r="I356" s="16" t="s">
        <v>764</v>
      </c>
      <c r="J356" s="6"/>
      <c r="K356" s="6"/>
      <c r="L356" s="5" t="s">
        <v>1293</v>
      </c>
    </row>
    <row r="357" spans="1:12" x14ac:dyDescent="0.2">
      <c r="A357">
        <v>480</v>
      </c>
      <c r="B357" s="6" t="b">
        <f>IF(OR(F357="NA",G357="wide_value"),"",TRUE)</f>
        <v>1</v>
      </c>
      <c r="C357" s="6" t="s">
        <v>113</v>
      </c>
      <c r="D357" s="6" t="s">
        <v>192</v>
      </c>
      <c r="E357" s="6" t="s">
        <v>115</v>
      </c>
      <c r="F357" s="15" t="s">
        <v>767</v>
      </c>
      <c r="G357" s="6" t="s">
        <v>1291</v>
      </c>
      <c r="H357" s="6" t="s">
        <v>1292</v>
      </c>
      <c r="I357" s="16" t="s">
        <v>766</v>
      </c>
      <c r="J357" s="6"/>
      <c r="K357" s="6"/>
      <c r="L357" s="5" t="s">
        <v>1293</v>
      </c>
    </row>
    <row r="358" spans="1:12" x14ac:dyDescent="0.2">
      <c r="A358">
        <v>481</v>
      </c>
      <c r="B358" s="6" t="b">
        <f>IF(OR(F358="NA",G358="wide_value"),"",TRUE)</f>
        <v>1</v>
      </c>
      <c r="C358" s="6" t="s">
        <v>113</v>
      </c>
      <c r="D358" s="6" t="s">
        <v>192</v>
      </c>
      <c r="E358" s="6" t="s">
        <v>115</v>
      </c>
      <c r="F358" s="15" t="s">
        <v>769</v>
      </c>
      <c r="G358" s="6" t="s">
        <v>1291</v>
      </c>
      <c r="H358" s="6" t="s">
        <v>1292</v>
      </c>
      <c r="I358" s="16" t="s">
        <v>768</v>
      </c>
      <c r="J358" s="6"/>
      <c r="K358" s="6"/>
      <c r="L358" s="5" t="s">
        <v>1293</v>
      </c>
    </row>
    <row r="359" spans="1:12" x14ac:dyDescent="0.2">
      <c r="A359">
        <v>482</v>
      </c>
      <c r="B359" s="6" t="b">
        <f>IF(OR(F359="NA",G359="wide_value"),"",TRUE)</f>
        <v>1</v>
      </c>
      <c r="C359" s="6" t="s">
        <v>113</v>
      </c>
      <c r="D359" s="6" t="s">
        <v>192</v>
      </c>
      <c r="E359" s="6" t="s">
        <v>115</v>
      </c>
      <c r="F359" s="15" t="s">
        <v>771</v>
      </c>
      <c r="G359" s="6" t="s">
        <v>1291</v>
      </c>
      <c r="H359" s="6" t="s">
        <v>1292</v>
      </c>
      <c r="I359" s="16" t="s">
        <v>770</v>
      </c>
      <c r="J359" s="6"/>
      <c r="K359" s="6"/>
      <c r="L359" s="5" t="s">
        <v>1293</v>
      </c>
    </row>
    <row r="360" spans="1:12" x14ac:dyDescent="0.2">
      <c r="A360">
        <v>483</v>
      </c>
      <c r="B360" s="6" t="b">
        <f>IF(OR(F360="NA",G360="wide_value"),"",TRUE)</f>
        <v>1</v>
      </c>
      <c r="C360" s="6" t="s">
        <v>113</v>
      </c>
      <c r="D360" s="6" t="s">
        <v>192</v>
      </c>
      <c r="E360" s="6" t="s">
        <v>115</v>
      </c>
      <c r="F360" s="15" t="s">
        <v>773</v>
      </c>
      <c r="G360" s="6" t="s">
        <v>1291</v>
      </c>
      <c r="H360" s="6" t="s">
        <v>1292</v>
      </c>
      <c r="I360" s="16" t="s">
        <v>772</v>
      </c>
      <c r="J360" s="6"/>
      <c r="K360" s="6"/>
      <c r="L360" s="5" t="s">
        <v>1293</v>
      </c>
    </row>
    <row r="361" spans="1:12" x14ac:dyDescent="0.2">
      <c r="A361">
        <v>484</v>
      </c>
      <c r="B361" s="6" t="b">
        <f>IF(OR(F361="NA",G361="wide_value"),"",TRUE)</f>
        <v>1</v>
      </c>
      <c r="C361" s="6" t="s">
        <v>113</v>
      </c>
      <c r="D361" s="6" t="s">
        <v>192</v>
      </c>
      <c r="E361" s="6" t="s">
        <v>115</v>
      </c>
      <c r="F361" s="15" t="s">
        <v>775</v>
      </c>
      <c r="G361" s="6" t="s">
        <v>1291</v>
      </c>
      <c r="H361" s="6" t="s">
        <v>1292</v>
      </c>
      <c r="I361" s="16" t="s">
        <v>774</v>
      </c>
      <c r="J361" s="6"/>
      <c r="K361" s="6"/>
      <c r="L361" s="5" t="s">
        <v>1293</v>
      </c>
    </row>
    <row r="362" spans="1:12" x14ac:dyDescent="0.2">
      <c r="A362">
        <v>485</v>
      </c>
      <c r="B362" s="6" t="b">
        <f>IF(OR(F362="NA",G362="wide_value"),"",TRUE)</f>
        <v>1</v>
      </c>
      <c r="C362" s="6" t="s">
        <v>113</v>
      </c>
      <c r="D362" s="6" t="s">
        <v>192</v>
      </c>
      <c r="E362" s="6" t="s">
        <v>115</v>
      </c>
      <c r="F362" s="15" t="s">
        <v>777</v>
      </c>
      <c r="G362" s="6" t="s">
        <v>1291</v>
      </c>
      <c r="H362" s="6" t="s">
        <v>1292</v>
      </c>
      <c r="I362" s="16" t="s">
        <v>776</v>
      </c>
      <c r="J362" s="6"/>
      <c r="K362" s="6"/>
      <c r="L362" s="5" t="s">
        <v>1293</v>
      </c>
    </row>
    <row r="363" spans="1:12" x14ac:dyDescent="0.2">
      <c r="A363">
        <v>486</v>
      </c>
      <c r="B363" s="6" t="b">
        <f>IF(OR(F363="NA",G363="wide_value"),"",TRUE)</f>
        <v>1</v>
      </c>
      <c r="C363" s="6" t="s">
        <v>113</v>
      </c>
      <c r="D363" s="6" t="s">
        <v>192</v>
      </c>
      <c r="E363" s="6" t="s">
        <v>115</v>
      </c>
      <c r="F363" s="15" t="s">
        <v>779</v>
      </c>
      <c r="G363" s="6" t="s">
        <v>1291</v>
      </c>
      <c r="H363" s="6" t="s">
        <v>1292</v>
      </c>
      <c r="I363" s="16" t="s">
        <v>778</v>
      </c>
      <c r="J363" s="6"/>
      <c r="K363" s="6"/>
      <c r="L363" s="5" t="s">
        <v>1293</v>
      </c>
    </row>
    <row r="364" spans="1:12" x14ac:dyDescent="0.2">
      <c r="A364">
        <v>487</v>
      </c>
      <c r="B364" s="6" t="b">
        <f>IF(OR(F364="NA",G364="wide_value"),"",TRUE)</f>
        <v>1</v>
      </c>
      <c r="C364" s="6" t="s">
        <v>113</v>
      </c>
      <c r="D364" s="6" t="s">
        <v>192</v>
      </c>
      <c r="E364" s="6" t="s">
        <v>115</v>
      </c>
      <c r="F364" s="15" t="s">
        <v>781</v>
      </c>
      <c r="G364" s="6" t="s">
        <v>1291</v>
      </c>
      <c r="H364" s="6" t="s">
        <v>1292</v>
      </c>
      <c r="I364" s="16" t="s">
        <v>780</v>
      </c>
      <c r="J364" s="6"/>
      <c r="K364" s="6"/>
      <c r="L364" s="5" t="s">
        <v>1293</v>
      </c>
    </row>
    <row r="365" spans="1:12" x14ac:dyDescent="0.2">
      <c r="A365">
        <v>488</v>
      </c>
      <c r="B365" s="6" t="b">
        <f>IF(OR(F365="NA",G365="wide_value"),"",TRUE)</f>
        <v>1</v>
      </c>
      <c r="C365" s="6" t="s">
        <v>113</v>
      </c>
      <c r="D365" s="6" t="s">
        <v>192</v>
      </c>
      <c r="E365" s="6" t="s">
        <v>115</v>
      </c>
      <c r="F365" s="15" t="s">
        <v>783</v>
      </c>
      <c r="G365" s="6" t="s">
        <v>1291</v>
      </c>
      <c r="H365" s="6" t="s">
        <v>1292</v>
      </c>
      <c r="I365" s="16" t="s">
        <v>782</v>
      </c>
      <c r="J365" s="6"/>
      <c r="K365" s="6"/>
      <c r="L365" s="5" t="s">
        <v>1293</v>
      </c>
    </row>
    <row r="366" spans="1:12" x14ac:dyDescent="0.2">
      <c r="A366">
        <v>489</v>
      </c>
      <c r="B366" s="6" t="b">
        <f>IF(OR(F366="NA",G366="wide_value"),"",TRUE)</f>
        <v>1</v>
      </c>
      <c r="C366" s="6" t="s">
        <v>113</v>
      </c>
      <c r="D366" s="6" t="s">
        <v>192</v>
      </c>
      <c r="E366" s="6" t="s">
        <v>115</v>
      </c>
      <c r="F366" s="15" t="s">
        <v>785</v>
      </c>
      <c r="G366" s="6" t="s">
        <v>1291</v>
      </c>
      <c r="H366" s="6" t="s">
        <v>1292</v>
      </c>
      <c r="I366" s="16" t="s">
        <v>784</v>
      </c>
      <c r="J366" s="6"/>
      <c r="K366" s="6"/>
      <c r="L366" s="5" t="s">
        <v>1293</v>
      </c>
    </row>
    <row r="367" spans="1:12" x14ac:dyDescent="0.2">
      <c r="A367">
        <v>490</v>
      </c>
      <c r="B367" s="6" t="b">
        <f>IF(OR(F367="NA",G367="wide_value"),"",TRUE)</f>
        <v>1</v>
      </c>
      <c r="C367" s="6" t="s">
        <v>113</v>
      </c>
      <c r="D367" s="6" t="s">
        <v>192</v>
      </c>
      <c r="E367" s="6" t="s">
        <v>115</v>
      </c>
      <c r="F367" s="15" t="s">
        <v>787</v>
      </c>
      <c r="G367" s="6" t="s">
        <v>1291</v>
      </c>
      <c r="H367" s="6" t="s">
        <v>1292</v>
      </c>
      <c r="I367" s="16" t="s">
        <v>786</v>
      </c>
      <c r="J367" s="6"/>
      <c r="K367" s="6"/>
      <c r="L367" s="5" t="s">
        <v>1293</v>
      </c>
    </row>
    <row r="368" spans="1:12" x14ac:dyDescent="0.2">
      <c r="A368">
        <v>491</v>
      </c>
      <c r="B368" s="6" t="b">
        <f>IF(OR(F368="NA",G368="wide_value"),"",TRUE)</f>
        <v>1</v>
      </c>
      <c r="C368" s="6" t="s">
        <v>113</v>
      </c>
      <c r="D368" s="6" t="s">
        <v>192</v>
      </c>
      <c r="E368" s="6" t="s">
        <v>115</v>
      </c>
      <c r="F368" s="15" t="s">
        <v>789</v>
      </c>
      <c r="G368" s="6" t="s">
        <v>1291</v>
      </c>
      <c r="H368" s="6" t="s">
        <v>1292</v>
      </c>
      <c r="I368" s="16" t="s">
        <v>788</v>
      </c>
      <c r="J368" s="6"/>
      <c r="K368" s="6"/>
      <c r="L368" s="5" t="s">
        <v>1293</v>
      </c>
    </row>
    <row r="369" spans="1:12" x14ac:dyDescent="0.2">
      <c r="A369">
        <v>492</v>
      </c>
      <c r="B369" s="6" t="b">
        <f>IF(OR(F369="NA",G369="wide_value"),"",TRUE)</f>
        <v>1</v>
      </c>
      <c r="C369" s="6" t="s">
        <v>113</v>
      </c>
      <c r="D369" s="6" t="s">
        <v>192</v>
      </c>
      <c r="E369" s="6" t="s">
        <v>115</v>
      </c>
      <c r="F369" s="15" t="s">
        <v>791</v>
      </c>
      <c r="G369" s="6" t="s">
        <v>1291</v>
      </c>
      <c r="H369" s="6" t="s">
        <v>1292</v>
      </c>
      <c r="I369" s="16" t="s">
        <v>790</v>
      </c>
      <c r="J369" s="6"/>
      <c r="K369" s="6"/>
      <c r="L369" s="5" t="s">
        <v>1293</v>
      </c>
    </row>
    <row r="370" spans="1:12" x14ac:dyDescent="0.2">
      <c r="A370">
        <v>493</v>
      </c>
      <c r="B370" s="6" t="b">
        <f>IF(OR(F370="NA",G370="wide_value"),"",TRUE)</f>
        <v>1</v>
      </c>
      <c r="C370" s="6" t="s">
        <v>113</v>
      </c>
      <c r="D370" s="6" t="s">
        <v>192</v>
      </c>
      <c r="E370" s="6" t="s">
        <v>115</v>
      </c>
      <c r="F370" s="15" t="s">
        <v>793</v>
      </c>
      <c r="G370" s="6" t="s">
        <v>1291</v>
      </c>
      <c r="H370" s="6" t="s">
        <v>1292</v>
      </c>
      <c r="I370" s="16" t="s">
        <v>792</v>
      </c>
      <c r="J370" s="6"/>
      <c r="K370" s="6"/>
      <c r="L370" s="5" t="s">
        <v>1293</v>
      </c>
    </row>
    <row r="371" spans="1:12" x14ac:dyDescent="0.2">
      <c r="A371">
        <v>494</v>
      </c>
      <c r="B371" s="6" t="b">
        <f>IF(OR(F371="NA",G371="wide_value"),"",TRUE)</f>
        <v>1</v>
      </c>
      <c r="C371" s="6" t="s">
        <v>113</v>
      </c>
      <c r="D371" s="6" t="s">
        <v>192</v>
      </c>
      <c r="E371" s="6" t="s">
        <v>115</v>
      </c>
      <c r="F371" s="15" t="s">
        <v>795</v>
      </c>
      <c r="G371" s="6" t="s">
        <v>1291</v>
      </c>
      <c r="H371" s="6" t="s">
        <v>1292</v>
      </c>
      <c r="I371" s="16" t="s">
        <v>794</v>
      </c>
      <c r="J371" s="6"/>
      <c r="K371" s="6"/>
      <c r="L371" s="5" t="s">
        <v>1293</v>
      </c>
    </row>
    <row r="372" spans="1:12" x14ac:dyDescent="0.2">
      <c r="A372">
        <v>495</v>
      </c>
      <c r="B372" s="6" t="b">
        <f>IF(OR(F372="NA",G372="wide_value"),"",TRUE)</f>
        <v>1</v>
      </c>
      <c r="C372" s="6" t="s">
        <v>113</v>
      </c>
      <c r="D372" s="6" t="s">
        <v>192</v>
      </c>
      <c r="E372" s="6" t="s">
        <v>115</v>
      </c>
      <c r="F372" s="15" t="s">
        <v>796</v>
      </c>
      <c r="G372" s="6" t="s">
        <v>1291</v>
      </c>
      <c r="H372" s="6" t="s">
        <v>1423</v>
      </c>
      <c r="I372" s="20" t="s">
        <v>1575</v>
      </c>
      <c r="J372" s="6"/>
      <c r="K372" s="6" t="s">
        <v>1559</v>
      </c>
      <c r="L372" s="5" t="s">
        <v>1293</v>
      </c>
    </row>
    <row r="373" spans="1:12" x14ac:dyDescent="0.2">
      <c r="A373">
        <v>496</v>
      </c>
      <c r="B373" s="6" t="b">
        <f>IF(OR(F373="NA",G373="wide_value"),"",TRUE)</f>
        <v>1</v>
      </c>
      <c r="C373" s="6" t="s">
        <v>113</v>
      </c>
      <c r="D373" s="6" t="s">
        <v>192</v>
      </c>
      <c r="E373" s="6" t="s">
        <v>115</v>
      </c>
      <c r="F373" s="15" t="s">
        <v>798</v>
      </c>
      <c r="G373" s="6" t="s">
        <v>1291</v>
      </c>
      <c r="H373" s="6" t="s">
        <v>1292</v>
      </c>
      <c r="I373" s="16" t="s">
        <v>797</v>
      </c>
      <c r="J373" s="6"/>
      <c r="K373" s="6"/>
      <c r="L373" s="5" t="s">
        <v>1293</v>
      </c>
    </row>
    <row r="374" spans="1:12" x14ac:dyDescent="0.2">
      <c r="A374">
        <v>497</v>
      </c>
      <c r="B374" s="6" t="b">
        <f>IF(OR(F374="NA",G374="wide_value"),"",TRUE)</f>
        <v>1</v>
      </c>
      <c r="C374" s="6" t="s">
        <v>113</v>
      </c>
      <c r="D374" s="6" t="s">
        <v>192</v>
      </c>
      <c r="E374" s="6" t="s">
        <v>115</v>
      </c>
      <c r="F374" s="15" t="s">
        <v>800</v>
      </c>
      <c r="G374" s="6" t="s">
        <v>1291</v>
      </c>
      <c r="H374" s="6" t="s">
        <v>1292</v>
      </c>
      <c r="I374" s="16" t="s">
        <v>799</v>
      </c>
      <c r="J374" s="6"/>
      <c r="K374" s="6"/>
      <c r="L374" s="5" t="s">
        <v>1293</v>
      </c>
    </row>
    <row r="375" spans="1:12" x14ac:dyDescent="0.2">
      <c r="A375">
        <v>498</v>
      </c>
      <c r="B375" s="6" t="b">
        <f>IF(OR(F375="NA",G375="wide_value"),"",TRUE)</f>
        <v>1</v>
      </c>
      <c r="C375" s="6" t="s">
        <v>113</v>
      </c>
      <c r="D375" s="6" t="s">
        <v>192</v>
      </c>
      <c r="E375" s="6" t="s">
        <v>115</v>
      </c>
      <c r="F375" s="15" t="s">
        <v>802</v>
      </c>
      <c r="G375" s="6" t="s">
        <v>1291</v>
      </c>
      <c r="H375" s="6" t="s">
        <v>1292</v>
      </c>
      <c r="I375" s="16" t="s">
        <v>801</v>
      </c>
      <c r="J375" s="6"/>
      <c r="K375" s="6"/>
      <c r="L375" s="5" t="s">
        <v>1293</v>
      </c>
    </row>
    <row r="376" spans="1:12" x14ac:dyDescent="0.2">
      <c r="A376">
        <v>499</v>
      </c>
      <c r="B376" s="6" t="b">
        <f>IF(OR(F376="NA",G376="wide_value"),"",TRUE)</f>
        <v>1</v>
      </c>
      <c r="C376" s="6" t="s">
        <v>113</v>
      </c>
      <c r="D376" s="6" t="s">
        <v>192</v>
      </c>
      <c r="E376" s="6" t="s">
        <v>115</v>
      </c>
      <c r="F376" s="15" t="s">
        <v>804</v>
      </c>
      <c r="G376" s="6" t="s">
        <v>1291</v>
      </c>
      <c r="H376" s="6" t="s">
        <v>1292</v>
      </c>
      <c r="I376" s="16" t="s">
        <v>803</v>
      </c>
      <c r="J376" s="6"/>
      <c r="K376" s="6"/>
      <c r="L376" s="5" t="s">
        <v>1293</v>
      </c>
    </row>
    <row r="377" spans="1:12" x14ac:dyDescent="0.2">
      <c r="A377">
        <v>500</v>
      </c>
      <c r="B377" s="6" t="b">
        <f>IF(OR(F377="NA",G377="wide_value"),"",TRUE)</f>
        <v>1</v>
      </c>
      <c r="C377" s="6" t="s">
        <v>113</v>
      </c>
      <c r="D377" s="6" t="s">
        <v>192</v>
      </c>
      <c r="E377" s="6" t="s">
        <v>115</v>
      </c>
      <c r="F377" s="15" t="s">
        <v>806</v>
      </c>
      <c r="G377" s="6" t="s">
        <v>1291</v>
      </c>
      <c r="H377" s="6" t="s">
        <v>1292</v>
      </c>
      <c r="I377" s="16" t="s">
        <v>805</v>
      </c>
      <c r="J377" s="6"/>
      <c r="K377" s="6"/>
      <c r="L377" s="5" t="s">
        <v>1293</v>
      </c>
    </row>
    <row r="378" spans="1:12" x14ac:dyDescent="0.2">
      <c r="A378">
        <v>501</v>
      </c>
      <c r="B378" s="6" t="b">
        <f>IF(OR(F378="NA",G378="wide_value"),"",TRUE)</f>
        <v>1</v>
      </c>
      <c r="C378" s="6" t="s">
        <v>113</v>
      </c>
      <c r="D378" s="6" t="s">
        <v>192</v>
      </c>
      <c r="E378" s="6" t="s">
        <v>115</v>
      </c>
      <c r="F378" s="15" t="s">
        <v>808</v>
      </c>
      <c r="G378" s="6" t="s">
        <v>1291</v>
      </c>
      <c r="H378" s="6" t="s">
        <v>1292</v>
      </c>
      <c r="I378" s="16" t="s">
        <v>807</v>
      </c>
      <c r="J378" s="6"/>
      <c r="K378" s="6"/>
      <c r="L378" s="5" t="s">
        <v>1293</v>
      </c>
    </row>
    <row r="379" spans="1:12" x14ac:dyDescent="0.2">
      <c r="A379">
        <v>502</v>
      </c>
      <c r="B379" s="6" t="b">
        <f>IF(OR(F379="NA",G379="wide_value"),"",TRUE)</f>
        <v>1</v>
      </c>
      <c r="C379" s="6" t="s">
        <v>113</v>
      </c>
      <c r="D379" s="6" t="s">
        <v>192</v>
      </c>
      <c r="E379" s="6" t="s">
        <v>115</v>
      </c>
      <c r="F379" s="15" t="s">
        <v>810</v>
      </c>
      <c r="G379" s="6" t="s">
        <v>1291</v>
      </c>
      <c r="H379" s="6" t="s">
        <v>1292</v>
      </c>
      <c r="I379" s="16" t="s">
        <v>809</v>
      </c>
      <c r="J379" s="6"/>
      <c r="K379" s="6"/>
      <c r="L379" s="5" t="s">
        <v>1293</v>
      </c>
    </row>
    <row r="380" spans="1:12" x14ac:dyDescent="0.2">
      <c r="A380">
        <v>503</v>
      </c>
      <c r="B380" s="6" t="b">
        <f>IF(OR(F380="NA",G380="wide_value"),"",TRUE)</f>
        <v>1</v>
      </c>
      <c r="C380" s="6" t="s">
        <v>113</v>
      </c>
      <c r="D380" s="6" t="s">
        <v>192</v>
      </c>
      <c r="E380" s="6" t="s">
        <v>115</v>
      </c>
      <c r="F380" s="15" t="s">
        <v>812</v>
      </c>
      <c r="G380" s="6" t="s">
        <v>1291</v>
      </c>
      <c r="H380" s="6" t="s">
        <v>1292</v>
      </c>
      <c r="I380" s="16" t="s">
        <v>811</v>
      </c>
      <c r="J380" s="6"/>
      <c r="K380" s="6"/>
      <c r="L380" s="5" t="s">
        <v>1293</v>
      </c>
    </row>
    <row r="381" spans="1:12" x14ac:dyDescent="0.2">
      <c r="A381">
        <v>504</v>
      </c>
      <c r="B381" s="6" t="b">
        <f>IF(OR(F381="NA",G381="wide_value"),"",TRUE)</f>
        <v>1</v>
      </c>
      <c r="C381" s="6" t="s">
        <v>113</v>
      </c>
      <c r="D381" s="6" t="s">
        <v>192</v>
      </c>
      <c r="E381" s="6" t="s">
        <v>115</v>
      </c>
      <c r="F381" s="15" t="s">
        <v>813</v>
      </c>
      <c r="G381" s="6" t="s">
        <v>1291</v>
      </c>
      <c r="H381" s="6" t="s">
        <v>1292</v>
      </c>
      <c r="I381" s="16" t="s">
        <v>497</v>
      </c>
      <c r="J381" s="6"/>
      <c r="K381" s="6"/>
      <c r="L381" s="5" t="s">
        <v>1293</v>
      </c>
    </row>
    <row r="382" spans="1:12" x14ac:dyDescent="0.2">
      <c r="A382">
        <v>505</v>
      </c>
      <c r="B382" s="6" t="b">
        <f>IF(OR(F382="NA",G382="wide_value"),"",TRUE)</f>
        <v>1</v>
      </c>
      <c r="C382" s="6" t="s">
        <v>113</v>
      </c>
      <c r="D382" s="6" t="s">
        <v>192</v>
      </c>
      <c r="E382" s="6" t="s">
        <v>115</v>
      </c>
      <c r="F382" s="15" t="s">
        <v>815</v>
      </c>
      <c r="G382" s="6" t="s">
        <v>1291</v>
      </c>
      <c r="H382" s="6" t="s">
        <v>1292</v>
      </c>
      <c r="I382" s="16" t="s">
        <v>814</v>
      </c>
      <c r="J382" s="6"/>
      <c r="K382" s="6"/>
      <c r="L382" s="5" t="s">
        <v>1293</v>
      </c>
    </row>
    <row r="383" spans="1:12" x14ac:dyDescent="0.2">
      <c r="A383">
        <v>506</v>
      </c>
      <c r="B383" s="6" t="b">
        <f>IF(OR(F383="NA",G383="wide_value"),"",TRUE)</f>
        <v>1</v>
      </c>
      <c r="C383" s="6" t="s">
        <v>113</v>
      </c>
      <c r="D383" s="6" t="s">
        <v>192</v>
      </c>
      <c r="E383" s="6" t="s">
        <v>115</v>
      </c>
      <c r="F383" s="15" t="s">
        <v>816</v>
      </c>
      <c r="G383" s="6" t="s">
        <v>1291</v>
      </c>
      <c r="H383" s="6" t="s">
        <v>1423</v>
      </c>
      <c r="I383" s="20" t="s">
        <v>1555</v>
      </c>
      <c r="J383" s="6"/>
      <c r="K383" s="6" t="s">
        <v>1559</v>
      </c>
      <c r="L383" s="5" t="s">
        <v>1293</v>
      </c>
    </row>
    <row r="384" spans="1:12" x14ac:dyDescent="0.2">
      <c r="A384">
        <v>507</v>
      </c>
      <c r="B384" s="6" t="b">
        <f>IF(OR(F384="NA",G384="wide_value"),"",TRUE)</f>
        <v>1</v>
      </c>
      <c r="C384" s="6" t="s">
        <v>113</v>
      </c>
      <c r="D384" s="6" t="s">
        <v>192</v>
      </c>
      <c r="E384" s="6" t="s">
        <v>115</v>
      </c>
      <c r="F384" s="15" t="s">
        <v>818</v>
      </c>
      <c r="G384" s="6" t="s">
        <v>1291</v>
      </c>
      <c r="H384" s="6" t="s">
        <v>1292</v>
      </c>
      <c r="I384" s="16" t="s">
        <v>817</v>
      </c>
      <c r="J384" s="6"/>
      <c r="K384" s="6"/>
      <c r="L384" s="5" t="s">
        <v>1293</v>
      </c>
    </row>
    <row r="385" spans="1:12" x14ac:dyDescent="0.2">
      <c r="A385">
        <v>508</v>
      </c>
      <c r="B385" s="6" t="b">
        <f>IF(OR(F385="NA",G385="wide_value"),"",TRUE)</f>
        <v>1</v>
      </c>
      <c r="C385" s="6" t="s">
        <v>113</v>
      </c>
      <c r="D385" s="6" t="s">
        <v>192</v>
      </c>
      <c r="E385" s="6" t="s">
        <v>115</v>
      </c>
      <c r="F385" s="15" t="s">
        <v>820</v>
      </c>
      <c r="G385" s="6" t="s">
        <v>1291</v>
      </c>
      <c r="H385" s="6" t="s">
        <v>1292</v>
      </c>
      <c r="I385" s="16" t="s">
        <v>819</v>
      </c>
      <c r="J385" s="6"/>
      <c r="K385" s="6"/>
      <c r="L385" s="5" t="s">
        <v>1293</v>
      </c>
    </row>
    <row r="386" spans="1:12" x14ac:dyDescent="0.2">
      <c r="A386">
        <v>509</v>
      </c>
      <c r="B386" s="6" t="b">
        <f>IF(OR(F386="NA",G386="wide_value"),"",TRUE)</f>
        <v>1</v>
      </c>
      <c r="C386" s="6" t="s">
        <v>113</v>
      </c>
      <c r="D386" s="6" t="s">
        <v>192</v>
      </c>
      <c r="E386" s="6" t="s">
        <v>115</v>
      </c>
      <c r="F386" s="15" t="s">
        <v>822</v>
      </c>
      <c r="G386" s="6" t="s">
        <v>1291</v>
      </c>
      <c r="H386" s="6" t="s">
        <v>1292</v>
      </c>
      <c r="I386" s="16" t="s">
        <v>821</v>
      </c>
      <c r="J386" s="6"/>
      <c r="K386" s="6"/>
      <c r="L386" s="5" t="s">
        <v>1293</v>
      </c>
    </row>
    <row r="387" spans="1:12" x14ac:dyDescent="0.2">
      <c r="A387">
        <v>510</v>
      </c>
      <c r="B387" s="6" t="b">
        <f>IF(OR(F387="NA",G387="wide_value"),"",TRUE)</f>
        <v>1</v>
      </c>
      <c r="C387" s="6" t="s">
        <v>113</v>
      </c>
      <c r="D387" s="6" t="s">
        <v>192</v>
      </c>
      <c r="E387" s="6" t="s">
        <v>115</v>
      </c>
      <c r="F387" s="15" t="s">
        <v>824</v>
      </c>
      <c r="G387" s="6" t="s">
        <v>1291</v>
      </c>
      <c r="H387" s="6" t="s">
        <v>1292</v>
      </c>
      <c r="I387" s="16" t="s">
        <v>823</v>
      </c>
      <c r="J387" s="6"/>
      <c r="K387" s="6"/>
      <c r="L387" s="5" t="s">
        <v>1293</v>
      </c>
    </row>
    <row r="388" spans="1:12" x14ac:dyDescent="0.2">
      <c r="A388">
        <v>511</v>
      </c>
      <c r="B388" s="6" t="b">
        <f>IF(OR(F388="NA",G388="wide_value"),"",TRUE)</f>
        <v>1</v>
      </c>
      <c r="C388" s="6" t="s">
        <v>113</v>
      </c>
      <c r="D388" s="6" t="s">
        <v>192</v>
      </c>
      <c r="E388" s="6" t="s">
        <v>115</v>
      </c>
      <c r="F388" s="15" t="s">
        <v>826</v>
      </c>
      <c r="G388" s="6" t="s">
        <v>1291</v>
      </c>
      <c r="H388" s="6" t="s">
        <v>1292</v>
      </c>
      <c r="I388" s="16" t="s">
        <v>825</v>
      </c>
      <c r="J388" s="6"/>
      <c r="K388" s="6"/>
      <c r="L388" s="5" t="s">
        <v>1293</v>
      </c>
    </row>
    <row r="389" spans="1:12" x14ac:dyDescent="0.2">
      <c r="A389">
        <v>512</v>
      </c>
      <c r="B389" s="6" t="b">
        <f>IF(OR(F389="NA",G389="wide_value"),"",TRUE)</f>
        <v>1</v>
      </c>
      <c r="C389" s="6" t="s">
        <v>113</v>
      </c>
      <c r="D389" s="6" t="s">
        <v>192</v>
      </c>
      <c r="E389" s="6" t="s">
        <v>115</v>
      </c>
      <c r="F389" s="15" t="s">
        <v>828</v>
      </c>
      <c r="G389" s="6" t="s">
        <v>1291</v>
      </c>
      <c r="H389" s="6" t="s">
        <v>1292</v>
      </c>
      <c r="I389" s="16" t="s">
        <v>827</v>
      </c>
      <c r="J389" s="6"/>
      <c r="K389" s="6"/>
      <c r="L389" s="5" t="s">
        <v>1293</v>
      </c>
    </row>
    <row r="390" spans="1:12" x14ac:dyDescent="0.2">
      <c r="A390">
        <v>513</v>
      </c>
      <c r="B390" s="6" t="b">
        <f>IF(OR(F390="NA",G390="wide_value"),"",TRUE)</f>
        <v>1</v>
      </c>
      <c r="C390" s="6" t="s">
        <v>113</v>
      </c>
      <c r="D390" s="6" t="s">
        <v>192</v>
      </c>
      <c r="E390" s="6" t="s">
        <v>115</v>
      </c>
      <c r="F390" s="15" t="s">
        <v>830</v>
      </c>
      <c r="G390" s="6" t="s">
        <v>1291</v>
      </c>
      <c r="H390" s="6" t="s">
        <v>1292</v>
      </c>
      <c r="I390" s="16" t="s">
        <v>829</v>
      </c>
      <c r="J390" s="6"/>
      <c r="K390" s="6"/>
      <c r="L390" s="5" t="s">
        <v>1293</v>
      </c>
    </row>
    <row r="391" spans="1:12" x14ac:dyDescent="0.2">
      <c r="A391">
        <v>514</v>
      </c>
      <c r="B391" s="6" t="b">
        <f>IF(OR(F391="NA",G391="wide_value"),"",TRUE)</f>
        <v>1</v>
      </c>
      <c r="C391" s="6" t="s">
        <v>113</v>
      </c>
      <c r="D391" s="6" t="s">
        <v>192</v>
      </c>
      <c r="E391" s="6" t="s">
        <v>115</v>
      </c>
      <c r="F391" s="15" t="s">
        <v>832</v>
      </c>
      <c r="G391" s="6" t="s">
        <v>1291</v>
      </c>
      <c r="H391" s="6" t="s">
        <v>1292</v>
      </c>
      <c r="I391" s="16" t="s">
        <v>831</v>
      </c>
      <c r="J391" s="6"/>
      <c r="K391" s="6"/>
      <c r="L391" s="5" t="s">
        <v>1293</v>
      </c>
    </row>
    <row r="392" spans="1:12" x14ac:dyDescent="0.2">
      <c r="A392">
        <v>515</v>
      </c>
      <c r="B392" s="6" t="b">
        <f>IF(OR(F392="NA",G392="wide_value"),"",TRUE)</f>
        <v>1</v>
      </c>
      <c r="C392" s="6" t="s">
        <v>113</v>
      </c>
      <c r="D392" s="6" t="s">
        <v>192</v>
      </c>
      <c r="E392" s="6" t="s">
        <v>115</v>
      </c>
      <c r="F392" s="15" t="s">
        <v>834</v>
      </c>
      <c r="G392" s="6" t="s">
        <v>1291</v>
      </c>
      <c r="H392" s="6" t="s">
        <v>1292</v>
      </c>
      <c r="I392" s="16" t="s">
        <v>833</v>
      </c>
      <c r="J392" s="6"/>
      <c r="K392" s="6"/>
      <c r="L392" s="5" t="s">
        <v>1293</v>
      </c>
    </row>
    <row r="393" spans="1:12" x14ac:dyDescent="0.2">
      <c r="A393">
        <v>516</v>
      </c>
      <c r="B393" s="6" t="b">
        <f>IF(OR(F393="NA",G393="wide_value"),"",TRUE)</f>
        <v>1</v>
      </c>
      <c r="C393" s="6" t="s">
        <v>113</v>
      </c>
      <c r="D393" s="6" t="s">
        <v>192</v>
      </c>
      <c r="E393" s="6" t="s">
        <v>115</v>
      </c>
      <c r="F393" s="15" t="s">
        <v>836</v>
      </c>
      <c r="G393" s="6" t="s">
        <v>1291</v>
      </c>
      <c r="H393" s="6" t="s">
        <v>1292</v>
      </c>
      <c r="I393" s="16" t="s">
        <v>835</v>
      </c>
      <c r="J393" s="6"/>
      <c r="K393" s="6"/>
      <c r="L393" s="5" t="s">
        <v>1293</v>
      </c>
    </row>
    <row r="394" spans="1:12" x14ac:dyDescent="0.2">
      <c r="A394">
        <v>517</v>
      </c>
      <c r="B394" s="6" t="b">
        <f>IF(OR(F394="NA",G394="wide_value"),"",TRUE)</f>
        <v>1</v>
      </c>
      <c r="C394" s="6" t="s">
        <v>113</v>
      </c>
      <c r="D394" s="6" t="s">
        <v>192</v>
      </c>
      <c r="E394" s="6" t="s">
        <v>115</v>
      </c>
      <c r="F394" s="15" t="s">
        <v>838</v>
      </c>
      <c r="G394" s="6" t="s">
        <v>1291</v>
      </c>
      <c r="H394" s="6" t="s">
        <v>1292</v>
      </c>
      <c r="I394" s="16" t="s">
        <v>837</v>
      </c>
      <c r="J394" s="6"/>
      <c r="K394" s="6"/>
      <c r="L394" s="5" t="s">
        <v>1293</v>
      </c>
    </row>
    <row r="395" spans="1:12" x14ac:dyDescent="0.2">
      <c r="A395">
        <v>518</v>
      </c>
      <c r="B395" s="6" t="b">
        <f>IF(OR(F395="NA",G395="wide_value"),"",TRUE)</f>
        <v>1</v>
      </c>
      <c r="C395" s="6" t="s">
        <v>113</v>
      </c>
      <c r="D395" s="6" t="s">
        <v>192</v>
      </c>
      <c r="E395" s="6" t="s">
        <v>115</v>
      </c>
      <c r="F395" s="15" t="s">
        <v>839</v>
      </c>
      <c r="G395" s="6" t="s">
        <v>1282</v>
      </c>
      <c r="H395" s="6" t="s">
        <v>1247</v>
      </c>
      <c r="I395" s="20" t="s">
        <v>1585</v>
      </c>
      <c r="J395" s="6"/>
      <c r="K395" s="6"/>
      <c r="L395" s="5" t="s">
        <v>1586</v>
      </c>
    </row>
    <row r="396" spans="1:12" x14ac:dyDescent="0.2">
      <c r="A396">
        <v>519</v>
      </c>
      <c r="B396" s="6" t="b">
        <f>IF(OR(F396="NA",G396="wide_value"),"",TRUE)</f>
        <v>1</v>
      </c>
      <c r="C396" s="6" t="s">
        <v>113</v>
      </c>
      <c r="D396" s="6" t="s">
        <v>192</v>
      </c>
      <c r="E396" s="6" t="s">
        <v>115</v>
      </c>
      <c r="F396" s="15" t="s">
        <v>841</v>
      </c>
      <c r="G396" s="6" t="s">
        <v>1291</v>
      </c>
      <c r="H396" s="6" t="s">
        <v>1292</v>
      </c>
      <c r="I396" s="16" t="s">
        <v>840</v>
      </c>
      <c r="J396" s="6"/>
      <c r="K396" s="6"/>
      <c r="L396" s="5" t="s">
        <v>1293</v>
      </c>
    </row>
    <row r="397" spans="1:12" x14ac:dyDescent="0.2">
      <c r="A397">
        <v>520</v>
      </c>
      <c r="B397" s="6" t="b">
        <f>IF(OR(F397="NA",G397="wide_value"),"",TRUE)</f>
        <v>1</v>
      </c>
      <c r="C397" s="6" t="s">
        <v>113</v>
      </c>
      <c r="D397" s="6" t="s">
        <v>192</v>
      </c>
      <c r="E397" s="6" t="s">
        <v>115</v>
      </c>
      <c r="F397" s="15" t="s">
        <v>843</v>
      </c>
      <c r="G397" s="6" t="s">
        <v>1291</v>
      </c>
      <c r="H397" s="6" t="s">
        <v>1292</v>
      </c>
      <c r="I397" s="16" t="s">
        <v>842</v>
      </c>
      <c r="J397" s="6"/>
      <c r="K397" s="6"/>
      <c r="L397" s="5" t="s">
        <v>1293</v>
      </c>
    </row>
    <row r="398" spans="1:12" x14ac:dyDescent="0.2">
      <c r="A398">
        <v>521</v>
      </c>
      <c r="B398" s="6" t="b">
        <f>IF(OR(F398="NA",G398="wide_value"),"",TRUE)</f>
        <v>1</v>
      </c>
      <c r="C398" s="6" t="s">
        <v>113</v>
      </c>
      <c r="D398" s="6" t="s">
        <v>192</v>
      </c>
      <c r="E398" s="6" t="s">
        <v>115</v>
      </c>
      <c r="F398" s="15" t="s">
        <v>845</v>
      </c>
      <c r="G398" s="6" t="s">
        <v>1291</v>
      </c>
      <c r="H398" s="6" t="s">
        <v>1292</v>
      </c>
      <c r="I398" s="16" t="s">
        <v>844</v>
      </c>
      <c r="J398" s="6"/>
      <c r="K398" s="6"/>
      <c r="L398" s="5" t="s">
        <v>1293</v>
      </c>
    </row>
    <row r="399" spans="1:12" x14ac:dyDescent="0.2">
      <c r="A399">
        <v>522</v>
      </c>
      <c r="B399" s="6" t="b">
        <f>IF(OR(F399="NA",G399="wide_value"),"",TRUE)</f>
        <v>1</v>
      </c>
      <c r="C399" s="6" t="s">
        <v>113</v>
      </c>
      <c r="D399" s="6" t="s">
        <v>192</v>
      </c>
      <c r="E399" s="6" t="s">
        <v>115</v>
      </c>
      <c r="F399" s="15" t="s">
        <v>847</v>
      </c>
      <c r="G399" s="6" t="s">
        <v>1291</v>
      </c>
      <c r="H399" s="6" t="s">
        <v>1292</v>
      </c>
      <c r="I399" s="16" t="s">
        <v>846</v>
      </c>
      <c r="J399" s="6"/>
      <c r="K399" s="6"/>
      <c r="L399" s="5" t="s">
        <v>1293</v>
      </c>
    </row>
    <row r="400" spans="1:12" x14ac:dyDescent="0.2">
      <c r="A400">
        <v>523</v>
      </c>
      <c r="B400" s="6" t="b">
        <f>IF(OR(F400="NA",G400="wide_value"),"",TRUE)</f>
        <v>1</v>
      </c>
      <c r="C400" s="6" t="s">
        <v>113</v>
      </c>
      <c r="D400" s="6" t="s">
        <v>192</v>
      </c>
      <c r="E400" s="6" t="s">
        <v>115</v>
      </c>
      <c r="F400" s="15" t="s">
        <v>849</v>
      </c>
      <c r="G400" s="6" t="s">
        <v>1291</v>
      </c>
      <c r="H400" s="6" t="s">
        <v>1292</v>
      </c>
      <c r="I400" s="16" t="s">
        <v>848</v>
      </c>
      <c r="J400" s="6"/>
      <c r="K400" s="6"/>
      <c r="L400" s="5" t="s">
        <v>1293</v>
      </c>
    </row>
    <row r="401" spans="1:12" x14ac:dyDescent="0.2">
      <c r="A401">
        <v>524</v>
      </c>
      <c r="B401" s="6" t="b">
        <f>IF(OR(F401="NA",G401="wide_value"),"",TRUE)</f>
        <v>1</v>
      </c>
      <c r="C401" s="6" t="s">
        <v>113</v>
      </c>
      <c r="D401" s="6" t="s">
        <v>192</v>
      </c>
      <c r="E401" s="6" t="s">
        <v>115</v>
      </c>
      <c r="F401" s="15" t="s">
        <v>851</v>
      </c>
      <c r="G401" s="6" t="s">
        <v>1291</v>
      </c>
      <c r="H401" s="6" t="s">
        <v>1292</v>
      </c>
      <c r="I401" s="16" t="s">
        <v>850</v>
      </c>
      <c r="J401" s="6"/>
      <c r="K401" s="6"/>
      <c r="L401" s="5" t="s">
        <v>1293</v>
      </c>
    </row>
    <row r="402" spans="1:12" x14ac:dyDescent="0.2">
      <c r="A402">
        <v>525</v>
      </c>
      <c r="B402" s="6" t="b">
        <f>IF(OR(F402="NA",G402="wide_value"),"",TRUE)</f>
        <v>1</v>
      </c>
      <c r="C402" s="6" t="s">
        <v>113</v>
      </c>
      <c r="D402" s="6" t="s">
        <v>192</v>
      </c>
      <c r="E402" s="6" t="s">
        <v>115</v>
      </c>
      <c r="F402" s="15" t="s">
        <v>853</v>
      </c>
      <c r="G402" s="6" t="s">
        <v>1291</v>
      </c>
      <c r="H402" s="6" t="s">
        <v>1292</v>
      </c>
      <c r="I402" s="16" t="s">
        <v>852</v>
      </c>
      <c r="J402" s="6"/>
      <c r="K402" s="6"/>
      <c r="L402" s="5" t="s">
        <v>1293</v>
      </c>
    </row>
    <row r="403" spans="1:12" x14ac:dyDescent="0.2">
      <c r="A403">
        <v>526</v>
      </c>
      <c r="B403" s="6" t="b">
        <f>IF(OR(F403="NA",G403="wide_value"),"",TRUE)</f>
        <v>1</v>
      </c>
      <c r="C403" s="6" t="s">
        <v>113</v>
      </c>
      <c r="D403" s="6" t="s">
        <v>192</v>
      </c>
      <c r="E403" s="6" t="s">
        <v>115</v>
      </c>
      <c r="F403" s="15" t="s">
        <v>854</v>
      </c>
      <c r="G403" s="6" t="s">
        <v>1291</v>
      </c>
      <c r="H403" s="6" t="s">
        <v>1423</v>
      </c>
      <c r="I403" s="20" t="s">
        <v>1576</v>
      </c>
      <c r="J403" s="6"/>
      <c r="K403" s="6" t="s">
        <v>1582</v>
      </c>
      <c r="L403" s="5" t="s">
        <v>1293</v>
      </c>
    </row>
    <row r="404" spans="1:12" x14ac:dyDescent="0.2">
      <c r="A404">
        <v>527</v>
      </c>
      <c r="B404" s="6" t="b">
        <f>IF(OR(F404="NA",G404="wide_value"),"",TRUE)</f>
        <v>1</v>
      </c>
      <c r="C404" s="6" t="s">
        <v>113</v>
      </c>
      <c r="D404" s="6" t="s">
        <v>192</v>
      </c>
      <c r="E404" s="6" t="s">
        <v>115</v>
      </c>
      <c r="F404" s="15" t="s">
        <v>856</v>
      </c>
      <c r="G404" s="6" t="s">
        <v>1291</v>
      </c>
      <c r="H404" s="6" t="s">
        <v>1292</v>
      </c>
      <c r="I404" s="16" t="s">
        <v>855</v>
      </c>
      <c r="J404" s="6"/>
      <c r="K404" s="6"/>
      <c r="L404" s="5" t="s">
        <v>1293</v>
      </c>
    </row>
    <row r="405" spans="1:12" x14ac:dyDescent="0.2">
      <c r="A405">
        <v>528</v>
      </c>
      <c r="B405" s="6" t="b">
        <f>IF(OR(F405="NA",G405="wide_value"),"",TRUE)</f>
        <v>1</v>
      </c>
      <c r="C405" s="6" t="s">
        <v>113</v>
      </c>
      <c r="D405" s="6" t="s">
        <v>192</v>
      </c>
      <c r="E405" s="6" t="s">
        <v>115</v>
      </c>
      <c r="F405" s="15" t="s">
        <v>858</v>
      </c>
      <c r="G405" s="6" t="s">
        <v>1291</v>
      </c>
      <c r="H405" s="6" t="s">
        <v>1292</v>
      </c>
      <c r="I405" s="16" t="s">
        <v>857</v>
      </c>
      <c r="J405" s="6"/>
      <c r="K405" s="6"/>
      <c r="L405" s="5" t="s">
        <v>1293</v>
      </c>
    </row>
    <row r="406" spans="1:12" x14ac:dyDescent="0.2">
      <c r="A406">
        <v>529</v>
      </c>
      <c r="B406" s="6" t="b">
        <f>IF(OR(F406="NA",G406="wide_value"),"",TRUE)</f>
        <v>1</v>
      </c>
      <c r="C406" s="6" t="s">
        <v>113</v>
      </c>
      <c r="D406" s="6" t="s">
        <v>192</v>
      </c>
      <c r="E406" s="6" t="s">
        <v>115</v>
      </c>
      <c r="F406" s="15" t="s">
        <v>860</v>
      </c>
      <c r="G406" s="6" t="s">
        <v>1291</v>
      </c>
      <c r="H406" s="6" t="s">
        <v>1292</v>
      </c>
      <c r="I406" s="16" t="s">
        <v>859</v>
      </c>
      <c r="J406" s="6"/>
      <c r="K406" s="6"/>
      <c r="L406" s="5" t="s">
        <v>1293</v>
      </c>
    </row>
    <row r="407" spans="1:12" x14ac:dyDescent="0.2">
      <c r="A407">
        <v>530</v>
      </c>
      <c r="B407" s="6" t="b">
        <f>IF(OR(F407="NA",G407="wide_value"),"",TRUE)</f>
        <v>1</v>
      </c>
      <c r="C407" s="6" t="s">
        <v>113</v>
      </c>
      <c r="D407" s="6" t="s">
        <v>192</v>
      </c>
      <c r="E407" s="6" t="s">
        <v>115</v>
      </c>
      <c r="F407" s="15" t="s">
        <v>862</v>
      </c>
      <c r="G407" s="6" t="s">
        <v>1291</v>
      </c>
      <c r="H407" s="6" t="s">
        <v>1292</v>
      </c>
      <c r="I407" s="16" t="s">
        <v>861</v>
      </c>
      <c r="J407" s="6"/>
      <c r="K407" s="6"/>
      <c r="L407" s="5" t="s">
        <v>1293</v>
      </c>
    </row>
    <row r="408" spans="1:12" x14ac:dyDescent="0.2">
      <c r="A408">
        <v>531</v>
      </c>
      <c r="B408" s="6" t="b">
        <f>IF(OR(F408="NA",G408="wide_value"),"",TRUE)</f>
        <v>1</v>
      </c>
      <c r="C408" s="6" t="s">
        <v>113</v>
      </c>
      <c r="D408" s="6" t="s">
        <v>192</v>
      </c>
      <c r="E408" s="6" t="s">
        <v>115</v>
      </c>
      <c r="F408" s="15" t="s">
        <v>864</v>
      </c>
      <c r="G408" s="6" t="s">
        <v>1291</v>
      </c>
      <c r="H408" s="6" t="s">
        <v>1292</v>
      </c>
      <c r="I408" s="16" t="s">
        <v>863</v>
      </c>
      <c r="J408" s="6"/>
      <c r="K408" s="6"/>
      <c r="L408" s="5" t="s">
        <v>1293</v>
      </c>
    </row>
    <row r="409" spans="1:12" x14ac:dyDescent="0.2">
      <c r="A409">
        <v>532</v>
      </c>
      <c r="B409" s="6" t="b">
        <f>IF(OR(F409="NA",G409="wide_value"),"",TRUE)</f>
        <v>1</v>
      </c>
      <c r="C409" s="6" t="s">
        <v>113</v>
      </c>
      <c r="D409" s="6" t="s">
        <v>192</v>
      </c>
      <c r="E409" s="6" t="s">
        <v>115</v>
      </c>
      <c r="F409" s="15" t="s">
        <v>866</v>
      </c>
      <c r="G409" s="6" t="s">
        <v>1291</v>
      </c>
      <c r="H409" s="6" t="s">
        <v>1292</v>
      </c>
      <c r="I409" s="16" t="s">
        <v>865</v>
      </c>
      <c r="J409" s="6"/>
      <c r="K409" s="6"/>
      <c r="L409" s="5" t="s">
        <v>1293</v>
      </c>
    </row>
    <row r="410" spans="1:12" x14ac:dyDescent="0.2">
      <c r="A410">
        <v>533</v>
      </c>
      <c r="B410" s="6" t="b">
        <f>IF(OR(F410="NA",G410="wide_value"),"",TRUE)</f>
        <v>1</v>
      </c>
      <c r="C410" s="6" t="s">
        <v>113</v>
      </c>
      <c r="D410" s="6" t="s">
        <v>192</v>
      </c>
      <c r="E410" s="6" t="s">
        <v>115</v>
      </c>
      <c r="F410" s="15" t="s">
        <v>868</v>
      </c>
      <c r="G410" s="6" t="s">
        <v>1291</v>
      </c>
      <c r="H410" s="6" t="s">
        <v>1292</v>
      </c>
      <c r="I410" s="16" t="s">
        <v>867</v>
      </c>
      <c r="J410" s="6"/>
      <c r="K410" s="6"/>
      <c r="L410" s="5" t="s">
        <v>1293</v>
      </c>
    </row>
    <row r="411" spans="1:12" x14ac:dyDescent="0.2">
      <c r="A411">
        <v>534</v>
      </c>
      <c r="B411" s="6" t="b">
        <f>IF(OR(F411="NA",G411="wide_value"),"",TRUE)</f>
        <v>1</v>
      </c>
      <c r="C411" s="6" t="s">
        <v>113</v>
      </c>
      <c r="D411" s="6" t="s">
        <v>192</v>
      </c>
      <c r="E411" s="6" t="s">
        <v>115</v>
      </c>
      <c r="F411" s="15" t="s">
        <v>870</v>
      </c>
      <c r="G411" s="6" t="s">
        <v>1291</v>
      </c>
      <c r="H411" s="6" t="s">
        <v>1292</v>
      </c>
      <c r="I411" s="16" t="s">
        <v>869</v>
      </c>
      <c r="J411" s="6"/>
      <c r="K411" s="6"/>
      <c r="L411" s="5" t="s">
        <v>1293</v>
      </c>
    </row>
    <row r="412" spans="1:12" x14ac:dyDescent="0.2">
      <c r="A412">
        <v>535</v>
      </c>
      <c r="B412" s="6" t="b">
        <f>IF(OR(F412="NA",G412="wide_value"),"",TRUE)</f>
        <v>1</v>
      </c>
      <c r="C412" s="6" t="s">
        <v>113</v>
      </c>
      <c r="D412" s="6" t="s">
        <v>192</v>
      </c>
      <c r="E412" s="6" t="s">
        <v>115</v>
      </c>
      <c r="F412" s="15" t="s">
        <v>872</v>
      </c>
      <c r="G412" s="6" t="s">
        <v>1291</v>
      </c>
      <c r="H412" s="6" t="s">
        <v>1292</v>
      </c>
      <c r="I412" s="16" t="s">
        <v>871</v>
      </c>
      <c r="J412" s="6"/>
      <c r="K412" s="6"/>
      <c r="L412" s="5" t="s">
        <v>1293</v>
      </c>
    </row>
    <row r="413" spans="1:12" x14ac:dyDescent="0.2">
      <c r="A413">
        <v>536</v>
      </c>
      <c r="B413" s="6" t="b">
        <f>IF(OR(F413="NA",G413="wide_value"),"",TRUE)</f>
        <v>1</v>
      </c>
      <c r="C413" s="6" t="s">
        <v>113</v>
      </c>
      <c r="D413" s="6" t="s">
        <v>192</v>
      </c>
      <c r="E413" s="6" t="s">
        <v>115</v>
      </c>
      <c r="F413" s="15" t="s">
        <v>874</v>
      </c>
      <c r="G413" s="6" t="s">
        <v>1291</v>
      </c>
      <c r="H413" s="6" t="s">
        <v>1292</v>
      </c>
      <c r="I413" s="16" t="s">
        <v>873</v>
      </c>
      <c r="J413" s="6"/>
      <c r="K413" s="6"/>
      <c r="L413" s="5" t="s">
        <v>1293</v>
      </c>
    </row>
    <row r="414" spans="1:12" x14ac:dyDescent="0.2">
      <c r="A414">
        <v>537</v>
      </c>
      <c r="B414" s="6" t="b">
        <f>IF(OR(F414="NA",G414="wide_value"),"",TRUE)</f>
        <v>1</v>
      </c>
      <c r="C414" s="6" t="s">
        <v>113</v>
      </c>
      <c r="D414" s="6" t="s">
        <v>192</v>
      </c>
      <c r="E414" s="6" t="s">
        <v>115</v>
      </c>
      <c r="F414" s="15" t="s">
        <v>876</v>
      </c>
      <c r="G414" s="6" t="s">
        <v>1291</v>
      </c>
      <c r="H414" s="6" t="s">
        <v>1292</v>
      </c>
      <c r="I414" s="16" t="s">
        <v>875</v>
      </c>
      <c r="J414" s="6"/>
      <c r="K414" s="6"/>
      <c r="L414" s="5" t="s">
        <v>1293</v>
      </c>
    </row>
    <row r="415" spans="1:12" x14ac:dyDescent="0.2">
      <c r="A415">
        <v>538</v>
      </c>
      <c r="B415" s="6" t="b">
        <f>IF(OR(F415="NA",G415="wide_value"),"",TRUE)</f>
        <v>1</v>
      </c>
      <c r="C415" s="6" t="s">
        <v>113</v>
      </c>
      <c r="D415" s="6" t="s">
        <v>192</v>
      </c>
      <c r="E415" s="6" t="s">
        <v>115</v>
      </c>
      <c r="F415" s="15" t="s">
        <v>877</v>
      </c>
      <c r="G415" s="6" t="s">
        <v>1291</v>
      </c>
      <c r="H415" s="6" t="s">
        <v>1423</v>
      </c>
      <c r="I415" s="20" t="s">
        <v>1577</v>
      </c>
      <c r="J415" s="6"/>
      <c r="K415" s="6" t="s">
        <v>1583</v>
      </c>
      <c r="L415" s="5" t="s">
        <v>1293</v>
      </c>
    </row>
    <row r="416" spans="1:12" x14ac:dyDescent="0.2">
      <c r="A416">
        <v>539</v>
      </c>
      <c r="B416" s="6" t="b">
        <f>IF(OR(F416="NA",G416="wide_value"),"",TRUE)</f>
        <v>1</v>
      </c>
      <c r="C416" s="6" t="s">
        <v>113</v>
      </c>
      <c r="D416" s="6" t="s">
        <v>192</v>
      </c>
      <c r="E416" s="6" t="s">
        <v>115</v>
      </c>
      <c r="F416" s="15" t="s">
        <v>879</v>
      </c>
      <c r="G416" s="6" t="s">
        <v>1291</v>
      </c>
      <c r="H416" s="6" t="s">
        <v>1292</v>
      </c>
      <c r="I416" s="16" t="s">
        <v>878</v>
      </c>
      <c r="J416" s="6"/>
      <c r="K416" s="6"/>
      <c r="L416" s="5" t="s">
        <v>1293</v>
      </c>
    </row>
    <row r="417" spans="1:12" x14ac:dyDescent="0.2">
      <c r="A417">
        <v>540</v>
      </c>
      <c r="B417" s="6" t="b">
        <f>IF(OR(F417="NA",G417="wide_value"),"",TRUE)</f>
        <v>1</v>
      </c>
      <c r="C417" s="6" t="s">
        <v>113</v>
      </c>
      <c r="D417" s="6" t="s">
        <v>192</v>
      </c>
      <c r="E417" s="6" t="s">
        <v>115</v>
      </c>
      <c r="F417" s="15" t="s">
        <v>881</v>
      </c>
      <c r="G417" s="6" t="s">
        <v>1291</v>
      </c>
      <c r="H417" s="6" t="s">
        <v>1292</v>
      </c>
      <c r="I417" s="16" t="s">
        <v>880</v>
      </c>
      <c r="J417" s="6"/>
      <c r="K417" s="6"/>
      <c r="L417" s="5" t="s">
        <v>1293</v>
      </c>
    </row>
    <row r="418" spans="1:12" x14ac:dyDescent="0.2">
      <c r="A418">
        <v>541</v>
      </c>
      <c r="B418" s="6" t="b">
        <f>IF(OR(F418="NA",G418="wide_value"),"",TRUE)</f>
        <v>1</v>
      </c>
      <c r="C418" s="6" t="s">
        <v>113</v>
      </c>
      <c r="D418" s="6" t="s">
        <v>192</v>
      </c>
      <c r="E418" s="6" t="s">
        <v>115</v>
      </c>
      <c r="F418" s="15" t="s">
        <v>883</v>
      </c>
      <c r="G418" s="6" t="s">
        <v>1291</v>
      </c>
      <c r="H418" s="6" t="s">
        <v>1292</v>
      </c>
      <c r="I418" s="16" t="s">
        <v>882</v>
      </c>
      <c r="J418" s="6"/>
      <c r="K418" s="6"/>
      <c r="L418" s="5" t="s">
        <v>1293</v>
      </c>
    </row>
    <row r="419" spans="1:12" x14ac:dyDescent="0.2">
      <c r="A419">
        <v>542</v>
      </c>
      <c r="B419" s="6" t="b">
        <f>IF(OR(F419="NA",G419="wide_value"),"",TRUE)</f>
        <v>1</v>
      </c>
      <c r="C419" s="6" t="s">
        <v>113</v>
      </c>
      <c r="D419" s="6" t="s">
        <v>192</v>
      </c>
      <c r="E419" s="6" t="s">
        <v>115</v>
      </c>
      <c r="F419" s="15" t="s">
        <v>885</v>
      </c>
      <c r="G419" s="6" t="s">
        <v>1291</v>
      </c>
      <c r="H419" s="6" t="s">
        <v>1292</v>
      </c>
      <c r="I419" s="16" t="s">
        <v>884</v>
      </c>
      <c r="J419" s="6"/>
      <c r="K419" s="6"/>
      <c r="L419" s="5" t="s">
        <v>1293</v>
      </c>
    </row>
    <row r="420" spans="1:12" x14ac:dyDescent="0.2">
      <c r="A420">
        <v>543</v>
      </c>
      <c r="B420" s="6" t="b">
        <f>IF(OR(F420="NA",G420="wide_value"),"",TRUE)</f>
        <v>1</v>
      </c>
      <c r="C420" s="6" t="s">
        <v>113</v>
      </c>
      <c r="D420" s="6" t="s">
        <v>192</v>
      </c>
      <c r="E420" s="6" t="s">
        <v>115</v>
      </c>
      <c r="F420" s="15" t="s">
        <v>887</v>
      </c>
      <c r="G420" s="6" t="s">
        <v>1291</v>
      </c>
      <c r="H420" s="6" t="s">
        <v>1292</v>
      </c>
      <c r="I420" s="16" t="s">
        <v>886</v>
      </c>
      <c r="J420" s="6"/>
      <c r="K420" s="6"/>
      <c r="L420" s="5" t="s">
        <v>1293</v>
      </c>
    </row>
    <row r="421" spans="1:12" x14ac:dyDescent="0.2">
      <c r="A421">
        <v>544</v>
      </c>
      <c r="B421" s="6" t="b">
        <f>IF(OR(F421="NA",G421="wide_value"),"",TRUE)</f>
        <v>1</v>
      </c>
      <c r="C421" s="6" t="s">
        <v>113</v>
      </c>
      <c r="D421" s="6" t="s">
        <v>192</v>
      </c>
      <c r="E421" s="6" t="s">
        <v>115</v>
      </c>
      <c r="F421" s="15" t="s">
        <v>889</v>
      </c>
      <c r="G421" s="6" t="s">
        <v>1291</v>
      </c>
      <c r="H421" s="6" t="s">
        <v>1292</v>
      </c>
      <c r="I421" s="16" t="s">
        <v>888</v>
      </c>
      <c r="J421" s="6"/>
      <c r="K421" s="6"/>
      <c r="L421" s="5" t="s">
        <v>1293</v>
      </c>
    </row>
    <row r="422" spans="1:12" x14ac:dyDescent="0.2">
      <c r="A422">
        <v>545</v>
      </c>
      <c r="B422" s="6" t="b">
        <f>IF(OR(F422="NA",G422="wide_value"),"",TRUE)</f>
        <v>1</v>
      </c>
      <c r="C422" s="6" t="s">
        <v>113</v>
      </c>
      <c r="D422" s="6" t="s">
        <v>192</v>
      </c>
      <c r="E422" s="6" t="s">
        <v>115</v>
      </c>
      <c r="F422" s="15" t="s">
        <v>891</v>
      </c>
      <c r="G422" s="6" t="s">
        <v>1291</v>
      </c>
      <c r="H422" s="6" t="s">
        <v>1292</v>
      </c>
      <c r="I422" s="16" t="s">
        <v>890</v>
      </c>
      <c r="J422" s="6"/>
      <c r="K422" s="6"/>
      <c r="L422" s="5" t="s">
        <v>1293</v>
      </c>
    </row>
    <row r="423" spans="1:12" x14ac:dyDescent="0.2">
      <c r="A423">
        <v>546</v>
      </c>
      <c r="B423" s="6" t="b">
        <f>IF(OR(F423="NA",G423="wide_value"),"",TRUE)</f>
        <v>1</v>
      </c>
      <c r="C423" s="6" t="s">
        <v>113</v>
      </c>
      <c r="D423" s="6" t="s">
        <v>192</v>
      </c>
      <c r="E423" s="6" t="s">
        <v>115</v>
      </c>
      <c r="F423" s="15" t="s">
        <v>893</v>
      </c>
      <c r="G423" s="6" t="s">
        <v>1291</v>
      </c>
      <c r="H423" s="6" t="s">
        <v>1292</v>
      </c>
      <c r="I423" s="16" t="s">
        <v>892</v>
      </c>
      <c r="J423" s="6"/>
      <c r="K423" s="6"/>
      <c r="L423" s="5" t="s">
        <v>1293</v>
      </c>
    </row>
    <row r="424" spans="1:12" x14ac:dyDescent="0.2">
      <c r="A424">
        <v>547</v>
      </c>
      <c r="B424" s="6" t="b">
        <f>IF(OR(F424="NA",G424="wide_value"),"",TRUE)</f>
        <v>1</v>
      </c>
      <c r="C424" s="6" t="s">
        <v>113</v>
      </c>
      <c r="D424" s="6" t="s">
        <v>192</v>
      </c>
      <c r="E424" s="6" t="s">
        <v>115</v>
      </c>
      <c r="F424" s="15" t="s">
        <v>895</v>
      </c>
      <c r="G424" s="6" t="s">
        <v>1291</v>
      </c>
      <c r="H424" s="6" t="s">
        <v>1292</v>
      </c>
      <c r="I424" s="16" t="s">
        <v>894</v>
      </c>
      <c r="J424" s="6"/>
      <c r="K424" s="6"/>
      <c r="L424" s="5" t="s">
        <v>1293</v>
      </c>
    </row>
    <row r="425" spans="1:12" x14ac:dyDescent="0.2">
      <c r="A425">
        <v>548</v>
      </c>
      <c r="B425" s="6" t="b">
        <f>IF(OR(F425="NA",G425="wide_value"),"",TRUE)</f>
        <v>1</v>
      </c>
      <c r="C425" s="6" t="s">
        <v>113</v>
      </c>
      <c r="D425" s="6" t="s">
        <v>192</v>
      </c>
      <c r="E425" s="6" t="s">
        <v>115</v>
      </c>
      <c r="F425" s="15" t="s">
        <v>897</v>
      </c>
      <c r="G425" s="6" t="s">
        <v>1291</v>
      </c>
      <c r="H425" s="6" t="s">
        <v>1292</v>
      </c>
      <c r="I425" s="16" t="s">
        <v>896</v>
      </c>
      <c r="J425" s="6"/>
      <c r="K425" s="6"/>
      <c r="L425" s="5" t="s">
        <v>1293</v>
      </c>
    </row>
    <row r="426" spans="1:12" x14ac:dyDescent="0.2">
      <c r="A426">
        <v>549</v>
      </c>
      <c r="B426" s="6" t="b">
        <f>IF(OR(F426="NA",G426="wide_value"),"",TRUE)</f>
        <v>1</v>
      </c>
      <c r="C426" s="6" t="s">
        <v>113</v>
      </c>
      <c r="D426" s="6" t="s">
        <v>192</v>
      </c>
      <c r="E426" s="6" t="s">
        <v>115</v>
      </c>
      <c r="F426" s="15" t="s">
        <v>899</v>
      </c>
      <c r="G426" s="6" t="s">
        <v>1291</v>
      </c>
      <c r="H426" s="6" t="s">
        <v>1292</v>
      </c>
      <c r="I426" s="16" t="s">
        <v>898</v>
      </c>
      <c r="J426" s="6"/>
      <c r="K426" s="6"/>
      <c r="L426" s="5" t="s">
        <v>1293</v>
      </c>
    </row>
    <row r="427" spans="1:12" x14ac:dyDescent="0.2">
      <c r="A427">
        <v>550</v>
      </c>
      <c r="B427" s="6" t="b">
        <f>IF(OR(F427="NA",G427="wide_value"),"",TRUE)</f>
        <v>1</v>
      </c>
      <c r="C427" s="6" t="s">
        <v>113</v>
      </c>
      <c r="D427" s="6" t="s">
        <v>192</v>
      </c>
      <c r="E427" s="6" t="s">
        <v>115</v>
      </c>
      <c r="F427" s="15" t="s">
        <v>901</v>
      </c>
      <c r="G427" s="6" t="s">
        <v>1291</v>
      </c>
      <c r="H427" s="6" t="s">
        <v>1292</v>
      </c>
      <c r="I427" s="16" t="s">
        <v>900</v>
      </c>
      <c r="J427" s="6"/>
      <c r="K427" s="6"/>
      <c r="L427" s="5" t="s">
        <v>1293</v>
      </c>
    </row>
    <row r="428" spans="1:12" x14ac:dyDescent="0.2">
      <c r="A428">
        <v>551</v>
      </c>
      <c r="B428" s="6" t="b">
        <f>IF(OR(F428="NA",G428="wide_value"),"",TRUE)</f>
        <v>1</v>
      </c>
      <c r="C428" s="6" t="s">
        <v>113</v>
      </c>
      <c r="D428" s="6" t="s">
        <v>192</v>
      </c>
      <c r="E428" s="6" t="s">
        <v>115</v>
      </c>
      <c r="F428" s="15" t="s">
        <v>903</v>
      </c>
      <c r="G428" s="6" t="s">
        <v>1291</v>
      </c>
      <c r="H428" s="6" t="s">
        <v>1292</v>
      </c>
      <c r="I428" s="16" t="s">
        <v>902</v>
      </c>
      <c r="J428" s="6"/>
      <c r="K428" s="6"/>
      <c r="L428" s="5" t="s">
        <v>1293</v>
      </c>
    </row>
    <row r="429" spans="1:12" x14ac:dyDescent="0.2">
      <c r="A429">
        <v>552</v>
      </c>
      <c r="B429" s="6" t="b">
        <f>IF(OR(F429="NA",G429="wide_value"),"",TRUE)</f>
        <v>1</v>
      </c>
      <c r="C429" s="6" t="s">
        <v>113</v>
      </c>
      <c r="D429" s="6" t="s">
        <v>192</v>
      </c>
      <c r="E429" s="6" t="s">
        <v>115</v>
      </c>
      <c r="F429" s="15" t="s">
        <v>905</v>
      </c>
      <c r="G429" s="6" t="s">
        <v>1291</v>
      </c>
      <c r="H429" s="6" t="s">
        <v>1292</v>
      </c>
      <c r="I429" s="16" t="s">
        <v>904</v>
      </c>
      <c r="J429" s="6"/>
      <c r="K429" s="6"/>
      <c r="L429" s="5" t="s">
        <v>1293</v>
      </c>
    </row>
    <row r="430" spans="1:12" x14ac:dyDescent="0.2">
      <c r="A430">
        <v>553</v>
      </c>
      <c r="B430" s="6" t="b">
        <f>IF(OR(F430="NA",G430="wide_value"),"",TRUE)</f>
        <v>1</v>
      </c>
      <c r="C430" s="6" t="s">
        <v>113</v>
      </c>
      <c r="D430" s="6" t="s">
        <v>192</v>
      </c>
      <c r="E430" s="6" t="s">
        <v>115</v>
      </c>
      <c r="F430" s="15" t="s">
        <v>907</v>
      </c>
      <c r="G430" s="6" t="s">
        <v>1291</v>
      </c>
      <c r="H430" s="6" t="s">
        <v>1292</v>
      </c>
      <c r="I430" s="16" t="s">
        <v>906</v>
      </c>
      <c r="J430" s="6"/>
      <c r="K430" s="6"/>
      <c r="L430" s="5" t="s">
        <v>1293</v>
      </c>
    </row>
    <row r="431" spans="1:12" x14ac:dyDescent="0.2">
      <c r="A431">
        <v>554</v>
      </c>
      <c r="B431" s="6" t="b">
        <f>IF(OR(F431="NA",G431="wide_value"),"",TRUE)</f>
        <v>1</v>
      </c>
      <c r="C431" s="6" t="s">
        <v>113</v>
      </c>
      <c r="D431" s="6" t="s">
        <v>192</v>
      </c>
      <c r="E431" s="6" t="s">
        <v>115</v>
      </c>
      <c r="F431" s="15" t="s">
        <v>909</v>
      </c>
      <c r="G431" s="6" t="s">
        <v>1291</v>
      </c>
      <c r="H431" s="6" t="s">
        <v>1292</v>
      </c>
      <c r="I431" s="16" t="s">
        <v>908</v>
      </c>
      <c r="J431" s="6"/>
      <c r="K431" s="6"/>
      <c r="L431" s="5" t="s">
        <v>1293</v>
      </c>
    </row>
    <row r="432" spans="1:12" x14ac:dyDescent="0.2">
      <c r="A432">
        <v>555</v>
      </c>
      <c r="B432" s="6" t="b">
        <f>IF(OR(F432="NA",G432="wide_value"),"",TRUE)</f>
        <v>1</v>
      </c>
      <c r="C432" s="6" t="s">
        <v>113</v>
      </c>
      <c r="D432" s="6" t="s">
        <v>192</v>
      </c>
      <c r="E432" s="6" t="s">
        <v>115</v>
      </c>
      <c r="F432" s="15" t="s">
        <v>911</v>
      </c>
      <c r="G432" s="6" t="s">
        <v>1291</v>
      </c>
      <c r="H432" s="6" t="s">
        <v>1292</v>
      </c>
      <c r="I432" s="16" t="s">
        <v>910</v>
      </c>
      <c r="J432" s="6"/>
      <c r="K432" s="6"/>
      <c r="L432" s="5" t="s">
        <v>1293</v>
      </c>
    </row>
    <row r="433" spans="1:12" x14ac:dyDescent="0.2">
      <c r="A433">
        <v>556</v>
      </c>
      <c r="B433" s="6" t="b">
        <f>IF(OR(F433="NA",G433="wide_value"),"",TRUE)</f>
        <v>1</v>
      </c>
      <c r="C433" s="6" t="s">
        <v>113</v>
      </c>
      <c r="D433" s="6" t="s">
        <v>192</v>
      </c>
      <c r="E433" s="6" t="s">
        <v>115</v>
      </c>
      <c r="F433" s="15" t="s">
        <v>913</v>
      </c>
      <c r="G433" s="6" t="s">
        <v>1291</v>
      </c>
      <c r="H433" s="6" t="s">
        <v>1292</v>
      </c>
      <c r="I433" s="16" t="s">
        <v>912</v>
      </c>
      <c r="J433" s="6"/>
      <c r="K433" s="6"/>
      <c r="L433" s="5" t="s">
        <v>1293</v>
      </c>
    </row>
    <row r="434" spans="1:12" x14ac:dyDescent="0.2">
      <c r="A434">
        <v>557</v>
      </c>
      <c r="B434" s="6" t="b">
        <f>IF(OR(F434="NA",G434="wide_value"),"",TRUE)</f>
        <v>1</v>
      </c>
      <c r="C434" s="6" t="s">
        <v>113</v>
      </c>
      <c r="D434" s="6" t="s">
        <v>192</v>
      </c>
      <c r="E434" s="6" t="s">
        <v>115</v>
      </c>
      <c r="F434" s="15" t="s">
        <v>915</v>
      </c>
      <c r="G434" s="6" t="s">
        <v>1291</v>
      </c>
      <c r="H434" s="6" t="s">
        <v>1292</v>
      </c>
      <c r="I434" s="16" t="s">
        <v>914</v>
      </c>
      <c r="J434" s="6"/>
      <c r="K434" s="6"/>
      <c r="L434" s="5" t="s">
        <v>1293</v>
      </c>
    </row>
    <row r="435" spans="1:12" x14ac:dyDescent="0.2">
      <c r="A435">
        <v>558</v>
      </c>
      <c r="B435" s="6" t="b">
        <f>IF(OR(F435="NA",G435="wide_value"),"",TRUE)</f>
        <v>1</v>
      </c>
      <c r="C435" s="6" t="s">
        <v>113</v>
      </c>
      <c r="D435" s="6" t="s">
        <v>192</v>
      </c>
      <c r="E435" s="6" t="s">
        <v>115</v>
      </c>
      <c r="F435" s="15" t="s">
        <v>917</v>
      </c>
      <c r="G435" s="6" t="s">
        <v>1291</v>
      </c>
      <c r="H435" s="6" t="s">
        <v>1292</v>
      </c>
      <c r="I435" s="16" t="s">
        <v>916</v>
      </c>
      <c r="J435" s="6"/>
      <c r="K435" s="6"/>
      <c r="L435" s="5" t="s">
        <v>1293</v>
      </c>
    </row>
    <row r="436" spans="1:12" x14ac:dyDescent="0.2">
      <c r="A436">
        <v>559</v>
      </c>
      <c r="B436" s="6" t="b">
        <f>IF(OR(F436="NA",G436="wide_value"),"",TRUE)</f>
        <v>1</v>
      </c>
      <c r="C436" s="6" t="s">
        <v>113</v>
      </c>
      <c r="D436" s="6" t="s">
        <v>192</v>
      </c>
      <c r="E436" s="6" t="s">
        <v>115</v>
      </c>
      <c r="F436" s="15" t="s">
        <v>919</v>
      </c>
      <c r="G436" s="6" t="s">
        <v>1291</v>
      </c>
      <c r="H436" s="6" t="s">
        <v>1292</v>
      </c>
      <c r="I436" s="16" t="s">
        <v>918</v>
      </c>
      <c r="J436" s="6"/>
      <c r="K436" s="6"/>
      <c r="L436" s="5" t="s">
        <v>1293</v>
      </c>
    </row>
    <row r="437" spans="1:12" x14ac:dyDescent="0.2">
      <c r="A437">
        <v>560</v>
      </c>
      <c r="B437" s="6" t="b">
        <f>IF(OR(F437="NA",G437="wide_value"),"",TRUE)</f>
        <v>1</v>
      </c>
      <c r="C437" s="6" t="s">
        <v>113</v>
      </c>
      <c r="D437" s="6" t="s">
        <v>192</v>
      </c>
      <c r="E437" s="6" t="s">
        <v>115</v>
      </c>
      <c r="F437" s="15" t="s">
        <v>921</v>
      </c>
      <c r="G437" s="6" t="s">
        <v>1291</v>
      </c>
      <c r="H437" s="6" t="s">
        <v>1292</v>
      </c>
      <c r="I437" s="16" t="s">
        <v>920</v>
      </c>
      <c r="J437" s="6"/>
      <c r="K437" s="6"/>
      <c r="L437" s="5" t="s">
        <v>1293</v>
      </c>
    </row>
    <row r="438" spans="1:12" x14ac:dyDescent="0.2">
      <c r="A438">
        <v>561</v>
      </c>
      <c r="B438" s="6" t="b">
        <f>IF(OR(F438="NA",G438="wide_value"),"",TRUE)</f>
        <v>1</v>
      </c>
      <c r="C438" s="6" t="s">
        <v>113</v>
      </c>
      <c r="D438" s="6" t="s">
        <v>192</v>
      </c>
      <c r="E438" s="6" t="s">
        <v>115</v>
      </c>
      <c r="F438" s="15" t="s">
        <v>923</v>
      </c>
      <c r="G438" s="6" t="s">
        <v>1291</v>
      </c>
      <c r="H438" s="6" t="s">
        <v>1292</v>
      </c>
      <c r="I438" s="16" t="s">
        <v>922</v>
      </c>
      <c r="J438" s="6"/>
      <c r="K438" s="6"/>
      <c r="L438" s="5" t="s">
        <v>1293</v>
      </c>
    </row>
    <row r="439" spans="1:12" x14ac:dyDescent="0.2">
      <c r="A439">
        <v>562</v>
      </c>
      <c r="B439" s="6" t="b">
        <f>IF(OR(F439="NA",G439="wide_value"),"",TRUE)</f>
        <v>1</v>
      </c>
      <c r="C439" s="6" t="s">
        <v>113</v>
      </c>
      <c r="D439" s="6" t="s">
        <v>192</v>
      </c>
      <c r="E439" s="6" t="s">
        <v>115</v>
      </c>
      <c r="F439" s="15" t="s">
        <v>925</v>
      </c>
      <c r="G439" s="6" t="s">
        <v>1291</v>
      </c>
      <c r="H439" s="6" t="s">
        <v>1292</v>
      </c>
      <c r="I439" s="16" t="s">
        <v>924</v>
      </c>
      <c r="J439" s="6"/>
      <c r="K439" s="6"/>
      <c r="L439" s="5" t="s">
        <v>1293</v>
      </c>
    </row>
    <row r="440" spans="1:12" x14ac:dyDescent="0.2">
      <c r="A440">
        <v>563</v>
      </c>
      <c r="B440" s="6" t="b">
        <f>IF(OR(F440="NA",G440="wide_value"),"",TRUE)</f>
        <v>1</v>
      </c>
      <c r="C440" s="6" t="s">
        <v>113</v>
      </c>
      <c r="D440" s="6" t="s">
        <v>192</v>
      </c>
      <c r="E440" s="6" t="s">
        <v>115</v>
      </c>
      <c r="F440" s="15" t="s">
        <v>927</v>
      </c>
      <c r="G440" s="6" t="s">
        <v>1291</v>
      </c>
      <c r="H440" s="6" t="s">
        <v>1292</v>
      </c>
      <c r="I440" s="16" t="s">
        <v>926</v>
      </c>
      <c r="J440" s="6"/>
      <c r="K440" s="6"/>
      <c r="L440" s="5" t="s">
        <v>1293</v>
      </c>
    </row>
    <row r="441" spans="1:12" x14ac:dyDescent="0.2">
      <c r="A441">
        <v>564</v>
      </c>
      <c r="B441" s="6" t="b">
        <f>IF(OR(F441="NA",G441="wide_value"),"",TRUE)</f>
        <v>1</v>
      </c>
      <c r="C441" s="6" t="s">
        <v>113</v>
      </c>
      <c r="D441" s="6" t="s">
        <v>192</v>
      </c>
      <c r="E441" s="6" t="s">
        <v>115</v>
      </c>
      <c r="F441" s="15" t="s">
        <v>929</v>
      </c>
      <c r="G441" s="6" t="s">
        <v>1291</v>
      </c>
      <c r="H441" s="6" t="s">
        <v>1292</v>
      </c>
      <c r="I441" s="16" t="s">
        <v>928</v>
      </c>
      <c r="J441" s="6"/>
      <c r="K441" s="6"/>
      <c r="L441" s="5" t="s">
        <v>1293</v>
      </c>
    </row>
    <row r="442" spans="1:12" x14ac:dyDescent="0.2">
      <c r="A442">
        <v>565</v>
      </c>
      <c r="B442" s="6" t="b">
        <f>IF(OR(F442="NA",G442="wide_value"),"",TRUE)</f>
        <v>1</v>
      </c>
      <c r="C442" s="6" t="s">
        <v>113</v>
      </c>
      <c r="D442" s="6" t="s">
        <v>192</v>
      </c>
      <c r="E442" s="6" t="s">
        <v>115</v>
      </c>
      <c r="F442" s="15" t="s">
        <v>931</v>
      </c>
      <c r="G442" s="6" t="s">
        <v>1291</v>
      </c>
      <c r="H442" s="6" t="s">
        <v>1292</v>
      </c>
      <c r="I442" s="16" t="s">
        <v>930</v>
      </c>
      <c r="J442" s="6"/>
      <c r="K442" s="6"/>
      <c r="L442" s="5" t="s">
        <v>1293</v>
      </c>
    </row>
    <row r="443" spans="1:12" x14ac:dyDescent="0.2">
      <c r="A443">
        <v>566</v>
      </c>
      <c r="B443" s="6" t="b">
        <f>IF(OR(F443="NA",G443="wide_value"),"",TRUE)</f>
        <v>1</v>
      </c>
      <c r="C443" s="6" t="s">
        <v>113</v>
      </c>
      <c r="D443" s="6" t="s">
        <v>192</v>
      </c>
      <c r="E443" s="6" t="s">
        <v>115</v>
      </c>
      <c r="F443" s="15" t="s">
        <v>932</v>
      </c>
      <c r="G443" s="6" t="s">
        <v>1291</v>
      </c>
      <c r="H443" s="6" t="s">
        <v>1292</v>
      </c>
      <c r="I443" s="20" t="s">
        <v>1584</v>
      </c>
      <c r="J443" s="6"/>
      <c r="K443" s="6"/>
      <c r="L443" s="5" t="s">
        <v>1293</v>
      </c>
    </row>
    <row r="444" spans="1:12" x14ac:dyDescent="0.2">
      <c r="A444">
        <v>567</v>
      </c>
      <c r="B444" s="6" t="b">
        <f>IF(OR(F444="NA",G444="wide_value"),"",TRUE)</f>
        <v>1</v>
      </c>
      <c r="C444" s="6" t="s">
        <v>113</v>
      </c>
      <c r="D444" s="6" t="s">
        <v>192</v>
      </c>
      <c r="E444" s="6" t="s">
        <v>115</v>
      </c>
      <c r="F444" s="15" t="s">
        <v>934</v>
      </c>
      <c r="G444" s="6" t="s">
        <v>1291</v>
      </c>
      <c r="H444" s="6" t="s">
        <v>1292</v>
      </c>
      <c r="I444" s="16" t="s">
        <v>933</v>
      </c>
      <c r="J444" s="6"/>
      <c r="K444" s="6"/>
      <c r="L444" s="5" t="s">
        <v>1293</v>
      </c>
    </row>
    <row r="445" spans="1:12" x14ac:dyDescent="0.2">
      <c r="A445">
        <v>568</v>
      </c>
      <c r="B445" s="6" t="b">
        <f>IF(OR(F445="NA",G445="wide_value"),"",TRUE)</f>
        <v>1</v>
      </c>
      <c r="C445" s="6" t="s">
        <v>113</v>
      </c>
      <c r="D445" s="6" t="s">
        <v>192</v>
      </c>
      <c r="E445" s="6" t="s">
        <v>115</v>
      </c>
      <c r="F445" s="15" t="s">
        <v>936</v>
      </c>
      <c r="G445" s="6" t="s">
        <v>1291</v>
      </c>
      <c r="H445" s="6" t="s">
        <v>1292</v>
      </c>
      <c r="I445" s="16" t="s">
        <v>935</v>
      </c>
      <c r="J445" s="6"/>
      <c r="K445" s="6"/>
      <c r="L445" s="5" t="s">
        <v>1293</v>
      </c>
    </row>
    <row r="446" spans="1:12" x14ac:dyDescent="0.2">
      <c r="A446">
        <v>569</v>
      </c>
      <c r="B446" s="6" t="b">
        <f>IF(OR(F446="NA",G446="wide_value"),"",TRUE)</f>
        <v>1</v>
      </c>
      <c r="C446" s="6" t="s">
        <v>113</v>
      </c>
      <c r="D446" s="6" t="s">
        <v>192</v>
      </c>
      <c r="E446" s="6" t="s">
        <v>115</v>
      </c>
      <c r="F446" s="15" t="s">
        <v>938</v>
      </c>
      <c r="G446" s="6" t="s">
        <v>1291</v>
      </c>
      <c r="H446" s="6" t="s">
        <v>1292</v>
      </c>
      <c r="I446" s="16" t="s">
        <v>937</v>
      </c>
      <c r="J446" s="6"/>
      <c r="K446" s="6"/>
      <c r="L446" s="5" t="s">
        <v>1293</v>
      </c>
    </row>
    <row r="447" spans="1:12" x14ac:dyDescent="0.2">
      <c r="A447">
        <v>570</v>
      </c>
      <c r="B447" s="6" t="b">
        <f>IF(OR(F447="NA",G447="wide_value"),"",TRUE)</f>
        <v>1</v>
      </c>
      <c r="C447" s="6" t="s">
        <v>113</v>
      </c>
      <c r="D447" s="6" t="s">
        <v>192</v>
      </c>
      <c r="E447" s="6" t="s">
        <v>115</v>
      </c>
      <c r="F447" s="15" t="s">
        <v>940</v>
      </c>
      <c r="G447" s="6" t="s">
        <v>1291</v>
      </c>
      <c r="H447" s="6" t="s">
        <v>1292</v>
      </c>
      <c r="I447" s="16" t="s">
        <v>939</v>
      </c>
      <c r="J447" s="6"/>
      <c r="K447" s="6"/>
      <c r="L447" s="5" t="s">
        <v>1293</v>
      </c>
    </row>
    <row r="448" spans="1:12" x14ac:dyDescent="0.2">
      <c r="A448">
        <v>571</v>
      </c>
      <c r="B448" s="6" t="b">
        <f>IF(OR(F448="NA",G448="wide_value"),"",TRUE)</f>
        <v>1</v>
      </c>
      <c r="C448" s="6" t="s">
        <v>113</v>
      </c>
      <c r="D448" s="6" t="s">
        <v>192</v>
      </c>
      <c r="E448" s="6" t="s">
        <v>115</v>
      </c>
      <c r="F448" s="15" t="s">
        <v>942</v>
      </c>
      <c r="G448" s="6" t="s">
        <v>1291</v>
      </c>
      <c r="H448" s="6" t="s">
        <v>1292</v>
      </c>
      <c r="I448" s="16" t="s">
        <v>941</v>
      </c>
      <c r="J448" s="6"/>
      <c r="K448" s="6"/>
      <c r="L448" s="5" t="s">
        <v>1293</v>
      </c>
    </row>
    <row r="449" spans="1:12" x14ac:dyDescent="0.2">
      <c r="A449">
        <v>572</v>
      </c>
      <c r="B449" s="6" t="b">
        <f>IF(OR(F449="NA",G449="wide_value"),"",TRUE)</f>
        <v>1</v>
      </c>
      <c r="C449" s="6" t="s">
        <v>113</v>
      </c>
      <c r="D449" s="6" t="s">
        <v>192</v>
      </c>
      <c r="E449" s="6" t="s">
        <v>115</v>
      </c>
      <c r="F449" s="15" t="s">
        <v>943</v>
      </c>
      <c r="G449" s="6" t="s">
        <v>1291</v>
      </c>
      <c r="H449" s="6" t="s">
        <v>1292</v>
      </c>
      <c r="I449" s="20" t="s">
        <v>639</v>
      </c>
      <c r="J449" s="6"/>
      <c r="K449" s="6"/>
      <c r="L449" s="5" t="s">
        <v>1293</v>
      </c>
    </row>
    <row r="450" spans="1:12" x14ac:dyDescent="0.2">
      <c r="A450">
        <v>573</v>
      </c>
      <c r="B450" s="6" t="b">
        <f>IF(OR(F450="NA",G450="wide_value"),"",TRUE)</f>
        <v>1</v>
      </c>
      <c r="C450" s="6" t="s">
        <v>113</v>
      </c>
      <c r="D450" s="6" t="s">
        <v>192</v>
      </c>
      <c r="E450" s="6" t="s">
        <v>115</v>
      </c>
      <c r="F450" s="15" t="s">
        <v>945</v>
      </c>
      <c r="G450" s="6" t="s">
        <v>1291</v>
      </c>
      <c r="H450" s="6" t="s">
        <v>1292</v>
      </c>
      <c r="I450" s="16" t="s">
        <v>944</v>
      </c>
      <c r="J450" s="6"/>
      <c r="K450" s="6"/>
      <c r="L450" s="5" t="s">
        <v>1293</v>
      </c>
    </row>
    <row r="451" spans="1:12" x14ac:dyDescent="0.2">
      <c r="A451">
        <v>574</v>
      </c>
      <c r="B451" s="6" t="b">
        <f>IF(OR(F451="NA",G451="wide_value"),"",TRUE)</f>
        <v>1</v>
      </c>
      <c r="C451" s="6" t="s">
        <v>113</v>
      </c>
      <c r="D451" s="6" t="s">
        <v>192</v>
      </c>
      <c r="E451" s="6" t="s">
        <v>115</v>
      </c>
      <c r="F451" s="15" t="s">
        <v>947</v>
      </c>
      <c r="G451" s="6" t="s">
        <v>1291</v>
      </c>
      <c r="H451" s="6" t="s">
        <v>1292</v>
      </c>
      <c r="I451" s="16" t="s">
        <v>946</v>
      </c>
      <c r="J451" s="6"/>
      <c r="K451" s="6"/>
      <c r="L451" s="5" t="s">
        <v>1293</v>
      </c>
    </row>
    <row r="452" spans="1:12" x14ac:dyDescent="0.2">
      <c r="A452">
        <v>575</v>
      </c>
      <c r="B452" s="6" t="b">
        <f>IF(OR(F452="NA",G452="wide_value"),"",TRUE)</f>
        <v>1</v>
      </c>
      <c r="C452" s="6" t="s">
        <v>113</v>
      </c>
      <c r="D452" s="6" t="s">
        <v>192</v>
      </c>
      <c r="E452" s="6" t="s">
        <v>115</v>
      </c>
      <c r="F452" s="15" t="s">
        <v>949</v>
      </c>
      <c r="G452" s="6" t="s">
        <v>1291</v>
      </c>
      <c r="H452" s="6" t="s">
        <v>1292</v>
      </c>
      <c r="I452" s="16" t="s">
        <v>948</v>
      </c>
      <c r="J452" s="6"/>
      <c r="K452" s="6"/>
      <c r="L452" s="5" t="s">
        <v>1293</v>
      </c>
    </row>
    <row r="453" spans="1:12" x14ac:dyDescent="0.2">
      <c r="A453">
        <v>576</v>
      </c>
      <c r="B453" s="6" t="b">
        <f>IF(OR(F453="NA",G453="wide_value"),"",TRUE)</f>
        <v>1</v>
      </c>
      <c r="C453" s="6" t="s">
        <v>113</v>
      </c>
      <c r="D453" s="6" t="s">
        <v>192</v>
      </c>
      <c r="E453" s="6" t="s">
        <v>115</v>
      </c>
      <c r="F453" s="15" t="s">
        <v>951</v>
      </c>
      <c r="G453" s="6" t="s">
        <v>1291</v>
      </c>
      <c r="H453" s="6" t="s">
        <v>1292</v>
      </c>
      <c r="I453" s="16" t="s">
        <v>950</v>
      </c>
      <c r="J453" s="6"/>
      <c r="K453" s="6"/>
      <c r="L453" s="5" t="s">
        <v>1293</v>
      </c>
    </row>
    <row r="454" spans="1:12" x14ac:dyDescent="0.2">
      <c r="A454">
        <v>577</v>
      </c>
      <c r="B454" s="6" t="b">
        <f>IF(OR(F454="NA",G454="wide_value"),"",TRUE)</f>
        <v>1</v>
      </c>
      <c r="C454" s="6" t="s">
        <v>113</v>
      </c>
      <c r="D454" s="6" t="s">
        <v>192</v>
      </c>
      <c r="E454" s="6" t="s">
        <v>115</v>
      </c>
      <c r="F454" s="15" t="s">
        <v>953</v>
      </c>
      <c r="G454" s="6" t="s">
        <v>1291</v>
      </c>
      <c r="H454" s="6" t="s">
        <v>1292</v>
      </c>
      <c r="I454" s="16" t="s">
        <v>952</v>
      </c>
      <c r="J454" s="6"/>
      <c r="K454" s="6"/>
      <c r="L454" s="5" t="s">
        <v>1293</v>
      </c>
    </row>
    <row r="455" spans="1:12" x14ac:dyDescent="0.2">
      <c r="A455">
        <v>578</v>
      </c>
      <c r="B455" s="6" t="b">
        <f>IF(OR(F455="NA",G455="wide_value"),"",TRUE)</f>
        <v>1</v>
      </c>
      <c r="C455" s="6" t="s">
        <v>113</v>
      </c>
      <c r="D455" s="6" t="s">
        <v>192</v>
      </c>
      <c r="E455" s="6" t="s">
        <v>115</v>
      </c>
      <c r="F455" s="15" t="s">
        <v>955</v>
      </c>
      <c r="G455" s="6" t="s">
        <v>1291</v>
      </c>
      <c r="H455" s="6" t="s">
        <v>1292</v>
      </c>
      <c r="I455" s="16" t="s">
        <v>954</v>
      </c>
      <c r="J455" s="6"/>
      <c r="K455" s="6"/>
      <c r="L455" s="5" t="s">
        <v>1293</v>
      </c>
    </row>
    <row r="456" spans="1:12" x14ac:dyDescent="0.2">
      <c r="A456">
        <v>579</v>
      </c>
      <c r="B456" s="6" t="b">
        <f>IF(OR(F456="NA",G456="wide_value"),"",TRUE)</f>
        <v>1</v>
      </c>
      <c r="C456" s="6" t="s">
        <v>113</v>
      </c>
      <c r="D456" s="6" t="s">
        <v>192</v>
      </c>
      <c r="E456" s="6" t="s">
        <v>115</v>
      </c>
      <c r="F456" s="15" t="s">
        <v>957</v>
      </c>
      <c r="G456" s="6" t="s">
        <v>1291</v>
      </c>
      <c r="H456" s="6" t="s">
        <v>1292</v>
      </c>
      <c r="I456" s="16" t="s">
        <v>956</v>
      </c>
      <c r="J456" s="6"/>
      <c r="K456" s="6"/>
      <c r="L456" s="5" t="s">
        <v>1293</v>
      </c>
    </row>
    <row r="457" spans="1:12" x14ac:dyDescent="0.2">
      <c r="A457">
        <v>580</v>
      </c>
      <c r="B457" s="6" t="b">
        <f>IF(OR(F457="NA",G457="wide_value"),"",TRUE)</f>
        <v>1</v>
      </c>
      <c r="C457" s="6" t="s">
        <v>113</v>
      </c>
      <c r="D457" s="6" t="s">
        <v>192</v>
      </c>
      <c r="E457" s="6" t="s">
        <v>115</v>
      </c>
      <c r="F457" s="15" t="s">
        <v>959</v>
      </c>
      <c r="G457" s="6" t="s">
        <v>1291</v>
      </c>
      <c r="H457" s="6" t="s">
        <v>1292</v>
      </c>
      <c r="I457" s="16" t="s">
        <v>958</v>
      </c>
      <c r="J457" s="6"/>
      <c r="K457" s="6"/>
      <c r="L457" s="5" t="s">
        <v>1293</v>
      </c>
    </row>
    <row r="458" spans="1:12" x14ac:dyDescent="0.2">
      <c r="A458">
        <v>581</v>
      </c>
      <c r="B458" s="6" t="b">
        <f>IF(OR(F458="NA",G458="wide_value"),"",TRUE)</f>
        <v>1</v>
      </c>
      <c r="C458" s="6" t="s">
        <v>113</v>
      </c>
      <c r="D458" s="6" t="s">
        <v>192</v>
      </c>
      <c r="E458" s="6" t="s">
        <v>115</v>
      </c>
      <c r="F458" s="15" t="s">
        <v>961</v>
      </c>
      <c r="G458" s="6" t="s">
        <v>1291</v>
      </c>
      <c r="H458" s="6" t="s">
        <v>1292</v>
      </c>
      <c r="I458" s="16" t="s">
        <v>960</v>
      </c>
      <c r="J458" s="6"/>
      <c r="K458" s="6"/>
      <c r="L458" s="5" t="s">
        <v>1293</v>
      </c>
    </row>
    <row r="459" spans="1:12" x14ac:dyDescent="0.2">
      <c r="A459">
        <v>582</v>
      </c>
      <c r="B459" s="6" t="b">
        <f>IF(OR(F459="NA",G459="wide_value"),"",TRUE)</f>
        <v>1</v>
      </c>
      <c r="C459" s="6" t="s">
        <v>113</v>
      </c>
      <c r="D459" s="6" t="s">
        <v>192</v>
      </c>
      <c r="E459" s="6" t="s">
        <v>115</v>
      </c>
      <c r="F459" s="15" t="s">
        <v>963</v>
      </c>
      <c r="G459" s="6" t="s">
        <v>1291</v>
      </c>
      <c r="H459" s="6" t="s">
        <v>1292</v>
      </c>
      <c r="I459" s="16" t="s">
        <v>962</v>
      </c>
      <c r="J459" s="6"/>
      <c r="K459" s="6"/>
      <c r="L459" s="5" t="s">
        <v>1293</v>
      </c>
    </row>
    <row r="460" spans="1:12" x14ac:dyDescent="0.2">
      <c r="A460">
        <v>583</v>
      </c>
      <c r="B460" s="6" t="b">
        <f>IF(OR(F460="NA",G460="wide_value"),"",TRUE)</f>
        <v>1</v>
      </c>
      <c r="C460" s="6" t="s">
        <v>113</v>
      </c>
      <c r="D460" s="6" t="s">
        <v>192</v>
      </c>
      <c r="E460" s="6" t="s">
        <v>115</v>
      </c>
      <c r="F460" s="15" t="s">
        <v>965</v>
      </c>
      <c r="G460" s="6" t="s">
        <v>1291</v>
      </c>
      <c r="H460" s="6" t="s">
        <v>1292</v>
      </c>
      <c r="I460" s="16" t="s">
        <v>964</v>
      </c>
      <c r="J460" s="6"/>
      <c r="K460" s="6"/>
      <c r="L460" s="5" t="s">
        <v>1293</v>
      </c>
    </row>
    <row r="461" spans="1:12" x14ac:dyDescent="0.2">
      <c r="A461">
        <v>584</v>
      </c>
      <c r="B461" s="6" t="b">
        <f>IF(OR(F461="NA",G461="wide_value"),"",TRUE)</f>
        <v>1</v>
      </c>
      <c r="C461" s="6" t="s">
        <v>113</v>
      </c>
      <c r="D461" s="6" t="s">
        <v>192</v>
      </c>
      <c r="E461" s="6" t="s">
        <v>115</v>
      </c>
      <c r="F461" s="15" t="s">
        <v>967</v>
      </c>
      <c r="G461" s="6" t="s">
        <v>1291</v>
      </c>
      <c r="H461" s="6" t="s">
        <v>1292</v>
      </c>
      <c r="I461" s="16" t="s">
        <v>966</v>
      </c>
      <c r="J461" s="6"/>
      <c r="K461" s="6"/>
      <c r="L461" s="5" t="s">
        <v>1293</v>
      </c>
    </row>
    <row r="462" spans="1:12" x14ac:dyDescent="0.2">
      <c r="A462">
        <v>585</v>
      </c>
      <c r="B462" s="6" t="b">
        <f>IF(OR(F462="NA",G462="wide_value"),"",TRUE)</f>
        <v>1</v>
      </c>
      <c r="C462" s="6" t="s">
        <v>113</v>
      </c>
      <c r="D462" s="6" t="s">
        <v>192</v>
      </c>
      <c r="E462" s="6" t="s">
        <v>115</v>
      </c>
      <c r="F462" s="15" t="s">
        <v>968</v>
      </c>
      <c r="G462" s="6" t="s">
        <v>1291</v>
      </c>
      <c r="H462" s="6" t="s">
        <v>1423</v>
      </c>
      <c r="I462" s="20" t="s">
        <v>1578</v>
      </c>
      <c r="J462" s="6"/>
      <c r="K462" s="6" t="s">
        <v>1561</v>
      </c>
      <c r="L462" s="5" t="s">
        <v>1293</v>
      </c>
    </row>
    <row r="463" spans="1:12" x14ac:dyDescent="0.2">
      <c r="A463">
        <v>586</v>
      </c>
      <c r="B463" s="6" t="b">
        <f>IF(OR(F463="NA",G463="wide_value"),"",TRUE)</f>
        <v>1</v>
      </c>
      <c r="C463" s="6" t="s">
        <v>113</v>
      </c>
      <c r="D463" s="6" t="s">
        <v>192</v>
      </c>
      <c r="E463" s="6" t="s">
        <v>115</v>
      </c>
      <c r="F463" s="15" t="s">
        <v>970</v>
      </c>
      <c r="G463" s="6" t="s">
        <v>1291</v>
      </c>
      <c r="H463" s="6" t="s">
        <v>1292</v>
      </c>
      <c r="I463" s="16" t="s">
        <v>969</v>
      </c>
      <c r="J463" s="6"/>
      <c r="K463" s="6"/>
      <c r="L463" s="5" t="s">
        <v>1293</v>
      </c>
    </row>
    <row r="464" spans="1:12" x14ac:dyDescent="0.2">
      <c r="A464">
        <v>587</v>
      </c>
      <c r="B464" s="6" t="b">
        <f>IF(OR(F464="NA",G464="wide_value"),"",TRUE)</f>
        <v>1</v>
      </c>
      <c r="C464" s="6" t="s">
        <v>113</v>
      </c>
      <c r="D464" s="6" t="s">
        <v>192</v>
      </c>
      <c r="E464" s="6" t="s">
        <v>115</v>
      </c>
      <c r="F464" s="15" t="s">
        <v>972</v>
      </c>
      <c r="G464" s="6" t="s">
        <v>1291</v>
      </c>
      <c r="H464" s="6" t="s">
        <v>1292</v>
      </c>
      <c r="I464" s="16" t="s">
        <v>971</v>
      </c>
      <c r="J464" s="6"/>
      <c r="K464" s="6"/>
      <c r="L464" s="5" t="s">
        <v>1293</v>
      </c>
    </row>
    <row r="465" spans="1:12" x14ac:dyDescent="0.2">
      <c r="A465">
        <v>588</v>
      </c>
      <c r="B465" s="6" t="b">
        <f>IF(OR(F465="NA",G465="wide_value"),"",TRUE)</f>
        <v>1</v>
      </c>
      <c r="C465" s="6" t="s">
        <v>113</v>
      </c>
      <c r="D465" s="6" t="s">
        <v>192</v>
      </c>
      <c r="E465" s="6" t="s">
        <v>115</v>
      </c>
      <c r="F465" s="15" t="s">
        <v>974</v>
      </c>
      <c r="G465" s="6" t="s">
        <v>1291</v>
      </c>
      <c r="H465" s="6" t="s">
        <v>1292</v>
      </c>
      <c r="I465" s="16" t="s">
        <v>973</v>
      </c>
      <c r="J465" s="6"/>
      <c r="K465" s="6"/>
      <c r="L465" s="5" t="s">
        <v>1293</v>
      </c>
    </row>
    <row r="466" spans="1:12" x14ac:dyDescent="0.2">
      <c r="A466">
        <v>589</v>
      </c>
      <c r="B466" s="6" t="b">
        <f>IF(OR(F466="NA",G466="wide_value"),"",TRUE)</f>
        <v>1</v>
      </c>
      <c r="C466" s="6" t="s">
        <v>113</v>
      </c>
      <c r="D466" s="6" t="s">
        <v>192</v>
      </c>
      <c r="E466" s="6" t="s">
        <v>115</v>
      </c>
      <c r="F466" s="15" t="s">
        <v>976</v>
      </c>
      <c r="G466" s="6" t="s">
        <v>1291</v>
      </c>
      <c r="H466" s="6" t="s">
        <v>1292</v>
      </c>
      <c r="I466" s="16" t="s">
        <v>975</v>
      </c>
      <c r="J466" s="6"/>
      <c r="K466" s="6"/>
      <c r="L466" s="5" t="s">
        <v>1293</v>
      </c>
    </row>
    <row r="467" spans="1:12" x14ac:dyDescent="0.2">
      <c r="A467">
        <v>590</v>
      </c>
      <c r="B467" s="6" t="b">
        <f>IF(OR(F467="NA",G467="wide_value"),"",TRUE)</f>
        <v>1</v>
      </c>
      <c r="C467" s="6" t="s">
        <v>113</v>
      </c>
      <c r="D467" s="6" t="s">
        <v>192</v>
      </c>
      <c r="E467" s="6" t="s">
        <v>115</v>
      </c>
      <c r="F467" s="15" t="s">
        <v>978</v>
      </c>
      <c r="G467" s="6" t="s">
        <v>1291</v>
      </c>
      <c r="H467" s="6" t="s">
        <v>1292</v>
      </c>
      <c r="I467" s="16" t="s">
        <v>977</v>
      </c>
      <c r="J467" s="6"/>
      <c r="K467" s="6"/>
      <c r="L467" s="5" t="s">
        <v>1293</v>
      </c>
    </row>
    <row r="468" spans="1:12" x14ac:dyDescent="0.2">
      <c r="A468">
        <v>591</v>
      </c>
      <c r="B468" s="6" t="b">
        <f>IF(OR(F468="NA",G468="wide_value"),"",TRUE)</f>
        <v>1</v>
      </c>
      <c r="C468" s="6" t="s">
        <v>113</v>
      </c>
      <c r="D468" s="6" t="s">
        <v>192</v>
      </c>
      <c r="E468" s="6" t="s">
        <v>115</v>
      </c>
      <c r="F468" s="15" t="s">
        <v>980</v>
      </c>
      <c r="G468" s="6" t="s">
        <v>1291</v>
      </c>
      <c r="H468" s="6" t="s">
        <v>1292</v>
      </c>
      <c r="I468" s="16" t="s">
        <v>979</v>
      </c>
      <c r="J468" s="6"/>
      <c r="K468" s="6"/>
      <c r="L468" s="5" t="s">
        <v>1293</v>
      </c>
    </row>
    <row r="469" spans="1:12" x14ac:dyDescent="0.2">
      <c r="A469">
        <v>592</v>
      </c>
      <c r="B469" s="6" t="b">
        <f>IF(OR(F469="NA",G469="wide_value"),"",TRUE)</f>
        <v>1</v>
      </c>
      <c r="C469" s="6" t="s">
        <v>113</v>
      </c>
      <c r="D469" s="6" t="s">
        <v>192</v>
      </c>
      <c r="E469" s="6" t="s">
        <v>115</v>
      </c>
      <c r="F469" s="15" t="s">
        <v>982</v>
      </c>
      <c r="G469" s="6" t="s">
        <v>1291</v>
      </c>
      <c r="H469" s="6" t="s">
        <v>1292</v>
      </c>
      <c r="I469" s="16" t="s">
        <v>981</v>
      </c>
      <c r="J469" s="6"/>
      <c r="K469" s="6"/>
      <c r="L469" s="5" t="s">
        <v>1293</v>
      </c>
    </row>
    <row r="470" spans="1:12" x14ac:dyDescent="0.2">
      <c r="A470">
        <v>593</v>
      </c>
      <c r="B470" s="6" t="b">
        <f>IF(OR(F470="NA",G470="wide_value"),"",TRUE)</f>
        <v>1</v>
      </c>
      <c r="C470" s="6" t="s">
        <v>113</v>
      </c>
      <c r="D470" s="6" t="s">
        <v>192</v>
      </c>
      <c r="E470" s="6" t="s">
        <v>115</v>
      </c>
      <c r="F470" s="15" t="s">
        <v>984</v>
      </c>
      <c r="G470" s="6" t="s">
        <v>1291</v>
      </c>
      <c r="H470" s="6" t="s">
        <v>1292</v>
      </c>
      <c r="I470" s="16" t="s">
        <v>983</v>
      </c>
      <c r="J470" s="6"/>
      <c r="K470" s="6"/>
      <c r="L470" s="5" t="s">
        <v>1293</v>
      </c>
    </row>
    <row r="471" spans="1:12" x14ac:dyDescent="0.2">
      <c r="A471">
        <v>594</v>
      </c>
      <c r="B471" s="6" t="b">
        <f>IF(OR(F471="NA",G471="wide_value"),"",TRUE)</f>
        <v>1</v>
      </c>
      <c r="C471" s="6" t="s">
        <v>113</v>
      </c>
      <c r="D471" s="6" t="s">
        <v>192</v>
      </c>
      <c r="E471" s="6" t="s">
        <v>115</v>
      </c>
      <c r="F471" s="15" t="s">
        <v>986</v>
      </c>
      <c r="G471" s="6" t="s">
        <v>1291</v>
      </c>
      <c r="H471" s="6" t="s">
        <v>1292</v>
      </c>
      <c r="I471" s="16" t="s">
        <v>985</v>
      </c>
      <c r="J471" s="6"/>
      <c r="K471" s="6"/>
      <c r="L471" s="5" t="s">
        <v>1293</v>
      </c>
    </row>
    <row r="472" spans="1:12" x14ac:dyDescent="0.2">
      <c r="A472">
        <v>595</v>
      </c>
      <c r="B472" s="6" t="b">
        <f>IF(OR(F472="NA",G472="wide_value"),"",TRUE)</f>
        <v>1</v>
      </c>
      <c r="C472" s="6" t="s">
        <v>113</v>
      </c>
      <c r="D472" s="6" t="s">
        <v>192</v>
      </c>
      <c r="E472" s="6" t="s">
        <v>115</v>
      </c>
      <c r="F472" s="15" t="s">
        <v>988</v>
      </c>
      <c r="G472" s="6" t="s">
        <v>1291</v>
      </c>
      <c r="H472" s="6" t="s">
        <v>1292</v>
      </c>
      <c r="I472" s="16" t="s">
        <v>987</v>
      </c>
      <c r="J472" s="6"/>
      <c r="K472" s="6"/>
      <c r="L472" s="5" t="s">
        <v>1293</v>
      </c>
    </row>
    <row r="473" spans="1:12" x14ac:dyDescent="0.2">
      <c r="A473">
        <v>596</v>
      </c>
      <c r="B473" s="6" t="b">
        <f>IF(OR(F473="NA",G473="wide_value"),"",TRUE)</f>
        <v>1</v>
      </c>
      <c r="C473" s="6" t="s">
        <v>113</v>
      </c>
      <c r="D473" s="6" t="s">
        <v>192</v>
      </c>
      <c r="E473" s="6" t="s">
        <v>115</v>
      </c>
      <c r="F473" s="15" t="s">
        <v>990</v>
      </c>
      <c r="G473" s="6" t="s">
        <v>1291</v>
      </c>
      <c r="H473" s="6" t="s">
        <v>1292</v>
      </c>
      <c r="I473" s="16" t="s">
        <v>989</v>
      </c>
      <c r="J473" s="6"/>
      <c r="K473" s="6"/>
      <c r="L473" s="5" t="s">
        <v>1293</v>
      </c>
    </row>
    <row r="474" spans="1:12" x14ac:dyDescent="0.2">
      <c r="A474">
        <v>597</v>
      </c>
      <c r="B474" s="6" t="b">
        <f>IF(OR(F474="NA",G474="wide_value"),"",TRUE)</f>
        <v>1</v>
      </c>
      <c r="C474" s="6" t="s">
        <v>113</v>
      </c>
      <c r="D474" s="6" t="s">
        <v>192</v>
      </c>
      <c r="E474" s="6" t="s">
        <v>115</v>
      </c>
      <c r="F474" s="15" t="s">
        <v>992</v>
      </c>
      <c r="G474" s="6" t="s">
        <v>1291</v>
      </c>
      <c r="H474" s="6" t="s">
        <v>1292</v>
      </c>
      <c r="I474" s="16" t="s">
        <v>991</v>
      </c>
      <c r="J474" s="6"/>
      <c r="K474" s="6"/>
      <c r="L474" s="5" t="s">
        <v>1293</v>
      </c>
    </row>
    <row r="475" spans="1:12" x14ac:dyDescent="0.2">
      <c r="A475">
        <v>598</v>
      </c>
      <c r="B475" s="6" t="b">
        <f>IF(OR(F475="NA",G475="wide_value"),"",TRUE)</f>
        <v>1</v>
      </c>
      <c r="C475" s="6" t="s">
        <v>113</v>
      </c>
      <c r="D475" s="6" t="s">
        <v>192</v>
      </c>
      <c r="E475" s="6" t="s">
        <v>115</v>
      </c>
      <c r="F475" s="15" t="s">
        <v>994</v>
      </c>
      <c r="G475" s="6" t="s">
        <v>1291</v>
      </c>
      <c r="H475" s="6" t="s">
        <v>1292</v>
      </c>
      <c r="I475" s="16" t="s">
        <v>993</v>
      </c>
      <c r="J475" s="6"/>
      <c r="K475" s="6"/>
      <c r="L475" s="5" t="s">
        <v>1293</v>
      </c>
    </row>
    <row r="476" spans="1:12" x14ac:dyDescent="0.2">
      <c r="A476">
        <v>599</v>
      </c>
      <c r="B476" s="6" t="b">
        <f>IF(OR(F476="NA",G476="wide_value"),"",TRUE)</f>
        <v>1</v>
      </c>
      <c r="C476" s="6" t="s">
        <v>113</v>
      </c>
      <c r="D476" s="6" t="s">
        <v>192</v>
      </c>
      <c r="E476" s="6" t="s">
        <v>115</v>
      </c>
      <c r="F476" s="15" t="s">
        <v>996</v>
      </c>
      <c r="G476" s="6" t="s">
        <v>1291</v>
      </c>
      <c r="H476" s="6" t="s">
        <v>1292</v>
      </c>
      <c r="I476" s="16" t="s">
        <v>995</v>
      </c>
      <c r="J476" s="6"/>
      <c r="K476" s="6"/>
      <c r="L476" s="5" t="s">
        <v>1293</v>
      </c>
    </row>
    <row r="477" spans="1:12" x14ac:dyDescent="0.2">
      <c r="A477">
        <v>600</v>
      </c>
      <c r="B477" s="6" t="b">
        <f>IF(OR(F477="NA",G477="wide_value"),"",TRUE)</f>
        <v>1</v>
      </c>
      <c r="C477" s="6" t="s">
        <v>113</v>
      </c>
      <c r="D477" s="6" t="s">
        <v>192</v>
      </c>
      <c r="E477" s="6" t="s">
        <v>115</v>
      </c>
      <c r="F477" s="15" t="s">
        <v>998</v>
      </c>
      <c r="G477" s="6" t="s">
        <v>1291</v>
      </c>
      <c r="H477" s="6" t="s">
        <v>1292</v>
      </c>
      <c r="I477" s="16" t="s">
        <v>997</v>
      </c>
      <c r="J477" s="6"/>
      <c r="K477" s="6"/>
      <c r="L477" s="5" t="s">
        <v>1293</v>
      </c>
    </row>
    <row r="478" spans="1:12" x14ac:dyDescent="0.2">
      <c r="A478">
        <v>601</v>
      </c>
      <c r="B478" s="6" t="b">
        <f>IF(OR(F478="NA",G478="wide_value"),"",TRUE)</f>
        <v>1</v>
      </c>
      <c r="C478" s="6" t="s">
        <v>113</v>
      </c>
      <c r="D478" s="6" t="s">
        <v>192</v>
      </c>
      <c r="E478" s="6" t="s">
        <v>115</v>
      </c>
      <c r="F478" s="15" t="s">
        <v>1000</v>
      </c>
      <c r="G478" s="6" t="s">
        <v>1291</v>
      </c>
      <c r="H478" s="6" t="s">
        <v>1292</v>
      </c>
      <c r="I478" s="16" t="s">
        <v>999</v>
      </c>
      <c r="J478" s="6"/>
      <c r="K478" s="6"/>
      <c r="L478" s="5" t="s">
        <v>1293</v>
      </c>
    </row>
    <row r="479" spans="1:12" x14ac:dyDescent="0.2">
      <c r="A479">
        <v>602</v>
      </c>
      <c r="B479" s="6" t="b">
        <f>IF(OR(F479="NA",G479="wide_value"),"",TRUE)</f>
        <v>1</v>
      </c>
      <c r="C479" s="6" t="s">
        <v>113</v>
      </c>
      <c r="D479" s="6" t="s">
        <v>192</v>
      </c>
      <c r="E479" s="6" t="s">
        <v>115</v>
      </c>
      <c r="F479" s="15" t="s">
        <v>1001</v>
      </c>
      <c r="G479" s="6" t="s">
        <v>1291</v>
      </c>
      <c r="H479" s="6" t="s">
        <v>1423</v>
      </c>
      <c r="I479" s="20" t="s">
        <v>1579</v>
      </c>
      <c r="J479" s="6"/>
      <c r="K479" s="6" t="s">
        <v>1559</v>
      </c>
      <c r="L479" s="5" t="s">
        <v>1293</v>
      </c>
    </row>
    <row r="480" spans="1:12" x14ac:dyDescent="0.2">
      <c r="A480">
        <v>603</v>
      </c>
      <c r="B480" s="6" t="b">
        <f>IF(OR(F480="NA",G480="wide_value"),"",TRUE)</f>
        <v>1</v>
      </c>
      <c r="C480" s="6" t="s">
        <v>113</v>
      </c>
      <c r="D480" s="6" t="s">
        <v>192</v>
      </c>
      <c r="E480" s="6" t="s">
        <v>115</v>
      </c>
      <c r="F480" s="15" t="s">
        <v>1003</v>
      </c>
      <c r="G480" s="6" t="s">
        <v>1291</v>
      </c>
      <c r="H480" s="6" t="s">
        <v>1292</v>
      </c>
      <c r="I480" s="16" t="s">
        <v>1002</v>
      </c>
      <c r="J480" s="6"/>
      <c r="K480" s="6"/>
      <c r="L480" s="5" t="s">
        <v>1293</v>
      </c>
    </row>
    <row r="481" spans="1:12" x14ac:dyDescent="0.2">
      <c r="A481">
        <v>604</v>
      </c>
      <c r="B481" s="6" t="b">
        <f>IF(OR(F481="NA",G481="wide_value"),"",TRUE)</f>
        <v>1</v>
      </c>
      <c r="C481" s="6" t="s">
        <v>113</v>
      </c>
      <c r="D481" s="6" t="s">
        <v>192</v>
      </c>
      <c r="E481" s="6" t="s">
        <v>115</v>
      </c>
      <c r="F481" s="15" t="s">
        <v>1004</v>
      </c>
      <c r="G481" s="6" t="s">
        <v>1291</v>
      </c>
      <c r="H481" s="6" t="s">
        <v>1423</v>
      </c>
      <c r="I481" s="20" t="s">
        <v>1580</v>
      </c>
      <c r="J481" s="6"/>
      <c r="K481" s="6" t="s">
        <v>1569</v>
      </c>
      <c r="L481" s="5" t="s">
        <v>1293</v>
      </c>
    </row>
    <row r="482" spans="1:12" x14ac:dyDescent="0.2">
      <c r="A482">
        <v>605</v>
      </c>
      <c r="B482" s="6" t="b">
        <f>IF(OR(F482="NA",G482="wide_value"),"",TRUE)</f>
        <v>1</v>
      </c>
      <c r="C482" s="6" t="s">
        <v>113</v>
      </c>
      <c r="D482" s="6" t="s">
        <v>192</v>
      </c>
      <c r="E482" s="6" t="s">
        <v>115</v>
      </c>
      <c r="F482" s="15" t="s">
        <v>1006</v>
      </c>
      <c r="G482" s="6" t="s">
        <v>1291</v>
      </c>
      <c r="H482" s="6" t="s">
        <v>1292</v>
      </c>
      <c r="I482" s="16" t="s">
        <v>1005</v>
      </c>
      <c r="J482" s="6"/>
      <c r="K482" s="6"/>
      <c r="L482" s="5" t="s">
        <v>1293</v>
      </c>
    </row>
    <row r="483" spans="1:12" x14ac:dyDescent="0.2">
      <c r="A483">
        <v>606</v>
      </c>
      <c r="B483" s="6" t="b">
        <f>IF(OR(F483="NA",G483="wide_value"),"",TRUE)</f>
        <v>1</v>
      </c>
      <c r="C483" s="6" t="s">
        <v>113</v>
      </c>
      <c r="D483" s="6" t="s">
        <v>192</v>
      </c>
      <c r="E483" s="6" t="s">
        <v>115</v>
      </c>
      <c r="F483" s="15" t="s">
        <v>1008</v>
      </c>
      <c r="G483" s="6" t="s">
        <v>1291</v>
      </c>
      <c r="H483" s="6" t="s">
        <v>1292</v>
      </c>
      <c r="I483" s="16" t="s">
        <v>1007</v>
      </c>
      <c r="J483" s="6"/>
      <c r="K483" s="6"/>
      <c r="L483" s="5" t="s">
        <v>1293</v>
      </c>
    </row>
    <row r="484" spans="1:12" x14ac:dyDescent="0.2">
      <c r="A484">
        <v>607</v>
      </c>
      <c r="B484" s="6" t="b">
        <f>IF(OR(F484="NA",G484="wide_value"),"",TRUE)</f>
        <v>1</v>
      </c>
      <c r="C484" s="6" t="s">
        <v>113</v>
      </c>
      <c r="D484" s="6" t="s">
        <v>192</v>
      </c>
      <c r="E484" s="6" t="s">
        <v>115</v>
      </c>
      <c r="F484" s="15" t="s">
        <v>1010</v>
      </c>
      <c r="G484" s="6" t="s">
        <v>1291</v>
      </c>
      <c r="H484" s="6" t="s">
        <v>1292</v>
      </c>
      <c r="I484" s="16" t="s">
        <v>1009</v>
      </c>
      <c r="J484" s="6"/>
      <c r="K484" s="6"/>
      <c r="L484" s="5" t="s">
        <v>1293</v>
      </c>
    </row>
    <row r="485" spans="1:12" x14ac:dyDescent="0.2">
      <c r="A485">
        <v>608</v>
      </c>
      <c r="B485" s="6" t="b">
        <f>IF(OR(F485="NA",G485="wide_value"),"",TRUE)</f>
        <v>1</v>
      </c>
      <c r="C485" s="6" t="s">
        <v>113</v>
      </c>
      <c r="D485" s="6" t="s">
        <v>192</v>
      </c>
      <c r="E485" s="6" t="s">
        <v>115</v>
      </c>
      <c r="F485" s="15" t="s">
        <v>1012</v>
      </c>
      <c r="G485" s="6" t="s">
        <v>1291</v>
      </c>
      <c r="H485" s="6" t="s">
        <v>1292</v>
      </c>
      <c r="I485" s="16" t="s">
        <v>1011</v>
      </c>
      <c r="J485" s="6"/>
      <c r="K485" s="6"/>
      <c r="L485" s="5" t="s">
        <v>1293</v>
      </c>
    </row>
    <row r="486" spans="1:12" x14ac:dyDescent="0.2">
      <c r="A486">
        <v>609</v>
      </c>
      <c r="B486" s="6" t="str">
        <f>IF(OR(F486="NA",G486="wide_value"),"",TRUE)</f>
        <v/>
      </c>
      <c r="C486" s="6" t="s">
        <v>113</v>
      </c>
      <c r="D486" s="6" t="s">
        <v>192</v>
      </c>
      <c r="E486" s="6" t="s">
        <v>116</v>
      </c>
      <c r="F486" s="15" t="s">
        <v>497</v>
      </c>
      <c r="G486" s="6" t="s">
        <v>1291</v>
      </c>
      <c r="H486" s="6" t="s">
        <v>1423</v>
      </c>
      <c r="I486" s="6" t="s">
        <v>1424</v>
      </c>
      <c r="J486" s="6"/>
      <c r="K486" s="6"/>
      <c r="L486" s="5" t="s">
        <v>1425</v>
      </c>
    </row>
    <row r="487" spans="1:12" x14ac:dyDescent="0.2">
      <c r="A487">
        <v>610</v>
      </c>
      <c r="B487" s="6" t="str">
        <f>IF(OR(F487="NA",G487="wide_value"),"",TRUE)</f>
        <v/>
      </c>
      <c r="C487" s="6" t="s">
        <v>113</v>
      </c>
      <c r="D487" s="6" t="s">
        <v>192</v>
      </c>
      <c r="E487" s="6" t="s">
        <v>122</v>
      </c>
      <c r="F487" s="15" t="s">
        <v>497</v>
      </c>
      <c r="G487" s="6" t="s">
        <v>1013</v>
      </c>
      <c r="H487" s="6" t="s">
        <v>1297</v>
      </c>
      <c r="I487" s="6" t="s">
        <v>1429</v>
      </c>
      <c r="J487" s="6"/>
      <c r="K487" s="6"/>
      <c r="L487" s="5" t="s">
        <v>1432</v>
      </c>
    </row>
    <row r="488" spans="1:12" x14ac:dyDescent="0.2">
      <c r="A488">
        <v>611</v>
      </c>
      <c r="B488" s="6" t="str">
        <f>IF(OR(F488="NA",G488="wide_value"),"",TRUE)</f>
        <v/>
      </c>
      <c r="C488" s="6" t="s">
        <v>113</v>
      </c>
      <c r="D488" s="6" t="s">
        <v>192</v>
      </c>
      <c r="E488" s="6" t="s">
        <v>1692</v>
      </c>
      <c r="F488" s="6" t="s">
        <v>214</v>
      </c>
      <c r="G488" s="9" t="s">
        <v>1113</v>
      </c>
      <c r="H488" s="6"/>
      <c r="I488" s="6"/>
      <c r="J488" s="6"/>
      <c r="K488" s="6"/>
      <c r="L488" s="5" t="s">
        <v>1673</v>
      </c>
    </row>
    <row r="489" spans="1:12" x14ac:dyDescent="0.2">
      <c r="A489">
        <v>612</v>
      </c>
      <c r="B489" s="6" t="str">
        <f>IF(OR(F489="NA",G489="wide_value"),"",TRUE)</f>
        <v/>
      </c>
      <c r="C489" s="6" t="s">
        <v>113</v>
      </c>
      <c r="D489" s="6" t="s">
        <v>192</v>
      </c>
      <c r="E489" s="6" t="s">
        <v>136</v>
      </c>
      <c r="F489" s="6" t="s">
        <v>215</v>
      </c>
      <c r="G489" s="9" t="s">
        <v>1113</v>
      </c>
      <c r="H489" s="6"/>
      <c r="I489" s="6"/>
      <c r="J489" s="6"/>
      <c r="K489" s="6"/>
      <c r="L489" s="5" t="s">
        <v>1673</v>
      </c>
    </row>
    <row r="490" spans="1:12" x14ac:dyDescent="0.2">
      <c r="A490">
        <v>613</v>
      </c>
      <c r="B490" s="6" t="str">
        <f>IF(OR(F490="NA",G490="wide_value"),"",TRUE)</f>
        <v/>
      </c>
      <c r="C490" s="6" t="s">
        <v>113</v>
      </c>
      <c r="D490" s="6" t="s">
        <v>192</v>
      </c>
      <c r="E490" s="6" t="s">
        <v>136</v>
      </c>
      <c r="F490" s="6" t="s">
        <v>216</v>
      </c>
      <c r="G490" s="9" t="s">
        <v>1113</v>
      </c>
      <c r="H490" s="6"/>
      <c r="I490" s="6"/>
      <c r="J490" s="6"/>
      <c r="K490" s="6"/>
      <c r="L490" s="5" t="s">
        <v>1673</v>
      </c>
    </row>
    <row r="491" spans="1:12" x14ac:dyDescent="0.2">
      <c r="A491">
        <v>614</v>
      </c>
      <c r="B491" s="6" t="str">
        <f>IF(OR(F491="NA",G491="wide_value"),"",TRUE)</f>
        <v/>
      </c>
      <c r="C491" s="6" t="s">
        <v>113</v>
      </c>
      <c r="D491" s="6" t="s">
        <v>192</v>
      </c>
      <c r="E491" s="6" t="s">
        <v>136</v>
      </c>
      <c r="F491" s="6" t="s">
        <v>217</v>
      </c>
      <c r="G491" s="9" t="s">
        <v>1113</v>
      </c>
      <c r="H491" s="6"/>
      <c r="I491" s="6"/>
      <c r="J491" s="6"/>
      <c r="K491" s="6"/>
      <c r="L491" s="5" t="s">
        <v>1673</v>
      </c>
    </row>
    <row r="492" spans="1:12" x14ac:dyDescent="0.2">
      <c r="A492">
        <v>615</v>
      </c>
      <c r="B492" s="6" t="str">
        <f>IF(OR(F492="NA",G492="wide_value"),"",TRUE)</f>
        <v/>
      </c>
      <c r="C492" s="6" t="s">
        <v>113</v>
      </c>
      <c r="D492" s="6" t="s">
        <v>192</v>
      </c>
      <c r="E492" s="6" t="s">
        <v>136</v>
      </c>
      <c r="F492" s="6" t="s">
        <v>218</v>
      </c>
      <c r="G492" s="9" t="s">
        <v>1113</v>
      </c>
      <c r="H492" s="6"/>
      <c r="I492" s="6"/>
      <c r="J492" s="6"/>
      <c r="K492" s="6"/>
      <c r="L492" s="5" t="s">
        <v>1673</v>
      </c>
    </row>
    <row r="493" spans="1:12" x14ac:dyDescent="0.2">
      <c r="A493">
        <v>616</v>
      </c>
      <c r="B493" s="6" t="str">
        <f>IF(OR(F493="NA",G493="wide_value"),"",TRUE)</f>
        <v/>
      </c>
      <c r="C493" s="6" t="s">
        <v>113</v>
      </c>
      <c r="D493" s="6" t="s">
        <v>192</v>
      </c>
      <c r="E493" s="6" t="s">
        <v>136</v>
      </c>
      <c r="F493" s="6" t="s">
        <v>219</v>
      </c>
      <c r="G493" s="9" t="s">
        <v>1113</v>
      </c>
      <c r="H493" s="6"/>
      <c r="I493" s="6"/>
      <c r="J493" s="6"/>
      <c r="K493" s="6"/>
      <c r="L493" s="5" t="s">
        <v>1673</v>
      </c>
    </row>
    <row r="494" spans="1:12" x14ac:dyDescent="0.2">
      <c r="A494">
        <v>617</v>
      </c>
      <c r="B494" s="6" t="str">
        <f>IF(OR(F494="NA",G494="wide_value"),"",TRUE)</f>
        <v/>
      </c>
      <c r="C494" s="6" t="s">
        <v>113</v>
      </c>
      <c r="D494" s="6" t="s">
        <v>192</v>
      </c>
      <c r="E494" s="6" t="s">
        <v>136</v>
      </c>
      <c r="F494" s="6" t="s">
        <v>220</v>
      </c>
      <c r="G494" s="9" t="s">
        <v>1113</v>
      </c>
      <c r="H494" s="6"/>
      <c r="I494" s="6"/>
      <c r="J494" s="6"/>
      <c r="K494" s="6"/>
      <c r="L494" s="5" t="s">
        <v>1673</v>
      </c>
    </row>
    <row r="495" spans="1:12" x14ac:dyDescent="0.2">
      <c r="A495">
        <v>618</v>
      </c>
      <c r="B495" s="6" t="str">
        <f>IF(OR(F495="NA",G495="wide_value"),"",TRUE)</f>
        <v/>
      </c>
      <c r="C495" s="6" t="s">
        <v>113</v>
      </c>
      <c r="D495" s="6" t="s">
        <v>192</v>
      </c>
      <c r="E495" s="6" t="s">
        <v>136</v>
      </c>
      <c r="F495" s="6" t="s">
        <v>1206</v>
      </c>
      <c r="G495" s="9" t="s">
        <v>1113</v>
      </c>
      <c r="H495" s="6"/>
      <c r="I495" s="6"/>
      <c r="J495" s="6"/>
      <c r="K495" s="6"/>
      <c r="L495" s="5" t="s">
        <v>1673</v>
      </c>
    </row>
    <row r="496" spans="1:12" x14ac:dyDescent="0.2">
      <c r="A496">
        <v>619</v>
      </c>
      <c r="B496" s="6" t="str">
        <f>IF(OR(F496="NA",G496="wide_value"),"",TRUE)</f>
        <v/>
      </c>
      <c r="C496" s="6" t="s">
        <v>113</v>
      </c>
      <c r="D496" s="6" t="s">
        <v>192</v>
      </c>
      <c r="E496" s="6" t="s">
        <v>136</v>
      </c>
      <c r="F496" s="6" t="s">
        <v>221</v>
      </c>
      <c r="G496" s="9" t="s">
        <v>1113</v>
      </c>
      <c r="H496" s="6"/>
      <c r="I496" s="6"/>
      <c r="J496" s="6"/>
      <c r="K496" s="6"/>
      <c r="L496" s="5" t="s">
        <v>1673</v>
      </c>
    </row>
    <row r="497" spans="1:12" x14ac:dyDescent="0.2">
      <c r="A497">
        <v>620</v>
      </c>
      <c r="B497" s="6" t="str">
        <f>IF(OR(F497="NA",G497="wide_value"),"",TRUE)</f>
        <v/>
      </c>
      <c r="C497" s="6" t="s">
        <v>113</v>
      </c>
      <c r="D497" s="6" t="s">
        <v>192</v>
      </c>
      <c r="E497" s="6" t="s">
        <v>136</v>
      </c>
      <c r="F497" s="6" t="s">
        <v>222</v>
      </c>
      <c r="G497" s="9" t="s">
        <v>1113</v>
      </c>
      <c r="H497" s="6"/>
      <c r="I497" s="6"/>
      <c r="J497" s="6"/>
      <c r="K497" s="6"/>
      <c r="L497" s="5" t="s">
        <v>1673</v>
      </c>
    </row>
    <row r="498" spans="1:12" x14ac:dyDescent="0.2">
      <c r="A498">
        <v>621</v>
      </c>
      <c r="B498" s="6" t="str">
        <f>IF(OR(F498="NA",G498="wide_value"),"",TRUE)</f>
        <v/>
      </c>
      <c r="C498" s="6" t="s">
        <v>113</v>
      </c>
      <c r="D498" s="6" t="s">
        <v>192</v>
      </c>
      <c r="E498" s="6" t="s">
        <v>137</v>
      </c>
      <c r="F498" s="6" t="s">
        <v>497</v>
      </c>
      <c r="G498" s="6" t="s">
        <v>1013</v>
      </c>
      <c r="H498" s="6" t="s">
        <v>9</v>
      </c>
      <c r="I498" s="6" t="s">
        <v>1691</v>
      </c>
      <c r="J498" s="6"/>
      <c r="K498" s="6"/>
      <c r="L498" s="5" t="s">
        <v>1693</v>
      </c>
    </row>
    <row r="499" spans="1:12" x14ac:dyDescent="0.2">
      <c r="A499">
        <v>629</v>
      </c>
      <c r="B499" s="6" t="str">
        <f>IF(OR(F499="NA",G499="wide_value"),"",TRUE)</f>
        <v/>
      </c>
      <c r="C499" s="6" t="s">
        <v>113</v>
      </c>
      <c r="D499" s="6" t="s">
        <v>192</v>
      </c>
      <c r="E499" s="6" t="s">
        <v>142</v>
      </c>
      <c r="F499" s="6" t="s">
        <v>497</v>
      </c>
      <c r="G499" s="6" t="s">
        <v>1276</v>
      </c>
      <c r="H499" s="6" t="s">
        <v>1336</v>
      </c>
      <c r="I499" s="6" t="s">
        <v>1337</v>
      </c>
      <c r="J499" s="6"/>
      <c r="K499" s="6"/>
      <c r="L499" s="5" t="s">
        <v>1614</v>
      </c>
    </row>
    <row r="500" spans="1:12" x14ac:dyDescent="0.2">
      <c r="A500">
        <v>630</v>
      </c>
      <c r="B500" s="6" t="str">
        <f>IF(OR(F500="NA",G500="wide_value"),"",TRUE)</f>
        <v/>
      </c>
      <c r="C500" s="6" t="s">
        <v>113</v>
      </c>
      <c r="D500" s="6" t="s">
        <v>192</v>
      </c>
      <c r="E500" s="6" t="s">
        <v>119</v>
      </c>
      <c r="F500" s="15" t="s">
        <v>497</v>
      </c>
      <c r="G500" s="6" t="s">
        <v>1294</v>
      </c>
      <c r="H500" s="6" t="s">
        <v>1296</v>
      </c>
      <c r="I500" s="6" t="s">
        <v>1427</v>
      </c>
      <c r="J500" s="6"/>
      <c r="K500" s="6"/>
      <c r="L500" s="5" t="s">
        <v>1431</v>
      </c>
    </row>
    <row r="501" spans="1:12" x14ac:dyDescent="0.2">
      <c r="A501">
        <v>631</v>
      </c>
      <c r="B501" s="6" t="str">
        <f>IF(OR(F501="NA",G501="wide_value"),"",TRUE)</f>
        <v/>
      </c>
      <c r="C501" s="6" t="s">
        <v>113</v>
      </c>
      <c r="D501" s="6" t="s">
        <v>192</v>
      </c>
      <c r="E501" s="6" t="s">
        <v>168</v>
      </c>
      <c r="F501" s="6" t="s">
        <v>497</v>
      </c>
      <c r="G501" s="6" t="s">
        <v>1276</v>
      </c>
      <c r="H501" s="6" t="s">
        <v>1359</v>
      </c>
      <c r="I501" s="6" t="s">
        <v>1363</v>
      </c>
      <c r="J501" s="6"/>
      <c r="K501" s="6"/>
      <c r="L501" s="5" t="s">
        <v>1884</v>
      </c>
    </row>
    <row r="502" spans="1:12" ht="18" x14ac:dyDescent="0.25">
      <c r="A502">
        <v>632</v>
      </c>
      <c r="B502" s="6" t="str">
        <f>IF(OR(F502="NA",G502="wide_value"),"",TRUE)</f>
        <v/>
      </c>
      <c r="C502" s="6" t="s">
        <v>113</v>
      </c>
      <c r="D502" s="6" t="s">
        <v>192</v>
      </c>
      <c r="E502" s="6" t="s">
        <v>1162</v>
      </c>
      <c r="F502" s="6" t="s">
        <v>497</v>
      </c>
      <c r="G502" s="6" t="s">
        <v>1276</v>
      </c>
      <c r="H502" s="19" t="s">
        <v>1360</v>
      </c>
      <c r="I502" s="6" t="s">
        <v>1364</v>
      </c>
      <c r="J502" s="6"/>
      <c r="K502" s="6"/>
      <c r="L502" s="5" t="s">
        <v>1368</v>
      </c>
    </row>
    <row r="503" spans="1:12" ht="18" x14ac:dyDescent="0.25">
      <c r="A503">
        <v>633</v>
      </c>
      <c r="B503" s="6" t="str">
        <f>IF(OR(F503="NA",G503="wide_value"),"",TRUE)</f>
        <v/>
      </c>
      <c r="C503" s="6" t="s">
        <v>113</v>
      </c>
      <c r="D503" s="6" t="s">
        <v>192</v>
      </c>
      <c r="E503" s="6" t="s">
        <v>1164</v>
      </c>
      <c r="F503" s="6" t="s">
        <v>497</v>
      </c>
      <c r="G503" s="6" t="s">
        <v>1276</v>
      </c>
      <c r="H503" s="19" t="s">
        <v>1360</v>
      </c>
      <c r="I503" s="6" t="s">
        <v>1365</v>
      </c>
      <c r="J503" s="6"/>
      <c r="K503" s="6"/>
      <c r="L503" s="5" t="s">
        <v>1368</v>
      </c>
    </row>
    <row r="504" spans="1:12" ht="18" x14ac:dyDescent="0.25">
      <c r="A504">
        <v>634</v>
      </c>
      <c r="B504" s="6" t="str">
        <f>IF(OR(F504="NA",G504="wide_value"),"",TRUE)</f>
        <v/>
      </c>
      <c r="C504" s="6" t="s">
        <v>113</v>
      </c>
      <c r="D504" s="6" t="s">
        <v>192</v>
      </c>
      <c r="E504" s="6" t="s">
        <v>1163</v>
      </c>
      <c r="F504" s="6" t="s">
        <v>497</v>
      </c>
      <c r="G504" s="6" t="s">
        <v>1276</v>
      </c>
      <c r="H504" s="19" t="s">
        <v>1361</v>
      </c>
      <c r="I504" s="6" t="s">
        <v>1366</v>
      </c>
      <c r="J504" s="6"/>
      <c r="K504" s="6"/>
      <c r="L504" s="5" t="s">
        <v>1368</v>
      </c>
    </row>
    <row r="505" spans="1:12" x14ac:dyDescent="0.2">
      <c r="A505">
        <v>635</v>
      </c>
      <c r="B505" s="6" t="b">
        <f>IF(OR(F505="NA",G505="wide_value"),"",TRUE)</f>
        <v>1</v>
      </c>
      <c r="C505" s="6" t="s">
        <v>113</v>
      </c>
      <c r="D505" s="6" t="s">
        <v>192</v>
      </c>
      <c r="E505" s="6" t="s">
        <v>157</v>
      </c>
      <c r="F505" s="6" t="s">
        <v>207</v>
      </c>
      <c r="G505" s="6" t="s">
        <v>1276</v>
      </c>
      <c r="H505" s="6" t="s">
        <v>1362</v>
      </c>
      <c r="I505" s="9" t="s">
        <v>1371</v>
      </c>
      <c r="J505" s="6"/>
      <c r="K505" s="6"/>
      <c r="L505" s="5" t="s">
        <v>1370</v>
      </c>
    </row>
    <row r="506" spans="1:12" x14ac:dyDescent="0.2">
      <c r="A506">
        <v>636</v>
      </c>
      <c r="B506" s="6" t="b">
        <f>IF(OR(F506="NA",G506="wide_value"),"",TRUE)</f>
        <v>1</v>
      </c>
      <c r="C506" s="6" t="s">
        <v>113</v>
      </c>
      <c r="D506" s="6" t="s">
        <v>192</v>
      </c>
      <c r="E506" s="6" t="s">
        <v>157</v>
      </c>
      <c r="F506" s="6" t="s">
        <v>208</v>
      </c>
      <c r="G506" s="6" t="s">
        <v>1276</v>
      </c>
      <c r="H506" s="6" t="s">
        <v>1362</v>
      </c>
      <c r="I506" s="9" t="s">
        <v>1371</v>
      </c>
      <c r="J506" s="6"/>
      <c r="K506" s="6"/>
      <c r="L506" s="5" t="s">
        <v>1370</v>
      </c>
    </row>
    <row r="507" spans="1:12" x14ac:dyDescent="0.2">
      <c r="A507">
        <v>637</v>
      </c>
      <c r="B507" s="6" t="b">
        <f>IF(OR(F507="NA",G507="wide_value"),"",TRUE)</f>
        <v>1</v>
      </c>
      <c r="C507" s="6" t="s">
        <v>113</v>
      </c>
      <c r="D507" s="6" t="s">
        <v>192</v>
      </c>
      <c r="E507" s="6" t="s">
        <v>157</v>
      </c>
      <c r="F507" s="6" t="s">
        <v>209</v>
      </c>
      <c r="G507" s="6" t="s">
        <v>1276</v>
      </c>
      <c r="H507" s="6" t="s">
        <v>1362</v>
      </c>
      <c r="I507" s="9" t="s">
        <v>1371</v>
      </c>
      <c r="J507" s="6"/>
      <c r="K507" s="6"/>
      <c r="L507" s="5" t="s">
        <v>1370</v>
      </c>
    </row>
    <row r="508" spans="1:12" x14ac:dyDescent="0.2">
      <c r="A508">
        <v>638</v>
      </c>
      <c r="B508" s="6" t="b">
        <f>IF(OR(F508="NA",G508="wide_value"),"",TRUE)</f>
        <v>1</v>
      </c>
      <c r="C508" s="6" t="s">
        <v>113</v>
      </c>
      <c r="D508" s="6" t="s">
        <v>192</v>
      </c>
      <c r="E508" s="6" t="s">
        <v>157</v>
      </c>
      <c r="F508" s="6" t="s">
        <v>210</v>
      </c>
      <c r="G508" s="6" t="s">
        <v>1276</v>
      </c>
      <c r="H508" s="6" t="s">
        <v>1362</v>
      </c>
      <c r="I508" s="9" t="s">
        <v>1371</v>
      </c>
      <c r="J508" s="6"/>
      <c r="K508" s="6"/>
      <c r="L508" s="5" t="s">
        <v>1370</v>
      </c>
    </row>
    <row r="509" spans="1:12" x14ac:dyDescent="0.2">
      <c r="A509">
        <v>639</v>
      </c>
      <c r="B509" s="6" t="b">
        <f>IF(OR(F509="NA",G509="wide_value"),"",TRUE)</f>
        <v>1</v>
      </c>
      <c r="C509" s="6" t="s">
        <v>113</v>
      </c>
      <c r="D509" s="6" t="s">
        <v>192</v>
      </c>
      <c r="E509" s="6" t="s">
        <v>157</v>
      </c>
      <c r="F509" s="6" t="s">
        <v>211</v>
      </c>
      <c r="G509" s="6" t="s">
        <v>1276</v>
      </c>
      <c r="H509" s="6" t="s">
        <v>1362</v>
      </c>
      <c r="I509" s="9" t="s">
        <v>1371</v>
      </c>
      <c r="J509" s="6"/>
      <c r="K509" s="6"/>
      <c r="L509" s="5" t="s">
        <v>1370</v>
      </c>
    </row>
    <row r="510" spans="1:12" x14ac:dyDescent="0.2">
      <c r="A510">
        <v>640</v>
      </c>
      <c r="B510" s="6" t="b">
        <f>IF(OR(F510="NA",G510="wide_value"),"",TRUE)</f>
        <v>1</v>
      </c>
      <c r="C510" s="6" t="s">
        <v>113</v>
      </c>
      <c r="D510" s="6" t="s">
        <v>192</v>
      </c>
      <c r="E510" s="6" t="s">
        <v>157</v>
      </c>
      <c r="F510" s="6" t="s">
        <v>212</v>
      </c>
      <c r="G510" s="6" t="s">
        <v>1276</v>
      </c>
      <c r="H510" s="6" t="s">
        <v>1362</v>
      </c>
      <c r="I510" s="9" t="s">
        <v>1371</v>
      </c>
      <c r="J510" s="6"/>
      <c r="K510" s="6"/>
      <c r="L510" s="5" t="s">
        <v>1370</v>
      </c>
    </row>
    <row r="511" spans="1:12" x14ac:dyDescent="0.2">
      <c r="A511">
        <v>641</v>
      </c>
      <c r="B511" s="6" t="b">
        <f>IF(OR(F511="NA",G511="wide_value"),"",TRUE)</f>
        <v>1</v>
      </c>
      <c r="C511" s="6" t="s">
        <v>113</v>
      </c>
      <c r="D511" s="6" t="s">
        <v>192</v>
      </c>
      <c r="E511" s="6" t="s">
        <v>157</v>
      </c>
      <c r="F511" s="6" t="s">
        <v>213</v>
      </c>
      <c r="G511" s="6" t="s">
        <v>1276</v>
      </c>
      <c r="H511" s="6" t="s">
        <v>1362</v>
      </c>
      <c r="I511" s="9" t="s">
        <v>1371</v>
      </c>
      <c r="J511" s="6"/>
      <c r="K511" s="6"/>
      <c r="L511" s="5" t="s">
        <v>1370</v>
      </c>
    </row>
    <row r="512" spans="1:12" ht="18" x14ac:dyDescent="0.25">
      <c r="A512">
        <v>642</v>
      </c>
      <c r="B512" s="6" t="str">
        <f>IF(OR(F512="NA",G512="wide_value"),"",TRUE)</f>
        <v/>
      </c>
      <c r="C512" s="6" t="s">
        <v>113</v>
      </c>
      <c r="D512" s="6" t="s">
        <v>192</v>
      </c>
      <c r="E512" s="6" t="s">
        <v>169</v>
      </c>
      <c r="F512" s="6" t="s">
        <v>497</v>
      </c>
      <c r="G512" s="6" t="s">
        <v>1276</v>
      </c>
      <c r="H512" s="19" t="s">
        <v>1362</v>
      </c>
      <c r="I512" s="6" t="s">
        <v>1367</v>
      </c>
      <c r="J512" s="6"/>
      <c r="K512" s="6"/>
      <c r="L512" s="5" t="s">
        <v>1369</v>
      </c>
    </row>
    <row r="513" spans="1:12" x14ac:dyDescent="0.2">
      <c r="A513">
        <v>643</v>
      </c>
      <c r="B513" s="6" t="b">
        <f>IF(OR(F513="NA",G513="wide_value"),"",TRUE)</f>
        <v>1</v>
      </c>
      <c r="C513" s="6" t="s">
        <v>113</v>
      </c>
      <c r="D513" s="6" t="s">
        <v>192</v>
      </c>
      <c r="E513" s="6" t="s">
        <v>138</v>
      </c>
      <c r="F513" s="6" t="s">
        <v>203</v>
      </c>
      <c r="G513" s="6" t="s">
        <v>1276</v>
      </c>
      <c r="H513" s="6" t="s">
        <v>1883</v>
      </c>
      <c r="I513" s="6" t="s">
        <v>1781</v>
      </c>
      <c r="J513" s="6"/>
      <c r="K513" s="6"/>
      <c r="L513" s="5" t="s">
        <v>1785</v>
      </c>
    </row>
    <row r="514" spans="1:12" x14ac:dyDescent="0.2">
      <c r="A514">
        <v>644</v>
      </c>
      <c r="B514" s="6" t="b">
        <f>IF(OR(F514="NA",G514="wide_value"),"",TRUE)</f>
        <v>1</v>
      </c>
      <c r="C514" s="6" t="s">
        <v>113</v>
      </c>
      <c r="D514" s="6" t="s">
        <v>192</v>
      </c>
      <c r="E514" s="6" t="s">
        <v>138</v>
      </c>
      <c r="F514" s="6" t="s">
        <v>204</v>
      </c>
      <c r="G514" s="6" t="s">
        <v>1276</v>
      </c>
      <c r="H514" s="6" t="s">
        <v>1883</v>
      </c>
      <c r="I514" s="6" t="s">
        <v>1782</v>
      </c>
      <c r="J514" s="6"/>
      <c r="K514" s="6"/>
      <c r="L514" s="5" t="s">
        <v>1785</v>
      </c>
    </row>
    <row r="515" spans="1:12" x14ac:dyDescent="0.2">
      <c r="A515">
        <v>645</v>
      </c>
      <c r="B515" s="6" t="b">
        <f>IF(OR(F515="NA",G515="wide_value"),"",TRUE)</f>
        <v>1</v>
      </c>
      <c r="C515" s="6" t="s">
        <v>113</v>
      </c>
      <c r="D515" s="6" t="s">
        <v>192</v>
      </c>
      <c r="E515" s="6" t="s">
        <v>138</v>
      </c>
      <c r="F515" s="6" t="s">
        <v>205</v>
      </c>
      <c r="G515" s="6" t="s">
        <v>1276</v>
      </c>
      <c r="H515" s="6" t="s">
        <v>1883</v>
      </c>
      <c r="I515" s="6" t="s">
        <v>1783</v>
      </c>
      <c r="J515" s="6"/>
      <c r="K515" s="6"/>
      <c r="L515" s="5" t="s">
        <v>1785</v>
      </c>
    </row>
    <row r="516" spans="1:12" x14ac:dyDescent="0.2">
      <c r="A516">
        <v>646</v>
      </c>
      <c r="B516" s="6" t="b">
        <f>IF(OR(F516="NA",G516="wide_value"),"",TRUE)</f>
        <v>1</v>
      </c>
      <c r="C516" s="6" t="s">
        <v>113</v>
      </c>
      <c r="D516" s="6" t="s">
        <v>192</v>
      </c>
      <c r="E516" s="6" t="s">
        <v>138</v>
      </c>
      <c r="F516" s="6" t="s">
        <v>206</v>
      </c>
      <c r="G516" s="6" t="s">
        <v>1276</v>
      </c>
      <c r="H516" s="6" t="s">
        <v>1883</v>
      </c>
      <c r="I516" s="6" t="s">
        <v>1784</v>
      </c>
      <c r="J516" s="6"/>
      <c r="K516" s="6"/>
      <c r="L516" s="5" t="s">
        <v>1785</v>
      </c>
    </row>
    <row r="517" spans="1:12" x14ac:dyDescent="0.2">
      <c r="A517">
        <v>647</v>
      </c>
      <c r="B517" s="6" t="str">
        <f>IF(OR(F517="NA",G517="wide_value"),"",TRUE)</f>
        <v/>
      </c>
      <c r="C517" s="6" t="s">
        <v>113</v>
      </c>
      <c r="D517" s="6" t="s">
        <v>192</v>
      </c>
      <c r="E517" s="6" t="s">
        <v>117</v>
      </c>
      <c r="F517" s="15" t="s">
        <v>497</v>
      </c>
      <c r="G517" s="6" t="s">
        <v>1294</v>
      </c>
      <c r="H517" s="6" t="s">
        <v>1295</v>
      </c>
      <c r="I517" s="6" t="s">
        <v>1426</v>
      </c>
      <c r="J517" s="6"/>
      <c r="K517" s="6"/>
      <c r="L517" s="5" t="s">
        <v>1614</v>
      </c>
    </row>
    <row r="518" spans="1:12" x14ac:dyDescent="0.2">
      <c r="A518">
        <v>648</v>
      </c>
      <c r="B518" s="6" t="str">
        <f>IF(OR(F518="NA",G518="wide_value"),"",TRUE)</f>
        <v/>
      </c>
      <c r="C518" s="17" t="s">
        <v>113</v>
      </c>
      <c r="D518" s="17" t="s">
        <v>192</v>
      </c>
      <c r="E518" s="17" t="s">
        <v>120</v>
      </c>
      <c r="F518" s="18" t="s">
        <v>497</v>
      </c>
      <c r="G518" s="6" t="s">
        <v>1013</v>
      </c>
      <c r="H518" s="6" t="s">
        <v>1623</v>
      </c>
      <c r="I518" s="17" t="s">
        <v>1428</v>
      </c>
      <c r="J518" s="6"/>
      <c r="K518" s="6"/>
      <c r="L518" s="17" t="s">
        <v>1786</v>
      </c>
    </row>
    <row r="519" spans="1:12" x14ac:dyDescent="0.2">
      <c r="A519">
        <v>649</v>
      </c>
      <c r="B519" s="6" t="str">
        <f>IF(OR(F519="NA",G519="wide_value"),"",TRUE)</f>
        <v/>
      </c>
      <c r="C519" s="6" t="s">
        <v>113</v>
      </c>
      <c r="D519" s="6" t="s">
        <v>192</v>
      </c>
      <c r="E519" s="6" t="s">
        <v>173</v>
      </c>
      <c r="F519" s="6" t="s">
        <v>497</v>
      </c>
      <c r="G519" s="6" t="s">
        <v>1276</v>
      </c>
      <c r="H519" s="6" t="s">
        <v>1434</v>
      </c>
      <c r="I519" s="6" t="s">
        <v>1435</v>
      </c>
      <c r="J519" s="6"/>
      <c r="K519" s="6"/>
      <c r="L519" s="6"/>
    </row>
    <row r="520" spans="1:12" x14ac:dyDescent="0.2">
      <c r="A520">
        <v>657</v>
      </c>
      <c r="B520" s="6" t="str">
        <f>IF(OR(F520="NA",G520="wide_value"),"",TRUE)</f>
        <v/>
      </c>
      <c r="C520" s="6" t="s">
        <v>113</v>
      </c>
      <c r="D520" s="6" t="s">
        <v>192</v>
      </c>
      <c r="E520" s="6" t="s">
        <v>179</v>
      </c>
      <c r="F520" s="6" t="s">
        <v>497</v>
      </c>
      <c r="G520" s="9" t="s">
        <v>1113</v>
      </c>
      <c r="H520" s="6"/>
      <c r="I520" s="6"/>
      <c r="J520" s="6"/>
      <c r="K520" s="6"/>
      <c r="L520" s="5" t="s">
        <v>1398</v>
      </c>
    </row>
    <row r="521" spans="1:12" x14ac:dyDescent="0.2">
      <c r="A521">
        <v>658</v>
      </c>
      <c r="B521" s="6" t="str">
        <f>IF(OR(F521="NA",G521="wide_value"),"",TRUE)</f>
        <v/>
      </c>
      <c r="C521" s="6" t="s">
        <v>113</v>
      </c>
      <c r="D521" s="6" t="s">
        <v>192</v>
      </c>
      <c r="E521" s="6" t="s">
        <v>140</v>
      </c>
      <c r="F521" s="6" t="s">
        <v>497</v>
      </c>
      <c r="G521" s="9" t="s">
        <v>1113</v>
      </c>
      <c r="H521" s="6"/>
      <c r="I521" s="6"/>
      <c r="J521" s="6"/>
      <c r="K521" s="6"/>
      <c r="L521" s="5" t="s">
        <v>1789</v>
      </c>
    </row>
    <row r="522" spans="1:12" x14ac:dyDescent="0.2">
      <c r="A522">
        <v>659</v>
      </c>
      <c r="B522" s="6" t="str">
        <f>IF(OR(F522="NA",G522="wide_value"),"",TRUE)</f>
        <v/>
      </c>
      <c r="C522" s="6" t="s">
        <v>113</v>
      </c>
      <c r="D522" s="6" t="s">
        <v>192</v>
      </c>
      <c r="E522" s="6" t="s">
        <v>123</v>
      </c>
      <c r="F522" s="15" t="s">
        <v>497</v>
      </c>
      <c r="G522" s="6" t="s">
        <v>1787</v>
      </c>
      <c r="H522" s="6" t="s">
        <v>1632</v>
      </c>
      <c r="I522" s="6" t="s">
        <v>1430</v>
      </c>
      <c r="J522" s="6"/>
      <c r="K522" s="6"/>
      <c r="L522" s="5" t="s">
        <v>1788</v>
      </c>
    </row>
    <row r="523" spans="1:12" x14ac:dyDescent="0.2">
      <c r="A523">
        <v>663</v>
      </c>
      <c r="B523" s="6" t="str">
        <f>IF(OR(F523="NA",G523="wide_value"),"",TRUE)</f>
        <v/>
      </c>
      <c r="C523" s="6" t="s">
        <v>113</v>
      </c>
      <c r="D523" s="6" t="s">
        <v>192</v>
      </c>
      <c r="E523" s="6" t="s">
        <v>178</v>
      </c>
      <c r="F523" s="6" t="s">
        <v>497</v>
      </c>
      <c r="G523" s="9" t="s">
        <v>1113</v>
      </c>
      <c r="H523" s="6"/>
      <c r="I523" s="6"/>
      <c r="J523" s="6"/>
      <c r="K523" s="6"/>
      <c r="L523" s="5" t="s">
        <v>1398</v>
      </c>
    </row>
    <row r="524" spans="1:12" x14ac:dyDescent="0.2">
      <c r="A524">
        <v>664</v>
      </c>
      <c r="B524" s="6" t="str">
        <f>IF(OR(F524="NA",G524="wide_value"),"",TRUE)</f>
        <v/>
      </c>
      <c r="C524" s="6" t="s">
        <v>113</v>
      </c>
      <c r="D524" s="6" t="s">
        <v>192</v>
      </c>
      <c r="E524" s="6" t="s">
        <v>1161</v>
      </c>
      <c r="F524" s="6" t="s">
        <v>200</v>
      </c>
      <c r="G524" s="9" t="s">
        <v>1113</v>
      </c>
      <c r="H524" s="6"/>
      <c r="I524" s="6"/>
      <c r="J524" s="6"/>
      <c r="K524" s="6"/>
      <c r="L524" s="5" t="s">
        <v>1793</v>
      </c>
    </row>
    <row r="525" spans="1:12" x14ac:dyDescent="0.2">
      <c r="A525">
        <v>665</v>
      </c>
      <c r="B525" s="6" t="str">
        <f>IF(OR(F525="NA",G525="wide_value"),"",TRUE)</f>
        <v/>
      </c>
      <c r="C525" s="6" t="s">
        <v>113</v>
      </c>
      <c r="D525" s="6" t="s">
        <v>192</v>
      </c>
      <c r="E525" s="6" t="s">
        <v>1161</v>
      </c>
      <c r="F525" s="6" t="s">
        <v>201</v>
      </c>
      <c r="G525" s="9" t="s">
        <v>1113</v>
      </c>
      <c r="H525" s="6"/>
      <c r="I525" s="6"/>
      <c r="J525" s="6"/>
      <c r="K525" s="6"/>
      <c r="L525" s="5" t="s">
        <v>1793</v>
      </c>
    </row>
    <row r="526" spans="1:12" x14ac:dyDescent="0.2">
      <c r="A526">
        <v>666</v>
      </c>
      <c r="B526" s="6" t="str">
        <f>IF(OR(F526="NA",G526="wide_value"),"",TRUE)</f>
        <v/>
      </c>
      <c r="C526" s="6" t="s">
        <v>113</v>
      </c>
      <c r="D526" s="6" t="s">
        <v>192</v>
      </c>
      <c r="E526" s="6" t="s">
        <v>1161</v>
      </c>
      <c r="F526" s="6" t="s">
        <v>202</v>
      </c>
      <c r="G526" s="9" t="s">
        <v>1113</v>
      </c>
      <c r="H526" s="6"/>
      <c r="I526" s="6"/>
      <c r="J526" s="6"/>
      <c r="K526" s="6"/>
      <c r="L526" s="5" t="s">
        <v>1793</v>
      </c>
    </row>
    <row r="527" spans="1:12" x14ac:dyDescent="0.2">
      <c r="A527">
        <v>667</v>
      </c>
      <c r="B527" s="6" t="str">
        <f>IF(OR(F527="NA",G527="wide_value"),"",TRUE)</f>
        <v/>
      </c>
      <c r="C527" s="6" t="s">
        <v>113</v>
      </c>
      <c r="D527" s="6" t="s">
        <v>192</v>
      </c>
      <c r="E527" s="6" t="s">
        <v>143</v>
      </c>
      <c r="F527" s="6" t="s">
        <v>226</v>
      </c>
      <c r="G527" s="9" t="s">
        <v>1113</v>
      </c>
      <c r="H527" s="6"/>
      <c r="I527" s="6"/>
      <c r="J527" s="6"/>
      <c r="K527" s="6"/>
      <c r="L527" t="s">
        <v>1709</v>
      </c>
    </row>
    <row r="528" spans="1:12" x14ac:dyDescent="0.2">
      <c r="A528">
        <v>668</v>
      </c>
      <c r="B528" s="6" t="str">
        <f>IF(OR(F528="NA",G528="wide_value"),"",TRUE)</f>
        <v/>
      </c>
      <c r="C528" s="6" t="s">
        <v>113</v>
      </c>
      <c r="D528" s="6" t="s">
        <v>192</v>
      </c>
      <c r="E528" s="6" t="s">
        <v>143</v>
      </c>
      <c r="F528" s="6" t="s">
        <v>227</v>
      </c>
      <c r="G528" s="9" t="s">
        <v>1113</v>
      </c>
      <c r="H528" s="6"/>
      <c r="I528" s="6"/>
      <c r="J528" s="6"/>
      <c r="K528" s="6"/>
    </row>
    <row r="529" spans="1:12" x14ac:dyDescent="0.2">
      <c r="A529">
        <v>669</v>
      </c>
      <c r="B529" s="6" t="str">
        <f>IF(OR(F529="NA",G529="wide_value"),"",TRUE)</f>
        <v/>
      </c>
      <c r="C529" s="6" t="s">
        <v>113</v>
      </c>
      <c r="D529" s="6" t="s">
        <v>192</v>
      </c>
      <c r="E529" s="6" t="s">
        <v>143</v>
      </c>
      <c r="F529" s="6" t="s">
        <v>228</v>
      </c>
      <c r="G529" s="9" t="s">
        <v>1113</v>
      </c>
      <c r="H529" s="6"/>
      <c r="I529" s="6"/>
      <c r="J529" s="6"/>
      <c r="K529" s="6"/>
    </row>
    <row r="530" spans="1:12" x14ac:dyDescent="0.2">
      <c r="A530">
        <v>670</v>
      </c>
      <c r="B530" s="6" t="str">
        <f>IF(OR(F530="NA",G530="wide_value"),"",TRUE)</f>
        <v/>
      </c>
      <c r="C530" s="6" t="s">
        <v>113</v>
      </c>
      <c r="D530" s="6" t="s">
        <v>192</v>
      </c>
      <c r="E530" s="6" t="s">
        <v>143</v>
      </c>
      <c r="F530" s="6" t="s">
        <v>229</v>
      </c>
      <c r="G530" s="9" t="s">
        <v>1113</v>
      </c>
      <c r="H530" s="6"/>
      <c r="I530" s="6"/>
      <c r="J530" s="6"/>
      <c r="K530" s="6"/>
    </row>
    <row r="531" spans="1:12" x14ac:dyDescent="0.2">
      <c r="A531">
        <v>671</v>
      </c>
      <c r="B531" s="6" t="str">
        <f>IF(OR(F531="NA",G531="wide_value"),"",TRUE)</f>
        <v/>
      </c>
      <c r="C531" s="6" t="s">
        <v>113</v>
      </c>
      <c r="D531" s="6" t="s">
        <v>192</v>
      </c>
      <c r="E531" s="6" t="s">
        <v>143</v>
      </c>
      <c r="F531" s="6" t="s">
        <v>230</v>
      </c>
      <c r="G531" s="9" t="s">
        <v>1113</v>
      </c>
      <c r="H531" s="6"/>
      <c r="I531" s="6"/>
      <c r="J531" s="6"/>
      <c r="K531" s="6"/>
    </row>
    <row r="532" spans="1:12" x14ac:dyDescent="0.2">
      <c r="A532">
        <v>672</v>
      </c>
      <c r="B532" s="6" t="str">
        <f>IF(OR(F532="NA",G532="wide_value"),"",TRUE)</f>
        <v/>
      </c>
      <c r="C532" s="6" t="s">
        <v>113</v>
      </c>
      <c r="D532" s="6" t="s">
        <v>192</v>
      </c>
      <c r="E532" s="6" t="s">
        <v>143</v>
      </c>
      <c r="F532" s="6" t="s">
        <v>231</v>
      </c>
      <c r="G532" s="9" t="s">
        <v>1113</v>
      </c>
      <c r="H532" s="6"/>
      <c r="I532" s="6"/>
      <c r="J532" s="6"/>
      <c r="K532" s="6"/>
    </row>
    <row r="533" spans="1:12" x14ac:dyDescent="0.2">
      <c r="A533">
        <v>673</v>
      </c>
      <c r="B533" s="6" t="str">
        <f>IF(OR(F533="NA",G533="wide_value"),"",TRUE)</f>
        <v/>
      </c>
      <c r="C533" s="6" t="s">
        <v>113</v>
      </c>
      <c r="D533" s="6" t="s">
        <v>192</v>
      </c>
      <c r="E533" s="6" t="s">
        <v>143</v>
      </c>
      <c r="F533" s="6" t="s">
        <v>232</v>
      </c>
      <c r="G533" s="9" t="s">
        <v>1113</v>
      </c>
      <c r="H533" s="6"/>
      <c r="I533" s="6"/>
      <c r="J533" s="6"/>
      <c r="K533" s="6"/>
    </row>
    <row r="534" spans="1:12" x14ac:dyDescent="0.2">
      <c r="A534">
        <v>674</v>
      </c>
      <c r="B534" s="6" t="str">
        <f>IF(OR(F534="NA",G534="wide_value"),"",TRUE)</f>
        <v/>
      </c>
      <c r="C534" s="6" t="s">
        <v>113</v>
      </c>
      <c r="D534" s="6" t="s">
        <v>192</v>
      </c>
      <c r="E534" s="6" t="s">
        <v>143</v>
      </c>
      <c r="F534" s="6" t="s">
        <v>1207</v>
      </c>
      <c r="G534" s="9" t="s">
        <v>1113</v>
      </c>
      <c r="H534" s="6"/>
      <c r="I534" s="6"/>
      <c r="J534" s="6"/>
      <c r="K534" s="6"/>
    </row>
    <row r="535" spans="1:12" x14ac:dyDescent="0.2">
      <c r="A535">
        <v>675</v>
      </c>
      <c r="B535" s="6" t="str">
        <f>IF(OR(F535="NA",G535="wide_value"),"",TRUE)</f>
        <v/>
      </c>
      <c r="C535" s="6" t="s">
        <v>113</v>
      </c>
      <c r="D535" s="6" t="s">
        <v>192</v>
      </c>
      <c r="E535" s="6" t="s">
        <v>143</v>
      </c>
      <c r="F535" s="6" t="s">
        <v>233</v>
      </c>
      <c r="G535" s="9" t="s">
        <v>1113</v>
      </c>
      <c r="H535" s="6"/>
      <c r="I535" s="6"/>
      <c r="J535" s="6"/>
      <c r="K535" s="6"/>
      <c r="L535" s="5" t="s">
        <v>1711</v>
      </c>
    </row>
    <row r="536" spans="1:12" x14ac:dyDescent="0.2">
      <c r="A536">
        <v>676</v>
      </c>
      <c r="B536" s="6" t="b">
        <f>IF(OR(F536="NA",G536="wide_value"),"",TRUE)</f>
        <v>1</v>
      </c>
      <c r="C536" s="6" t="s">
        <v>113</v>
      </c>
      <c r="D536" s="6" t="s">
        <v>192</v>
      </c>
      <c r="E536" s="6" t="s">
        <v>143</v>
      </c>
      <c r="F536" s="6" t="s">
        <v>1208</v>
      </c>
      <c r="G536" s="9" t="s">
        <v>1870</v>
      </c>
      <c r="H536" s="6"/>
      <c r="I536" s="6"/>
      <c r="J536" s="6"/>
      <c r="K536" s="6"/>
      <c r="L536" s="5" t="s">
        <v>1870</v>
      </c>
    </row>
    <row r="537" spans="1:12" x14ac:dyDescent="0.2">
      <c r="A537">
        <v>677</v>
      </c>
      <c r="B537" s="6" t="b">
        <f>IF(OR(F537="NA",G537="wide_value"),"",TRUE)</f>
        <v>1</v>
      </c>
      <c r="C537" s="6" t="s">
        <v>113</v>
      </c>
      <c r="D537" s="6" t="s">
        <v>192</v>
      </c>
      <c r="E537" s="6" t="s">
        <v>143</v>
      </c>
      <c r="F537" s="6" t="s">
        <v>1209</v>
      </c>
      <c r="G537" s="6" t="s">
        <v>1276</v>
      </c>
      <c r="H537" s="6" t="s">
        <v>1277</v>
      </c>
      <c r="I537" s="6" t="s">
        <v>1871</v>
      </c>
      <c r="J537" s="6"/>
      <c r="K537" s="6"/>
      <c r="L537" s="5" t="s">
        <v>1873</v>
      </c>
    </row>
    <row r="538" spans="1:12" x14ac:dyDescent="0.2">
      <c r="A538">
        <v>678</v>
      </c>
      <c r="B538" s="6" t="b">
        <f>IF(OR(F538="NA",G538="wide_value"),"",TRUE)</f>
        <v>1</v>
      </c>
      <c r="C538" s="6" t="s">
        <v>113</v>
      </c>
      <c r="D538" s="6" t="s">
        <v>192</v>
      </c>
      <c r="E538" s="6" t="s">
        <v>143</v>
      </c>
      <c r="F538" s="6" t="s">
        <v>1210</v>
      </c>
      <c r="G538" s="6" t="s">
        <v>1276</v>
      </c>
      <c r="H538" s="6" t="s">
        <v>1277</v>
      </c>
      <c r="I538" s="6" t="s">
        <v>1872</v>
      </c>
      <c r="J538" s="6"/>
      <c r="K538" s="6"/>
      <c r="L538" s="5" t="s">
        <v>1874</v>
      </c>
    </row>
    <row r="539" spans="1:12" x14ac:dyDescent="0.2">
      <c r="A539">
        <v>679</v>
      </c>
      <c r="B539" s="6" t="str">
        <f>IF(OR(F539="NA",G539="wide_value"),"",TRUE)</f>
        <v/>
      </c>
      <c r="C539" s="6" t="s">
        <v>113</v>
      </c>
      <c r="D539" s="6" t="s">
        <v>192</v>
      </c>
      <c r="E539" s="6" t="s">
        <v>144</v>
      </c>
      <c r="F539" s="6" t="s">
        <v>497</v>
      </c>
      <c r="G539" s="6" t="s">
        <v>1536</v>
      </c>
      <c r="H539" s="6" t="s">
        <v>1632</v>
      </c>
      <c r="I539" s="6" t="s">
        <v>1706</v>
      </c>
      <c r="J539" s="6"/>
      <c r="K539" s="6"/>
      <c r="L539" s="5" t="s">
        <v>1707</v>
      </c>
    </row>
    <row r="540" spans="1:12" x14ac:dyDescent="0.2">
      <c r="A540">
        <v>680</v>
      </c>
      <c r="B540" s="6" t="b">
        <f>IF(OR(F540="NA",G540="wide_value"),"",TRUE)</f>
        <v>1</v>
      </c>
      <c r="C540" s="6" t="s">
        <v>113</v>
      </c>
      <c r="D540" s="6" t="s">
        <v>192</v>
      </c>
      <c r="E540" s="6" t="s">
        <v>167</v>
      </c>
      <c r="F540" s="6" t="s">
        <v>1722</v>
      </c>
      <c r="G540" s="6" t="s">
        <v>1282</v>
      </c>
      <c r="H540" s="6" t="s">
        <v>1355</v>
      </c>
      <c r="I540" s="6" t="s">
        <v>1356</v>
      </c>
      <c r="J540" s="6"/>
      <c r="K540" s="6"/>
      <c r="L540" s="5" t="s">
        <v>1732</v>
      </c>
    </row>
    <row r="541" spans="1:12" x14ac:dyDescent="0.2">
      <c r="A541">
        <v>681</v>
      </c>
      <c r="B541" s="6" t="b">
        <f>IF(OR(F541="NA",G541="wide_value"),"",TRUE)</f>
        <v>1</v>
      </c>
      <c r="C541" s="6" t="s">
        <v>113</v>
      </c>
      <c r="D541" s="6" t="s">
        <v>192</v>
      </c>
      <c r="E541" s="6" t="s">
        <v>167</v>
      </c>
      <c r="F541" s="6" t="s">
        <v>1723</v>
      </c>
      <c r="G541" s="6" t="s">
        <v>1282</v>
      </c>
      <c r="H541" s="6" t="s">
        <v>1355</v>
      </c>
      <c r="I541" s="6" t="s">
        <v>1357</v>
      </c>
      <c r="J541" s="6"/>
      <c r="K541" s="6"/>
      <c r="L541" s="5" t="s">
        <v>1732</v>
      </c>
    </row>
    <row r="542" spans="1:12" x14ac:dyDescent="0.2">
      <c r="A542">
        <v>682</v>
      </c>
      <c r="B542" s="6" t="b">
        <f>IF(OR(F542="NA",G542="wide_value"),"",TRUE)</f>
        <v>1</v>
      </c>
      <c r="C542" s="6" t="s">
        <v>113</v>
      </c>
      <c r="D542" s="6" t="s">
        <v>192</v>
      </c>
      <c r="E542" s="6" t="s">
        <v>167</v>
      </c>
      <c r="F542" s="6" t="s">
        <v>1217</v>
      </c>
      <c r="G542" s="6" t="s">
        <v>1282</v>
      </c>
      <c r="H542" s="6" t="s">
        <v>1355</v>
      </c>
      <c r="I542" s="6" t="s">
        <v>1728</v>
      </c>
      <c r="J542" s="6"/>
      <c r="K542" s="6"/>
      <c r="L542" s="5" t="s">
        <v>1732</v>
      </c>
    </row>
    <row r="543" spans="1:12" x14ac:dyDescent="0.2">
      <c r="A543">
        <v>683</v>
      </c>
      <c r="B543" s="6" t="b">
        <f>IF(OR(F543="NA",G543="wide_value"),"",TRUE)</f>
        <v>1</v>
      </c>
      <c r="C543" s="6" t="s">
        <v>113</v>
      </c>
      <c r="D543" s="6" t="s">
        <v>192</v>
      </c>
      <c r="E543" s="6" t="s">
        <v>167</v>
      </c>
      <c r="F543" s="6" t="s">
        <v>1211</v>
      </c>
      <c r="G543" s="6" t="s">
        <v>1282</v>
      </c>
      <c r="H543" s="6" t="s">
        <v>1355</v>
      </c>
      <c r="I543" s="6" t="s">
        <v>1344</v>
      </c>
      <c r="J543" s="6"/>
      <c r="K543" s="6"/>
      <c r="L543" s="5" t="s">
        <v>1732</v>
      </c>
    </row>
    <row r="544" spans="1:12" x14ac:dyDescent="0.2">
      <c r="A544">
        <v>684</v>
      </c>
      <c r="B544" s="6" t="b">
        <f>IF(OR(F544="NA",G544="wide_value"),"",TRUE)</f>
        <v>1</v>
      </c>
      <c r="C544" s="6" t="s">
        <v>113</v>
      </c>
      <c r="D544" s="6" t="s">
        <v>192</v>
      </c>
      <c r="E544" s="6" t="s">
        <v>167</v>
      </c>
      <c r="F544" s="6" t="s">
        <v>1724</v>
      </c>
      <c r="G544" s="6" t="s">
        <v>1282</v>
      </c>
      <c r="H544" s="6" t="s">
        <v>1355</v>
      </c>
      <c r="I544" s="6" t="s">
        <v>1729</v>
      </c>
      <c r="J544" s="6"/>
      <c r="K544" s="6"/>
      <c r="L544" s="5" t="s">
        <v>1732</v>
      </c>
    </row>
    <row r="545" spans="1:12" x14ac:dyDescent="0.2">
      <c r="A545">
        <v>685</v>
      </c>
      <c r="B545" s="6" t="b">
        <f>IF(OR(F545="NA",G545="wide_value"),"",TRUE)</f>
        <v>1</v>
      </c>
      <c r="C545" s="6" t="s">
        <v>113</v>
      </c>
      <c r="D545" s="6" t="s">
        <v>192</v>
      </c>
      <c r="E545" s="6" t="s">
        <v>167</v>
      </c>
      <c r="F545" s="6" t="s">
        <v>1725</v>
      </c>
      <c r="G545" s="6" t="s">
        <v>1282</v>
      </c>
      <c r="H545" s="6" t="s">
        <v>1355</v>
      </c>
      <c r="I545" s="6" t="s">
        <v>1358</v>
      </c>
      <c r="J545" s="6"/>
      <c r="K545" s="6"/>
      <c r="L545" s="5" t="s">
        <v>1732</v>
      </c>
    </row>
    <row r="546" spans="1:12" x14ac:dyDescent="0.2">
      <c r="A546">
        <v>686</v>
      </c>
      <c r="B546" s="6" t="b">
        <f>IF(OR(F546="NA",G546="wide_value"),"",TRUE)</f>
        <v>1</v>
      </c>
      <c r="C546" s="6" t="s">
        <v>113</v>
      </c>
      <c r="D546" s="6" t="s">
        <v>192</v>
      </c>
      <c r="E546" s="6" t="s">
        <v>167</v>
      </c>
      <c r="F546" s="6" t="s">
        <v>1726</v>
      </c>
      <c r="G546" s="6" t="s">
        <v>1282</v>
      </c>
      <c r="H546" s="6" t="s">
        <v>1355</v>
      </c>
      <c r="I546" s="6" t="s">
        <v>1730</v>
      </c>
      <c r="J546" s="6"/>
      <c r="K546" s="6"/>
      <c r="L546" s="5" t="s">
        <v>1732</v>
      </c>
    </row>
    <row r="547" spans="1:12" x14ac:dyDescent="0.2">
      <c r="A547">
        <v>687</v>
      </c>
      <c r="B547" s="6" t="b">
        <f>IF(OR(F547="NA",G547="wide_value"),"",TRUE)</f>
        <v>1</v>
      </c>
      <c r="C547" s="6" t="s">
        <v>113</v>
      </c>
      <c r="D547" s="6" t="s">
        <v>192</v>
      </c>
      <c r="E547" s="6" t="s">
        <v>167</v>
      </c>
      <c r="F547" s="6" t="s">
        <v>1727</v>
      </c>
      <c r="G547" s="6" t="s">
        <v>1282</v>
      </c>
      <c r="H547" s="6" t="s">
        <v>1355</v>
      </c>
      <c r="I547" s="6" t="s">
        <v>1731</v>
      </c>
      <c r="J547" s="6"/>
      <c r="K547" s="6"/>
      <c r="L547" s="5" t="s">
        <v>1732</v>
      </c>
    </row>
    <row r="548" spans="1:12" x14ac:dyDescent="0.2">
      <c r="A548">
        <v>688</v>
      </c>
      <c r="B548" s="6" t="b">
        <f>IF(OR(F548="NA",G548="wide_value"),"",TRUE)</f>
        <v>1</v>
      </c>
      <c r="C548" s="6" t="s">
        <v>113</v>
      </c>
      <c r="D548" s="6" t="s">
        <v>192</v>
      </c>
      <c r="E548" s="6" t="s">
        <v>1159</v>
      </c>
      <c r="F548" s="6" t="s">
        <v>1204</v>
      </c>
      <c r="G548" s="6" t="s">
        <v>1601</v>
      </c>
      <c r="H548" s="6" t="s">
        <v>1610</v>
      </c>
      <c r="I548" s="6" t="s">
        <v>1611</v>
      </c>
      <c r="J548" s="6"/>
      <c r="K548" s="6"/>
      <c r="L548" s="5" t="s">
        <v>1612</v>
      </c>
    </row>
    <row r="549" spans="1:12" x14ac:dyDescent="0.2">
      <c r="A549">
        <v>689</v>
      </c>
      <c r="B549" s="6" t="b">
        <f>IF(OR(F549="NA",G549="wide_value"),"",TRUE)</f>
        <v>1</v>
      </c>
      <c r="C549" s="6" t="s">
        <v>113</v>
      </c>
      <c r="D549" s="6" t="s">
        <v>192</v>
      </c>
      <c r="E549" s="6" t="s">
        <v>1159</v>
      </c>
      <c r="F549" s="6" t="s">
        <v>1205</v>
      </c>
      <c r="G549" s="6" t="s">
        <v>1601</v>
      </c>
      <c r="H549" s="6" t="s">
        <v>1610</v>
      </c>
      <c r="I549" s="6" t="s">
        <v>814</v>
      </c>
      <c r="J549" s="6"/>
      <c r="K549" s="6"/>
      <c r="L549" s="5" t="s">
        <v>1612</v>
      </c>
    </row>
    <row r="550" spans="1:12" x14ac:dyDescent="0.2">
      <c r="A550">
        <v>690</v>
      </c>
      <c r="B550" s="6" t="str">
        <f>IF(OR(F550="NA",G550="wide_value"),"",TRUE)</f>
        <v/>
      </c>
      <c r="C550" s="6" t="s">
        <v>113</v>
      </c>
      <c r="D550" s="6" t="s">
        <v>192</v>
      </c>
      <c r="E550" s="6" t="s">
        <v>1160</v>
      </c>
      <c r="F550" s="6" t="s">
        <v>497</v>
      </c>
      <c r="G550" s="6" t="s">
        <v>1601</v>
      </c>
      <c r="H550" s="6" t="s">
        <v>1247</v>
      </c>
      <c r="I550" s="6" t="s">
        <v>1602</v>
      </c>
      <c r="J550" s="6"/>
      <c r="K550" s="6"/>
      <c r="L550" s="5" t="s">
        <v>1612</v>
      </c>
    </row>
    <row r="551" spans="1:12" x14ac:dyDescent="0.2">
      <c r="A551">
        <v>691</v>
      </c>
      <c r="B551" s="6" t="str">
        <f>IF(OR(F551="NA",G551="wide_value"),"",TRUE)</f>
        <v/>
      </c>
      <c r="C551" s="6" t="s">
        <v>16</v>
      </c>
      <c r="D551" s="6" t="s">
        <v>192</v>
      </c>
      <c r="E551" s="6" t="s">
        <v>139</v>
      </c>
      <c r="F551" s="6" t="s">
        <v>455</v>
      </c>
      <c r="G551" s="9" t="s">
        <v>1113</v>
      </c>
      <c r="H551" s="6"/>
      <c r="I551" s="6"/>
      <c r="J551" s="6"/>
      <c r="K551" s="6"/>
      <c r="L551" s="6"/>
    </row>
    <row r="552" spans="1:12" x14ac:dyDescent="0.2">
      <c r="A552">
        <v>692</v>
      </c>
      <c r="B552" s="6" t="str">
        <f>IF(OR(F552="NA",G552="wide_value"),"",TRUE)</f>
        <v/>
      </c>
      <c r="C552" s="6" t="s">
        <v>16</v>
      </c>
      <c r="D552" s="6" t="s">
        <v>192</v>
      </c>
      <c r="E552" s="6" t="s">
        <v>139</v>
      </c>
      <c r="F552" s="6" t="s">
        <v>456</v>
      </c>
      <c r="G552" s="9" t="s">
        <v>1113</v>
      </c>
      <c r="H552" s="6"/>
      <c r="I552" s="6"/>
      <c r="J552" s="6"/>
      <c r="K552" s="6"/>
      <c r="L552" s="6"/>
    </row>
    <row r="553" spans="1:12" x14ac:dyDescent="0.2">
      <c r="A553">
        <v>693</v>
      </c>
      <c r="B553" s="6" t="str">
        <f>IF(OR(F553="NA",G553="wide_value"),"",TRUE)</f>
        <v/>
      </c>
      <c r="C553" s="6" t="s">
        <v>16</v>
      </c>
      <c r="D553" s="6" t="s">
        <v>192</v>
      </c>
      <c r="E553" s="6" t="s">
        <v>139</v>
      </c>
      <c r="F553" s="6" t="s">
        <v>457</v>
      </c>
      <c r="G553" s="9" t="s">
        <v>1113</v>
      </c>
      <c r="H553" s="6"/>
      <c r="I553" s="6"/>
      <c r="J553" s="6"/>
      <c r="K553" s="6"/>
      <c r="L553" s="6"/>
    </row>
    <row r="554" spans="1:12" x14ac:dyDescent="0.2">
      <c r="A554">
        <v>694</v>
      </c>
      <c r="B554" s="6" t="str">
        <f>IF(OR(F554="NA",G554="wide_value"),"",TRUE)</f>
        <v/>
      </c>
      <c r="C554" s="6" t="s">
        <v>16</v>
      </c>
      <c r="D554" s="6" t="s">
        <v>192</v>
      </c>
      <c r="E554" s="6" t="s">
        <v>139</v>
      </c>
      <c r="F554" s="6" t="s">
        <v>458</v>
      </c>
      <c r="G554" s="9" t="s">
        <v>1113</v>
      </c>
      <c r="H554" s="6"/>
      <c r="I554" s="6"/>
      <c r="J554" s="6"/>
      <c r="K554" s="6"/>
      <c r="L554" s="6"/>
    </row>
    <row r="555" spans="1:12" x14ac:dyDescent="0.2">
      <c r="A555">
        <v>695</v>
      </c>
      <c r="B555" s="6" t="str">
        <f>IF(OR(F555="NA",G555="wide_value"),"",TRUE)</f>
        <v/>
      </c>
      <c r="C555" s="6" t="s">
        <v>16</v>
      </c>
      <c r="D555" s="6" t="s">
        <v>192</v>
      </c>
      <c r="E555" s="6" t="s">
        <v>139</v>
      </c>
      <c r="F555" s="6" t="s">
        <v>459</v>
      </c>
      <c r="G555" s="9" t="s">
        <v>1113</v>
      </c>
      <c r="H555" s="6"/>
      <c r="I555" s="6"/>
      <c r="J555" s="6"/>
      <c r="K555" s="6"/>
      <c r="L555" s="6"/>
    </row>
    <row r="556" spans="1:12" x14ac:dyDescent="0.2">
      <c r="A556">
        <v>696</v>
      </c>
      <c r="B556" s="6" t="str">
        <f>IF(OR(F556="NA",G556="wide_value"),"",TRUE)</f>
        <v/>
      </c>
      <c r="C556" s="6" t="s">
        <v>16</v>
      </c>
      <c r="D556" s="6" t="s">
        <v>192</v>
      </c>
      <c r="E556" s="6" t="s">
        <v>139</v>
      </c>
      <c r="F556" s="6" t="s">
        <v>460</v>
      </c>
      <c r="G556" s="9" t="s">
        <v>1113</v>
      </c>
      <c r="H556" s="6"/>
      <c r="I556" s="6"/>
      <c r="J556" s="6"/>
      <c r="K556" s="6"/>
      <c r="L556" s="6"/>
    </row>
    <row r="557" spans="1:12" x14ac:dyDescent="0.2">
      <c r="A557">
        <v>697</v>
      </c>
      <c r="B557" s="6" t="str">
        <f>IF(OR(F557="NA",G557="wide_value"),"",TRUE)</f>
        <v/>
      </c>
      <c r="C557" s="6" t="s">
        <v>16</v>
      </c>
      <c r="D557" s="6" t="s">
        <v>192</v>
      </c>
      <c r="E557" s="6" t="s">
        <v>139</v>
      </c>
      <c r="F557" s="6" t="s">
        <v>461</v>
      </c>
      <c r="G557" s="9" t="s">
        <v>1113</v>
      </c>
      <c r="H557" s="6"/>
      <c r="I557" s="6"/>
      <c r="J557" s="6"/>
      <c r="K557" s="6"/>
      <c r="L557" s="6"/>
    </row>
    <row r="558" spans="1:12" x14ac:dyDescent="0.2">
      <c r="A558">
        <v>698</v>
      </c>
      <c r="B558" s="6" t="str">
        <f>IF(OR(F558="NA",G558="wide_value"),"",TRUE)</f>
        <v/>
      </c>
      <c r="C558" s="6" t="s">
        <v>16</v>
      </c>
      <c r="D558" s="6" t="s">
        <v>192</v>
      </c>
      <c r="E558" s="6" t="s">
        <v>139</v>
      </c>
      <c r="F558" s="6" t="s">
        <v>462</v>
      </c>
      <c r="G558" s="9" t="s">
        <v>1113</v>
      </c>
      <c r="H558" s="6"/>
      <c r="I558" s="6"/>
      <c r="J558" s="6"/>
      <c r="K558" s="6"/>
      <c r="L558" s="6"/>
    </row>
    <row r="559" spans="1:12" x14ac:dyDescent="0.2">
      <c r="A559">
        <v>699</v>
      </c>
      <c r="B559" s="6" t="str">
        <f>IF(OR(F559="NA",G559="wide_value"),"",TRUE)</f>
        <v/>
      </c>
      <c r="C559" s="6" t="s">
        <v>16</v>
      </c>
      <c r="D559" s="6" t="s">
        <v>192</v>
      </c>
      <c r="E559" s="6" t="s">
        <v>139</v>
      </c>
      <c r="F559" s="6" t="s">
        <v>463</v>
      </c>
      <c r="G559" s="9" t="s">
        <v>1113</v>
      </c>
      <c r="H559" s="6"/>
      <c r="I559" s="6"/>
      <c r="J559" s="6"/>
      <c r="K559" s="6"/>
      <c r="L559" s="6"/>
    </row>
    <row r="560" spans="1:12" x14ac:dyDescent="0.2">
      <c r="A560">
        <v>700</v>
      </c>
      <c r="B560" s="6" t="str">
        <f>IF(OR(F560="NA",G560="wide_value"),"",TRUE)</f>
        <v/>
      </c>
      <c r="C560" s="6" t="s">
        <v>16</v>
      </c>
      <c r="D560" s="6" t="s">
        <v>192</v>
      </c>
      <c r="E560" s="6" t="s">
        <v>139</v>
      </c>
      <c r="F560" s="6" t="s">
        <v>464</v>
      </c>
      <c r="G560" s="9" t="s">
        <v>1113</v>
      </c>
      <c r="H560" s="6"/>
      <c r="I560" s="6"/>
      <c r="J560" s="6"/>
      <c r="K560" s="6"/>
      <c r="L560" s="6"/>
    </row>
    <row r="561" spans="1:12" x14ac:dyDescent="0.2">
      <c r="A561">
        <v>701</v>
      </c>
      <c r="B561" s="6" t="str">
        <f>IF(OR(F561="NA",G561="wide_value"),"",TRUE)</f>
        <v/>
      </c>
      <c r="C561" s="6" t="s">
        <v>16</v>
      </c>
      <c r="D561" s="6" t="s">
        <v>192</v>
      </c>
      <c r="E561" s="6" t="s">
        <v>139</v>
      </c>
      <c r="F561" s="6" t="s">
        <v>465</v>
      </c>
      <c r="G561" s="9" t="s">
        <v>1113</v>
      </c>
      <c r="H561" s="6"/>
      <c r="I561" s="6"/>
      <c r="J561" s="6"/>
      <c r="K561" s="6"/>
      <c r="L561" s="6"/>
    </row>
    <row r="562" spans="1:12" x14ac:dyDescent="0.2">
      <c r="A562">
        <v>702</v>
      </c>
      <c r="B562" s="6" t="str">
        <f>IF(OR(F562="NA",G562="wide_value"),"",TRUE)</f>
        <v/>
      </c>
      <c r="C562" s="6" t="s">
        <v>16</v>
      </c>
      <c r="D562" s="6" t="s">
        <v>192</v>
      </c>
      <c r="E562" s="6" t="s">
        <v>139</v>
      </c>
      <c r="F562" s="6" t="s">
        <v>466</v>
      </c>
      <c r="G562" s="9" t="s">
        <v>1113</v>
      </c>
      <c r="H562" s="6"/>
      <c r="I562" s="6"/>
      <c r="J562" s="6"/>
      <c r="K562" s="6"/>
      <c r="L562" s="6"/>
    </row>
    <row r="563" spans="1:12" x14ac:dyDescent="0.2">
      <c r="A563">
        <v>703</v>
      </c>
      <c r="B563" s="6" t="str">
        <f>IF(OR(F563="NA",G563="wide_value"),"",TRUE)</f>
        <v/>
      </c>
      <c r="C563" s="6" t="s">
        <v>16</v>
      </c>
      <c r="D563" s="6" t="s">
        <v>192</v>
      </c>
      <c r="E563" s="6" t="s">
        <v>139</v>
      </c>
      <c r="F563" s="6" t="s">
        <v>467</v>
      </c>
      <c r="G563" s="9" t="s">
        <v>1113</v>
      </c>
      <c r="H563" s="6"/>
      <c r="I563" s="6"/>
      <c r="J563" s="6"/>
      <c r="K563" s="6"/>
      <c r="L563" s="6"/>
    </row>
    <row r="564" spans="1:12" x14ac:dyDescent="0.2">
      <c r="A564">
        <v>704</v>
      </c>
      <c r="B564" s="6" t="str">
        <f>IF(OR(F564="NA",G564="wide_value"),"",TRUE)</f>
        <v/>
      </c>
      <c r="C564" s="6" t="s">
        <v>16</v>
      </c>
      <c r="D564" s="6" t="s">
        <v>192</v>
      </c>
      <c r="E564" s="6" t="s">
        <v>139</v>
      </c>
      <c r="F564" s="6" t="s">
        <v>468</v>
      </c>
      <c r="G564" s="9" t="s">
        <v>1113</v>
      </c>
      <c r="H564" s="6"/>
      <c r="I564" s="6"/>
      <c r="J564" s="6"/>
      <c r="K564" s="6"/>
      <c r="L564" s="6"/>
    </row>
    <row r="565" spans="1:12" x14ac:dyDescent="0.2">
      <c r="A565">
        <v>705</v>
      </c>
      <c r="B565" s="6" t="str">
        <f>IF(OR(F565="NA",G565="wide_value"),"",TRUE)</f>
        <v/>
      </c>
      <c r="C565" s="6" t="s">
        <v>16</v>
      </c>
      <c r="D565" s="6" t="s">
        <v>192</v>
      </c>
      <c r="E565" s="6" t="s">
        <v>139</v>
      </c>
      <c r="F565" s="6" t="s">
        <v>469</v>
      </c>
      <c r="G565" s="9" t="s">
        <v>1113</v>
      </c>
      <c r="H565" s="6"/>
      <c r="I565" s="6"/>
      <c r="J565" s="6"/>
      <c r="K565" s="6"/>
      <c r="L565" s="6"/>
    </row>
    <row r="566" spans="1:12" x14ac:dyDescent="0.2">
      <c r="A566">
        <v>706</v>
      </c>
      <c r="B566" s="6" t="str">
        <f t="shared" ref="B566:B629" si="0">IF(OR(F566="NA",G566="wide_value"),"",TRUE)</f>
        <v/>
      </c>
      <c r="C566" s="6" t="s">
        <v>16</v>
      </c>
      <c r="D566" s="6" t="s">
        <v>192</v>
      </c>
      <c r="E566" s="6" t="s">
        <v>139</v>
      </c>
      <c r="F566" s="6" t="s">
        <v>470</v>
      </c>
      <c r="G566" s="9" t="s">
        <v>1113</v>
      </c>
      <c r="H566" s="6"/>
      <c r="I566" s="6"/>
      <c r="J566" s="6"/>
      <c r="K566" s="6"/>
      <c r="L566" s="6"/>
    </row>
    <row r="567" spans="1:12" x14ac:dyDescent="0.2">
      <c r="A567">
        <v>707</v>
      </c>
      <c r="B567" s="6" t="str">
        <f t="shared" si="0"/>
        <v/>
      </c>
      <c r="C567" s="6" t="s">
        <v>16</v>
      </c>
      <c r="D567" s="6" t="s">
        <v>192</v>
      </c>
      <c r="E567" s="6" t="s">
        <v>139</v>
      </c>
      <c r="F567" s="6" t="s">
        <v>471</v>
      </c>
      <c r="G567" s="9" t="s">
        <v>1113</v>
      </c>
      <c r="H567" s="6"/>
      <c r="I567" s="6"/>
      <c r="J567" s="6"/>
      <c r="K567" s="6"/>
      <c r="L567" s="6"/>
    </row>
    <row r="568" spans="1:12" x14ac:dyDescent="0.2">
      <c r="A568">
        <v>708</v>
      </c>
      <c r="B568" s="6" t="str">
        <f t="shared" si="0"/>
        <v/>
      </c>
      <c r="C568" s="6" t="s">
        <v>16</v>
      </c>
      <c r="D568" s="6" t="s">
        <v>192</v>
      </c>
      <c r="E568" s="6" t="s">
        <v>139</v>
      </c>
      <c r="F568" s="6" t="s">
        <v>472</v>
      </c>
      <c r="G568" s="9" t="s">
        <v>1113</v>
      </c>
      <c r="H568" s="6"/>
      <c r="I568" s="6"/>
      <c r="J568" s="6"/>
      <c r="K568" s="6"/>
      <c r="L568" s="6"/>
    </row>
    <row r="569" spans="1:12" x14ac:dyDescent="0.2">
      <c r="A569">
        <v>709</v>
      </c>
      <c r="B569" s="6" t="str">
        <f t="shared" si="0"/>
        <v/>
      </c>
      <c r="C569" s="6" t="s">
        <v>16</v>
      </c>
      <c r="D569" s="6" t="s">
        <v>192</v>
      </c>
      <c r="E569" s="6" t="s">
        <v>139</v>
      </c>
      <c r="F569" s="6" t="s">
        <v>473</v>
      </c>
      <c r="G569" s="9" t="s">
        <v>1113</v>
      </c>
      <c r="H569" s="6"/>
      <c r="I569" s="6"/>
      <c r="J569" s="6"/>
      <c r="K569" s="6"/>
      <c r="L569" s="6"/>
    </row>
    <row r="570" spans="1:12" x14ac:dyDescent="0.2">
      <c r="A570">
        <v>710</v>
      </c>
      <c r="B570" s="6" t="str">
        <f t="shared" si="0"/>
        <v/>
      </c>
      <c r="C570" s="6" t="s">
        <v>16</v>
      </c>
      <c r="D570" s="6" t="s">
        <v>192</v>
      </c>
      <c r="E570" s="6" t="s">
        <v>139</v>
      </c>
      <c r="F570" s="6" t="s">
        <v>474</v>
      </c>
      <c r="G570" s="9" t="s">
        <v>1113</v>
      </c>
      <c r="H570" s="6"/>
      <c r="I570" s="6"/>
      <c r="J570" s="6"/>
      <c r="K570" s="6"/>
      <c r="L570" s="6"/>
    </row>
    <row r="571" spans="1:12" x14ac:dyDescent="0.2">
      <c r="A571">
        <v>711</v>
      </c>
      <c r="B571" s="6" t="str">
        <f t="shared" si="0"/>
        <v/>
      </c>
      <c r="C571" s="6" t="s">
        <v>16</v>
      </c>
      <c r="D571" s="6" t="s">
        <v>192</v>
      </c>
      <c r="E571" s="6" t="s">
        <v>139</v>
      </c>
      <c r="F571" s="6" t="s">
        <v>475</v>
      </c>
      <c r="G571" s="9" t="s">
        <v>1113</v>
      </c>
      <c r="H571" s="6"/>
      <c r="I571" s="6"/>
      <c r="J571" s="6"/>
      <c r="K571" s="6"/>
      <c r="L571" s="6"/>
    </row>
    <row r="572" spans="1:12" x14ac:dyDescent="0.2">
      <c r="A572">
        <v>712</v>
      </c>
      <c r="B572" s="6" t="str">
        <f t="shared" si="0"/>
        <v/>
      </c>
      <c r="C572" s="6" t="s">
        <v>16</v>
      </c>
      <c r="D572" s="6" t="s">
        <v>192</v>
      </c>
      <c r="E572" s="6" t="s">
        <v>139</v>
      </c>
      <c r="F572" s="6" t="s">
        <v>476</v>
      </c>
      <c r="G572" s="9" t="s">
        <v>1113</v>
      </c>
      <c r="H572" s="6"/>
      <c r="I572" s="6"/>
      <c r="J572" s="6"/>
      <c r="K572" s="6"/>
      <c r="L572" s="6"/>
    </row>
    <row r="573" spans="1:12" x14ac:dyDescent="0.2">
      <c r="A573">
        <v>713</v>
      </c>
      <c r="B573" s="6" t="str">
        <f t="shared" si="0"/>
        <v/>
      </c>
      <c r="C573" s="6" t="s">
        <v>16</v>
      </c>
      <c r="D573" s="6" t="s">
        <v>192</v>
      </c>
      <c r="E573" s="6" t="s">
        <v>67</v>
      </c>
      <c r="F573" s="6" t="s">
        <v>497</v>
      </c>
      <c r="G573" s="9" t="s">
        <v>1113</v>
      </c>
      <c r="H573" s="6"/>
      <c r="I573" s="6"/>
      <c r="J573" s="6"/>
      <c r="K573" s="6"/>
      <c r="L573" s="5" t="s">
        <v>1798</v>
      </c>
    </row>
    <row r="574" spans="1:12" x14ac:dyDescent="0.2">
      <c r="A574">
        <v>714</v>
      </c>
      <c r="B574" s="6" t="str">
        <f t="shared" si="0"/>
        <v/>
      </c>
      <c r="C574" s="6" t="s">
        <v>16</v>
      </c>
      <c r="D574" s="6" t="s">
        <v>192</v>
      </c>
      <c r="E574" s="6" t="s">
        <v>80</v>
      </c>
      <c r="F574" s="6" t="s">
        <v>497</v>
      </c>
      <c r="G574" s="9" t="s">
        <v>1113</v>
      </c>
      <c r="H574" s="6"/>
      <c r="I574" s="6"/>
      <c r="J574" s="6"/>
      <c r="K574" s="6"/>
      <c r="L574" s="5" t="s">
        <v>1798</v>
      </c>
    </row>
    <row r="575" spans="1:12" x14ac:dyDescent="0.2">
      <c r="A575">
        <v>715</v>
      </c>
      <c r="B575" s="6" t="str">
        <f t="shared" si="0"/>
        <v/>
      </c>
      <c r="C575" s="6" t="s">
        <v>16</v>
      </c>
      <c r="D575" s="6" t="s">
        <v>192</v>
      </c>
      <c r="E575" s="6" t="s">
        <v>88</v>
      </c>
      <c r="F575" s="6" t="s">
        <v>1237</v>
      </c>
      <c r="G575" s="9" t="s">
        <v>1113</v>
      </c>
      <c r="H575" s="6"/>
      <c r="I575" s="6"/>
      <c r="J575" s="6"/>
      <c r="K575" s="6"/>
      <c r="L575" s="5" t="s">
        <v>1629</v>
      </c>
    </row>
    <row r="576" spans="1:12" x14ac:dyDescent="0.2">
      <c r="A576">
        <v>716</v>
      </c>
      <c r="B576" s="6" t="str">
        <f t="shared" si="0"/>
        <v/>
      </c>
      <c r="C576" s="6" t="s">
        <v>16</v>
      </c>
      <c r="D576" s="6" t="s">
        <v>192</v>
      </c>
      <c r="E576" s="6" t="s">
        <v>88</v>
      </c>
      <c r="F576" s="6" t="s">
        <v>1238</v>
      </c>
      <c r="G576" s="9" t="s">
        <v>1113</v>
      </c>
      <c r="H576" s="6"/>
      <c r="I576" s="6"/>
      <c r="J576" s="6"/>
      <c r="K576" s="6"/>
      <c r="L576" s="5" t="s">
        <v>1629</v>
      </c>
    </row>
    <row r="577" spans="1:12" x14ac:dyDescent="0.2">
      <c r="A577">
        <v>717</v>
      </c>
      <c r="B577" s="6" t="str">
        <f t="shared" si="0"/>
        <v/>
      </c>
      <c r="C577" s="6" t="s">
        <v>16</v>
      </c>
      <c r="D577" s="6" t="s">
        <v>192</v>
      </c>
      <c r="E577" s="6" t="s">
        <v>141</v>
      </c>
      <c r="F577" s="6" t="s">
        <v>497</v>
      </c>
      <c r="G577" s="6" t="s">
        <v>1331</v>
      </c>
      <c r="H577" s="6" t="s">
        <v>1632</v>
      </c>
      <c r="I577" s="6" t="s">
        <v>1631</v>
      </c>
      <c r="J577" s="6"/>
      <c r="K577" s="6"/>
      <c r="L577" s="5" t="s">
        <v>1630</v>
      </c>
    </row>
    <row r="578" spans="1:12" x14ac:dyDescent="0.2">
      <c r="A578">
        <v>718</v>
      </c>
      <c r="B578" s="6" t="str">
        <f t="shared" si="0"/>
        <v/>
      </c>
      <c r="C578" s="6" t="s">
        <v>16</v>
      </c>
      <c r="D578" s="6" t="s">
        <v>192</v>
      </c>
      <c r="E578" s="6" t="s">
        <v>93</v>
      </c>
      <c r="F578" s="6" t="s">
        <v>497</v>
      </c>
      <c r="G578" s="9" t="s">
        <v>1331</v>
      </c>
      <c r="H578" s="6" t="s">
        <v>1806</v>
      </c>
      <c r="I578" s="6" t="s">
        <v>1807</v>
      </c>
      <c r="J578" s="6"/>
      <c r="K578" s="6"/>
      <c r="L578" s="5" t="s">
        <v>1809</v>
      </c>
    </row>
    <row r="579" spans="1:12" x14ac:dyDescent="0.2">
      <c r="A579">
        <v>719</v>
      </c>
      <c r="B579" s="6" t="str">
        <f t="shared" si="0"/>
        <v/>
      </c>
      <c r="C579" s="6" t="s">
        <v>16</v>
      </c>
      <c r="D579" s="6" t="s">
        <v>192</v>
      </c>
      <c r="E579" s="6" t="s">
        <v>94</v>
      </c>
      <c r="F579" s="6" t="s">
        <v>497</v>
      </c>
      <c r="G579" s="9" t="s">
        <v>1113</v>
      </c>
      <c r="H579" s="6"/>
      <c r="I579" s="6"/>
      <c r="J579" s="6"/>
      <c r="K579" s="6"/>
      <c r="L579" s="5" t="s">
        <v>1808</v>
      </c>
    </row>
    <row r="580" spans="1:12" x14ac:dyDescent="0.2">
      <c r="A580">
        <v>720</v>
      </c>
      <c r="B580" s="6" t="b">
        <f t="shared" si="0"/>
        <v>1</v>
      </c>
      <c r="C580" s="6" t="s">
        <v>16</v>
      </c>
      <c r="D580" s="6" t="s">
        <v>192</v>
      </c>
      <c r="E580" s="6" t="s">
        <v>42</v>
      </c>
      <c r="F580" s="6" t="s">
        <v>374</v>
      </c>
      <c r="G580" s="6" t="s">
        <v>1013</v>
      </c>
      <c r="H580" s="6" t="s">
        <v>1397</v>
      </c>
      <c r="I580" s="6" t="s">
        <v>1408</v>
      </c>
      <c r="J580" s="6"/>
      <c r="K580" s="6"/>
      <c r="L580" s="5" t="s">
        <v>1399</v>
      </c>
    </row>
    <row r="581" spans="1:12" x14ac:dyDescent="0.2">
      <c r="A581">
        <v>721</v>
      </c>
      <c r="B581" s="6" t="b">
        <f t="shared" si="0"/>
        <v>1</v>
      </c>
      <c r="C581" s="6" t="s">
        <v>16</v>
      </c>
      <c r="D581" s="6" t="s">
        <v>192</v>
      </c>
      <c r="E581" s="6" t="s">
        <v>42</v>
      </c>
      <c r="F581" s="6" t="s">
        <v>375</v>
      </c>
      <c r="G581" s="6" t="s">
        <v>1013</v>
      </c>
      <c r="H581" s="6" t="s">
        <v>1397</v>
      </c>
      <c r="I581" s="6" t="s">
        <v>1409</v>
      </c>
      <c r="J581" s="6"/>
      <c r="K581" s="6"/>
      <c r="L581" s="5" t="s">
        <v>1399</v>
      </c>
    </row>
    <row r="582" spans="1:12" x14ac:dyDescent="0.2">
      <c r="A582">
        <v>722</v>
      </c>
      <c r="B582" s="6" t="b">
        <f t="shared" si="0"/>
        <v>1</v>
      </c>
      <c r="C582" s="6" t="s">
        <v>16</v>
      </c>
      <c r="D582" s="6" t="s">
        <v>192</v>
      </c>
      <c r="E582" s="6" t="s">
        <v>42</v>
      </c>
      <c r="F582" s="6" t="s">
        <v>376</v>
      </c>
      <c r="G582" s="6" t="s">
        <v>1013</v>
      </c>
      <c r="H582" s="6" t="s">
        <v>1397</v>
      </c>
      <c r="I582" s="6" t="s">
        <v>1410</v>
      </c>
      <c r="J582" s="6"/>
      <c r="K582" s="6"/>
      <c r="L582" s="5" t="s">
        <v>1399</v>
      </c>
    </row>
    <row r="583" spans="1:12" x14ac:dyDescent="0.2">
      <c r="A583">
        <v>723</v>
      </c>
      <c r="B583" s="6" t="b">
        <f t="shared" si="0"/>
        <v>1</v>
      </c>
      <c r="C583" s="6" t="s">
        <v>16</v>
      </c>
      <c r="D583" s="6" t="s">
        <v>192</v>
      </c>
      <c r="E583" s="6" t="s">
        <v>42</v>
      </c>
      <c r="F583" s="6" t="s">
        <v>377</v>
      </c>
      <c r="G583" s="6" t="s">
        <v>1013</v>
      </c>
      <c r="H583" s="6" t="s">
        <v>1397</v>
      </c>
      <c r="I583" s="6" t="s">
        <v>1411</v>
      </c>
      <c r="J583" s="6"/>
      <c r="K583" s="6"/>
      <c r="L583" s="5" t="s">
        <v>1399</v>
      </c>
    </row>
    <row r="584" spans="1:12" x14ac:dyDescent="0.2">
      <c r="A584">
        <v>724</v>
      </c>
      <c r="B584" s="6" t="b">
        <f t="shared" si="0"/>
        <v>1</v>
      </c>
      <c r="C584" s="6" t="s">
        <v>16</v>
      </c>
      <c r="D584" s="6" t="s">
        <v>192</v>
      </c>
      <c r="E584" s="6" t="s">
        <v>42</v>
      </c>
      <c r="F584" s="6" t="s">
        <v>378</v>
      </c>
      <c r="G584" s="6" t="s">
        <v>1013</v>
      </c>
      <c r="H584" s="6" t="s">
        <v>1397</v>
      </c>
      <c r="I584" s="6" t="s">
        <v>1412</v>
      </c>
      <c r="J584" s="6"/>
      <c r="K584" s="6"/>
      <c r="L584" s="5" t="s">
        <v>1399</v>
      </c>
    </row>
    <row r="585" spans="1:12" x14ac:dyDescent="0.2">
      <c r="A585">
        <v>725</v>
      </c>
      <c r="B585" s="6" t="b">
        <f t="shared" si="0"/>
        <v>1</v>
      </c>
      <c r="C585" s="6" t="s">
        <v>16</v>
      </c>
      <c r="D585" s="6" t="s">
        <v>192</v>
      </c>
      <c r="E585" s="6" t="s">
        <v>42</v>
      </c>
      <c r="F585" s="6" t="s">
        <v>379</v>
      </c>
      <c r="G585" s="6" t="s">
        <v>1013</v>
      </c>
      <c r="H585" s="6" t="s">
        <v>1397</v>
      </c>
      <c r="I585" s="6" t="s">
        <v>1413</v>
      </c>
      <c r="J585" s="6"/>
      <c r="K585" s="6"/>
      <c r="L585" s="5" t="s">
        <v>1399</v>
      </c>
    </row>
    <row r="586" spans="1:12" x14ac:dyDescent="0.2">
      <c r="A586">
        <v>726</v>
      </c>
      <c r="B586" s="6" t="b">
        <f t="shared" si="0"/>
        <v>1</v>
      </c>
      <c r="C586" s="6" t="s">
        <v>16</v>
      </c>
      <c r="D586" s="6" t="s">
        <v>192</v>
      </c>
      <c r="E586" s="6" t="s">
        <v>42</v>
      </c>
      <c r="F586" s="6" t="s">
        <v>380</v>
      </c>
      <c r="G586" s="6" t="s">
        <v>1013</v>
      </c>
      <c r="H586" s="6" t="s">
        <v>1397</v>
      </c>
      <c r="I586" s="6" t="s">
        <v>1414</v>
      </c>
      <c r="J586" s="6"/>
      <c r="K586" s="6"/>
      <c r="L586" s="5" t="s">
        <v>1399</v>
      </c>
    </row>
    <row r="587" spans="1:12" x14ac:dyDescent="0.2">
      <c r="A587">
        <v>727</v>
      </c>
      <c r="B587" s="6" t="b">
        <f t="shared" si="0"/>
        <v>1</v>
      </c>
      <c r="C587" s="6" t="s">
        <v>16</v>
      </c>
      <c r="D587" s="6" t="s">
        <v>192</v>
      </c>
      <c r="E587" s="6" t="s">
        <v>42</v>
      </c>
      <c r="F587" s="6" t="s">
        <v>197</v>
      </c>
      <c r="G587" s="6" t="s">
        <v>1013</v>
      </c>
      <c r="H587" s="6" t="s">
        <v>1397</v>
      </c>
      <c r="I587" s="6" t="s">
        <v>1406</v>
      </c>
      <c r="J587" s="6"/>
      <c r="K587" s="6"/>
      <c r="L587" s="5" t="s">
        <v>1399</v>
      </c>
    </row>
    <row r="588" spans="1:12" x14ac:dyDescent="0.2">
      <c r="A588">
        <v>728</v>
      </c>
      <c r="B588" s="6" t="b">
        <f t="shared" si="0"/>
        <v>1</v>
      </c>
      <c r="C588" s="6" t="s">
        <v>16</v>
      </c>
      <c r="D588" s="6" t="s">
        <v>192</v>
      </c>
      <c r="E588" s="6" t="s">
        <v>42</v>
      </c>
      <c r="F588" s="6" t="s">
        <v>381</v>
      </c>
      <c r="G588" s="6" t="s">
        <v>1013</v>
      </c>
      <c r="H588" s="6" t="s">
        <v>1397</v>
      </c>
      <c r="I588" s="6" t="s">
        <v>1415</v>
      </c>
      <c r="J588" s="6"/>
      <c r="K588" s="6"/>
      <c r="L588" s="5" t="s">
        <v>1399</v>
      </c>
    </row>
    <row r="589" spans="1:12" x14ac:dyDescent="0.2">
      <c r="A589">
        <v>729</v>
      </c>
      <c r="B589" s="6" t="b">
        <f t="shared" si="0"/>
        <v>1</v>
      </c>
      <c r="C589" s="6" t="s">
        <v>16</v>
      </c>
      <c r="D589" s="6" t="s">
        <v>192</v>
      </c>
      <c r="E589" s="6" t="s">
        <v>42</v>
      </c>
      <c r="F589" s="6" t="s">
        <v>382</v>
      </c>
      <c r="G589" s="6" t="s">
        <v>1013</v>
      </c>
      <c r="H589" s="6" t="s">
        <v>1397</v>
      </c>
      <c r="I589" s="6" t="s">
        <v>1402</v>
      </c>
      <c r="J589" s="6"/>
      <c r="K589" s="6"/>
      <c r="L589" s="5" t="s">
        <v>1399</v>
      </c>
    </row>
    <row r="590" spans="1:12" x14ac:dyDescent="0.2">
      <c r="A590">
        <v>730</v>
      </c>
      <c r="B590" s="6" t="b">
        <f t="shared" si="0"/>
        <v>1</v>
      </c>
      <c r="C590" s="6" t="s">
        <v>16</v>
      </c>
      <c r="D590" s="6" t="s">
        <v>192</v>
      </c>
      <c r="E590" s="6" t="s">
        <v>109</v>
      </c>
      <c r="F590" s="6"/>
      <c r="G590" s="6" t="s">
        <v>1013</v>
      </c>
      <c r="H590" s="6" t="s">
        <v>9</v>
      </c>
      <c r="I590" s="6" t="s">
        <v>1395</v>
      </c>
      <c r="J590" s="6"/>
      <c r="K590" s="6"/>
      <c r="L590" s="5" t="s">
        <v>1396</v>
      </c>
    </row>
    <row r="591" spans="1:12" x14ac:dyDescent="0.2">
      <c r="A591">
        <v>731</v>
      </c>
      <c r="B591" s="6" t="str">
        <f t="shared" si="0"/>
        <v/>
      </c>
      <c r="C591" s="6" t="s">
        <v>16</v>
      </c>
      <c r="D591" s="6" t="s">
        <v>192</v>
      </c>
      <c r="E591" s="6" t="s">
        <v>132</v>
      </c>
      <c r="F591" s="6" t="s">
        <v>497</v>
      </c>
      <c r="G591" s="6" t="s">
        <v>1013</v>
      </c>
      <c r="H591" s="6" t="s">
        <v>1336</v>
      </c>
      <c r="I591" s="6" t="s">
        <v>1616</v>
      </c>
      <c r="J591" s="6"/>
      <c r="K591" s="6"/>
      <c r="L591" s="5" t="s">
        <v>1614</v>
      </c>
    </row>
    <row r="592" spans="1:12" x14ac:dyDescent="0.2">
      <c r="A592">
        <v>732</v>
      </c>
      <c r="B592" s="6" t="str">
        <f t="shared" si="0"/>
        <v/>
      </c>
      <c r="C592" s="6" t="s">
        <v>16</v>
      </c>
      <c r="D592" s="6" t="s">
        <v>192</v>
      </c>
      <c r="E592" s="6" t="s">
        <v>17</v>
      </c>
      <c r="F592" s="6" t="s">
        <v>497</v>
      </c>
      <c r="G592" s="6" t="s">
        <v>1294</v>
      </c>
      <c r="H592" s="6" t="s">
        <v>1295</v>
      </c>
      <c r="I592" s="6" t="s">
        <v>1613</v>
      </c>
      <c r="J592" s="6"/>
      <c r="K592" s="6"/>
      <c r="L592" s="5" t="s">
        <v>1614</v>
      </c>
    </row>
    <row r="593" spans="1:12" x14ac:dyDescent="0.2">
      <c r="A593">
        <v>733</v>
      </c>
      <c r="B593" s="6" t="str">
        <f t="shared" si="0"/>
        <v/>
      </c>
      <c r="C593" s="6" t="s">
        <v>16</v>
      </c>
      <c r="D593" s="6" t="s">
        <v>192</v>
      </c>
      <c r="E593" s="6" t="s">
        <v>1185</v>
      </c>
      <c r="F593" s="6" t="s">
        <v>497</v>
      </c>
      <c r="G593" s="6" t="s">
        <v>1013</v>
      </c>
      <c r="H593" s="6" t="s">
        <v>1336</v>
      </c>
      <c r="I593" s="6" t="s">
        <v>1813</v>
      </c>
      <c r="J593" s="6"/>
      <c r="K593" s="6"/>
      <c r="L593" s="5" t="s">
        <v>1814</v>
      </c>
    </row>
    <row r="594" spans="1:12" x14ac:dyDescent="0.2">
      <c r="A594">
        <v>734</v>
      </c>
      <c r="B594" s="6" t="str">
        <f t="shared" si="0"/>
        <v/>
      </c>
      <c r="C594" s="6" t="s">
        <v>16</v>
      </c>
      <c r="D594" s="6" t="s">
        <v>192</v>
      </c>
      <c r="E594" s="6" t="s">
        <v>1187</v>
      </c>
      <c r="F594" s="6" t="s">
        <v>497</v>
      </c>
      <c r="G594" s="6" t="s">
        <v>1294</v>
      </c>
      <c r="H594" s="6" t="s">
        <v>1295</v>
      </c>
      <c r="I594" s="6" t="s">
        <v>1621</v>
      </c>
      <c r="J594" s="6"/>
      <c r="K594" s="6"/>
      <c r="L594" s="5" t="s">
        <v>1614</v>
      </c>
    </row>
    <row r="595" spans="1:12" x14ac:dyDescent="0.2">
      <c r="A595">
        <v>735</v>
      </c>
      <c r="B595" s="6" t="str">
        <f t="shared" si="0"/>
        <v/>
      </c>
      <c r="C595" s="6" t="s">
        <v>16</v>
      </c>
      <c r="D595" s="6" t="s">
        <v>192</v>
      </c>
      <c r="E595" s="6" t="s">
        <v>1186</v>
      </c>
      <c r="F595" s="6" t="s">
        <v>497</v>
      </c>
      <c r="G595" s="6" t="s">
        <v>1294</v>
      </c>
      <c r="H595" s="6" t="s">
        <v>1615</v>
      </c>
      <c r="I595" s="6" t="s">
        <v>1622</v>
      </c>
      <c r="J595" s="6"/>
      <c r="K595" s="6"/>
      <c r="L595" s="5" t="s">
        <v>1614</v>
      </c>
    </row>
    <row r="596" spans="1:12" x14ac:dyDescent="0.2">
      <c r="A596">
        <v>736</v>
      </c>
      <c r="B596" s="6" t="str">
        <f t="shared" si="0"/>
        <v/>
      </c>
      <c r="C596" s="6" t="s">
        <v>16</v>
      </c>
      <c r="D596" s="6" t="s">
        <v>192</v>
      </c>
      <c r="E596" s="6" t="s">
        <v>1188</v>
      </c>
      <c r="F596" s="6" t="s">
        <v>1232</v>
      </c>
      <c r="G596" s="9" t="s">
        <v>1113</v>
      </c>
      <c r="H596" s="6"/>
      <c r="I596" s="6"/>
      <c r="J596" s="6"/>
      <c r="K596" s="6"/>
    </row>
    <row r="597" spans="1:12" x14ac:dyDescent="0.2">
      <c r="A597">
        <v>737</v>
      </c>
      <c r="B597" s="6" t="str">
        <f t="shared" si="0"/>
        <v/>
      </c>
      <c r="C597" s="6" t="s">
        <v>16</v>
      </c>
      <c r="D597" s="6" t="s">
        <v>192</v>
      </c>
      <c r="E597" s="6" t="s">
        <v>1188</v>
      </c>
      <c r="F597" s="6" t="s">
        <v>1233</v>
      </c>
      <c r="G597" s="9" t="s">
        <v>1113</v>
      </c>
      <c r="H597" s="6"/>
      <c r="I597" s="6"/>
      <c r="J597" s="6"/>
      <c r="K597" s="6"/>
    </row>
    <row r="598" spans="1:12" x14ac:dyDescent="0.2">
      <c r="A598">
        <v>738</v>
      </c>
      <c r="B598" s="6" t="str">
        <f t="shared" si="0"/>
        <v/>
      </c>
      <c r="C598" s="6" t="s">
        <v>16</v>
      </c>
      <c r="D598" s="6" t="s">
        <v>192</v>
      </c>
      <c r="E598" s="6" t="s">
        <v>1188</v>
      </c>
      <c r="F598" s="6" t="s">
        <v>1234</v>
      </c>
      <c r="G598" s="9" t="s">
        <v>1113</v>
      </c>
      <c r="H598" s="6"/>
      <c r="I598" s="6"/>
      <c r="J598" s="6"/>
      <c r="K598" s="6"/>
    </row>
    <row r="599" spans="1:12" x14ac:dyDescent="0.2">
      <c r="A599">
        <v>739</v>
      </c>
      <c r="B599" s="6" t="str">
        <f t="shared" si="0"/>
        <v/>
      </c>
      <c r="C599" s="6" t="s">
        <v>16</v>
      </c>
      <c r="D599" s="6" t="s">
        <v>192</v>
      </c>
      <c r="E599" s="6" t="s">
        <v>1188</v>
      </c>
      <c r="F599" s="6" t="s">
        <v>1235</v>
      </c>
      <c r="G599" s="9" t="s">
        <v>1113</v>
      </c>
      <c r="H599" s="6"/>
      <c r="I599" s="6"/>
      <c r="J599" s="6"/>
      <c r="K599" s="6"/>
    </row>
    <row r="600" spans="1:12" x14ac:dyDescent="0.2">
      <c r="A600">
        <v>740</v>
      </c>
      <c r="B600" s="6" t="str">
        <f t="shared" si="0"/>
        <v/>
      </c>
      <c r="C600" s="6" t="s">
        <v>16</v>
      </c>
      <c r="D600" s="6" t="s">
        <v>192</v>
      </c>
      <c r="E600" s="6" t="s">
        <v>1188</v>
      </c>
      <c r="F600" s="6" t="s">
        <v>1236</v>
      </c>
      <c r="G600" s="9" t="s">
        <v>1113</v>
      </c>
      <c r="H600" s="6"/>
      <c r="I600" s="6"/>
      <c r="J600" s="6"/>
      <c r="K600" s="6"/>
    </row>
    <row r="601" spans="1:12" x14ac:dyDescent="0.2">
      <c r="A601">
        <v>741</v>
      </c>
      <c r="B601" s="6" t="str">
        <f t="shared" si="0"/>
        <v/>
      </c>
      <c r="C601" s="6" t="s">
        <v>16</v>
      </c>
      <c r="D601" s="6" t="s">
        <v>192</v>
      </c>
      <c r="E601" s="6" t="s">
        <v>21</v>
      </c>
      <c r="F601" s="6" t="s">
        <v>497</v>
      </c>
      <c r="G601" s="6" t="s">
        <v>1013</v>
      </c>
      <c r="H601" s="6" t="s">
        <v>1623</v>
      </c>
      <c r="I601" s="6" t="s">
        <v>1624</v>
      </c>
      <c r="J601" s="6"/>
      <c r="K601" s="6"/>
      <c r="L601" s="5" t="s">
        <v>1628</v>
      </c>
    </row>
    <row r="602" spans="1:12" x14ac:dyDescent="0.2">
      <c r="A602">
        <v>742</v>
      </c>
      <c r="B602" s="6" t="b">
        <f t="shared" si="0"/>
        <v>1</v>
      </c>
      <c r="C602" s="6" t="s">
        <v>16</v>
      </c>
      <c r="D602" s="6" t="s">
        <v>192</v>
      </c>
      <c r="E602" s="6" t="s">
        <v>19</v>
      </c>
      <c r="F602" s="6" t="s">
        <v>383</v>
      </c>
      <c r="G602" s="6" t="s">
        <v>1829</v>
      </c>
      <c r="H602" s="6" t="s">
        <v>1247</v>
      </c>
      <c r="I602" s="6" t="s">
        <v>1879</v>
      </c>
      <c r="J602" s="6" t="s">
        <v>1880</v>
      </c>
      <c r="K602" s="6"/>
      <c r="L602" s="5" t="s">
        <v>1881</v>
      </c>
    </row>
    <row r="603" spans="1:12" x14ac:dyDescent="0.2">
      <c r="A603">
        <v>743</v>
      </c>
      <c r="B603" s="6" t="b">
        <f t="shared" si="0"/>
        <v>1</v>
      </c>
      <c r="C603" s="6" t="s">
        <v>16</v>
      </c>
      <c r="D603" s="6" t="s">
        <v>192</v>
      </c>
      <c r="E603" s="6" t="s">
        <v>19</v>
      </c>
      <c r="F603" s="6" t="s">
        <v>394</v>
      </c>
      <c r="G603" s="6" t="s">
        <v>1829</v>
      </c>
      <c r="H603" s="6" t="s">
        <v>1247</v>
      </c>
      <c r="I603" s="6" t="s">
        <v>1879</v>
      </c>
      <c r="J603" s="6" t="s">
        <v>1880</v>
      </c>
      <c r="K603" s="6"/>
      <c r="L603" s="5" t="s">
        <v>1881</v>
      </c>
    </row>
    <row r="604" spans="1:12" x14ac:dyDescent="0.2">
      <c r="A604">
        <v>744</v>
      </c>
      <c r="B604" s="6" t="b">
        <f t="shared" si="0"/>
        <v>1</v>
      </c>
      <c r="C604" s="6" t="s">
        <v>16</v>
      </c>
      <c r="D604" s="6" t="s">
        <v>192</v>
      </c>
      <c r="E604" s="6" t="s">
        <v>19</v>
      </c>
      <c r="F604" s="6" t="s">
        <v>395</v>
      </c>
      <c r="G604" s="6" t="s">
        <v>1829</v>
      </c>
      <c r="H604" s="6" t="s">
        <v>1247</v>
      </c>
      <c r="I604" s="6" t="s">
        <v>1879</v>
      </c>
      <c r="J604" s="6" t="s">
        <v>1880</v>
      </c>
      <c r="K604" s="6"/>
      <c r="L604" s="5" t="s">
        <v>1881</v>
      </c>
    </row>
    <row r="605" spans="1:12" x14ac:dyDescent="0.2">
      <c r="A605">
        <v>745</v>
      </c>
      <c r="B605" s="6" t="b">
        <f t="shared" si="0"/>
        <v>1</v>
      </c>
      <c r="C605" s="6" t="s">
        <v>16</v>
      </c>
      <c r="D605" s="6" t="s">
        <v>192</v>
      </c>
      <c r="E605" s="6" t="s">
        <v>19</v>
      </c>
      <c r="F605" s="6" t="s">
        <v>396</v>
      </c>
      <c r="G605" s="6" t="s">
        <v>1829</v>
      </c>
      <c r="H605" s="6" t="s">
        <v>1247</v>
      </c>
      <c r="I605" s="6" t="s">
        <v>1879</v>
      </c>
      <c r="J605" s="6" t="s">
        <v>1880</v>
      </c>
      <c r="K605" s="6"/>
      <c r="L605" s="5" t="s">
        <v>1881</v>
      </c>
    </row>
    <row r="606" spans="1:12" x14ac:dyDescent="0.2">
      <c r="A606">
        <v>746</v>
      </c>
      <c r="B606" s="6" t="b">
        <f t="shared" si="0"/>
        <v>1</v>
      </c>
      <c r="C606" s="6" t="s">
        <v>16</v>
      </c>
      <c r="D606" s="6" t="s">
        <v>192</v>
      </c>
      <c r="E606" s="6" t="s">
        <v>19</v>
      </c>
      <c r="F606" s="6" t="s">
        <v>397</v>
      </c>
      <c r="G606" s="6" t="s">
        <v>1829</v>
      </c>
      <c r="H606" s="6" t="s">
        <v>1247</v>
      </c>
      <c r="I606" s="6" t="s">
        <v>1879</v>
      </c>
      <c r="J606" s="6" t="s">
        <v>1880</v>
      </c>
      <c r="K606" s="6"/>
      <c r="L606" s="5" t="s">
        <v>1881</v>
      </c>
    </row>
    <row r="607" spans="1:12" x14ac:dyDescent="0.2">
      <c r="A607">
        <v>747</v>
      </c>
      <c r="B607" s="6" t="b">
        <f t="shared" si="0"/>
        <v>1</v>
      </c>
      <c r="C607" s="6" t="s">
        <v>16</v>
      </c>
      <c r="D607" s="6" t="s">
        <v>192</v>
      </c>
      <c r="E607" s="6" t="s">
        <v>19</v>
      </c>
      <c r="F607" s="6" t="s">
        <v>398</v>
      </c>
      <c r="G607" s="6" t="s">
        <v>1829</v>
      </c>
      <c r="H607" s="6" t="s">
        <v>1247</v>
      </c>
      <c r="I607" s="6" t="s">
        <v>1879</v>
      </c>
      <c r="J607" s="6" t="s">
        <v>1880</v>
      </c>
      <c r="K607" s="6"/>
      <c r="L607" s="5" t="s">
        <v>1881</v>
      </c>
    </row>
    <row r="608" spans="1:12" x14ac:dyDescent="0.2">
      <c r="A608">
        <v>748</v>
      </c>
      <c r="B608" s="6" t="b">
        <f t="shared" si="0"/>
        <v>1</v>
      </c>
      <c r="C608" s="6" t="s">
        <v>16</v>
      </c>
      <c r="D608" s="6" t="s">
        <v>192</v>
      </c>
      <c r="E608" s="6" t="s">
        <v>19</v>
      </c>
      <c r="F608" s="6" t="s">
        <v>399</v>
      </c>
      <c r="G608" s="6" t="s">
        <v>1829</v>
      </c>
      <c r="H608" s="6" t="s">
        <v>1247</v>
      </c>
      <c r="I608" s="6" t="s">
        <v>1879</v>
      </c>
      <c r="J608" s="6" t="s">
        <v>1880</v>
      </c>
      <c r="K608" s="6"/>
      <c r="L608" s="5" t="s">
        <v>1881</v>
      </c>
    </row>
    <row r="609" spans="1:12" x14ac:dyDescent="0.2">
      <c r="A609">
        <v>749</v>
      </c>
      <c r="B609" s="6" t="b">
        <f t="shared" si="0"/>
        <v>1</v>
      </c>
      <c r="C609" s="6" t="s">
        <v>16</v>
      </c>
      <c r="D609" s="6" t="s">
        <v>192</v>
      </c>
      <c r="E609" s="6" t="s">
        <v>19</v>
      </c>
      <c r="F609" s="6" t="s">
        <v>400</v>
      </c>
      <c r="G609" s="6" t="s">
        <v>1829</v>
      </c>
      <c r="H609" s="6" t="s">
        <v>1247</v>
      </c>
      <c r="I609" s="6" t="s">
        <v>1879</v>
      </c>
      <c r="J609" s="6" t="s">
        <v>1880</v>
      </c>
      <c r="K609" s="6"/>
      <c r="L609" s="5" t="s">
        <v>1881</v>
      </c>
    </row>
    <row r="610" spans="1:12" x14ac:dyDescent="0.2">
      <c r="A610">
        <v>750</v>
      </c>
      <c r="B610" s="6" t="b">
        <f t="shared" si="0"/>
        <v>1</v>
      </c>
      <c r="C610" s="6" t="s">
        <v>16</v>
      </c>
      <c r="D610" s="6" t="s">
        <v>192</v>
      </c>
      <c r="E610" s="6" t="s">
        <v>19</v>
      </c>
      <c r="F610" s="6" t="s">
        <v>401</v>
      </c>
      <c r="G610" s="6" t="s">
        <v>1829</v>
      </c>
      <c r="H610" s="6" t="s">
        <v>1247</v>
      </c>
      <c r="I610" s="6" t="s">
        <v>1879</v>
      </c>
      <c r="J610" s="6" t="s">
        <v>1880</v>
      </c>
      <c r="K610" s="6"/>
      <c r="L610" s="5" t="s">
        <v>1881</v>
      </c>
    </row>
    <row r="611" spans="1:12" x14ac:dyDescent="0.2">
      <c r="A611">
        <v>751</v>
      </c>
      <c r="B611" s="6" t="b">
        <f t="shared" si="0"/>
        <v>1</v>
      </c>
      <c r="C611" s="6" t="s">
        <v>16</v>
      </c>
      <c r="D611" s="6" t="s">
        <v>192</v>
      </c>
      <c r="E611" s="6" t="s">
        <v>19</v>
      </c>
      <c r="F611" s="6" t="s">
        <v>402</v>
      </c>
      <c r="G611" s="6" t="s">
        <v>1829</v>
      </c>
      <c r="H611" s="6" t="s">
        <v>1247</v>
      </c>
      <c r="I611" s="6" t="s">
        <v>1879</v>
      </c>
      <c r="J611" s="6" t="s">
        <v>1880</v>
      </c>
      <c r="K611" s="6"/>
      <c r="L611" s="5" t="s">
        <v>1881</v>
      </c>
    </row>
    <row r="612" spans="1:12" x14ac:dyDescent="0.2">
      <c r="A612">
        <v>752</v>
      </c>
      <c r="B612" s="6" t="b">
        <f t="shared" si="0"/>
        <v>1</v>
      </c>
      <c r="C612" s="6" t="s">
        <v>16</v>
      </c>
      <c r="D612" s="6" t="s">
        <v>192</v>
      </c>
      <c r="E612" s="6" t="s">
        <v>19</v>
      </c>
      <c r="F612" s="6" t="s">
        <v>403</v>
      </c>
      <c r="G612" s="6" t="s">
        <v>1829</v>
      </c>
      <c r="H612" s="6" t="s">
        <v>1247</v>
      </c>
      <c r="I612" s="6" t="s">
        <v>1879</v>
      </c>
      <c r="J612" s="6" t="s">
        <v>1880</v>
      </c>
      <c r="K612" s="6"/>
      <c r="L612" s="5" t="s">
        <v>1881</v>
      </c>
    </row>
    <row r="613" spans="1:12" x14ac:dyDescent="0.2">
      <c r="A613">
        <v>753</v>
      </c>
      <c r="B613" s="6" t="b">
        <f t="shared" si="0"/>
        <v>1</v>
      </c>
      <c r="C613" s="6" t="s">
        <v>16</v>
      </c>
      <c r="D613" s="6" t="s">
        <v>192</v>
      </c>
      <c r="E613" s="6" t="s">
        <v>19</v>
      </c>
      <c r="F613" s="6" t="s">
        <v>404</v>
      </c>
      <c r="G613" s="6" t="s">
        <v>1829</v>
      </c>
      <c r="H613" s="6" t="s">
        <v>1247</v>
      </c>
      <c r="I613" s="6" t="s">
        <v>1879</v>
      </c>
      <c r="J613" s="6" t="s">
        <v>1880</v>
      </c>
      <c r="K613" s="6"/>
      <c r="L613" s="5" t="s">
        <v>1881</v>
      </c>
    </row>
    <row r="614" spans="1:12" x14ac:dyDescent="0.2">
      <c r="A614">
        <v>754</v>
      </c>
      <c r="B614" s="6" t="b">
        <f t="shared" si="0"/>
        <v>1</v>
      </c>
      <c r="C614" s="6" t="s">
        <v>16</v>
      </c>
      <c r="D614" s="6" t="s">
        <v>192</v>
      </c>
      <c r="E614" s="6" t="s">
        <v>19</v>
      </c>
      <c r="F614" s="6" t="s">
        <v>405</v>
      </c>
      <c r="G614" s="6" t="s">
        <v>1829</v>
      </c>
      <c r="H614" s="6" t="s">
        <v>1247</v>
      </c>
      <c r="I614" s="6" t="s">
        <v>1879</v>
      </c>
      <c r="J614" s="6" t="s">
        <v>1880</v>
      </c>
      <c r="K614" s="6"/>
      <c r="L614" s="5" t="s">
        <v>1881</v>
      </c>
    </row>
    <row r="615" spans="1:12" x14ac:dyDescent="0.2">
      <c r="A615">
        <v>755</v>
      </c>
      <c r="B615" s="6" t="b">
        <f t="shared" si="0"/>
        <v>1</v>
      </c>
      <c r="C615" s="6" t="s">
        <v>16</v>
      </c>
      <c r="D615" s="6" t="s">
        <v>192</v>
      </c>
      <c r="E615" s="6" t="s">
        <v>19</v>
      </c>
      <c r="F615" s="6" t="s">
        <v>406</v>
      </c>
      <c r="G615" s="6" t="s">
        <v>1829</v>
      </c>
      <c r="H615" s="6" t="s">
        <v>1247</v>
      </c>
      <c r="I615" s="6" t="s">
        <v>1879</v>
      </c>
      <c r="J615" s="6" t="s">
        <v>1880</v>
      </c>
      <c r="K615" s="6"/>
      <c r="L615" s="5" t="s">
        <v>1881</v>
      </c>
    </row>
    <row r="616" spans="1:12" x14ac:dyDescent="0.2">
      <c r="A616">
        <v>756</v>
      </c>
      <c r="B616" s="6" t="b">
        <f t="shared" si="0"/>
        <v>1</v>
      </c>
      <c r="C616" s="6" t="s">
        <v>16</v>
      </c>
      <c r="D616" s="6" t="s">
        <v>192</v>
      </c>
      <c r="E616" s="6" t="s">
        <v>19</v>
      </c>
      <c r="F616" s="6" t="s">
        <v>407</v>
      </c>
      <c r="G616" s="6" t="s">
        <v>1829</v>
      </c>
      <c r="H616" s="6" t="s">
        <v>1247</v>
      </c>
      <c r="I616" s="6" t="s">
        <v>1879</v>
      </c>
      <c r="J616" s="6" t="s">
        <v>1880</v>
      </c>
      <c r="K616" s="6"/>
      <c r="L616" s="5" t="s">
        <v>1881</v>
      </c>
    </row>
    <row r="617" spans="1:12" x14ac:dyDescent="0.2">
      <c r="A617">
        <v>757</v>
      </c>
      <c r="B617" s="6" t="b">
        <f t="shared" si="0"/>
        <v>1</v>
      </c>
      <c r="C617" s="6" t="s">
        <v>16</v>
      </c>
      <c r="D617" s="6" t="s">
        <v>192</v>
      </c>
      <c r="E617" s="6" t="s">
        <v>19</v>
      </c>
      <c r="F617" s="6" t="s">
        <v>408</v>
      </c>
      <c r="G617" s="6" t="s">
        <v>1829</v>
      </c>
      <c r="H617" s="6" t="s">
        <v>1247</v>
      </c>
      <c r="I617" s="6" t="s">
        <v>1879</v>
      </c>
      <c r="J617" s="6" t="s">
        <v>1880</v>
      </c>
      <c r="K617" s="6"/>
      <c r="L617" s="5" t="s">
        <v>1881</v>
      </c>
    </row>
    <row r="618" spans="1:12" x14ac:dyDescent="0.2">
      <c r="A618">
        <v>758</v>
      </c>
      <c r="B618" s="6" t="b">
        <f t="shared" si="0"/>
        <v>1</v>
      </c>
      <c r="C618" s="6" t="s">
        <v>16</v>
      </c>
      <c r="D618" s="6" t="s">
        <v>192</v>
      </c>
      <c r="E618" s="6" t="s">
        <v>19</v>
      </c>
      <c r="F618" s="6" t="s">
        <v>409</v>
      </c>
      <c r="G618" s="6" t="s">
        <v>1829</v>
      </c>
      <c r="H618" s="6" t="s">
        <v>1247</v>
      </c>
      <c r="I618" s="6" t="s">
        <v>1879</v>
      </c>
      <c r="J618" s="6" t="s">
        <v>1880</v>
      </c>
      <c r="K618" s="6"/>
      <c r="L618" s="5" t="s">
        <v>1881</v>
      </c>
    </row>
    <row r="619" spans="1:12" x14ac:dyDescent="0.2">
      <c r="A619">
        <v>759</v>
      </c>
      <c r="B619" s="6" t="b">
        <f t="shared" si="0"/>
        <v>1</v>
      </c>
      <c r="C619" s="6" t="s">
        <v>16</v>
      </c>
      <c r="D619" s="6" t="s">
        <v>192</v>
      </c>
      <c r="E619" s="6" t="s">
        <v>19</v>
      </c>
      <c r="F619" s="6" t="s">
        <v>410</v>
      </c>
      <c r="G619" s="6" t="s">
        <v>1829</v>
      </c>
      <c r="H619" s="6" t="s">
        <v>1247</v>
      </c>
      <c r="I619" s="6" t="s">
        <v>1879</v>
      </c>
      <c r="J619" s="6" t="s">
        <v>1880</v>
      </c>
      <c r="K619" s="6"/>
      <c r="L619" s="5" t="s">
        <v>1881</v>
      </c>
    </row>
    <row r="620" spans="1:12" x14ac:dyDescent="0.2">
      <c r="A620">
        <v>760</v>
      </c>
      <c r="B620" s="6" t="b">
        <f t="shared" si="0"/>
        <v>1</v>
      </c>
      <c r="C620" s="6" t="s">
        <v>16</v>
      </c>
      <c r="D620" s="6" t="s">
        <v>192</v>
      </c>
      <c r="E620" s="6" t="s">
        <v>19</v>
      </c>
      <c r="F620" s="6" t="s">
        <v>411</v>
      </c>
      <c r="G620" s="6" t="s">
        <v>1829</v>
      </c>
      <c r="H620" s="6" t="s">
        <v>1247</v>
      </c>
      <c r="I620" s="6" t="s">
        <v>1879</v>
      </c>
      <c r="J620" s="6" t="s">
        <v>1880</v>
      </c>
      <c r="K620" s="6"/>
      <c r="L620" s="5" t="s">
        <v>1881</v>
      </c>
    </row>
    <row r="621" spans="1:12" x14ac:dyDescent="0.2">
      <c r="A621">
        <v>761</v>
      </c>
      <c r="B621" s="6" t="b">
        <f t="shared" si="0"/>
        <v>1</v>
      </c>
      <c r="C621" s="6" t="s">
        <v>16</v>
      </c>
      <c r="D621" s="6" t="s">
        <v>192</v>
      </c>
      <c r="E621" s="6" t="s">
        <v>19</v>
      </c>
      <c r="F621" s="6" t="s">
        <v>412</v>
      </c>
      <c r="G621" s="6" t="s">
        <v>1829</v>
      </c>
      <c r="H621" s="6" t="s">
        <v>1247</v>
      </c>
      <c r="I621" s="6" t="s">
        <v>1879</v>
      </c>
      <c r="J621" s="6" t="s">
        <v>1880</v>
      </c>
      <c r="K621" s="6"/>
      <c r="L621" s="5" t="s">
        <v>1881</v>
      </c>
    </row>
    <row r="622" spans="1:12" x14ac:dyDescent="0.2">
      <c r="A622">
        <v>762</v>
      </c>
      <c r="B622" s="6" t="b">
        <f t="shared" si="0"/>
        <v>1</v>
      </c>
      <c r="C622" s="6" t="s">
        <v>16</v>
      </c>
      <c r="D622" s="6" t="s">
        <v>192</v>
      </c>
      <c r="E622" s="6" t="s">
        <v>19</v>
      </c>
      <c r="F622" s="6" t="s">
        <v>413</v>
      </c>
      <c r="G622" s="6" t="s">
        <v>1829</v>
      </c>
      <c r="H622" s="6" t="s">
        <v>1247</v>
      </c>
      <c r="I622" s="6" t="s">
        <v>1879</v>
      </c>
      <c r="J622" s="6" t="s">
        <v>1880</v>
      </c>
      <c r="K622" s="6"/>
      <c r="L622" s="5" t="s">
        <v>1881</v>
      </c>
    </row>
    <row r="623" spans="1:12" x14ac:dyDescent="0.2">
      <c r="A623">
        <v>763</v>
      </c>
      <c r="B623" s="6" t="b">
        <f t="shared" si="0"/>
        <v>1</v>
      </c>
      <c r="C623" s="6" t="s">
        <v>16</v>
      </c>
      <c r="D623" s="6" t="s">
        <v>192</v>
      </c>
      <c r="E623" s="6" t="s">
        <v>19</v>
      </c>
      <c r="F623" s="6" t="s">
        <v>414</v>
      </c>
      <c r="G623" s="6" t="s">
        <v>1829</v>
      </c>
      <c r="H623" s="6" t="s">
        <v>1247</v>
      </c>
      <c r="I623" s="6" t="s">
        <v>1879</v>
      </c>
      <c r="J623" s="6" t="s">
        <v>1880</v>
      </c>
      <c r="K623" s="6"/>
      <c r="L623" s="5" t="s">
        <v>1881</v>
      </c>
    </row>
    <row r="624" spans="1:12" x14ac:dyDescent="0.2">
      <c r="A624">
        <v>764</v>
      </c>
      <c r="B624" s="6" t="b">
        <f t="shared" si="0"/>
        <v>1</v>
      </c>
      <c r="C624" s="6" t="s">
        <v>16</v>
      </c>
      <c r="D624" s="6" t="s">
        <v>192</v>
      </c>
      <c r="E624" s="6" t="s">
        <v>19</v>
      </c>
      <c r="F624" s="6" t="s">
        <v>415</v>
      </c>
      <c r="G624" s="6" t="s">
        <v>1829</v>
      </c>
      <c r="H624" s="6" t="s">
        <v>1247</v>
      </c>
      <c r="I624" s="6" t="s">
        <v>1879</v>
      </c>
      <c r="J624" s="6" t="s">
        <v>1880</v>
      </c>
      <c r="K624" s="6"/>
      <c r="L624" s="5" t="s">
        <v>1881</v>
      </c>
    </row>
    <row r="625" spans="1:12" x14ac:dyDescent="0.2">
      <c r="A625">
        <v>765</v>
      </c>
      <c r="B625" s="6" t="b">
        <f t="shared" si="0"/>
        <v>1</v>
      </c>
      <c r="C625" s="6" t="s">
        <v>16</v>
      </c>
      <c r="D625" s="6" t="s">
        <v>192</v>
      </c>
      <c r="E625" s="6" t="s">
        <v>19</v>
      </c>
      <c r="F625" s="6" t="s">
        <v>416</v>
      </c>
      <c r="G625" s="6" t="s">
        <v>1829</v>
      </c>
      <c r="H625" s="6" t="s">
        <v>1247</v>
      </c>
      <c r="I625" s="6" t="s">
        <v>1879</v>
      </c>
      <c r="J625" s="6" t="s">
        <v>1880</v>
      </c>
      <c r="K625" s="6"/>
      <c r="L625" s="5" t="s">
        <v>1881</v>
      </c>
    </row>
    <row r="626" spans="1:12" x14ac:dyDescent="0.2">
      <c r="A626">
        <v>766</v>
      </c>
      <c r="B626" s="6" t="b">
        <f t="shared" si="0"/>
        <v>1</v>
      </c>
      <c r="C626" s="6" t="s">
        <v>16</v>
      </c>
      <c r="D626" s="6" t="s">
        <v>192</v>
      </c>
      <c r="E626" s="6" t="s">
        <v>19</v>
      </c>
      <c r="F626" s="6" t="s">
        <v>417</v>
      </c>
      <c r="G626" s="6" t="s">
        <v>1829</v>
      </c>
      <c r="H626" s="6" t="s">
        <v>1247</v>
      </c>
      <c r="I626" s="6" t="s">
        <v>1879</v>
      </c>
      <c r="J626" s="6" t="s">
        <v>1880</v>
      </c>
      <c r="K626" s="6"/>
      <c r="L626" s="5" t="s">
        <v>1881</v>
      </c>
    </row>
    <row r="627" spans="1:12" x14ac:dyDescent="0.2">
      <c r="A627">
        <v>767</v>
      </c>
      <c r="B627" s="6" t="b">
        <f t="shared" si="0"/>
        <v>1</v>
      </c>
      <c r="C627" s="6" t="s">
        <v>16</v>
      </c>
      <c r="D627" s="6" t="s">
        <v>192</v>
      </c>
      <c r="E627" s="6" t="s">
        <v>19</v>
      </c>
      <c r="F627" s="6" t="s">
        <v>418</v>
      </c>
      <c r="G627" s="6" t="s">
        <v>1829</v>
      </c>
      <c r="H627" s="6" t="s">
        <v>1247</v>
      </c>
      <c r="I627" s="6" t="s">
        <v>1879</v>
      </c>
      <c r="J627" s="6" t="s">
        <v>1880</v>
      </c>
      <c r="K627" s="6"/>
      <c r="L627" s="5" t="s">
        <v>1881</v>
      </c>
    </row>
    <row r="628" spans="1:12" x14ac:dyDescent="0.2">
      <c r="A628">
        <v>768</v>
      </c>
      <c r="B628" s="6" t="b">
        <f t="shared" si="0"/>
        <v>1</v>
      </c>
      <c r="C628" s="6" t="s">
        <v>16</v>
      </c>
      <c r="D628" s="6" t="s">
        <v>192</v>
      </c>
      <c r="E628" s="6" t="s">
        <v>19</v>
      </c>
      <c r="F628" s="6" t="s">
        <v>419</v>
      </c>
      <c r="G628" s="6" t="s">
        <v>1829</v>
      </c>
      <c r="H628" s="6" t="s">
        <v>1247</v>
      </c>
      <c r="I628" s="6" t="s">
        <v>1879</v>
      </c>
      <c r="J628" s="6" t="s">
        <v>1880</v>
      </c>
      <c r="K628" s="6"/>
      <c r="L628" s="5" t="s">
        <v>1881</v>
      </c>
    </row>
    <row r="629" spans="1:12" x14ac:dyDescent="0.2">
      <c r="A629">
        <v>769</v>
      </c>
      <c r="B629" s="6" t="b">
        <f t="shared" si="0"/>
        <v>1</v>
      </c>
      <c r="C629" s="6" t="s">
        <v>16</v>
      </c>
      <c r="D629" s="6" t="s">
        <v>192</v>
      </c>
      <c r="E629" s="6" t="s">
        <v>19</v>
      </c>
      <c r="F629" s="6" t="s">
        <v>420</v>
      </c>
      <c r="G629" s="6" t="s">
        <v>1829</v>
      </c>
      <c r="H629" s="6" t="s">
        <v>1247</v>
      </c>
      <c r="I629" s="6" t="s">
        <v>1879</v>
      </c>
      <c r="J629" s="6" t="s">
        <v>1880</v>
      </c>
      <c r="K629" s="6"/>
      <c r="L629" s="5" t="s">
        <v>1881</v>
      </c>
    </row>
    <row r="630" spans="1:12" x14ac:dyDescent="0.2">
      <c r="A630">
        <v>770</v>
      </c>
      <c r="B630" s="6" t="b">
        <f t="shared" ref="B630:B693" si="1">IF(OR(F630="NA",G630="wide_value"),"",TRUE)</f>
        <v>1</v>
      </c>
      <c r="C630" s="6" t="s">
        <v>16</v>
      </c>
      <c r="D630" s="6" t="s">
        <v>192</v>
      </c>
      <c r="E630" s="6" t="s">
        <v>19</v>
      </c>
      <c r="F630" s="6" t="s">
        <v>421</v>
      </c>
      <c r="G630" s="6" t="s">
        <v>1829</v>
      </c>
      <c r="H630" s="6" t="s">
        <v>1247</v>
      </c>
      <c r="I630" s="6" t="s">
        <v>1879</v>
      </c>
      <c r="J630" s="6" t="s">
        <v>1880</v>
      </c>
      <c r="K630" s="6"/>
      <c r="L630" s="5" t="s">
        <v>1881</v>
      </c>
    </row>
    <row r="631" spans="1:12" x14ac:dyDescent="0.2">
      <c r="A631">
        <v>771</v>
      </c>
      <c r="B631" s="6" t="b">
        <f t="shared" si="1"/>
        <v>1</v>
      </c>
      <c r="C631" s="6" t="s">
        <v>16</v>
      </c>
      <c r="D631" s="6" t="s">
        <v>192</v>
      </c>
      <c r="E631" s="6" t="s">
        <v>19</v>
      </c>
      <c r="F631" s="6" t="s">
        <v>422</v>
      </c>
      <c r="G631" s="6" t="s">
        <v>1829</v>
      </c>
      <c r="H631" s="6" t="s">
        <v>1247</v>
      </c>
      <c r="I631" s="6" t="s">
        <v>1879</v>
      </c>
      <c r="J631" s="6" t="s">
        <v>1880</v>
      </c>
      <c r="K631" s="6"/>
      <c r="L631" s="5" t="s">
        <v>1881</v>
      </c>
    </row>
    <row r="632" spans="1:12" x14ac:dyDescent="0.2">
      <c r="A632">
        <v>772</v>
      </c>
      <c r="B632" s="6" t="b">
        <f t="shared" si="1"/>
        <v>1</v>
      </c>
      <c r="C632" s="6" t="s">
        <v>16</v>
      </c>
      <c r="D632" s="6" t="s">
        <v>192</v>
      </c>
      <c r="E632" s="6" t="s">
        <v>19</v>
      </c>
      <c r="F632" s="6" t="s">
        <v>423</v>
      </c>
      <c r="G632" s="6" t="s">
        <v>1829</v>
      </c>
      <c r="H632" s="6" t="s">
        <v>1247</v>
      </c>
      <c r="I632" s="6" t="s">
        <v>1879</v>
      </c>
      <c r="J632" s="6" t="s">
        <v>1880</v>
      </c>
      <c r="K632" s="6"/>
      <c r="L632" s="5" t="s">
        <v>1881</v>
      </c>
    </row>
    <row r="633" spans="1:12" x14ac:dyDescent="0.2">
      <c r="A633">
        <v>773</v>
      </c>
      <c r="B633" s="6" t="b">
        <f t="shared" si="1"/>
        <v>1</v>
      </c>
      <c r="C633" s="6" t="s">
        <v>16</v>
      </c>
      <c r="D633" s="6" t="s">
        <v>192</v>
      </c>
      <c r="E633" s="6" t="s">
        <v>19</v>
      </c>
      <c r="F633" s="6" t="s">
        <v>385</v>
      </c>
      <c r="G633" s="6" t="s">
        <v>1829</v>
      </c>
      <c r="H633" s="6" t="s">
        <v>1247</v>
      </c>
      <c r="I633" s="6" t="s">
        <v>1879</v>
      </c>
      <c r="J633" s="6" t="s">
        <v>1880</v>
      </c>
      <c r="K633" s="6"/>
      <c r="L633" s="5" t="s">
        <v>1881</v>
      </c>
    </row>
    <row r="634" spans="1:12" x14ac:dyDescent="0.2">
      <c r="A634">
        <v>774</v>
      </c>
      <c r="B634" s="6" t="b">
        <f t="shared" si="1"/>
        <v>1</v>
      </c>
      <c r="C634" s="6" t="s">
        <v>16</v>
      </c>
      <c r="D634" s="6" t="s">
        <v>192</v>
      </c>
      <c r="E634" s="6" t="s">
        <v>19</v>
      </c>
      <c r="F634" s="6" t="s">
        <v>424</v>
      </c>
      <c r="G634" s="6" t="s">
        <v>1829</v>
      </c>
      <c r="H634" s="6" t="s">
        <v>1247</v>
      </c>
      <c r="I634" s="6" t="s">
        <v>1879</v>
      </c>
      <c r="J634" s="6" t="s">
        <v>1880</v>
      </c>
      <c r="K634" s="6"/>
      <c r="L634" s="5" t="s">
        <v>1881</v>
      </c>
    </row>
    <row r="635" spans="1:12" x14ac:dyDescent="0.2">
      <c r="A635">
        <v>775</v>
      </c>
      <c r="B635" s="6" t="b">
        <f t="shared" si="1"/>
        <v>1</v>
      </c>
      <c r="C635" s="6" t="s">
        <v>16</v>
      </c>
      <c r="D635" s="6" t="s">
        <v>192</v>
      </c>
      <c r="E635" s="6" t="s">
        <v>19</v>
      </c>
      <c r="F635" s="6" t="s">
        <v>425</v>
      </c>
      <c r="G635" s="6" t="s">
        <v>1829</v>
      </c>
      <c r="H635" s="6" t="s">
        <v>1247</v>
      </c>
      <c r="I635" s="6" t="s">
        <v>1879</v>
      </c>
      <c r="J635" s="6" t="s">
        <v>1880</v>
      </c>
      <c r="K635" s="6"/>
      <c r="L635" s="5" t="s">
        <v>1881</v>
      </c>
    </row>
    <row r="636" spans="1:12" x14ac:dyDescent="0.2">
      <c r="A636">
        <v>776</v>
      </c>
      <c r="B636" s="6" t="b">
        <f t="shared" si="1"/>
        <v>1</v>
      </c>
      <c r="C636" s="6" t="s">
        <v>16</v>
      </c>
      <c r="D636" s="6" t="s">
        <v>192</v>
      </c>
      <c r="E636" s="6" t="s">
        <v>19</v>
      </c>
      <c r="F636" s="6" t="s">
        <v>426</v>
      </c>
      <c r="G636" s="6" t="s">
        <v>1829</v>
      </c>
      <c r="H636" s="6" t="s">
        <v>1247</v>
      </c>
      <c r="I636" s="6" t="s">
        <v>1879</v>
      </c>
      <c r="J636" s="6" t="s">
        <v>1880</v>
      </c>
      <c r="K636" s="6"/>
      <c r="L636" s="5" t="s">
        <v>1881</v>
      </c>
    </row>
    <row r="637" spans="1:12" x14ac:dyDescent="0.2">
      <c r="A637">
        <v>777</v>
      </c>
      <c r="B637" s="6" t="b">
        <f t="shared" si="1"/>
        <v>1</v>
      </c>
      <c r="C637" s="6" t="s">
        <v>16</v>
      </c>
      <c r="D637" s="6" t="s">
        <v>192</v>
      </c>
      <c r="E637" s="6" t="s">
        <v>19</v>
      </c>
      <c r="F637" s="6" t="s">
        <v>427</v>
      </c>
      <c r="G637" s="6" t="s">
        <v>1829</v>
      </c>
      <c r="H637" s="6" t="s">
        <v>1247</v>
      </c>
      <c r="I637" s="6" t="s">
        <v>1879</v>
      </c>
      <c r="J637" s="6" t="s">
        <v>1880</v>
      </c>
      <c r="K637" s="6"/>
      <c r="L637" s="5" t="s">
        <v>1881</v>
      </c>
    </row>
    <row r="638" spans="1:12" x14ac:dyDescent="0.2">
      <c r="A638">
        <v>778</v>
      </c>
      <c r="B638" s="6" t="b">
        <f t="shared" si="1"/>
        <v>1</v>
      </c>
      <c r="C638" s="6" t="s">
        <v>16</v>
      </c>
      <c r="D638" s="6" t="s">
        <v>192</v>
      </c>
      <c r="E638" s="6" t="s">
        <v>19</v>
      </c>
      <c r="F638" s="6" t="s">
        <v>428</v>
      </c>
      <c r="G638" s="6" t="s">
        <v>1829</v>
      </c>
      <c r="H638" s="6" t="s">
        <v>1247</v>
      </c>
      <c r="I638" s="6" t="s">
        <v>1879</v>
      </c>
      <c r="J638" s="6" t="s">
        <v>1880</v>
      </c>
      <c r="K638" s="6"/>
      <c r="L638" s="5" t="s">
        <v>1881</v>
      </c>
    </row>
    <row r="639" spans="1:12" x14ac:dyDescent="0.2">
      <c r="A639">
        <v>779</v>
      </c>
      <c r="B639" s="6" t="b">
        <f t="shared" si="1"/>
        <v>1</v>
      </c>
      <c r="C639" s="6" t="s">
        <v>16</v>
      </c>
      <c r="D639" s="6" t="s">
        <v>192</v>
      </c>
      <c r="E639" s="6" t="s">
        <v>19</v>
      </c>
      <c r="F639" s="6" t="s">
        <v>429</v>
      </c>
      <c r="G639" s="6" t="s">
        <v>1829</v>
      </c>
      <c r="H639" s="6" t="s">
        <v>1247</v>
      </c>
      <c r="I639" s="6" t="s">
        <v>1879</v>
      </c>
      <c r="J639" s="6" t="s">
        <v>1880</v>
      </c>
      <c r="K639" s="6"/>
      <c r="L639" s="5" t="s">
        <v>1881</v>
      </c>
    </row>
    <row r="640" spans="1:12" x14ac:dyDescent="0.2">
      <c r="A640">
        <v>780</v>
      </c>
      <c r="B640" s="6" t="b">
        <f t="shared" si="1"/>
        <v>1</v>
      </c>
      <c r="C640" s="6" t="s">
        <v>16</v>
      </c>
      <c r="D640" s="6" t="s">
        <v>192</v>
      </c>
      <c r="E640" s="6" t="s">
        <v>19</v>
      </c>
      <c r="F640" s="6" t="s">
        <v>430</v>
      </c>
      <c r="G640" s="6" t="s">
        <v>1829</v>
      </c>
      <c r="H640" s="6" t="s">
        <v>1247</v>
      </c>
      <c r="I640" s="6" t="s">
        <v>1879</v>
      </c>
      <c r="J640" s="6" t="s">
        <v>1880</v>
      </c>
      <c r="K640" s="6"/>
      <c r="L640" s="5" t="s">
        <v>1881</v>
      </c>
    </row>
    <row r="641" spans="1:12" x14ac:dyDescent="0.2">
      <c r="A641">
        <v>781</v>
      </c>
      <c r="B641" s="6" t="b">
        <f t="shared" si="1"/>
        <v>1</v>
      </c>
      <c r="C641" s="6" t="s">
        <v>16</v>
      </c>
      <c r="D641" s="6" t="s">
        <v>192</v>
      </c>
      <c r="E641" s="6" t="s">
        <v>19</v>
      </c>
      <c r="F641" s="6" t="s">
        <v>431</v>
      </c>
      <c r="G641" s="6" t="s">
        <v>1829</v>
      </c>
      <c r="H641" s="6" t="s">
        <v>1247</v>
      </c>
      <c r="I641" s="6" t="s">
        <v>1879</v>
      </c>
      <c r="J641" s="6" t="s">
        <v>1880</v>
      </c>
      <c r="K641" s="6"/>
      <c r="L641" s="5" t="s">
        <v>1881</v>
      </c>
    </row>
    <row r="642" spans="1:12" x14ac:dyDescent="0.2">
      <c r="A642">
        <v>782</v>
      </c>
      <c r="B642" s="6" t="b">
        <f t="shared" si="1"/>
        <v>1</v>
      </c>
      <c r="C642" s="6" t="s">
        <v>16</v>
      </c>
      <c r="D642" s="6" t="s">
        <v>192</v>
      </c>
      <c r="E642" s="6" t="s">
        <v>19</v>
      </c>
      <c r="F642" s="6" t="s">
        <v>432</v>
      </c>
      <c r="G642" s="6" t="s">
        <v>1829</v>
      </c>
      <c r="H642" s="6" t="s">
        <v>1247</v>
      </c>
      <c r="I642" s="6" t="s">
        <v>1879</v>
      </c>
      <c r="J642" s="6" t="s">
        <v>1880</v>
      </c>
      <c r="K642" s="6"/>
      <c r="L642" s="5" t="s">
        <v>1881</v>
      </c>
    </row>
    <row r="643" spans="1:12" x14ac:dyDescent="0.2">
      <c r="A643">
        <v>783</v>
      </c>
      <c r="B643" s="6" t="b">
        <f t="shared" si="1"/>
        <v>1</v>
      </c>
      <c r="C643" s="6" t="s">
        <v>16</v>
      </c>
      <c r="D643" s="6" t="s">
        <v>192</v>
      </c>
      <c r="E643" s="6" t="s">
        <v>19</v>
      </c>
      <c r="F643" s="6" t="s">
        <v>1824</v>
      </c>
      <c r="G643" s="6" t="s">
        <v>1829</v>
      </c>
      <c r="H643" s="6" t="s">
        <v>1247</v>
      </c>
      <c r="I643" s="6" t="s">
        <v>1879</v>
      </c>
      <c r="J643" s="6" t="s">
        <v>1880</v>
      </c>
      <c r="K643" s="6"/>
      <c r="L643" s="5" t="s">
        <v>1881</v>
      </c>
    </row>
    <row r="644" spans="1:12" x14ac:dyDescent="0.2">
      <c r="A644">
        <v>784</v>
      </c>
      <c r="B644" s="6" t="b">
        <f t="shared" si="1"/>
        <v>1</v>
      </c>
      <c r="C644" s="6" t="s">
        <v>16</v>
      </c>
      <c r="D644" s="6" t="s">
        <v>192</v>
      </c>
      <c r="E644" s="6" t="s">
        <v>19</v>
      </c>
      <c r="F644" s="6" t="s">
        <v>1825</v>
      </c>
      <c r="G644" s="6" t="s">
        <v>1829</v>
      </c>
      <c r="H644" s="6" t="s">
        <v>1247</v>
      </c>
      <c r="I644" s="6" t="s">
        <v>1879</v>
      </c>
      <c r="J644" s="6" t="s">
        <v>1880</v>
      </c>
      <c r="K644" s="6"/>
      <c r="L644" s="5" t="s">
        <v>1881</v>
      </c>
    </row>
    <row r="645" spans="1:12" x14ac:dyDescent="0.2">
      <c r="A645">
        <v>785</v>
      </c>
      <c r="B645" s="6" t="b">
        <f t="shared" si="1"/>
        <v>1</v>
      </c>
      <c r="C645" s="6" t="s">
        <v>16</v>
      </c>
      <c r="D645" s="6" t="s">
        <v>192</v>
      </c>
      <c r="E645" s="6" t="s">
        <v>19</v>
      </c>
      <c r="F645" s="6" t="s">
        <v>1224</v>
      </c>
      <c r="G645" s="6" t="s">
        <v>1829</v>
      </c>
      <c r="H645" s="6" t="s">
        <v>1247</v>
      </c>
      <c r="I645" s="6" t="s">
        <v>1879</v>
      </c>
      <c r="J645" s="6" t="s">
        <v>1880</v>
      </c>
      <c r="K645" s="6"/>
      <c r="L645" s="5" t="s">
        <v>1881</v>
      </c>
    </row>
    <row r="646" spans="1:12" x14ac:dyDescent="0.2">
      <c r="A646">
        <v>786</v>
      </c>
      <c r="B646" s="6" t="b">
        <f t="shared" si="1"/>
        <v>1</v>
      </c>
      <c r="C646" s="6" t="s">
        <v>16</v>
      </c>
      <c r="D646" s="6" t="s">
        <v>192</v>
      </c>
      <c r="E646" s="6" t="s">
        <v>19</v>
      </c>
      <c r="F646" s="6" t="s">
        <v>433</v>
      </c>
      <c r="G646" s="6" t="s">
        <v>1829</v>
      </c>
      <c r="H646" s="6" t="s">
        <v>1247</v>
      </c>
      <c r="I646" s="6" t="s">
        <v>1879</v>
      </c>
      <c r="J646" s="6" t="s">
        <v>1880</v>
      </c>
      <c r="K646" s="6"/>
      <c r="L646" s="5" t="s">
        <v>1881</v>
      </c>
    </row>
    <row r="647" spans="1:12" x14ac:dyDescent="0.2">
      <c r="A647">
        <v>787</v>
      </c>
      <c r="B647" s="6" t="b">
        <f t="shared" si="1"/>
        <v>1</v>
      </c>
      <c r="C647" s="6" t="s">
        <v>16</v>
      </c>
      <c r="D647" s="6" t="s">
        <v>192</v>
      </c>
      <c r="E647" s="6" t="s">
        <v>19</v>
      </c>
      <c r="F647" s="6" t="s">
        <v>1225</v>
      </c>
      <c r="G647" s="6" t="s">
        <v>1829</v>
      </c>
      <c r="H647" s="6" t="s">
        <v>1247</v>
      </c>
      <c r="I647" s="6" t="s">
        <v>1879</v>
      </c>
      <c r="J647" s="6" t="s">
        <v>1880</v>
      </c>
      <c r="K647" s="6"/>
      <c r="L647" s="5" t="s">
        <v>1881</v>
      </c>
    </row>
    <row r="648" spans="1:12" x14ac:dyDescent="0.2">
      <c r="A648">
        <v>788</v>
      </c>
      <c r="B648" s="6" t="b">
        <f t="shared" si="1"/>
        <v>1</v>
      </c>
      <c r="C648" s="6" t="s">
        <v>16</v>
      </c>
      <c r="D648" s="6" t="s">
        <v>192</v>
      </c>
      <c r="E648" s="6" t="s">
        <v>19</v>
      </c>
      <c r="F648" s="6" t="s">
        <v>1226</v>
      </c>
      <c r="G648" s="6" t="s">
        <v>1829</v>
      </c>
      <c r="H648" s="6" t="s">
        <v>1247</v>
      </c>
      <c r="I648" s="6" t="s">
        <v>1879</v>
      </c>
      <c r="J648" s="6" t="s">
        <v>1880</v>
      </c>
      <c r="K648" s="6"/>
      <c r="L648" s="5" t="s">
        <v>1881</v>
      </c>
    </row>
    <row r="649" spans="1:12" x14ac:dyDescent="0.2">
      <c r="A649">
        <v>789</v>
      </c>
      <c r="B649" s="6" t="b">
        <f t="shared" si="1"/>
        <v>1</v>
      </c>
      <c r="C649" s="6" t="s">
        <v>16</v>
      </c>
      <c r="D649" s="6" t="s">
        <v>192</v>
      </c>
      <c r="E649" s="6" t="s">
        <v>19</v>
      </c>
      <c r="F649" s="6" t="s">
        <v>1227</v>
      </c>
      <c r="G649" s="6" t="s">
        <v>1829</v>
      </c>
      <c r="H649" s="6" t="s">
        <v>1247</v>
      </c>
      <c r="I649" s="6" t="s">
        <v>1879</v>
      </c>
      <c r="J649" s="6" t="s">
        <v>1880</v>
      </c>
      <c r="K649" s="6"/>
      <c r="L649" s="5" t="s">
        <v>1881</v>
      </c>
    </row>
    <row r="650" spans="1:12" x14ac:dyDescent="0.2">
      <c r="A650">
        <v>790</v>
      </c>
      <c r="B650" s="6" t="b">
        <f t="shared" si="1"/>
        <v>1</v>
      </c>
      <c r="C650" s="6" t="s">
        <v>16</v>
      </c>
      <c r="D650" s="6" t="s">
        <v>192</v>
      </c>
      <c r="E650" s="6" t="s">
        <v>19</v>
      </c>
      <c r="F650" s="6" t="s">
        <v>1228</v>
      </c>
      <c r="G650" s="6" t="s">
        <v>1829</v>
      </c>
      <c r="H650" s="6" t="s">
        <v>1247</v>
      </c>
      <c r="I650" s="6" t="s">
        <v>1879</v>
      </c>
      <c r="J650" s="6" t="s">
        <v>1880</v>
      </c>
      <c r="K650" s="6"/>
      <c r="L650" s="5" t="s">
        <v>1881</v>
      </c>
    </row>
    <row r="651" spans="1:12" x14ac:dyDescent="0.2">
      <c r="A651">
        <v>791</v>
      </c>
      <c r="B651" s="6" t="b">
        <f t="shared" si="1"/>
        <v>1</v>
      </c>
      <c r="C651" s="6" t="s">
        <v>16</v>
      </c>
      <c r="D651" s="6" t="s">
        <v>192</v>
      </c>
      <c r="E651" s="6" t="s">
        <v>19</v>
      </c>
      <c r="F651" s="6" t="s">
        <v>1229</v>
      </c>
      <c r="G651" s="6" t="s">
        <v>1829</v>
      </c>
      <c r="H651" s="6" t="s">
        <v>1247</v>
      </c>
      <c r="I651" s="6" t="s">
        <v>1879</v>
      </c>
      <c r="J651" s="6" t="s">
        <v>1880</v>
      </c>
      <c r="K651" s="6"/>
      <c r="L651" s="5" t="s">
        <v>1881</v>
      </c>
    </row>
    <row r="652" spans="1:12" x14ac:dyDescent="0.2">
      <c r="A652">
        <v>792</v>
      </c>
      <c r="B652" s="6" t="b">
        <f t="shared" si="1"/>
        <v>1</v>
      </c>
      <c r="C652" s="6" t="s">
        <v>16</v>
      </c>
      <c r="D652" s="6" t="s">
        <v>192</v>
      </c>
      <c r="E652" s="6" t="s">
        <v>19</v>
      </c>
      <c r="F652" s="6" t="s">
        <v>1230</v>
      </c>
      <c r="G652" s="6" t="s">
        <v>1829</v>
      </c>
      <c r="H652" s="6" t="s">
        <v>1247</v>
      </c>
      <c r="I652" s="6" t="s">
        <v>1879</v>
      </c>
      <c r="J652" s="6" t="s">
        <v>1880</v>
      </c>
      <c r="K652" s="6"/>
      <c r="L652" s="5" t="s">
        <v>1881</v>
      </c>
    </row>
    <row r="653" spans="1:12" x14ac:dyDescent="0.2">
      <c r="A653">
        <v>793</v>
      </c>
      <c r="B653" s="6" t="b">
        <f t="shared" si="1"/>
        <v>1</v>
      </c>
      <c r="C653" s="6" t="s">
        <v>16</v>
      </c>
      <c r="D653" s="6" t="s">
        <v>192</v>
      </c>
      <c r="E653" s="6" t="s">
        <v>19</v>
      </c>
      <c r="F653" s="6" t="s">
        <v>434</v>
      </c>
      <c r="G653" s="6" t="s">
        <v>1829</v>
      </c>
      <c r="H653" s="6" t="s">
        <v>1247</v>
      </c>
      <c r="I653" s="6" t="s">
        <v>1879</v>
      </c>
      <c r="J653" s="6" t="s">
        <v>1880</v>
      </c>
      <c r="K653" s="6"/>
      <c r="L653" s="5" t="s">
        <v>1881</v>
      </c>
    </row>
    <row r="654" spans="1:12" x14ac:dyDescent="0.2">
      <c r="A654">
        <v>794</v>
      </c>
      <c r="B654" s="6" t="b">
        <f t="shared" si="1"/>
        <v>1</v>
      </c>
      <c r="C654" s="6" t="s">
        <v>16</v>
      </c>
      <c r="D654" s="6" t="s">
        <v>192</v>
      </c>
      <c r="E654" s="6" t="s">
        <v>19</v>
      </c>
      <c r="F654" s="6" t="s">
        <v>435</v>
      </c>
      <c r="G654" s="6" t="s">
        <v>1829</v>
      </c>
      <c r="H654" s="6" t="s">
        <v>1247</v>
      </c>
      <c r="I654" s="6" t="s">
        <v>1879</v>
      </c>
      <c r="J654" s="6" t="s">
        <v>1880</v>
      </c>
      <c r="K654" s="6"/>
      <c r="L654" s="5" t="s">
        <v>1881</v>
      </c>
    </row>
    <row r="655" spans="1:12" x14ac:dyDescent="0.2">
      <c r="A655">
        <v>795</v>
      </c>
      <c r="B655" s="6" t="b">
        <f t="shared" si="1"/>
        <v>1</v>
      </c>
      <c r="C655" s="6" t="s">
        <v>16</v>
      </c>
      <c r="D655" s="6" t="s">
        <v>192</v>
      </c>
      <c r="E655" s="6" t="s">
        <v>19</v>
      </c>
      <c r="F655" s="6" t="s">
        <v>436</v>
      </c>
      <c r="G655" s="6" t="s">
        <v>1829</v>
      </c>
      <c r="H655" s="6" t="s">
        <v>1247</v>
      </c>
      <c r="I655" s="6" t="s">
        <v>1879</v>
      </c>
      <c r="J655" s="6" t="s">
        <v>1880</v>
      </c>
      <c r="K655" s="6"/>
      <c r="L655" s="5" t="s">
        <v>1881</v>
      </c>
    </row>
    <row r="656" spans="1:12" x14ac:dyDescent="0.2">
      <c r="A656">
        <v>796</v>
      </c>
      <c r="B656" s="6" t="b">
        <f t="shared" si="1"/>
        <v>1</v>
      </c>
      <c r="C656" s="6" t="s">
        <v>16</v>
      </c>
      <c r="D656" s="6" t="s">
        <v>192</v>
      </c>
      <c r="E656" s="6" t="s">
        <v>19</v>
      </c>
      <c r="F656" s="6" t="s">
        <v>437</v>
      </c>
      <c r="G656" s="6" t="s">
        <v>1829</v>
      </c>
      <c r="H656" s="6" t="s">
        <v>1247</v>
      </c>
      <c r="I656" s="6" t="s">
        <v>1879</v>
      </c>
      <c r="J656" s="6" t="s">
        <v>1880</v>
      </c>
      <c r="K656" s="6"/>
      <c r="L656" s="5" t="s">
        <v>1881</v>
      </c>
    </row>
    <row r="657" spans="1:12" x14ac:dyDescent="0.2">
      <c r="A657">
        <v>797</v>
      </c>
      <c r="B657" s="6" t="b">
        <f t="shared" si="1"/>
        <v>1</v>
      </c>
      <c r="C657" s="6" t="s">
        <v>16</v>
      </c>
      <c r="D657" s="6" t="s">
        <v>192</v>
      </c>
      <c r="E657" s="6" t="s">
        <v>19</v>
      </c>
      <c r="F657" s="6" t="s">
        <v>438</v>
      </c>
      <c r="G657" s="6" t="s">
        <v>1829</v>
      </c>
      <c r="H657" s="6" t="s">
        <v>1247</v>
      </c>
      <c r="I657" s="6" t="s">
        <v>1879</v>
      </c>
      <c r="J657" s="6" t="s">
        <v>1880</v>
      </c>
      <c r="K657" s="6"/>
      <c r="L657" s="5" t="s">
        <v>1881</v>
      </c>
    </row>
    <row r="658" spans="1:12" x14ac:dyDescent="0.2">
      <c r="A658">
        <v>798</v>
      </c>
      <c r="B658" s="6" t="b">
        <f t="shared" si="1"/>
        <v>1</v>
      </c>
      <c r="C658" s="6" t="s">
        <v>16</v>
      </c>
      <c r="D658" s="6" t="s">
        <v>192</v>
      </c>
      <c r="E658" s="6" t="s">
        <v>19</v>
      </c>
      <c r="F658" s="6" t="s">
        <v>439</v>
      </c>
      <c r="G658" s="6" t="s">
        <v>1829</v>
      </c>
      <c r="H658" s="6" t="s">
        <v>1247</v>
      </c>
      <c r="I658" s="6" t="s">
        <v>1879</v>
      </c>
      <c r="J658" s="6" t="s">
        <v>1880</v>
      </c>
      <c r="K658" s="6"/>
      <c r="L658" s="5" t="s">
        <v>1881</v>
      </c>
    </row>
    <row r="659" spans="1:12" x14ac:dyDescent="0.2">
      <c r="A659">
        <v>799</v>
      </c>
      <c r="B659" s="6" t="b">
        <f t="shared" si="1"/>
        <v>1</v>
      </c>
      <c r="C659" s="6" t="s">
        <v>16</v>
      </c>
      <c r="D659" s="6" t="s">
        <v>192</v>
      </c>
      <c r="E659" s="6" t="s">
        <v>19</v>
      </c>
      <c r="F659" s="6" t="s">
        <v>440</v>
      </c>
      <c r="G659" s="6" t="s">
        <v>1829</v>
      </c>
      <c r="H659" s="6" t="s">
        <v>1247</v>
      </c>
      <c r="I659" s="6" t="s">
        <v>1879</v>
      </c>
      <c r="J659" s="6" t="s">
        <v>1880</v>
      </c>
      <c r="K659" s="6"/>
      <c r="L659" s="5" t="s">
        <v>1881</v>
      </c>
    </row>
    <row r="660" spans="1:12" x14ac:dyDescent="0.2">
      <c r="A660">
        <v>800</v>
      </c>
      <c r="B660" s="6" t="b">
        <f t="shared" si="1"/>
        <v>1</v>
      </c>
      <c r="C660" s="6" t="s">
        <v>16</v>
      </c>
      <c r="D660" s="6" t="s">
        <v>192</v>
      </c>
      <c r="E660" s="6" t="s">
        <v>19</v>
      </c>
      <c r="F660" s="6" t="s">
        <v>441</v>
      </c>
      <c r="G660" s="6" t="s">
        <v>1829</v>
      </c>
      <c r="H660" s="6" t="s">
        <v>1247</v>
      </c>
      <c r="I660" s="6" t="s">
        <v>1879</v>
      </c>
      <c r="J660" s="6" t="s">
        <v>1880</v>
      </c>
      <c r="K660" s="6"/>
      <c r="L660" s="5" t="s">
        <v>1881</v>
      </c>
    </row>
    <row r="661" spans="1:12" x14ac:dyDescent="0.2">
      <c r="A661">
        <v>801</v>
      </c>
      <c r="B661" s="6" t="b">
        <f t="shared" si="1"/>
        <v>1</v>
      </c>
      <c r="C661" s="6" t="s">
        <v>16</v>
      </c>
      <c r="D661" s="6" t="s">
        <v>192</v>
      </c>
      <c r="E661" s="6" t="s">
        <v>19</v>
      </c>
      <c r="F661" s="6" t="s">
        <v>442</v>
      </c>
      <c r="G661" s="6" t="s">
        <v>1829</v>
      </c>
      <c r="H661" s="6" t="s">
        <v>1247</v>
      </c>
      <c r="I661" s="6" t="s">
        <v>1879</v>
      </c>
      <c r="J661" s="6" t="s">
        <v>1880</v>
      </c>
      <c r="K661" s="6"/>
      <c r="L661" s="5" t="s">
        <v>1881</v>
      </c>
    </row>
    <row r="662" spans="1:12" x14ac:dyDescent="0.2">
      <c r="A662">
        <v>802</v>
      </c>
      <c r="B662" s="6" t="b">
        <f t="shared" si="1"/>
        <v>1</v>
      </c>
      <c r="C662" s="6" t="s">
        <v>16</v>
      </c>
      <c r="D662" s="6" t="s">
        <v>192</v>
      </c>
      <c r="E662" s="6" t="s">
        <v>19</v>
      </c>
      <c r="F662" s="6" t="s">
        <v>1826</v>
      </c>
      <c r="G662" s="6" t="s">
        <v>1829</v>
      </c>
      <c r="H662" s="6" t="s">
        <v>1247</v>
      </c>
      <c r="I662" s="6" t="s">
        <v>1879</v>
      </c>
      <c r="J662" s="6" t="s">
        <v>1880</v>
      </c>
      <c r="K662" s="6"/>
      <c r="L662" s="5" t="s">
        <v>1881</v>
      </c>
    </row>
    <row r="663" spans="1:12" x14ac:dyDescent="0.2">
      <c r="A663">
        <v>803</v>
      </c>
      <c r="B663" s="6" t="b">
        <f t="shared" si="1"/>
        <v>1</v>
      </c>
      <c r="C663" s="6" t="s">
        <v>16</v>
      </c>
      <c r="D663" s="6" t="s">
        <v>192</v>
      </c>
      <c r="E663" s="6" t="s">
        <v>19</v>
      </c>
      <c r="F663" s="6" t="s">
        <v>443</v>
      </c>
      <c r="G663" s="6" t="s">
        <v>1829</v>
      </c>
      <c r="H663" s="6" t="s">
        <v>1247</v>
      </c>
      <c r="I663" s="6" t="s">
        <v>1879</v>
      </c>
      <c r="J663" s="6" t="s">
        <v>1880</v>
      </c>
      <c r="K663" s="6"/>
      <c r="L663" s="5" t="s">
        <v>1881</v>
      </c>
    </row>
    <row r="664" spans="1:12" x14ac:dyDescent="0.2">
      <c r="A664">
        <v>804</v>
      </c>
      <c r="B664" s="6" t="b">
        <f t="shared" si="1"/>
        <v>1</v>
      </c>
      <c r="C664" s="6" t="s">
        <v>16</v>
      </c>
      <c r="D664" s="6" t="s">
        <v>192</v>
      </c>
      <c r="E664" s="6" t="s">
        <v>19</v>
      </c>
      <c r="F664" s="6" t="s">
        <v>444</v>
      </c>
      <c r="G664" s="6" t="s">
        <v>1829</v>
      </c>
      <c r="H664" s="6" t="s">
        <v>1247</v>
      </c>
      <c r="I664" s="6" t="s">
        <v>1879</v>
      </c>
      <c r="J664" s="6" t="s">
        <v>1880</v>
      </c>
      <c r="K664" s="6"/>
      <c r="L664" s="5" t="s">
        <v>1881</v>
      </c>
    </row>
    <row r="665" spans="1:12" x14ac:dyDescent="0.2">
      <c r="A665">
        <v>805</v>
      </c>
      <c r="B665" s="6" t="b">
        <f t="shared" si="1"/>
        <v>1</v>
      </c>
      <c r="C665" s="6" t="s">
        <v>16</v>
      </c>
      <c r="D665" s="6" t="s">
        <v>192</v>
      </c>
      <c r="E665" s="6" t="s">
        <v>19</v>
      </c>
      <c r="F665" s="6" t="s">
        <v>445</v>
      </c>
      <c r="G665" s="6" t="s">
        <v>1829</v>
      </c>
      <c r="H665" s="6" t="s">
        <v>1247</v>
      </c>
      <c r="I665" s="6" t="s">
        <v>1879</v>
      </c>
      <c r="J665" s="6" t="s">
        <v>1880</v>
      </c>
      <c r="K665" s="6"/>
      <c r="L665" s="5" t="s">
        <v>1881</v>
      </c>
    </row>
    <row r="666" spans="1:12" x14ac:dyDescent="0.2">
      <c r="A666">
        <v>806</v>
      </c>
      <c r="B666" s="6" t="b">
        <f t="shared" si="1"/>
        <v>1</v>
      </c>
      <c r="C666" s="6" t="s">
        <v>16</v>
      </c>
      <c r="D666" s="6" t="s">
        <v>192</v>
      </c>
      <c r="E666" s="6" t="s">
        <v>19</v>
      </c>
      <c r="F666" s="6" t="s">
        <v>446</v>
      </c>
      <c r="G666" s="6" t="s">
        <v>1829</v>
      </c>
      <c r="H666" s="6" t="s">
        <v>1247</v>
      </c>
      <c r="I666" s="6" t="s">
        <v>1879</v>
      </c>
      <c r="J666" s="6" t="s">
        <v>1880</v>
      </c>
      <c r="K666" s="6"/>
      <c r="L666" s="5" t="s">
        <v>1881</v>
      </c>
    </row>
    <row r="667" spans="1:12" x14ac:dyDescent="0.2">
      <c r="A667">
        <v>807</v>
      </c>
      <c r="B667" s="6" t="b">
        <f t="shared" si="1"/>
        <v>1</v>
      </c>
      <c r="C667" s="6" t="s">
        <v>16</v>
      </c>
      <c r="D667" s="6" t="s">
        <v>192</v>
      </c>
      <c r="E667" s="6" t="s">
        <v>19</v>
      </c>
      <c r="F667" s="6" t="s">
        <v>447</v>
      </c>
      <c r="G667" s="6" t="s">
        <v>1829</v>
      </c>
      <c r="H667" s="6" t="s">
        <v>1247</v>
      </c>
      <c r="I667" s="6" t="s">
        <v>1879</v>
      </c>
      <c r="J667" s="6" t="s">
        <v>1880</v>
      </c>
      <c r="K667" s="6"/>
      <c r="L667" s="5" t="s">
        <v>1881</v>
      </c>
    </row>
    <row r="668" spans="1:12" x14ac:dyDescent="0.2">
      <c r="A668">
        <v>808</v>
      </c>
      <c r="B668" s="6" t="b">
        <f t="shared" si="1"/>
        <v>1</v>
      </c>
      <c r="C668" s="6" t="s">
        <v>16</v>
      </c>
      <c r="D668" s="6" t="s">
        <v>192</v>
      </c>
      <c r="E668" s="6" t="s">
        <v>19</v>
      </c>
      <c r="F668" s="6" t="s">
        <v>448</v>
      </c>
      <c r="G668" s="6" t="s">
        <v>1829</v>
      </c>
      <c r="H668" s="6" t="s">
        <v>1247</v>
      </c>
      <c r="I668" s="6" t="s">
        <v>1879</v>
      </c>
      <c r="J668" s="6" t="s">
        <v>1880</v>
      </c>
      <c r="K668" s="6"/>
      <c r="L668" s="5" t="s">
        <v>1881</v>
      </c>
    </row>
    <row r="669" spans="1:12" x14ac:dyDescent="0.2">
      <c r="A669">
        <v>809</v>
      </c>
      <c r="B669" s="6" t="b">
        <f t="shared" si="1"/>
        <v>1</v>
      </c>
      <c r="C669" s="6" t="s">
        <v>16</v>
      </c>
      <c r="D669" s="6" t="s">
        <v>192</v>
      </c>
      <c r="E669" s="6" t="s">
        <v>19</v>
      </c>
      <c r="F669" s="6" t="s">
        <v>1827</v>
      </c>
      <c r="G669" s="6" t="s">
        <v>1829</v>
      </c>
      <c r="H669" s="6" t="s">
        <v>1247</v>
      </c>
      <c r="I669" s="6" t="s">
        <v>1879</v>
      </c>
      <c r="J669" s="6" t="s">
        <v>1880</v>
      </c>
      <c r="K669" s="6"/>
      <c r="L669" s="5" t="s">
        <v>1881</v>
      </c>
    </row>
    <row r="670" spans="1:12" x14ac:dyDescent="0.2">
      <c r="A670">
        <v>810</v>
      </c>
      <c r="B670" s="6" t="b">
        <f t="shared" si="1"/>
        <v>1</v>
      </c>
      <c r="C670" s="6" t="s">
        <v>16</v>
      </c>
      <c r="D670" s="6" t="s">
        <v>192</v>
      </c>
      <c r="E670" s="6" t="s">
        <v>19</v>
      </c>
      <c r="F670" s="6" t="s">
        <v>1828</v>
      </c>
      <c r="G670" s="6" t="s">
        <v>1829</v>
      </c>
      <c r="H670" s="6" t="s">
        <v>1247</v>
      </c>
      <c r="I670" s="6" t="s">
        <v>1879</v>
      </c>
      <c r="J670" s="6" t="s">
        <v>1880</v>
      </c>
      <c r="K670" s="6"/>
      <c r="L670" s="5" t="s">
        <v>1881</v>
      </c>
    </row>
    <row r="671" spans="1:12" x14ac:dyDescent="0.2">
      <c r="A671">
        <v>811</v>
      </c>
      <c r="B671" s="6" t="b">
        <f t="shared" si="1"/>
        <v>1</v>
      </c>
      <c r="C671" s="6" t="s">
        <v>16</v>
      </c>
      <c r="D671" s="6" t="s">
        <v>192</v>
      </c>
      <c r="E671" s="6" t="s">
        <v>19</v>
      </c>
      <c r="F671" s="6" t="s">
        <v>1231</v>
      </c>
      <c r="G671" s="6" t="s">
        <v>1829</v>
      </c>
      <c r="H671" s="6" t="s">
        <v>1247</v>
      </c>
      <c r="I671" s="6" t="s">
        <v>1879</v>
      </c>
      <c r="J671" s="6" t="s">
        <v>1880</v>
      </c>
      <c r="K671" s="6"/>
      <c r="L671" s="5" t="s">
        <v>1881</v>
      </c>
    </row>
    <row r="672" spans="1:12" x14ac:dyDescent="0.2">
      <c r="A672">
        <v>812</v>
      </c>
      <c r="B672" s="6" t="b">
        <f t="shared" si="1"/>
        <v>1</v>
      </c>
      <c r="C672" s="6" t="s">
        <v>16</v>
      </c>
      <c r="D672" s="6" t="s">
        <v>192</v>
      </c>
      <c r="E672" s="6" t="s">
        <v>19</v>
      </c>
      <c r="F672" s="6" t="s">
        <v>449</v>
      </c>
      <c r="G672" s="6" t="s">
        <v>1829</v>
      </c>
      <c r="H672" s="6" t="s">
        <v>1247</v>
      </c>
      <c r="I672" s="6" t="s">
        <v>1879</v>
      </c>
      <c r="J672" s="6" t="s">
        <v>1880</v>
      </c>
      <c r="K672" s="6"/>
      <c r="L672" s="5" t="s">
        <v>1881</v>
      </c>
    </row>
    <row r="673" spans="1:12" x14ac:dyDescent="0.2">
      <c r="A673">
        <v>813</v>
      </c>
      <c r="B673" s="6" t="b">
        <f t="shared" si="1"/>
        <v>1</v>
      </c>
      <c r="C673" s="6" t="s">
        <v>16</v>
      </c>
      <c r="D673" s="6" t="s">
        <v>192</v>
      </c>
      <c r="E673" s="6" t="s">
        <v>19</v>
      </c>
      <c r="F673" s="6" t="s">
        <v>450</v>
      </c>
      <c r="G673" s="6" t="s">
        <v>1829</v>
      </c>
      <c r="H673" s="6" t="s">
        <v>1247</v>
      </c>
      <c r="I673" s="6" t="s">
        <v>1879</v>
      </c>
      <c r="J673" s="6" t="s">
        <v>1880</v>
      </c>
      <c r="K673" s="6"/>
      <c r="L673" s="5" t="s">
        <v>1881</v>
      </c>
    </row>
    <row r="674" spans="1:12" x14ac:dyDescent="0.2">
      <c r="A674">
        <v>814</v>
      </c>
      <c r="B674" s="6" t="b">
        <f t="shared" si="1"/>
        <v>1</v>
      </c>
      <c r="C674" s="6" t="s">
        <v>16</v>
      </c>
      <c r="D674" s="6" t="s">
        <v>192</v>
      </c>
      <c r="E674" s="6" t="s">
        <v>19</v>
      </c>
      <c r="F674" s="6" t="s">
        <v>451</v>
      </c>
      <c r="G674" s="6" t="s">
        <v>1829</v>
      </c>
      <c r="H674" s="6" t="s">
        <v>1247</v>
      </c>
      <c r="I674" s="6" t="s">
        <v>1879</v>
      </c>
      <c r="J674" s="6" t="s">
        <v>1880</v>
      </c>
      <c r="K674" s="6"/>
      <c r="L674" s="5" t="s">
        <v>1881</v>
      </c>
    </row>
    <row r="675" spans="1:12" x14ac:dyDescent="0.2">
      <c r="A675">
        <v>815</v>
      </c>
      <c r="B675" s="6" t="b">
        <f t="shared" si="1"/>
        <v>1</v>
      </c>
      <c r="C675" s="6" t="s">
        <v>16</v>
      </c>
      <c r="D675" s="6" t="s">
        <v>192</v>
      </c>
      <c r="E675" s="6" t="s">
        <v>19</v>
      </c>
      <c r="F675" s="6" t="s">
        <v>452</v>
      </c>
      <c r="G675" s="6" t="s">
        <v>1829</v>
      </c>
      <c r="H675" s="6" t="s">
        <v>1247</v>
      </c>
      <c r="I675" s="6" t="s">
        <v>1879</v>
      </c>
      <c r="J675" s="6" t="s">
        <v>1880</v>
      </c>
      <c r="K675" s="6"/>
      <c r="L675" s="5" t="s">
        <v>1881</v>
      </c>
    </row>
    <row r="676" spans="1:12" x14ac:dyDescent="0.2">
      <c r="A676">
        <v>816</v>
      </c>
      <c r="B676" s="6" t="b">
        <f t="shared" si="1"/>
        <v>1</v>
      </c>
      <c r="C676" s="6" t="s">
        <v>16</v>
      </c>
      <c r="D676" s="6" t="s">
        <v>192</v>
      </c>
      <c r="E676" s="6" t="s">
        <v>19</v>
      </c>
      <c r="F676" s="6" t="s">
        <v>453</v>
      </c>
      <c r="G676" s="6" t="s">
        <v>1829</v>
      </c>
      <c r="H676" s="6" t="s">
        <v>1247</v>
      </c>
      <c r="I676" s="6" t="s">
        <v>1879</v>
      </c>
      <c r="J676" s="6" t="s">
        <v>1880</v>
      </c>
      <c r="K676" s="6"/>
      <c r="L676" s="5" t="s">
        <v>1881</v>
      </c>
    </row>
    <row r="677" spans="1:12" x14ac:dyDescent="0.2">
      <c r="A677">
        <v>817</v>
      </c>
      <c r="B677" s="6" t="b">
        <f t="shared" si="1"/>
        <v>1</v>
      </c>
      <c r="C677" s="6" t="s">
        <v>16</v>
      </c>
      <c r="D677" s="6" t="s">
        <v>192</v>
      </c>
      <c r="E677" s="6" t="s">
        <v>19</v>
      </c>
      <c r="F677" s="6" t="s">
        <v>454</v>
      </c>
      <c r="G677" s="6" t="s">
        <v>1829</v>
      </c>
      <c r="H677" s="6" t="s">
        <v>1247</v>
      </c>
      <c r="I677" s="6" t="s">
        <v>1879</v>
      </c>
      <c r="J677" s="6" t="s">
        <v>1880</v>
      </c>
      <c r="K677" s="6"/>
      <c r="L677" s="5" t="s">
        <v>1881</v>
      </c>
    </row>
    <row r="678" spans="1:12" x14ac:dyDescent="0.2">
      <c r="A678">
        <v>818</v>
      </c>
      <c r="B678" s="6" t="b">
        <f t="shared" si="1"/>
        <v>1</v>
      </c>
      <c r="C678" s="6" t="s">
        <v>16</v>
      </c>
      <c r="D678" s="6" t="s">
        <v>192</v>
      </c>
      <c r="E678" s="6" t="s">
        <v>125</v>
      </c>
      <c r="F678" s="6" t="s">
        <v>383</v>
      </c>
      <c r="G678" s="6" t="s">
        <v>1829</v>
      </c>
      <c r="H678" s="6" t="s">
        <v>1830</v>
      </c>
      <c r="I678" s="6" t="s">
        <v>1882</v>
      </c>
      <c r="J678" s="6"/>
      <c r="K678" s="6"/>
      <c r="L678" s="5" t="s">
        <v>1831</v>
      </c>
    </row>
    <row r="679" spans="1:12" x14ac:dyDescent="0.2">
      <c r="A679">
        <v>819</v>
      </c>
      <c r="B679" s="6" t="b">
        <f t="shared" si="1"/>
        <v>1</v>
      </c>
      <c r="C679" s="6" t="s">
        <v>16</v>
      </c>
      <c r="D679" s="6" t="s">
        <v>192</v>
      </c>
      <c r="E679" s="6" t="s">
        <v>125</v>
      </c>
      <c r="F679" s="6" t="s">
        <v>384</v>
      </c>
      <c r="G679" s="6" t="s">
        <v>1829</v>
      </c>
      <c r="H679" s="6" t="s">
        <v>1830</v>
      </c>
      <c r="I679" s="6" t="s">
        <v>1882</v>
      </c>
      <c r="J679" s="6"/>
      <c r="K679" s="6"/>
      <c r="L679" s="5" t="s">
        <v>1831</v>
      </c>
    </row>
    <row r="680" spans="1:12" x14ac:dyDescent="0.2">
      <c r="A680">
        <v>820</v>
      </c>
      <c r="B680" s="6" t="b">
        <f t="shared" si="1"/>
        <v>1</v>
      </c>
      <c r="C680" s="6" t="s">
        <v>16</v>
      </c>
      <c r="D680" s="6" t="s">
        <v>192</v>
      </c>
      <c r="E680" s="6" t="s">
        <v>125</v>
      </c>
      <c r="F680" s="6" t="s">
        <v>385</v>
      </c>
      <c r="G680" s="6" t="s">
        <v>1829</v>
      </c>
      <c r="H680" s="6" t="s">
        <v>1830</v>
      </c>
      <c r="I680" s="6" t="s">
        <v>1882</v>
      </c>
      <c r="J680" s="6"/>
      <c r="K680" s="6"/>
      <c r="L680" s="5" t="s">
        <v>1831</v>
      </c>
    </row>
    <row r="681" spans="1:12" x14ac:dyDescent="0.2">
      <c r="A681">
        <v>821</v>
      </c>
      <c r="B681" s="6" t="b">
        <f t="shared" si="1"/>
        <v>1</v>
      </c>
      <c r="C681" s="6" t="s">
        <v>16</v>
      </c>
      <c r="D681" s="6" t="s">
        <v>192</v>
      </c>
      <c r="E681" s="6" t="s">
        <v>125</v>
      </c>
      <c r="F681" s="6" t="s">
        <v>386</v>
      </c>
      <c r="G681" s="6" t="s">
        <v>1829</v>
      </c>
      <c r="H681" s="6" t="s">
        <v>1830</v>
      </c>
      <c r="I681" s="6" t="s">
        <v>1882</v>
      </c>
      <c r="J681" s="6"/>
      <c r="K681" s="6"/>
      <c r="L681" s="5" t="s">
        <v>1831</v>
      </c>
    </row>
    <row r="682" spans="1:12" x14ac:dyDescent="0.2">
      <c r="A682">
        <v>822</v>
      </c>
      <c r="B682" s="6" t="b">
        <f t="shared" si="1"/>
        <v>1</v>
      </c>
      <c r="C682" s="6" t="s">
        <v>16</v>
      </c>
      <c r="D682" s="6" t="s">
        <v>192</v>
      </c>
      <c r="E682" s="6" t="s">
        <v>125</v>
      </c>
      <c r="F682" s="6" t="s">
        <v>387</v>
      </c>
      <c r="G682" s="6" t="s">
        <v>1829</v>
      </c>
      <c r="H682" s="6" t="s">
        <v>1830</v>
      </c>
      <c r="I682" s="6" t="s">
        <v>1882</v>
      </c>
      <c r="J682" s="6"/>
      <c r="K682" s="6"/>
      <c r="L682" s="5" t="s">
        <v>1831</v>
      </c>
    </row>
    <row r="683" spans="1:12" x14ac:dyDescent="0.2">
      <c r="A683">
        <v>823</v>
      </c>
      <c r="B683" s="6" t="b">
        <f t="shared" si="1"/>
        <v>1</v>
      </c>
      <c r="C683" s="6" t="s">
        <v>16</v>
      </c>
      <c r="D683" s="6" t="s">
        <v>192</v>
      </c>
      <c r="E683" s="6" t="s">
        <v>125</v>
      </c>
      <c r="F683" s="6" t="s">
        <v>388</v>
      </c>
      <c r="G683" s="6" t="s">
        <v>1829</v>
      </c>
      <c r="H683" s="6" t="s">
        <v>1830</v>
      </c>
      <c r="I683" s="6" t="s">
        <v>1882</v>
      </c>
      <c r="J683" s="6"/>
      <c r="K683" s="6"/>
      <c r="L683" s="5" t="s">
        <v>1831</v>
      </c>
    </row>
    <row r="684" spans="1:12" x14ac:dyDescent="0.2">
      <c r="A684">
        <v>824</v>
      </c>
      <c r="B684" s="6" t="b">
        <f t="shared" si="1"/>
        <v>1</v>
      </c>
      <c r="C684" s="6" t="s">
        <v>16</v>
      </c>
      <c r="D684" s="6" t="s">
        <v>192</v>
      </c>
      <c r="E684" s="6" t="s">
        <v>125</v>
      </c>
      <c r="F684" s="6" t="s">
        <v>389</v>
      </c>
      <c r="G684" s="6" t="s">
        <v>1829</v>
      </c>
      <c r="H684" s="6" t="s">
        <v>1830</v>
      </c>
      <c r="I684" s="6" t="s">
        <v>1882</v>
      </c>
      <c r="J684" s="6"/>
      <c r="K684" s="6"/>
      <c r="L684" s="5" t="s">
        <v>1831</v>
      </c>
    </row>
    <row r="685" spans="1:12" x14ac:dyDescent="0.2">
      <c r="A685">
        <v>825</v>
      </c>
      <c r="B685" s="6" t="b">
        <f t="shared" si="1"/>
        <v>1</v>
      </c>
      <c r="C685" s="6" t="s">
        <v>16</v>
      </c>
      <c r="D685" s="6" t="s">
        <v>192</v>
      </c>
      <c r="E685" s="6" t="s">
        <v>125</v>
      </c>
      <c r="F685" s="6" t="s">
        <v>390</v>
      </c>
      <c r="G685" s="6" t="s">
        <v>1829</v>
      </c>
      <c r="H685" s="6" t="s">
        <v>1830</v>
      </c>
      <c r="I685" s="6" t="s">
        <v>1882</v>
      </c>
      <c r="J685" s="6"/>
      <c r="K685" s="6"/>
      <c r="L685" s="5" t="s">
        <v>1831</v>
      </c>
    </row>
    <row r="686" spans="1:12" x14ac:dyDescent="0.2">
      <c r="A686">
        <v>826</v>
      </c>
      <c r="B686" s="6" t="b">
        <f t="shared" si="1"/>
        <v>1</v>
      </c>
      <c r="C686" s="6" t="s">
        <v>16</v>
      </c>
      <c r="D686" s="6" t="s">
        <v>192</v>
      </c>
      <c r="E686" s="6" t="s">
        <v>125</v>
      </c>
      <c r="F686" s="6" t="s">
        <v>391</v>
      </c>
      <c r="G686" s="6" t="s">
        <v>1829</v>
      </c>
      <c r="H686" s="6" t="s">
        <v>1830</v>
      </c>
      <c r="I686" s="6" t="s">
        <v>1882</v>
      </c>
      <c r="J686" s="6"/>
      <c r="K686" s="6"/>
      <c r="L686" s="5" t="s">
        <v>1831</v>
      </c>
    </row>
    <row r="687" spans="1:12" x14ac:dyDescent="0.2">
      <c r="A687">
        <v>827</v>
      </c>
      <c r="B687" s="6" t="b">
        <f t="shared" si="1"/>
        <v>1</v>
      </c>
      <c r="C687" s="6" t="s">
        <v>16</v>
      </c>
      <c r="D687" s="6" t="s">
        <v>192</v>
      </c>
      <c r="E687" s="6" t="s">
        <v>125</v>
      </c>
      <c r="F687" s="6" t="s">
        <v>392</v>
      </c>
      <c r="G687" s="6" t="s">
        <v>1829</v>
      </c>
      <c r="H687" s="6" t="s">
        <v>1830</v>
      </c>
      <c r="I687" s="6" t="s">
        <v>1882</v>
      </c>
      <c r="J687" s="6"/>
      <c r="K687" s="6"/>
      <c r="L687" s="5" t="s">
        <v>1831</v>
      </c>
    </row>
    <row r="688" spans="1:12" x14ac:dyDescent="0.2">
      <c r="A688">
        <v>828</v>
      </c>
      <c r="B688" s="6" t="b">
        <f t="shared" si="1"/>
        <v>1</v>
      </c>
      <c r="C688" s="6" t="s">
        <v>16</v>
      </c>
      <c r="D688" s="6" t="s">
        <v>192</v>
      </c>
      <c r="E688" s="6" t="s">
        <v>125</v>
      </c>
      <c r="F688" s="6" t="s">
        <v>393</v>
      </c>
      <c r="G688" s="6" t="s">
        <v>1829</v>
      </c>
      <c r="H688" s="6" t="s">
        <v>1830</v>
      </c>
      <c r="I688" s="6" t="s">
        <v>1882</v>
      </c>
      <c r="J688" s="6"/>
      <c r="K688" s="6"/>
      <c r="L688" s="5" t="s">
        <v>1831</v>
      </c>
    </row>
    <row r="689" spans="1:12" x14ac:dyDescent="0.2">
      <c r="A689">
        <v>829</v>
      </c>
      <c r="B689" s="6" t="str">
        <f t="shared" si="1"/>
        <v/>
      </c>
      <c r="C689" s="6" t="s">
        <v>16</v>
      </c>
      <c r="D689" s="6" t="s">
        <v>192</v>
      </c>
      <c r="E689" s="6" t="s">
        <v>135</v>
      </c>
      <c r="F689" s="6" t="s">
        <v>497</v>
      </c>
      <c r="G689" s="6" t="s">
        <v>1013</v>
      </c>
      <c r="H689" s="6" t="s">
        <v>1014</v>
      </c>
      <c r="I689" s="6" t="s">
        <v>1625</v>
      </c>
      <c r="J689" s="6"/>
      <c r="K689" s="6"/>
      <c r="L689" s="5" t="s">
        <v>1626</v>
      </c>
    </row>
    <row r="690" spans="1:12" x14ac:dyDescent="0.2">
      <c r="A690">
        <v>830</v>
      </c>
      <c r="B690" s="6" t="str">
        <f t="shared" si="1"/>
        <v/>
      </c>
      <c r="C690" s="6" t="s">
        <v>1170</v>
      </c>
      <c r="D690" s="6" t="s">
        <v>192</v>
      </c>
      <c r="E690" s="6" t="s">
        <v>1174</v>
      </c>
      <c r="F690" s="6" t="s">
        <v>497</v>
      </c>
      <c r="G690" s="6" t="s">
        <v>1276</v>
      </c>
      <c r="H690" s="6" t="s">
        <v>1277</v>
      </c>
      <c r="I690" s="6" t="s">
        <v>1832</v>
      </c>
      <c r="J690" s="6"/>
      <c r="K690" s="6"/>
      <c r="L690" s="5" t="s">
        <v>1835</v>
      </c>
    </row>
    <row r="691" spans="1:12" x14ac:dyDescent="0.2">
      <c r="A691">
        <v>831</v>
      </c>
      <c r="B691" s="6" t="str">
        <f t="shared" si="1"/>
        <v/>
      </c>
      <c r="C691" s="6" t="s">
        <v>1170</v>
      </c>
      <c r="D691" s="6" t="s">
        <v>192</v>
      </c>
      <c r="E691" s="6" t="s">
        <v>1173</v>
      </c>
      <c r="F691" s="6" t="s">
        <v>497</v>
      </c>
      <c r="G691" s="6" t="s">
        <v>1276</v>
      </c>
      <c r="H691" s="6" t="s">
        <v>1277</v>
      </c>
      <c r="I691" s="6" t="s">
        <v>1833</v>
      </c>
      <c r="J691" s="6"/>
      <c r="K691" s="6"/>
      <c r="L691" s="5" t="s">
        <v>1835</v>
      </c>
    </row>
    <row r="692" spans="1:12" x14ac:dyDescent="0.2">
      <c r="A692">
        <v>832</v>
      </c>
      <c r="B692" s="6" t="str">
        <f t="shared" si="1"/>
        <v/>
      </c>
      <c r="C692" s="6" t="s">
        <v>1170</v>
      </c>
      <c r="D692" s="6" t="s">
        <v>192</v>
      </c>
      <c r="E692" s="6" t="s">
        <v>1181</v>
      </c>
      <c r="F692" s="6" t="s">
        <v>497</v>
      </c>
      <c r="G692" s="6" t="s">
        <v>1276</v>
      </c>
      <c r="H692" s="6" t="s">
        <v>1434</v>
      </c>
      <c r="I692" s="6" t="s">
        <v>1834</v>
      </c>
      <c r="J692" s="6"/>
      <c r="K692" s="6"/>
      <c r="L692" s="5" t="s">
        <v>1835</v>
      </c>
    </row>
    <row r="693" spans="1:12" x14ac:dyDescent="0.2">
      <c r="A693">
        <v>833</v>
      </c>
      <c r="B693" s="6" t="str">
        <f t="shared" si="1"/>
        <v/>
      </c>
      <c r="C693" s="6" t="s">
        <v>1170</v>
      </c>
      <c r="D693" s="6" t="s">
        <v>192</v>
      </c>
      <c r="E693" s="6" t="s">
        <v>1176</v>
      </c>
      <c r="F693" s="6" t="s">
        <v>497</v>
      </c>
      <c r="G693" s="6" t="s">
        <v>1013</v>
      </c>
      <c r="H693" s="6" t="s">
        <v>1336</v>
      </c>
      <c r="I693" s="6" t="s">
        <v>1617</v>
      </c>
      <c r="J693" s="6"/>
      <c r="K693" s="6"/>
      <c r="L693" s="5" t="s">
        <v>1614</v>
      </c>
    </row>
    <row r="694" spans="1:12" x14ac:dyDescent="0.2">
      <c r="A694">
        <v>834</v>
      </c>
      <c r="B694" s="6" t="str">
        <f t="shared" ref="B694:B710" si="2">IF(OR(F694="NA",G694="wide_value"),"",TRUE)</f>
        <v/>
      </c>
      <c r="C694" s="6" t="s">
        <v>1170</v>
      </c>
      <c r="D694" s="6" t="s">
        <v>192</v>
      </c>
      <c r="E694" s="6" t="s">
        <v>1179</v>
      </c>
      <c r="F694" s="6" t="s">
        <v>497</v>
      </c>
      <c r="G694" s="6" t="s">
        <v>1294</v>
      </c>
      <c r="H694" s="6" t="s">
        <v>1295</v>
      </c>
      <c r="I694" s="6" t="s">
        <v>1620</v>
      </c>
      <c r="J694" s="6"/>
      <c r="K694" s="6"/>
      <c r="L694" s="5" t="s">
        <v>1614</v>
      </c>
    </row>
    <row r="695" spans="1:12" x14ac:dyDescent="0.2">
      <c r="A695">
        <v>835</v>
      </c>
      <c r="B695" s="6" t="str">
        <f t="shared" si="2"/>
        <v/>
      </c>
      <c r="C695" s="6" t="s">
        <v>1170</v>
      </c>
      <c r="D695" s="6" t="s">
        <v>192</v>
      </c>
      <c r="E695" s="6" t="s">
        <v>1178</v>
      </c>
      <c r="F695" s="6" t="s">
        <v>497</v>
      </c>
      <c r="G695" s="6" t="s">
        <v>1294</v>
      </c>
      <c r="H695" s="6" t="s">
        <v>1615</v>
      </c>
      <c r="I695" s="6" t="s">
        <v>1619</v>
      </c>
      <c r="J695" s="6"/>
      <c r="K695" s="6"/>
      <c r="L695" s="5" t="s">
        <v>1614</v>
      </c>
    </row>
    <row r="696" spans="1:12" x14ac:dyDescent="0.2">
      <c r="A696">
        <v>836</v>
      </c>
      <c r="B696" s="6" t="str">
        <f t="shared" si="2"/>
        <v/>
      </c>
      <c r="C696" s="6" t="s">
        <v>1170</v>
      </c>
      <c r="D696" s="6" t="s">
        <v>192</v>
      </c>
      <c r="E696" s="6" t="s">
        <v>1177</v>
      </c>
      <c r="F696" s="6" t="s">
        <v>497</v>
      </c>
      <c r="G696" s="6" t="s">
        <v>1246</v>
      </c>
      <c r="H696" s="6" t="s">
        <v>1279</v>
      </c>
      <c r="I696" s="6" t="s">
        <v>1618</v>
      </c>
      <c r="J696" s="6"/>
      <c r="K696" s="6"/>
      <c r="L696" s="5" t="s">
        <v>1836</v>
      </c>
    </row>
    <row r="697" spans="1:12" x14ac:dyDescent="0.2">
      <c r="A697">
        <v>837</v>
      </c>
      <c r="B697" s="6" t="str">
        <f t="shared" si="2"/>
        <v/>
      </c>
      <c r="C697" s="6" t="s">
        <v>1170</v>
      </c>
      <c r="D697" s="6" t="s">
        <v>192</v>
      </c>
      <c r="E697" s="6" t="s">
        <v>1180</v>
      </c>
      <c r="F697" s="6" t="s">
        <v>497</v>
      </c>
      <c r="G697" s="6" t="s">
        <v>1013</v>
      </c>
      <c r="H697" s="6" t="s">
        <v>1623</v>
      </c>
      <c r="I697" s="6" t="s">
        <v>1624</v>
      </c>
      <c r="J697" s="6"/>
      <c r="K697" s="6"/>
      <c r="L697" s="5" t="s">
        <v>1627</v>
      </c>
    </row>
    <row r="698" spans="1:12" x14ac:dyDescent="0.2">
      <c r="A698">
        <v>838</v>
      </c>
      <c r="B698" s="6" t="str">
        <f t="shared" si="2"/>
        <v/>
      </c>
      <c r="C698" s="6" t="s">
        <v>1170</v>
      </c>
      <c r="D698" s="6" t="s">
        <v>192</v>
      </c>
      <c r="E698" s="6" t="s">
        <v>1171</v>
      </c>
      <c r="F698" s="6" t="s">
        <v>497</v>
      </c>
      <c r="G698" s="6" t="s">
        <v>1536</v>
      </c>
      <c r="H698" s="6" t="s">
        <v>1837</v>
      </c>
      <c r="I698" s="6" t="s">
        <v>1838</v>
      </c>
      <c r="J698" s="6"/>
      <c r="K698" s="6"/>
      <c r="L698" s="5" t="s">
        <v>1839</v>
      </c>
    </row>
    <row r="699" spans="1:12" x14ac:dyDescent="0.2">
      <c r="A699">
        <v>839</v>
      </c>
      <c r="B699" s="6" t="str">
        <f t="shared" si="2"/>
        <v/>
      </c>
      <c r="C699" s="6" t="s">
        <v>1170</v>
      </c>
      <c r="D699" s="6" t="s">
        <v>192</v>
      </c>
      <c r="E699" s="6" t="s">
        <v>1184</v>
      </c>
      <c r="F699" s="6" t="s">
        <v>497</v>
      </c>
      <c r="G699" s="9" t="s">
        <v>1113</v>
      </c>
      <c r="H699" s="6"/>
      <c r="I699" s="6"/>
      <c r="J699" s="6"/>
      <c r="K699" s="6"/>
    </row>
    <row r="700" spans="1:12" x14ac:dyDescent="0.2">
      <c r="A700">
        <v>840</v>
      </c>
      <c r="B700" s="6" t="str">
        <f t="shared" si="2"/>
        <v/>
      </c>
      <c r="C700" s="6" t="s">
        <v>1170</v>
      </c>
      <c r="D700" s="6" t="s">
        <v>192</v>
      </c>
      <c r="E700" s="6" t="s">
        <v>1175</v>
      </c>
      <c r="F700" s="6" t="s">
        <v>497</v>
      </c>
      <c r="G700" s="6" t="s">
        <v>1276</v>
      </c>
      <c r="H700" s="6" t="s">
        <v>1277</v>
      </c>
      <c r="I700" s="6" t="s">
        <v>1840</v>
      </c>
      <c r="J700" s="6"/>
      <c r="K700" s="6"/>
      <c r="L700" s="5" t="s">
        <v>1841</v>
      </c>
    </row>
    <row r="701" spans="1:12" x14ac:dyDescent="0.2">
      <c r="A701">
        <v>841</v>
      </c>
      <c r="B701" s="6" t="str">
        <f t="shared" si="2"/>
        <v/>
      </c>
      <c r="C701" s="6" t="s">
        <v>1170</v>
      </c>
      <c r="D701" s="6" t="s">
        <v>192</v>
      </c>
      <c r="E701" s="6" t="s">
        <v>1183</v>
      </c>
      <c r="F701" s="6" t="s">
        <v>497</v>
      </c>
      <c r="G701" s="9" t="s">
        <v>1113</v>
      </c>
      <c r="H701" s="6"/>
      <c r="I701" s="6"/>
      <c r="J701" s="6"/>
      <c r="K701" s="6"/>
    </row>
    <row r="702" spans="1:12" x14ac:dyDescent="0.2">
      <c r="A702">
        <v>842</v>
      </c>
      <c r="B702" s="6" t="str">
        <f t="shared" si="2"/>
        <v/>
      </c>
      <c r="C702" s="6" t="s">
        <v>1170</v>
      </c>
      <c r="D702" s="6" t="s">
        <v>192</v>
      </c>
      <c r="E702" s="6" t="s">
        <v>1182</v>
      </c>
      <c r="F702" s="6" t="s">
        <v>497</v>
      </c>
      <c r="G702" s="9" t="s">
        <v>1113</v>
      </c>
      <c r="H702" s="6"/>
      <c r="I702" s="6"/>
      <c r="J702" s="6"/>
      <c r="K702" s="6"/>
    </row>
    <row r="703" spans="1:12" x14ac:dyDescent="0.2">
      <c r="A703">
        <v>843</v>
      </c>
      <c r="B703" s="6" t="str">
        <f t="shared" si="2"/>
        <v/>
      </c>
      <c r="C703" s="6" t="s">
        <v>1170</v>
      </c>
      <c r="D703" s="6" t="s">
        <v>192</v>
      </c>
      <c r="E703" s="6" t="s">
        <v>1172</v>
      </c>
      <c r="F703" s="6" t="s">
        <v>497</v>
      </c>
      <c r="G703" s="9" t="s">
        <v>1113</v>
      </c>
      <c r="H703" s="6"/>
      <c r="I703" s="6"/>
      <c r="J703" s="6"/>
      <c r="K703" s="6"/>
    </row>
    <row r="704" spans="1:12" x14ac:dyDescent="0.2">
      <c r="A704">
        <v>844</v>
      </c>
      <c r="B704" s="6" t="str">
        <f t="shared" si="2"/>
        <v/>
      </c>
      <c r="C704" s="6" t="s">
        <v>1189</v>
      </c>
      <c r="D704" s="6" t="s">
        <v>192</v>
      </c>
      <c r="E704" s="6" t="s">
        <v>89</v>
      </c>
      <c r="F704" s="6" t="s">
        <v>497</v>
      </c>
      <c r="G704" s="6" t="s">
        <v>1536</v>
      </c>
      <c r="H704" s="6" t="s">
        <v>1632</v>
      </c>
      <c r="I704" s="6" t="s">
        <v>1842</v>
      </c>
      <c r="J704" s="6"/>
      <c r="K704" s="6"/>
      <c r="L704" s="5" t="s">
        <v>1843</v>
      </c>
    </row>
    <row r="705" spans="1:12" x14ac:dyDescent="0.2">
      <c r="A705">
        <v>845</v>
      </c>
      <c r="B705" s="6" t="str">
        <f t="shared" si="2"/>
        <v/>
      </c>
      <c r="C705" s="6" t="s">
        <v>1189</v>
      </c>
      <c r="D705" s="6" t="s">
        <v>192</v>
      </c>
      <c r="E705" s="6" t="s">
        <v>96</v>
      </c>
      <c r="F705" s="6" t="s">
        <v>497</v>
      </c>
      <c r="G705" s="9" t="s">
        <v>1113</v>
      </c>
      <c r="H705" s="6"/>
      <c r="I705" s="6"/>
      <c r="J705" s="6"/>
      <c r="K705" s="6"/>
      <c r="L705" s="5" t="s">
        <v>1843</v>
      </c>
    </row>
    <row r="706" spans="1:12" x14ac:dyDescent="0.2">
      <c r="A706">
        <v>846</v>
      </c>
      <c r="B706" s="6" t="str">
        <f t="shared" si="2"/>
        <v/>
      </c>
      <c r="C706" s="6" t="s">
        <v>1189</v>
      </c>
      <c r="D706" s="6" t="s">
        <v>192</v>
      </c>
      <c r="E706" s="6" t="s">
        <v>97</v>
      </c>
      <c r="F706" s="6" t="s">
        <v>497</v>
      </c>
      <c r="G706" s="6" t="s">
        <v>1331</v>
      </c>
      <c r="H706" s="6" t="s">
        <v>1734</v>
      </c>
      <c r="I706" s="6" t="s">
        <v>1844</v>
      </c>
      <c r="J706" s="6"/>
      <c r="K706" s="6"/>
      <c r="L706" s="5" t="s">
        <v>1843</v>
      </c>
    </row>
    <row r="707" spans="1:12" x14ac:dyDescent="0.2">
      <c r="A707">
        <v>847</v>
      </c>
      <c r="B707" s="6" t="str">
        <f t="shared" si="2"/>
        <v/>
      </c>
      <c r="C707" s="6" t="s">
        <v>1189</v>
      </c>
      <c r="D707" s="6" t="s">
        <v>192</v>
      </c>
      <c r="E707" s="6" t="s">
        <v>1191</v>
      </c>
      <c r="F707" s="6" t="s">
        <v>497</v>
      </c>
      <c r="G707" s="9" t="s">
        <v>1013</v>
      </c>
      <c r="H707" s="6" t="s">
        <v>1623</v>
      </c>
      <c r="I707" s="6" t="s">
        <v>1845</v>
      </c>
      <c r="J707" s="6"/>
      <c r="K707" s="6"/>
    </row>
    <row r="708" spans="1:12" x14ac:dyDescent="0.2">
      <c r="A708">
        <v>848</v>
      </c>
      <c r="B708" s="6" t="str">
        <f t="shared" si="2"/>
        <v/>
      </c>
      <c r="C708" s="6" t="s">
        <v>1189</v>
      </c>
      <c r="D708" s="6" t="s">
        <v>192</v>
      </c>
      <c r="E708" s="6" t="s">
        <v>1190</v>
      </c>
      <c r="F708" s="6" t="s">
        <v>497</v>
      </c>
      <c r="G708" s="6" t="s">
        <v>1013</v>
      </c>
      <c r="H708" s="6" t="s">
        <v>9</v>
      </c>
      <c r="I708" s="6" t="s">
        <v>1861</v>
      </c>
      <c r="J708" s="6"/>
      <c r="K708" s="6"/>
      <c r="L708" s="5" t="s">
        <v>1863</v>
      </c>
    </row>
    <row r="709" spans="1:12" x14ac:dyDescent="0.2">
      <c r="A709">
        <v>849</v>
      </c>
      <c r="B709" s="6" t="str">
        <f t="shared" si="2"/>
        <v/>
      </c>
      <c r="C709" s="6" t="s">
        <v>1189</v>
      </c>
      <c r="D709" s="6" t="s">
        <v>192</v>
      </c>
      <c r="E709" s="6" t="s">
        <v>102</v>
      </c>
      <c r="F709" s="6" t="s">
        <v>497</v>
      </c>
      <c r="G709" s="6" t="s">
        <v>1540</v>
      </c>
      <c r="H709" s="6" t="s">
        <v>1544</v>
      </c>
      <c r="I709" s="6" t="s">
        <v>1545</v>
      </c>
      <c r="J709" s="6"/>
      <c r="K709" s="6"/>
      <c r="L709" s="5" t="s">
        <v>1546</v>
      </c>
    </row>
    <row r="710" spans="1:12" x14ac:dyDescent="0.2">
      <c r="A710">
        <v>850</v>
      </c>
      <c r="B710" s="6" t="str">
        <f t="shared" si="2"/>
        <v/>
      </c>
      <c r="C710" s="6" t="s">
        <v>1189</v>
      </c>
      <c r="D710" s="6" t="s">
        <v>192</v>
      </c>
      <c r="E710" s="6" t="s">
        <v>104</v>
      </c>
      <c r="F710" s="6" t="s">
        <v>497</v>
      </c>
      <c r="G710" s="6" t="s">
        <v>1540</v>
      </c>
      <c r="H710" s="6" t="s">
        <v>1547</v>
      </c>
      <c r="I710" s="6" t="s">
        <v>1548</v>
      </c>
      <c r="J710" s="6"/>
      <c r="K710" s="6"/>
      <c r="L710" s="6"/>
    </row>
    <row r="712" spans="1:12" x14ac:dyDescent="0.2">
      <c r="B712">
        <f>COUNTIF(B2:B710,TRUE)</f>
        <v>449</v>
      </c>
    </row>
    <row r="713" spans="1:12" x14ac:dyDescent="0.2">
      <c r="B713">
        <f>B712/MAX(A:A)*100</f>
        <v>52.823529411764703</v>
      </c>
    </row>
    <row r="715" spans="1:12" x14ac:dyDescent="0.2">
      <c r="B715">
        <f>MAX(A:A)</f>
        <v>850</v>
      </c>
    </row>
  </sheetData>
  <autoFilter ref="A1:M710" xr:uid="{960F02C8-A82E-3348-AFE2-BCE3970F5643}"/>
  <conditionalFormatting sqref="M1 A1:K1048576">
    <cfRule type="expression" dxfId="49" priority="1">
      <formula>$B1=""</formula>
    </cfRule>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48601-444F-794F-AE0A-AB199AA1256E}">
  <dimension ref="A1:Q169"/>
  <sheetViews>
    <sheetView topLeftCell="B1" workbookViewId="0">
      <pane ySplit="1" topLeftCell="A91" activePane="bottomLeft" state="frozen"/>
      <selection pane="bottomLeft" activeCell="Q127" sqref="Q127"/>
    </sheetView>
  </sheetViews>
  <sheetFormatPr baseColWidth="10" defaultRowHeight="16" x14ac:dyDescent="0.2"/>
  <cols>
    <col min="1" max="1" width="10.83203125" hidden="1" customWidth="1"/>
    <col min="2" max="2" width="18" customWidth="1"/>
    <col min="3" max="3" width="43.6640625" customWidth="1"/>
    <col min="4" max="4" width="23.1640625" customWidth="1"/>
    <col min="5" max="6" width="21.83203125" customWidth="1"/>
    <col min="7" max="7" width="23.5" customWidth="1"/>
    <col min="8" max="10" width="21.5" customWidth="1"/>
    <col min="11" max="11" width="22" customWidth="1"/>
    <col min="12" max="12" width="16" customWidth="1"/>
    <col min="13" max="13" width="21.5" customWidth="1"/>
    <col min="14" max="14" width="33.83203125" customWidth="1"/>
    <col min="15" max="15" width="44.5" customWidth="1"/>
    <col min="16" max="16" width="18.1640625" customWidth="1"/>
    <col min="17" max="17" width="20.83203125" customWidth="1"/>
  </cols>
  <sheetData>
    <row r="1" spans="1:17" ht="20" thickBot="1" x14ac:dyDescent="0.3">
      <c r="A1" s="1" t="s">
        <v>0</v>
      </c>
      <c r="B1" s="2" t="s">
        <v>1084</v>
      </c>
      <c r="C1" s="3" t="s">
        <v>1085</v>
      </c>
      <c r="D1" s="3" t="s">
        <v>1086</v>
      </c>
      <c r="E1" s="3" t="s">
        <v>1087</v>
      </c>
      <c r="F1" s="3" t="s">
        <v>1251</v>
      </c>
      <c r="G1" s="3" t="s">
        <v>1088</v>
      </c>
      <c r="H1" s="3" t="s">
        <v>1089</v>
      </c>
      <c r="I1" s="3" t="s">
        <v>1263</v>
      </c>
      <c r="J1" s="3" t="s">
        <v>1264</v>
      </c>
      <c r="K1" s="7" t="s">
        <v>1090</v>
      </c>
      <c r="L1" s="7" t="s">
        <v>1091</v>
      </c>
      <c r="M1" s="7" t="s">
        <v>1092</v>
      </c>
      <c r="N1" s="7" t="s">
        <v>1093</v>
      </c>
      <c r="O1" s="7" t="s">
        <v>1036</v>
      </c>
      <c r="P1" s="7" t="s">
        <v>1094</v>
      </c>
      <c r="Q1" s="8" t="s">
        <v>1095</v>
      </c>
    </row>
    <row r="2" spans="1:17" ht="19" x14ac:dyDescent="0.25">
      <c r="A2" s="6" t="b">
        <v>1</v>
      </c>
      <c r="B2" s="6" t="s">
        <v>192</v>
      </c>
      <c r="C2" s="6" t="s">
        <v>69</v>
      </c>
      <c r="D2" s="6" t="s">
        <v>497</v>
      </c>
      <c r="E2" s="11" t="s">
        <v>1250</v>
      </c>
      <c r="F2" s="11" t="s">
        <v>1252</v>
      </c>
      <c r="G2" s="11" t="s">
        <v>1253</v>
      </c>
      <c r="H2" s="12"/>
      <c r="I2" s="11" t="s">
        <v>1093</v>
      </c>
      <c r="J2" s="11" t="s">
        <v>1265</v>
      </c>
      <c r="K2" s="13"/>
      <c r="L2" s="14"/>
      <c r="M2" s="14"/>
      <c r="N2" s="14"/>
      <c r="O2" s="14"/>
      <c r="P2" s="14"/>
      <c r="Q2" s="14"/>
    </row>
    <row r="3" spans="1:17" ht="19" x14ac:dyDescent="0.25">
      <c r="A3" s="6" t="b">
        <v>1</v>
      </c>
      <c r="B3" s="6" t="s">
        <v>192</v>
      </c>
      <c r="C3" s="6" t="s">
        <v>70</v>
      </c>
      <c r="D3" s="6" t="s">
        <v>497</v>
      </c>
      <c r="E3" s="11" t="s">
        <v>1250</v>
      </c>
      <c r="F3" s="11" t="s">
        <v>1252</v>
      </c>
      <c r="G3" s="11" t="s">
        <v>1253</v>
      </c>
      <c r="H3" s="12"/>
      <c r="I3" s="11" t="s">
        <v>1093</v>
      </c>
      <c r="J3" s="11" t="s">
        <v>1266</v>
      </c>
      <c r="K3" s="13"/>
      <c r="L3" s="14"/>
      <c r="M3" s="14"/>
      <c r="N3" s="14"/>
      <c r="O3" s="14"/>
      <c r="P3" s="14"/>
      <c r="Q3" s="14"/>
    </row>
    <row r="4" spans="1:17" ht="19" x14ac:dyDescent="0.25">
      <c r="A4" s="6" t="b">
        <v>1</v>
      </c>
      <c r="B4" s="6" t="s">
        <v>192</v>
      </c>
      <c r="C4" s="6" t="s">
        <v>75</v>
      </c>
      <c r="D4" s="6" t="s">
        <v>497</v>
      </c>
      <c r="E4" s="11" t="s">
        <v>1250</v>
      </c>
      <c r="F4" s="11" t="s">
        <v>1252</v>
      </c>
      <c r="G4" s="11" t="s">
        <v>1254</v>
      </c>
      <c r="H4" s="12"/>
      <c r="I4" s="11" t="s">
        <v>1093</v>
      </c>
      <c r="J4" s="11" t="s">
        <v>1267</v>
      </c>
      <c r="K4" s="13"/>
      <c r="L4" s="14"/>
      <c r="M4" s="14"/>
      <c r="N4" s="14"/>
      <c r="O4" s="14"/>
      <c r="P4" s="14"/>
      <c r="Q4" s="14"/>
    </row>
    <row r="5" spans="1:17" ht="19" x14ac:dyDescent="0.25">
      <c r="A5" s="6" t="b">
        <v>1</v>
      </c>
      <c r="B5" s="6" t="s">
        <v>192</v>
      </c>
      <c r="C5" s="6" t="s">
        <v>81</v>
      </c>
      <c r="D5" s="6" t="s">
        <v>497</v>
      </c>
      <c r="E5" s="11" t="s">
        <v>1250</v>
      </c>
      <c r="F5" s="11" t="s">
        <v>1252</v>
      </c>
      <c r="G5" s="11" t="s">
        <v>1255</v>
      </c>
      <c r="H5" s="12"/>
      <c r="I5" s="11" t="s">
        <v>1093</v>
      </c>
      <c r="J5" s="11" t="s">
        <v>1268</v>
      </c>
      <c r="K5" s="13"/>
      <c r="L5" s="14"/>
      <c r="M5" s="14"/>
      <c r="N5" s="14"/>
      <c r="O5" s="14"/>
      <c r="P5" s="14"/>
      <c r="Q5" s="14"/>
    </row>
    <row r="6" spans="1:17" ht="19" x14ac:dyDescent="0.25">
      <c r="A6" s="6" t="b">
        <v>1</v>
      </c>
      <c r="B6" s="6" t="s">
        <v>192</v>
      </c>
      <c r="C6" s="6" t="s">
        <v>82</v>
      </c>
      <c r="D6" s="6" t="s">
        <v>497</v>
      </c>
      <c r="E6" s="11" t="s">
        <v>1250</v>
      </c>
      <c r="F6" s="11" t="s">
        <v>1252</v>
      </c>
      <c r="G6" s="11" t="s">
        <v>1256</v>
      </c>
      <c r="H6" s="12"/>
      <c r="I6" s="11" t="s">
        <v>1093</v>
      </c>
      <c r="J6" s="11" t="s">
        <v>1269</v>
      </c>
      <c r="K6" s="13"/>
      <c r="L6" s="14"/>
      <c r="M6" s="14"/>
      <c r="N6" s="14"/>
      <c r="O6" s="14"/>
      <c r="P6" s="14"/>
      <c r="Q6" s="14"/>
    </row>
    <row r="7" spans="1:17" ht="19" x14ac:dyDescent="0.25">
      <c r="A7" s="6" t="b">
        <v>1</v>
      </c>
      <c r="B7" s="6" t="s">
        <v>192</v>
      </c>
      <c r="C7" s="6" t="s">
        <v>83</v>
      </c>
      <c r="D7" s="6" t="s">
        <v>497</v>
      </c>
      <c r="E7" s="11" t="s">
        <v>1250</v>
      </c>
      <c r="F7" s="11" t="s">
        <v>1252</v>
      </c>
      <c r="G7" s="11" t="s">
        <v>1257</v>
      </c>
      <c r="H7" s="12"/>
      <c r="I7" s="11" t="s">
        <v>1093</v>
      </c>
      <c r="J7" s="11" t="s">
        <v>1270</v>
      </c>
      <c r="K7" s="13"/>
      <c r="L7" s="14"/>
      <c r="M7" s="14"/>
      <c r="N7" s="14"/>
      <c r="O7" s="14"/>
      <c r="P7" s="14"/>
      <c r="Q7" s="14"/>
    </row>
    <row r="8" spans="1:17" ht="19" x14ac:dyDescent="0.25">
      <c r="A8" s="6" t="b">
        <v>1</v>
      </c>
      <c r="B8" s="6" t="s">
        <v>192</v>
      </c>
      <c r="C8" s="6" t="s">
        <v>86</v>
      </c>
      <c r="D8" s="6" t="s">
        <v>497</v>
      </c>
      <c r="E8" s="11" t="s">
        <v>1250</v>
      </c>
      <c r="F8" s="11" t="s">
        <v>1252</v>
      </c>
      <c r="G8" s="11" t="s">
        <v>1258</v>
      </c>
      <c r="H8" s="12"/>
      <c r="I8" s="11" t="s">
        <v>1093</v>
      </c>
      <c r="J8" s="11" t="s">
        <v>1271</v>
      </c>
      <c r="K8" s="13"/>
      <c r="L8" s="14"/>
      <c r="M8" s="14"/>
      <c r="N8" s="14"/>
      <c r="O8" s="14"/>
      <c r="P8" s="14"/>
      <c r="Q8" s="14"/>
    </row>
    <row r="9" spans="1:17" ht="19" x14ac:dyDescent="0.25">
      <c r="A9" s="6" t="b">
        <v>1</v>
      </c>
      <c r="B9" s="6" t="s">
        <v>192</v>
      </c>
      <c r="C9" s="6" t="s">
        <v>90</v>
      </c>
      <c r="D9" s="6" t="s">
        <v>497</v>
      </c>
      <c r="E9" s="11" t="s">
        <v>1250</v>
      </c>
      <c r="F9" s="11" t="s">
        <v>1252</v>
      </c>
      <c r="G9" s="11" t="s">
        <v>1259</v>
      </c>
      <c r="H9" s="11" t="s">
        <v>1287</v>
      </c>
      <c r="I9" s="11" t="s">
        <v>1093</v>
      </c>
      <c r="J9" s="11" t="s">
        <v>1272</v>
      </c>
      <c r="K9" s="13"/>
      <c r="L9" s="14"/>
      <c r="M9" s="14"/>
      <c r="N9" s="14"/>
      <c r="O9" s="14"/>
      <c r="P9" s="14"/>
      <c r="Q9" s="14"/>
    </row>
    <row r="10" spans="1:17" ht="19" x14ac:dyDescent="0.25">
      <c r="A10" s="6" t="b">
        <v>1</v>
      </c>
      <c r="B10" s="6" t="s">
        <v>192</v>
      </c>
      <c r="C10" s="6" t="s">
        <v>92</v>
      </c>
      <c r="D10" s="6" t="s">
        <v>497</v>
      </c>
      <c r="E10" s="11" t="s">
        <v>1250</v>
      </c>
      <c r="F10" s="11" t="s">
        <v>1252</v>
      </c>
      <c r="G10" s="11" t="s">
        <v>1260</v>
      </c>
      <c r="H10" s="12"/>
      <c r="I10" s="11" t="s">
        <v>1093</v>
      </c>
      <c r="J10" s="11" t="s">
        <v>1273</v>
      </c>
      <c r="K10" s="13"/>
      <c r="L10" s="14"/>
      <c r="M10" s="14"/>
      <c r="N10" s="14"/>
      <c r="O10" s="14"/>
      <c r="P10" s="14"/>
      <c r="Q10" s="14"/>
    </row>
    <row r="11" spans="1:17" ht="19" x14ac:dyDescent="0.25">
      <c r="A11" s="6" t="b">
        <v>1</v>
      </c>
      <c r="B11" s="6" t="s">
        <v>192</v>
      </c>
      <c r="C11" s="6" t="s">
        <v>95</v>
      </c>
      <c r="D11" s="6" t="s">
        <v>497</v>
      </c>
      <c r="E11" s="11" t="s">
        <v>1250</v>
      </c>
      <c r="F11" s="11" t="s">
        <v>1252</v>
      </c>
      <c r="G11" s="11" t="s">
        <v>1262</v>
      </c>
      <c r="H11" s="12"/>
      <c r="I11" s="11" t="s">
        <v>1093</v>
      </c>
      <c r="J11" s="11" t="s">
        <v>1274</v>
      </c>
      <c r="K11" s="13"/>
      <c r="L11" s="14"/>
      <c r="M11" s="14"/>
      <c r="N11" s="14"/>
      <c r="O11" s="14"/>
      <c r="P11" s="14"/>
      <c r="Q11" s="14"/>
    </row>
    <row r="12" spans="1:17" ht="19" x14ac:dyDescent="0.25">
      <c r="A12" s="6" t="b">
        <v>1</v>
      </c>
      <c r="B12" s="6" t="s">
        <v>192</v>
      </c>
      <c r="C12" s="6" t="s">
        <v>126</v>
      </c>
      <c r="D12" s="6" t="s">
        <v>497</v>
      </c>
      <c r="E12" s="11" t="s">
        <v>1250</v>
      </c>
      <c r="F12" s="11" t="s">
        <v>1252</v>
      </c>
      <c r="G12" s="11" t="s">
        <v>1261</v>
      </c>
      <c r="H12" s="12"/>
      <c r="I12" s="11" t="s">
        <v>1093</v>
      </c>
      <c r="J12" s="11" t="s">
        <v>1275</v>
      </c>
      <c r="K12" s="13"/>
      <c r="L12" s="14"/>
      <c r="M12" s="14"/>
      <c r="N12" s="14"/>
      <c r="O12" s="14"/>
      <c r="P12" s="14"/>
      <c r="Q12" s="14"/>
    </row>
    <row r="13" spans="1:17" x14ac:dyDescent="0.2">
      <c r="A13" s="6" t="b">
        <v>1</v>
      </c>
      <c r="B13" s="6" t="s">
        <v>192</v>
      </c>
      <c r="C13" s="6" t="s">
        <v>66</v>
      </c>
      <c r="D13" s="6" t="s">
        <v>497</v>
      </c>
      <c r="E13" s="6" t="s">
        <v>1013</v>
      </c>
      <c r="F13" s="6"/>
      <c r="G13" s="6"/>
      <c r="H13" s="6"/>
      <c r="I13" s="6"/>
      <c r="J13" s="6"/>
      <c r="K13" s="6" t="s">
        <v>1104</v>
      </c>
      <c r="L13" s="6" t="s">
        <v>1106</v>
      </c>
      <c r="M13" s="6"/>
      <c r="N13" s="6" t="s">
        <v>1096</v>
      </c>
      <c r="O13" s="6" t="s">
        <v>1100</v>
      </c>
      <c r="P13" s="6" t="s">
        <v>1111</v>
      </c>
      <c r="Q13" s="6" t="s">
        <v>1112</v>
      </c>
    </row>
    <row r="14" spans="1:17" x14ac:dyDescent="0.2">
      <c r="A14" s="6" t="b">
        <v>1</v>
      </c>
      <c r="B14" s="6" t="s">
        <v>192</v>
      </c>
      <c r="C14" s="6" t="s">
        <v>79</v>
      </c>
      <c r="D14" s="6" t="s">
        <v>497</v>
      </c>
      <c r="E14" s="6" t="s">
        <v>1013</v>
      </c>
      <c r="F14" s="6"/>
      <c r="G14" s="6"/>
      <c r="H14" s="6"/>
      <c r="I14" s="6"/>
      <c r="J14" s="6"/>
      <c r="K14" s="6" t="s">
        <v>1104</v>
      </c>
      <c r="L14" s="6" t="s">
        <v>1107</v>
      </c>
      <c r="M14" s="6"/>
      <c r="N14" s="6" t="s">
        <v>1097</v>
      </c>
      <c r="O14" s="6" t="s">
        <v>1101</v>
      </c>
      <c r="P14" s="6" t="s">
        <v>1111</v>
      </c>
      <c r="Q14" s="6" t="s">
        <v>1112</v>
      </c>
    </row>
    <row r="15" spans="1:17" x14ac:dyDescent="0.2">
      <c r="A15" s="6" t="b">
        <v>1</v>
      </c>
      <c r="B15" s="6" t="s">
        <v>192</v>
      </c>
      <c r="C15" s="6" t="s">
        <v>85</v>
      </c>
      <c r="D15" s="6" t="s">
        <v>497</v>
      </c>
      <c r="E15" s="6" t="s">
        <v>1013</v>
      </c>
      <c r="F15" s="6"/>
      <c r="G15" s="6"/>
      <c r="H15" s="6"/>
      <c r="I15" s="6"/>
      <c r="J15" s="6"/>
      <c r="K15" s="6" t="s">
        <v>1105</v>
      </c>
      <c r="L15" s="6" t="s">
        <v>1108</v>
      </c>
      <c r="M15" s="6"/>
      <c r="N15" s="6" t="s">
        <v>1098</v>
      </c>
      <c r="O15" s="6" t="s">
        <v>1102</v>
      </c>
      <c r="P15" s="6" t="s">
        <v>1111</v>
      </c>
      <c r="Q15" s="6" t="s">
        <v>1112</v>
      </c>
    </row>
    <row r="16" spans="1:17" x14ac:dyDescent="0.2">
      <c r="A16" s="6" t="b">
        <v>1</v>
      </c>
      <c r="B16" s="6" t="s">
        <v>192</v>
      </c>
      <c r="C16" s="6" t="s">
        <v>103</v>
      </c>
      <c r="D16" s="6" t="s">
        <v>497</v>
      </c>
      <c r="E16" s="6" t="s">
        <v>1013</v>
      </c>
      <c r="F16" s="6"/>
      <c r="G16" s="6"/>
      <c r="H16" s="6"/>
      <c r="I16" s="6"/>
      <c r="J16" s="6"/>
      <c r="K16" s="6" t="s">
        <v>1104</v>
      </c>
      <c r="L16" s="6" t="s">
        <v>1109</v>
      </c>
      <c r="M16" s="6"/>
      <c r="N16" s="6" t="s">
        <v>1099</v>
      </c>
      <c r="O16" s="6" t="s">
        <v>1103</v>
      </c>
      <c r="P16" s="6" t="s">
        <v>1111</v>
      </c>
      <c r="Q16" s="6" t="s">
        <v>1112</v>
      </c>
    </row>
    <row r="17" spans="1:17" x14ac:dyDescent="0.2">
      <c r="A17" s="6" t="b">
        <v>1</v>
      </c>
      <c r="B17" s="6" t="s">
        <v>192</v>
      </c>
      <c r="C17" s="6" t="s">
        <v>106</v>
      </c>
      <c r="D17" s="6" t="s">
        <v>311</v>
      </c>
      <c r="E17" s="6" t="s">
        <v>1013</v>
      </c>
      <c r="F17" s="6"/>
      <c r="G17" s="6"/>
      <c r="H17" s="6"/>
      <c r="I17" s="6"/>
      <c r="J17" s="6"/>
      <c r="K17" s="6" t="s">
        <v>1104</v>
      </c>
      <c r="L17" s="6" t="s">
        <v>1114</v>
      </c>
      <c r="M17" s="6"/>
      <c r="N17" s="6" t="s">
        <v>311</v>
      </c>
      <c r="O17" s="6" t="s">
        <v>1115</v>
      </c>
      <c r="P17" s="6" t="s">
        <v>1110</v>
      </c>
      <c r="Q17" s="6"/>
    </row>
    <row r="18" spans="1:17" x14ac:dyDescent="0.2">
      <c r="A18" s="6" t="b">
        <v>1</v>
      </c>
      <c r="B18" s="6" t="s">
        <v>192</v>
      </c>
      <c r="C18" s="6" t="s">
        <v>106</v>
      </c>
      <c r="D18" s="6" t="s">
        <v>312</v>
      </c>
      <c r="E18" s="6" t="s">
        <v>1013</v>
      </c>
      <c r="F18" s="6"/>
      <c r="G18" s="6"/>
      <c r="H18" s="6"/>
      <c r="I18" s="6"/>
      <c r="J18" s="6"/>
      <c r="K18" s="6" t="s">
        <v>1104</v>
      </c>
      <c r="L18" s="6" t="s">
        <v>1114</v>
      </c>
      <c r="M18" s="6"/>
      <c r="N18" s="6" t="s">
        <v>312</v>
      </c>
      <c r="O18" s="6" t="s">
        <v>1115</v>
      </c>
      <c r="P18" s="6" t="s">
        <v>1110</v>
      </c>
      <c r="Q18" s="6"/>
    </row>
    <row r="19" spans="1:17" x14ac:dyDescent="0.2">
      <c r="A19" s="6" t="b">
        <v>1</v>
      </c>
      <c r="B19" s="6" t="s">
        <v>192</v>
      </c>
      <c r="C19" s="6" t="s">
        <v>106</v>
      </c>
      <c r="D19" s="6" t="s">
        <v>313</v>
      </c>
      <c r="E19" s="6" t="s">
        <v>1013</v>
      </c>
      <c r="F19" s="6"/>
      <c r="G19" s="6"/>
      <c r="H19" s="6"/>
      <c r="I19" s="6"/>
      <c r="J19" s="6"/>
      <c r="K19" s="6" t="s">
        <v>1104</v>
      </c>
      <c r="L19" s="6" t="s">
        <v>1114</v>
      </c>
      <c r="M19" s="6"/>
      <c r="N19" s="6" t="s">
        <v>313</v>
      </c>
      <c r="O19" s="6" t="s">
        <v>1115</v>
      </c>
      <c r="P19" s="6" t="s">
        <v>1110</v>
      </c>
      <c r="Q19" s="6"/>
    </row>
    <row r="20" spans="1:17" x14ac:dyDescent="0.2">
      <c r="A20" s="6" t="b">
        <v>1</v>
      </c>
      <c r="B20" s="6" t="s">
        <v>192</v>
      </c>
      <c r="C20" s="6" t="s">
        <v>118</v>
      </c>
      <c r="D20" s="6" t="s">
        <v>497</v>
      </c>
      <c r="E20" s="6" t="s">
        <v>1013</v>
      </c>
      <c r="F20" s="6"/>
      <c r="G20" s="6"/>
      <c r="H20" s="6"/>
      <c r="I20" s="6"/>
      <c r="J20" s="6"/>
      <c r="K20" s="6" t="s">
        <v>1104</v>
      </c>
      <c r="L20" s="6" t="s">
        <v>1116</v>
      </c>
      <c r="M20" s="6"/>
      <c r="N20" s="6" t="s">
        <v>1132</v>
      </c>
      <c r="O20" s="6" t="s">
        <v>1127</v>
      </c>
      <c r="P20" s="6" t="s">
        <v>1111</v>
      </c>
      <c r="Q20" s="6"/>
    </row>
    <row r="21" spans="1:17" x14ac:dyDescent="0.2">
      <c r="A21" s="6" t="b">
        <v>1</v>
      </c>
      <c r="B21" s="6" t="s">
        <v>192</v>
      </c>
      <c r="C21" s="6" t="s">
        <v>129</v>
      </c>
      <c r="D21" s="6" t="s">
        <v>497</v>
      </c>
      <c r="E21" s="6" t="s">
        <v>1013</v>
      </c>
      <c r="F21" s="6"/>
      <c r="G21" s="6"/>
      <c r="H21" s="6"/>
      <c r="I21" s="6"/>
      <c r="J21" s="6"/>
      <c r="K21" s="6" t="s">
        <v>1104</v>
      </c>
      <c r="L21" s="6" t="s">
        <v>1117</v>
      </c>
      <c r="M21" s="6"/>
      <c r="N21" s="6" t="s">
        <v>1131</v>
      </c>
      <c r="O21" s="6" t="s">
        <v>1128</v>
      </c>
      <c r="P21" s="6" t="s">
        <v>1111</v>
      </c>
      <c r="Q21" s="6"/>
    </row>
    <row r="22" spans="1:17" x14ac:dyDescent="0.2">
      <c r="A22" s="6" t="b">
        <v>1</v>
      </c>
      <c r="B22" s="6" t="s">
        <v>192</v>
      </c>
      <c r="C22" s="6" t="s">
        <v>130</v>
      </c>
      <c r="D22" s="6" t="s">
        <v>300</v>
      </c>
      <c r="E22" s="6" t="s">
        <v>1013</v>
      </c>
      <c r="F22" s="6"/>
      <c r="G22" s="6"/>
      <c r="H22" s="6"/>
      <c r="I22" s="6"/>
      <c r="J22" s="6"/>
      <c r="K22" s="6" t="s">
        <v>1104</v>
      </c>
      <c r="L22" s="6" t="s">
        <v>1118</v>
      </c>
      <c r="M22" s="6"/>
      <c r="N22" s="6" t="s">
        <v>1119</v>
      </c>
      <c r="O22" s="6" t="s">
        <v>1129</v>
      </c>
      <c r="P22" s="6" t="s">
        <v>1111</v>
      </c>
      <c r="Q22" s="6"/>
    </row>
    <row r="23" spans="1:17" x14ac:dyDescent="0.2">
      <c r="A23" s="6" t="b">
        <v>1</v>
      </c>
      <c r="B23" s="6" t="s">
        <v>192</v>
      </c>
      <c r="C23" s="6" t="s">
        <v>130</v>
      </c>
      <c r="D23" s="6" t="s">
        <v>301</v>
      </c>
      <c r="E23" s="6" t="s">
        <v>1013</v>
      </c>
      <c r="F23" s="6"/>
      <c r="G23" s="6"/>
      <c r="H23" s="6"/>
      <c r="I23" s="6"/>
      <c r="J23" s="6"/>
      <c r="K23" s="6" t="s">
        <v>1104</v>
      </c>
      <c r="L23" s="6" t="s">
        <v>1118</v>
      </c>
      <c r="M23" s="6"/>
      <c r="N23" s="6" t="s">
        <v>1120</v>
      </c>
      <c r="O23" s="6" t="s">
        <v>1129</v>
      </c>
      <c r="P23" s="6" t="s">
        <v>1111</v>
      </c>
      <c r="Q23" s="6"/>
    </row>
    <row r="24" spans="1:17" x14ac:dyDescent="0.2">
      <c r="A24" s="6" t="b">
        <v>1</v>
      </c>
      <c r="B24" s="6" t="s">
        <v>192</v>
      </c>
      <c r="C24" s="6" t="s">
        <v>130</v>
      </c>
      <c r="D24" s="6" t="s">
        <v>302</v>
      </c>
      <c r="E24" s="6" t="s">
        <v>1013</v>
      </c>
      <c r="F24" s="6"/>
      <c r="G24" s="6"/>
      <c r="H24" s="6"/>
      <c r="I24" s="6"/>
      <c r="J24" s="6"/>
      <c r="K24" s="6" t="s">
        <v>1104</v>
      </c>
      <c r="L24" s="6" t="s">
        <v>1118</v>
      </c>
      <c r="M24" s="6"/>
      <c r="N24" s="6" t="s">
        <v>1121</v>
      </c>
      <c r="O24" s="6" t="s">
        <v>1129</v>
      </c>
      <c r="P24" s="6" t="s">
        <v>1111</v>
      </c>
      <c r="Q24" s="6"/>
    </row>
    <row r="25" spans="1:17" x14ac:dyDescent="0.2">
      <c r="A25" s="6" t="b">
        <v>1</v>
      </c>
      <c r="B25" s="6" t="s">
        <v>192</v>
      </c>
      <c r="C25" s="6" t="s">
        <v>130</v>
      </c>
      <c r="D25" s="6" t="s">
        <v>303</v>
      </c>
      <c r="E25" s="6" t="s">
        <v>1013</v>
      </c>
      <c r="F25" s="6"/>
      <c r="G25" s="6"/>
      <c r="H25" s="6"/>
      <c r="I25" s="6"/>
      <c r="J25" s="6"/>
      <c r="K25" s="6" t="s">
        <v>1104</v>
      </c>
      <c r="L25" s="6" t="s">
        <v>1118</v>
      </c>
      <c r="M25" s="6"/>
      <c r="N25" s="6" t="s">
        <v>1122</v>
      </c>
      <c r="O25" s="6" t="s">
        <v>1129</v>
      </c>
      <c r="P25" s="6" t="s">
        <v>1111</v>
      </c>
      <c r="Q25" s="6"/>
    </row>
    <row r="26" spans="1:17" x14ac:dyDescent="0.2">
      <c r="A26" s="6" t="b">
        <v>1</v>
      </c>
      <c r="B26" s="6" t="s">
        <v>192</v>
      </c>
      <c r="C26" s="6" t="s">
        <v>130</v>
      </c>
      <c r="D26" s="6" t="s">
        <v>304</v>
      </c>
      <c r="E26" s="6" t="s">
        <v>1013</v>
      </c>
      <c r="F26" s="6"/>
      <c r="G26" s="6"/>
      <c r="H26" s="6"/>
      <c r="I26" s="6"/>
      <c r="J26" s="6"/>
      <c r="K26" s="6" t="s">
        <v>1104</v>
      </c>
      <c r="L26" s="6" t="s">
        <v>1118</v>
      </c>
      <c r="M26" s="6"/>
      <c r="N26" s="6" t="s">
        <v>1123</v>
      </c>
      <c r="O26" s="6" t="s">
        <v>1129</v>
      </c>
      <c r="P26" s="6" t="s">
        <v>1111</v>
      </c>
      <c r="Q26" s="6"/>
    </row>
    <row r="27" spans="1:17" x14ac:dyDescent="0.2">
      <c r="A27" s="6" t="b">
        <v>1</v>
      </c>
      <c r="B27" s="6" t="s">
        <v>192</v>
      </c>
      <c r="C27" s="6" t="s">
        <v>130</v>
      </c>
      <c r="D27" s="6" t="s">
        <v>305</v>
      </c>
      <c r="E27" s="6" t="s">
        <v>1013</v>
      </c>
      <c r="F27" s="6"/>
      <c r="G27" s="6"/>
      <c r="H27" s="6"/>
      <c r="I27" s="6"/>
      <c r="J27" s="6"/>
      <c r="K27" s="6" t="s">
        <v>1104</v>
      </c>
      <c r="L27" s="6" t="s">
        <v>1118</v>
      </c>
      <c r="M27" s="6"/>
      <c r="N27" s="6" t="s">
        <v>1124</v>
      </c>
      <c r="O27" s="6" t="s">
        <v>1129</v>
      </c>
      <c r="P27" s="6" t="s">
        <v>1111</v>
      </c>
      <c r="Q27" s="6"/>
    </row>
    <row r="28" spans="1:17" x14ac:dyDescent="0.2">
      <c r="A28" s="6" t="b">
        <v>1</v>
      </c>
      <c r="B28" s="6" t="s">
        <v>192</v>
      </c>
      <c r="C28" s="6" t="s">
        <v>130</v>
      </c>
      <c r="D28" s="6" t="s">
        <v>306</v>
      </c>
      <c r="E28" s="6" t="s">
        <v>1013</v>
      </c>
      <c r="F28" s="6"/>
      <c r="G28" s="6"/>
      <c r="H28" s="6"/>
      <c r="I28" s="6"/>
      <c r="J28" s="6"/>
      <c r="K28" s="6" t="s">
        <v>1104</v>
      </c>
      <c r="L28" s="6" t="s">
        <v>1118</v>
      </c>
      <c r="M28" s="6"/>
      <c r="N28" s="6" t="s">
        <v>1125</v>
      </c>
      <c r="O28" s="6" t="s">
        <v>1129</v>
      </c>
      <c r="P28" s="6" t="s">
        <v>1111</v>
      </c>
      <c r="Q28" s="6"/>
    </row>
    <row r="29" spans="1:17" x14ac:dyDescent="0.2">
      <c r="A29" s="6" t="b">
        <v>1</v>
      </c>
      <c r="B29" s="6" t="s">
        <v>192</v>
      </c>
      <c r="C29" s="6" t="s">
        <v>133</v>
      </c>
      <c r="D29" s="6" t="s">
        <v>497</v>
      </c>
      <c r="E29" s="6" t="s">
        <v>1013</v>
      </c>
      <c r="F29" s="6"/>
      <c r="G29" s="6"/>
      <c r="H29" s="6"/>
      <c r="I29" s="6"/>
      <c r="J29" s="6"/>
      <c r="K29" s="6" t="s">
        <v>1104</v>
      </c>
      <c r="L29" s="6" t="s">
        <v>1126</v>
      </c>
      <c r="M29" s="6"/>
      <c r="N29" s="6" t="s">
        <v>1130</v>
      </c>
      <c r="O29" s="6" t="s">
        <v>1129</v>
      </c>
      <c r="P29" s="6" t="s">
        <v>1111</v>
      </c>
      <c r="Q29" s="6"/>
    </row>
    <row r="30" spans="1:17" x14ac:dyDescent="0.2">
      <c r="A30" s="6" t="b">
        <v>1</v>
      </c>
      <c r="B30" s="6" t="s">
        <v>192</v>
      </c>
      <c r="C30" s="6" t="s">
        <v>156</v>
      </c>
      <c r="D30" s="6" t="s">
        <v>314</v>
      </c>
      <c r="E30" s="6" t="s">
        <v>1013</v>
      </c>
      <c r="F30" s="6"/>
      <c r="G30" s="6"/>
      <c r="H30" s="6"/>
      <c r="I30" s="6"/>
      <c r="J30" s="6"/>
      <c r="K30" s="6" t="s">
        <v>1104</v>
      </c>
      <c r="L30" s="6" t="s">
        <v>1137</v>
      </c>
      <c r="M30" s="6"/>
      <c r="N30" s="6" t="s">
        <v>1138</v>
      </c>
      <c r="O30" s="6" t="s">
        <v>1115</v>
      </c>
      <c r="P30" s="6" t="s">
        <v>1110</v>
      </c>
      <c r="Q30" s="6"/>
    </row>
    <row r="31" spans="1:17" x14ac:dyDescent="0.2">
      <c r="A31" s="6" t="b">
        <v>1</v>
      </c>
      <c r="B31" s="6" t="s">
        <v>192</v>
      </c>
      <c r="C31" s="6" t="s">
        <v>156</v>
      </c>
      <c r="D31" s="6" t="s">
        <v>315</v>
      </c>
      <c r="E31" s="6" t="s">
        <v>1013</v>
      </c>
      <c r="F31" s="6"/>
      <c r="G31" s="6"/>
      <c r="H31" s="6"/>
      <c r="I31" s="6"/>
      <c r="J31" s="6"/>
      <c r="K31" s="6" t="s">
        <v>1104</v>
      </c>
      <c r="L31" s="6" t="s">
        <v>1137</v>
      </c>
      <c r="M31" s="6"/>
      <c r="N31" s="6" t="s">
        <v>1138</v>
      </c>
      <c r="O31" s="6" t="s">
        <v>1115</v>
      </c>
      <c r="P31" s="6" t="s">
        <v>1110</v>
      </c>
      <c r="Q31" s="6"/>
    </row>
    <row r="32" spans="1:17" x14ac:dyDescent="0.2">
      <c r="A32" s="6" t="b">
        <v>1</v>
      </c>
      <c r="B32" s="6" t="s">
        <v>192</v>
      </c>
      <c r="C32" s="6" t="s">
        <v>156</v>
      </c>
      <c r="D32" s="6" t="s">
        <v>316</v>
      </c>
      <c r="E32" s="6" t="s">
        <v>1013</v>
      </c>
      <c r="F32" s="6"/>
      <c r="G32" s="6"/>
      <c r="H32" s="6"/>
      <c r="I32" s="6"/>
      <c r="J32" s="6"/>
      <c r="K32" s="6" t="s">
        <v>1104</v>
      </c>
      <c r="L32" s="6" t="s">
        <v>1137</v>
      </c>
      <c r="M32" s="6"/>
      <c r="N32" s="6" t="s">
        <v>1140</v>
      </c>
      <c r="O32" s="6" t="s">
        <v>1115</v>
      </c>
      <c r="P32" s="6" t="s">
        <v>1110</v>
      </c>
      <c r="Q32" s="6"/>
    </row>
    <row r="33" spans="1:17" x14ac:dyDescent="0.2">
      <c r="A33" s="6" t="b">
        <v>1</v>
      </c>
      <c r="B33" s="6" t="s">
        <v>192</v>
      </c>
      <c r="C33" s="6" t="s">
        <v>156</v>
      </c>
      <c r="D33" s="6" t="s">
        <v>317</v>
      </c>
      <c r="E33" s="6" t="s">
        <v>1013</v>
      </c>
      <c r="F33" s="6"/>
      <c r="G33" s="6"/>
      <c r="H33" s="6"/>
      <c r="I33" s="6"/>
      <c r="J33" s="6"/>
      <c r="K33" s="6" t="s">
        <v>1104</v>
      </c>
      <c r="L33" s="6" t="s">
        <v>1137</v>
      </c>
      <c r="M33" s="6"/>
      <c r="N33" s="6" t="s">
        <v>1139</v>
      </c>
      <c r="O33" s="6" t="s">
        <v>1115</v>
      </c>
      <c r="P33" s="6" t="s">
        <v>1110</v>
      </c>
      <c r="Q33" s="6"/>
    </row>
    <row r="34" spans="1:17" x14ac:dyDescent="0.2">
      <c r="A34" s="6" t="b">
        <v>1</v>
      </c>
      <c r="B34" s="6" t="s">
        <v>192</v>
      </c>
      <c r="C34" s="6" t="s">
        <v>156</v>
      </c>
      <c r="D34" s="6" t="s">
        <v>318</v>
      </c>
      <c r="E34" s="6" t="s">
        <v>1013</v>
      </c>
      <c r="F34" s="6"/>
      <c r="G34" s="6"/>
      <c r="H34" s="6"/>
      <c r="I34" s="6"/>
      <c r="J34" s="6"/>
      <c r="K34" s="6" t="s">
        <v>1104</v>
      </c>
      <c r="L34" s="6" t="s">
        <v>1137</v>
      </c>
      <c r="M34" s="6"/>
      <c r="N34" s="6" t="s">
        <v>1140</v>
      </c>
      <c r="O34" s="6" t="s">
        <v>1115</v>
      </c>
      <c r="P34" s="6" t="s">
        <v>1110</v>
      </c>
      <c r="Q34" s="6"/>
    </row>
    <row r="35" spans="1:17" x14ac:dyDescent="0.2">
      <c r="A35" s="6" t="b">
        <v>1</v>
      </c>
      <c r="B35" s="6" t="s">
        <v>192</v>
      </c>
      <c r="C35" s="6" t="s">
        <v>156</v>
      </c>
      <c r="D35" s="6" t="s">
        <v>319</v>
      </c>
      <c r="E35" s="6" t="s">
        <v>1013</v>
      </c>
      <c r="F35" s="6"/>
      <c r="G35" s="6"/>
      <c r="H35" s="6"/>
      <c r="I35" s="6"/>
      <c r="J35" s="6"/>
      <c r="K35" s="6" t="s">
        <v>1104</v>
      </c>
      <c r="L35" s="6" t="s">
        <v>1137</v>
      </c>
      <c r="M35" s="6"/>
      <c r="N35" s="6" t="s">
        <v>1141</v>
      </c>
      <c r="O35" s="6" t="s">
        <v>1115</v>
      </c>
      <c r="P35" s="6" t="s">
        <v>1110</v>
      </c>
      <c r="Q35" s="6"/>
    </row>
    <row r="36" spans="1:17" x14ac:dyDescent="0.2">
      <c r="A36" s="6" t="b">
        <v>1</v>
      </c>
      <c r="B36" s="6" t="s">
        <v>192</v>
      </c>
      <c r="C36" s="6" t="s">
        <v>156</v>
      </c>
      <c r="D36" s="6" t="s">
        <v>320</v>
      </c>
      <c r="E36" s="6" t="s">
        <v>1013</v>
      </c>
      <c r="F36" s="6"/>
      <c r="G36" s="6"/>
      <c r="H36" s="6"/>
      <c r="I36" s="6"/>
      <c r="J36" s="6"/>
      <c r="K36" s="6" t="s">
        <v>1104</v>
      </c>
      <c r="L36" s="6" t="s">
        <v>1137</v>
      </c>
      <c r="M36" s="6"/>
      <c r="N36" s="6" t="s">
        <v>1143</v>
      </c>
      <c r="O36" s="6" t="s">
        <v>1115</v>
      </c>
      <c r="P36" s="6" t="s">
        <v>1110</v>
      </c>
      <c r="Q36" s="6"/>
    </row>
    <row r="37" spans="1:17" x14ac:dyDescent="0.2">
      <c r="A37" s="6" t="b">
        <v>1</v>
      </c>
      <c r="B37" s="6" t="s">
        <v>192</v>
      </c>
      <c r="C37" s="6" t="s">
        <v>156</v>
      </c>
      <c r="D37" s="6" t="s">
        <v>321</v>
      </c>
      <c r="E37" s="6" t="s">
        <v>1013</v>
      </c>
      <c r="F37" s="6"/>
      <c r="G37" s="6"/>
      <c r="H37" s="6"/>
      <c r="I37" s="6"/>
      <c r="J37" s="6"/>
      <c r="K37" s="6" t="s">
        <v>1104</v>
      </c>
      <c r="L37" s="6" t="s">
        <v>1137</v>
      </c>
      <c r="M37" s="6"/>
      <c r="N37" s="6" t="s">
        <v>1142</v>
      </c>
      <c r="O37" s="6" t="s">
        <v>1115</v>
      </c>
      <c r="P37" s="6" t="s">
        <v>1110</v>
      </c>
      <c r="Q37" s="6"/>
    </row>
    <row r="38" spans="1:17" x14ac:dyDescent="0.2">
      <c r="A38" s="6" t="b">
        <v>1</v>
      </c>
      <c r="B38" s="6" t="s">
        <v>192</v>
      </c>
      <c r="C38" s="6" t="s">
        <v>183</v>
      </c>
      <c r="D38" s="6" t="s">
        <v>314</v>
      </c>
      <c r="E38" s="6" t="s">
        <v>1013</v>
      </c>
      <c r="F38" s="6"/>
      <c r="G38" s="6"/>
      <c r="H38" s="6"/>
      <c r="I38" s="6"/>
      <c r="J38" s="6"/>
      <c r="K38" s="6" t="s">
        <v>1104</v>
      </c>
      <c r="L38" s="6" t="s">
        <v>1144</v>
      </c>
      <c r="M38" s="6"/>
      <c r="N38" s="6" t="s">
        <v>1138</v>
      </c>
      <c r="O38" s="6" t="s">
        <v>1115</v>
      </c>
      <c r="P38" s="6" t="s">
        <v>1110</v>
      </c>
      <c r="Q38" s="6"/>
    </row>
    <row r="39" spans="1:17" x14ac:dyDescent="0.2">
      <c r="A39" s="6" t="b">
        <v>1</v>
      </c>
      <c r="B39" s="6" t="s">
        <v>192</v>
      </c>
      <c r="C39" s="6" t="s">
        <v>183</v>
      </c>
      <c r="D39" s="6" t="s">
        <v>315</v>
      </c>
      <c r="E39" s="6" t="s">
        <v>1013</v>
      </c>
      <c r="F39" s="6"/>
      <c r="G39" s="6"/>
      <c r="H39" s="6"/>
      <c r="I39" s="6"/>
      <c r="J39" s="6"/>
      <c r="K39" s="6" t="s">
        <v>1104</v>
      </c>
      <c r="L39" s="6" t="s">
        <v>1144</v>
      </c>
      <c r="M39" s="6"/>
      <c r="N39" s="6" t="s">
        <v>1138</v>
      </c>
      <c r="O39" s="6" t="s">
        <v>1115</v>
      </c>
      <c r="P39" s="6" t="s">
        <v>1110</v>
      </c>
      <c r="Q39" s="6"/>
    </row>
    <row r="40" spans="1:17" x14ac:dyDescent="0.2">
      <c r="A40" s="6" t="b">
        <v>1</v>
      </c>
      <c r="B40" s="6" t="s">
        <v>192</v>
      </c>
      <c r="C40" s="6" t="s">
        <v>183</v>
      </c>
      <c r="D40" s="6" t="s">
        <v>316</v>
      </c>
      <c r="E40" s="6" t="s">
        <v>1013</v>
      </c>
      <c r="F40" s="6"/>
      <c r="G40" s="6"/>
      <c r="H40" s="6"/>
      <c r="I40" s="6"/>
      <c r="J40" s="6"/>
      <c r="K40" s="6" t="s">
        <v>1104</v>
      </c>
      <c r="L40" s="6" t="s">
        <v>1144</v>
      </c>
      <c r="M40" s="6"/>
      <c r="N40" s="6" t="s">
        <v>1140</v>
      </c>
      <c r="O40" s="6" t="s">
        <v>1115</v>
      </c>
      <c r="P40" s="6" t="s">
        <v>1110</v>
      </c>
      <c r="Q40" s="6"/>
    </row>
    <row r="41" spans="1:17" x14ac:dyDescent="0.2">
      <c r="A41" s="6" t="b">
        <v>1</v>
      </c>
      <c r="B41" s="6" t="s">
        <v>192</v>
      </c>
      <c r="C41" s="6" t="s">
        <v>183</v>
      </c>
      <c r="D41" s="6" t="s">
        <v>317</v>
      </c>
      <c r="E41" s="6" t="s">
        <v>1013</v>
      </c>
      <c r="F41" s="6"/>
      <c r="G41" s="6"/>
      <c r="H41" s="6"/>
      <c r="I41" s="6"/>
      <c r="J41" s="6"/>
      <c r="K41" s="6" t="s">
        <v>1104</v>
      </c>
      <c r="L41" s="6" t="s">
        <v>1144</v>
      </c>
      <c r="M41" s="6"/>
      <c r="N41" s="6" t="s">
        <v>1139</v>
      </c>
      <c r="O41" s="6" t="s">
        <v>1115</v>
      </c>
      <c r="P41" s="6" t="s">
        <v>1110</v>
      </c>
      <c r="Q41" s="6"/>
    </row>
    <row r="42" spans="1:17" x14ac:dyDescent="0.2">
      <c r="A42" s="6" t="b">
        <v>1</v>
      </c>
      <c r="B42" s="6" t="s">
        <v>192</v>
      </c>
      <c r="C42" s="6" t="s">
        <v>183</v>
      </c>
      <c r="D42" s="6" t="s">
        <v>318</v>
      </c>
      <c r="E42" s="6" t="s">
        <v>1013</v>
      </c>
      <c r="F42" s="6"/>
      <c r="G42" s="6"/>
      <c r="H42" s="6"/>
      <c r="I42" s="6"/>
      <c r="J42" s="6"/>
      <c r="K42" s="6" t="s">
        <v>1104</v>
      </c>
      <c r="L42" s="6" t="s">
        <v>1144</v>
      </c>
      <c r="M42" s="6"/>
      <c r="N42" s="6" t="s">
        <v>1140</v>
      </c>
      <c r="O42" s="6" t="s">
        <v>1115</v>
      </c>
      <c r="P42" s="6" t="s">
        <v>1110</v>
      </c>
      <c r="Q42" s="6"/>
    </row>
    <row r="43" spans="1:17" x14ac:dyDescent="0.2">
      <c r="A43" s="6" t="b">
        <v>1</v>
      </c>
      <c r="B43" s="6" t="s">
        <v>192</v>
      </c>
      <c r="C43" s="6" t="s">
        <v>183</v>
      </c>
      <c r="D43" s="6" t="s">
        <v>319</v>
      </c>
      <c r="E43" s="6" t="s">
        <v>1013</v>
      </c>
      <c r="F43" s="6"/>
      <c r="G43" s="6"/>
      <c r="H43" s="6"/>
      <c r="I43" s="6"/>
      <c r="J43" s="6"/>
      <c r="K43" s="6" t="s">
        <v>1104</v>
      </c>
      <c r="L43" s="6" t="s">
        <v>1144</v>
      </c>
      <c r="M43" s="6"/>
      <c r="N43" s="6" t="s">
        <v>1141</v>
      </c>
      <c r="O43" s="6" t="s">
        <v>1115</v>
      </c>
      <c r="P43" s="6" t="s">
        <v>1110</v>
      </c>
      <c r="Q43" s="6"/>
    </row>
    <row r="44" spans="1:17" x14ac:dyDescent="0.2">
      <c r="A44" s="6" t="b">
        <v>1</v>
      </c>
      <c r="B44" s="6" t="s">
        <v>192</v>
      </c>
      <c r="C44" s="6" t="s">
        <v>183</v>
      </c>
      <c r="D44" s="6" t="s">
        <v>320</v>
      </c>
      <c r="E44" s="6" t="s">
        <v>1013</v>
      </c>
      <c r="F44" s="6"/>
      <c r="G44" s="6"/>
      <c r="H44" s="6"/>
      <c r="I44" s="6"/>
      <c r="J44" s="6"/>
      <c r="K44" s="6" t="s">
        <v>1104</v>
      </c>
      <c r="L44" s="6" t="s">
        <v>1144</v>
      </c>
      <c r="M44" s="6"/>
      <c r="N44" s="6" t="s">
        <v>1143</v>
      </c>
      <c r="O44" s="6" t="s">
        <v>1115</v>
      </c>
      <c r="P44" s="6" t="s">
        <v>1110</v>
      </c>
      <c r="Q44" s="6"/>
    </row>
    <row r="45" spans="1:17" x14ac:dyDescent="0.2">
      <c r="A45" s="6" t="b">
        <v>1</v>
      </c>
      <c r="B45" s="6" t="s">
        <v>192</v>
      </c>
      <c r="C45" s="6" t="s">
        <v>183</v>
      </c>
      <c r="D45" s="6" t="s">
        <v>321</v>
      </c>
      <c r="E45" s="6" t="s">
        <v>1013</v>
      </c>
      <c r="F45" s="6"/>
      <c r="G45" s="6"/>
      <c r="H45" s="6"/>
      <c r="I45" s="6"/>
      <c r="J45" s="6"/>
      <c r="K45" s="6" t="s">
        <v>1104</v>
      </c>
      <c r="L45" s="6" t="s">
        <v>1144</v>
      </c>
      <c r="M45" s="6"/>
      <c r="N45" s="6" t="s">
        <v>1142</v>
      </c>
      <c r="O45" s="6" t="s">
        <v>1115</v>
      </c>
      <c r="P45" s="6" t="s">
        <v>1110</v>
      </c>
      <c r="Q45" s="6"/>
    </row>
    <row r="46" spans="1:17" x14ac:dyDescent="0.2">
      <c r="A46" s="6" t="b">
        <v>1</v>
      </c>
      <c r="B46" s="6" t="s">
        <v>192</v>
      </c>
      <c r="C46" s="6" t="s">
        <v>139</v>
      </c>
      <c r="D46" s="6" t="s">
        <v>455</v>
      </c>
      <c r="E46" s="6" t="s">
        <v>1331</v>
      </c>
      <c r="F46" s="6" t="s">
        <v>1092</v>
      </c>
      <c r="G46" s="6" t="s">
        <v>1309</v>
      </c>
      <c r="H46" s="6"/>
      <c r="I46" s="6"/>
      <c r="J46" s="6"/>
      <c r="K46" s="6" t="s">
        <v>497</v>
      </c>
      <c r="L46" s="6" t="s">
        <v>1156</v>
      </c>
      <c r="M46" s="6" t="s">
        <v>1332</v>
      </c>
      <c r="N46" s="6" t="s">
        <v>1309</v>
      </c>
      <c r="O46" s="6" t="s">
        <v>497</v>
      </c>
      <c r="P46" s="6" t="s">
        <v>497</v>
      </c>
      <c r="Q46" s="6"/>
    </row>
    <row r="47" spans="1:17" x14ac:dyDescent="0.2">
      <c r="A47" s="6" t="b">
        <v>1</v>
      </c>
      <c r="B47" s="6" t="s">
        <v>192</v>
      </c>
      <c r="C47" s="6" t="s">
        <v>139</v>
      </c>
      <c r="D47" s="6" t="s">
        <v>456</v>
      </c>
      <c r="E47" s="6" t="s">
        <v>1331</v>
      </c>
      <c r="F47" s="6" t="s">
        <v>1092</v>
      </c>
      <c r="G47" s="6" t="s">
        <v>1310</v>
      </c>
      <c r="H47" s="6"/>
      <c r="I47" s="6"/>
      <c r="J47" s="6"/>
      <c r="K47" s="6" t="s">
        <v>497</v>
      </c>
      <c r="L47" s="6" t="s">
        <v>1156</v>
      </c>
      <c r="M47" s="6" t="s">
        <v>1332</v>
      </c>
      <c r="N47" s="6" t="s">
        <v>1310</v>
      </c>
      <c r="O47" s="6" t="s">
        <v>497</v>
      </c>
      <c r="P47" s="6" t="s">
        <v>497</v>
      </c>
      <c r="Q47" s="6"/>
    </row>
    <row r="48" spans="1:17" x14ac:dyDescent="0.2">
      <c r="A48" s="6" t="b">
        <v>1</v>
      </c>
      <c r="B48" s="6" t="s">
        <v>192</v>
      </c>
      <c r="C48" s="6" t="s">
        <v>139</v>
      </c>
      <c r="D48" s="6" t="s">
        <v>457</v>
      </c>
      <c r="E48" s="6" t="s">
        <v>1331</v>
      </c>
      <c r="F48" s="6" t="s">
        <v>1092</v>
      </c>
      <c r="G48" s="6" t="s">
        <v>1329</v>
      </c>
      <c r="H48" s="6"/>
      <c r="I48" s="6"/>
      <c r="J48" s="6"/>
      <c r="K48" s="6" t="s">
        <v>497</v>
      </c>
      <c r="L48" s="6" t="s">
        <v>1156</v>
      </c>
      <c r="M48" s="6" t="s">
        <v>1332</v>
      </c>
      <c r="N48" s="6" t="s">
        <v>1329</v>
      </c>
      <c r="O48" s="6" t="s">
        <v>497</v>
      </c>
      <c r="P48" s="6" t="s">
        <v>497</v>
      </c>
      <c r="Q48" s="6"/>
    </row>
    <row r="49" spans="1:17" x14ac:dyDescent="0.2">
      <c r="A49" s="6" t="b">
        <v>1</v>
      </c>
      <c r="B49" s="6" t="s">
        <v>192</v>
      </c>
      <c r="C49" s="6" t="s">
        <v>139</v>
      </c>
      <c r="D49" s="6" t="s">
        <v>458</v>
      </c>
      <c r="E49" s="6" t="s">
        <v>1331</v>
      </c>
      <c r="F49" s="6" t="s">
        <v>1092</v>
      </c>
      <c r="G49" s="6" t="s">
        <v>1330</v>
      </c>
      <c r="H49" s="6"/>
      <c r="I49" s="6"/>
      <c r="J49" s="6"/>
      <c r="K49" s="6" t="s">
        <v>497</v>
      </c>
      <c r="L49" s="6" t="s">
        <v>1156</v>
      </c>
      <c r="M49" s="6" t="s">
        <v>1332</v>
      </c>
      <c r="N49" s="6" t="s">
        <v>1330</v>
      </c>
      <c r="O49" s="6" t="s">
        <v>497</v>
      </c>
      <c r="P49" s="6" t="s">
        <v>497</v>
      </c>
      <c r="Q49" s="6"/>
    </row>
    <row r="50" spans="1:17" x14ac:dyDescent="0.2">
      <c r="A50" s="6" t="b">
        <v>1</v>
      </c>
      <c r="B50" s="6" t="s">
        <v>192</v>
      </c>
      <c r="C50" s="6" t="s">
        <v>139</v>
      </c>
      <c r="D50" s="6" t="s">
        <v>459</v>
      </c>
      <c r="E50" s="6" t="s">
        <v>1331</v>
      </c>
      <c r="F50" s="6" t="s">
        <v>1092</v>
      </c>
      <c r="G50" s="6" t="s">
        <v>1311</v>
      </c>
      <c r="H50" s="6"/>
      <c r="I50" s="6"/>
      <c r="J50" s="6"/>
      <c r="K50" s="6" t="s">
        <v>497</v>
      </c>
      <c r="L50" s="6" t="s">
        <v>1156</v>
      </c>
      <c r="M50" s="6" t="s">
        <v>1332</v>
      </c>
      <c r="N50" s="6" t="s">
        <v>1311</v>
      </c>
      <c r="O50" s="6" t="s">
        <v>497</v>
      </c>
      <c r="P50" s="6" t="s">
        <v>497</v>
      </c>
      <c r="Q50" s="6"/>
    </row>
    <row r="51" spans="1:17" x14ac:dyDescent="0.2">
      <c r="A51" s="6" t="b">
        <v>1</v>
      </c>
      <c r="B51" s="6" t="s">
        <v>192</v>
      </c>
      <c r="C51" s="6" t="s">
        <v>139</v>
      </c>
      <c r="D51" s="6" t="s">
        <v>460</v>
      </c>
      <c r="E51" s="6" t="s">
        <v>1331</v>
      </c>
      <c r="F51" s="6" t="s">
        <v>1092</v>
      </c>
      <c r="G51" s="6" t="s">
        <v>1312</v>
      </c>
      <c r="H51" s="6"/>
      <c r="I51" s="6"/>
      <c r="J51" s="6"/>
      <c r="K51" s="6" t="s">
        <v>497</v>
      </c>
      <c r="L51" s="6" t="s">
        <v>1156</v>
      </c>
      <c r="M51" s="6" t="s">
        <v>1332</v>
      </c>
      <c r="N51" s="6" t="s">
        <v>1312</v>
      </c>
      <c r="O51" s="6" t="s">
        <v>497</v>
      </c>
      <c r="P51" s="6" t="s">
        <v>497</v>
      </c>
      <c r="Q51" s="6"/>
    </row>
    <row r="52" spans="1:17" x14ac:dyDescent="0.2">
      <c r="A52" s="6" t="b">
        <v>1</v>
      </c>
      <c r="B52" s="6" t="s">
        <v>192</v>
      </c>
      <c r="C52" s="6" t="s">
        <v>139</v>
      </c>
      <c r="D52" s="6" t="s">
        <v>461</v>
      </c>
      <c r="E52" s="6" t="s">
        <v>1331</v>
      </c>
      <c r="F52" s="6" t="s">
        <v>1092</v>
      </c>
      <c r="G52" s="6" t="s">
        <v>1313</v>
      </c>
      <c r="H52" s="6"/>
      <c r="I52" s="6"/>
      <c r="J52" s="6"/>
      <c r="K52" s="6" t="s">
        <v>497</v>
      </c>
      <c r="L52" s="6" t="s">
        <v>1156</v>
      </c>
      <c r="M52" s="6" t="s">
        <v>1332</v>
      </c>
      <c r="N52" s="6" t="s">
        <v>1313</v>
      </c>
      <c r="O52" s="6" t="s">
        <v>497</v>
      </c>
      <c r="P52" s="6" t="s">
        <v>497</v>
      </c>
      <c r="Q52" s="6"/>
    </row>
    <row r="53" spans="1:17" x14ac:dyDescent="0.2">
      <c r="A53" s="6" t="b">
        <v>1</v>
      </c>
      <c r="B53" s="6" t="s">
        <v>192</v>
      </c>
      <c r="C53" s="6" t="s">
        <v>139</v>
      </c>
      <c r="D53" s="6" t="s">
        <v>462</v>
      </c>
      <c r="E53" s="6" t="s">
        <v>1331</v>
      </c>
      <c r="F53" s="6" t="s">
        <v>1092</v>
      </c>
      <c r="G53" s="6" t="s">
        <v>1314</v>
      </c>
      <c r="H53" s="6"/>
      <c r="I53" s="6"/>
      <c r="J53" s="6"/>
      <c r="K53" s="6" t="s">
        <v>497</v>
      </c>
      <c r="L53" s="6" t="s">
        <v>1156</v>
      </c>
      <c r="M53" s="6" t="s">
        <v>1332</v>
      </c>
      <c r="N53" s="6" t="s">
        <v>1314</v>
      </c>
      <c r="O53" s="6" t="s">
        <v>497</v>
      </c>
      <c r="P53" s="6" t="s">
        <v>497</v>
      </c>
      <c r="Q53" s="6"/>
    </row>
    <row r="54" spans="1:17" x14ac:dyDescent="0.2">
      <c r="A54" s="6" t="b">
        <v>1</v>
      </c>
      <c r="B54" s="6" t="s">
        <v>192</v>
      </c>
      <c r="C54" s="6" t="s">
        <v>139</v>
      </c>
      <c r="D54" s="6" t="s">
        <v>463</v>
      </c>
      <c r="E54" s="6" t="s">
        <v>1331</v>
      </c>
      <c r="F54" s="6" t="s">
        <v>1092</v>
      </c>
      <c r="G54" s="6" t="s">
        <v>1315</v>
      </c>
      <c r="H54" s="6"/>
      <c r="I54" s="6"/>
      <c r="J54" s="6"/>
      <c r="K54" s="6" t="s">
        <v>497</v>
      </c>
      <c r="L54" s="6" t="s">
        <v>1156</v>
      </c>
      <c r="M54" s="6" t="s">
        <v>1332</v>
      </c>
      <c r="N54" s="6" t="s">
        <v>1315</v>
      </c>
      <c r="O54" s="6" t="s">
        <v>497</v>
      </c>
      <c r="P54" s="6" t="s">
        <v>497</v>
      </c>
      <c r="Q54" s="6"/>
    </row>
    <row r="55" spans="1:17" x14ac:dyDescent="0.2">
      <c r="A55" s="6" t="b">
        <v>1</v>
      </c>
      <c r="B55" s="6" t="s">
        <v>192</v>
      </c>
      <c r="C55" s="6" t="s">
        <v>139</v>
      </c>
      <c r="D55" s="6" t="s">
        <v>464</v>
      </c>
      <c r="E55" s="6" t="s">
        <v>1331</v>
      </c>
      <c r="F55" s="6" t="s">
        <v>1092</v>
      </c>
      <c r="G55" s="6" t="s">
        <v>1316</v>
      </c>
      <c r="H55" s="6"/>
      <c r="I55" s="6"/>
      <c r="J55" s="6"/>
      <c r="K55" s="6" t="s">
        <v>497</v>
      </c>
      <c r="L55" s="6" t="s">
        <v>1156</v>
      </c>
      <c r="M55" s="6" t="s">
        <v>1332</v>
      </c>
      <c r="N55" s="6" t="s">
        <v>1316</v>
      </c>
      <c r="O55" s="6" t="s">
        <v>497</v>
      </c>
      <c r="P55" s="6" t="s">
        <v>497</v>
      </c>
      <c r="Q55" s="6"/>
    </row>
    <row r="56" spans="1:17" x14ac:dyDescent="0.2">
      <c r="A56" s="6" t="b">
        <v>1</v>
      </c>
      <c r="B56" s="6" t="s">
        <v>192</v>
      </c>
      <c r="C56" s="6" t="s">
        <v>139</v>
      </c>
      <c r="D56" s="6" t="s">
        <v>465</v>
      </c>
      <c r="E56" s="6" t="s">
        <v>1331</v>
      </c>
      <c r="F56" s="6" t="s">
        <v>1092</v>
      </c>
      <c r="G56" s="6" t="s">
        <v>1317</v>
      </c>
      <c r="H56" s="6"/>
      <c r="I56" s="6"/>
      <c r="J56" s="6"/>
      <c r="K56" s="6" t="s">
        <v>497</v>
      </c>
      <c r="L56" s="6" t="s">
        <v>1156</v>
      </c>
      <c r="M56" s="6" t="s">
        <v>1332</v>
      </c>
      <c r="N56" s="6" t="s">
        <v>1317</v>
      </c>
      <c r="O56" s="6" t="s">
        <v>497</v>
      </c>
      <c r="P56" s="6" t="s">
        <v>497</v>
      </c>
      <c r="Q56" s="6"/>
    </row>
    <row r="57" spans="1:17" x14ac:dyDescent="0.2">
      <c r="A57" s="6" t="b">
        <v>1</v>
      </c>
      <c r="B57" s="6" t="s">
        <v>192</v>
      </c>
      <c r="C57" s="6" t="s">
        <v>139</v>
      </c>
      <c r="D57" s="6" t="s">
        <v>466</v>
      </c>
      <c r="E57" s="6" t="s">
        <v>1331</v>
      </c>
      <c r="F57" s="6" t="s">
        <v>1092</v>
      </c>
      <c r="G57" s="6" t="s">
        <v>1318</v>
      </c>
      <c r="H57" s="6"/>
      <c r="I57" s="6"/>
      <c r="J57" s="6"/>
      <c r="K57" s="6" t="s">
        <v>497</v>
      </c>
      <c r="L57" s="6" t="s">
        <v>1156</v>
      </c>
      <c r="M57" s="6" t="s">
        <v>1332</v>
      </c>
      <c r="N57" s="6" t="s">
        <v>1318</v>
      </c>
      <c r="O57" s="6" t="s">
        <v>497</v>
      </c>
      <c r="P57" s="6" t="s">
        <v>497</v>
      </c>
      <c r="Q57" s="6"/>
    </row>
    <row r="58" spans="1:17" x14ac:dyDescent="0.2">
      <c r="A58" s="6" t="b">
        <v>1</v>
      </c>
      <c r="B58" s="6" t="s">
        <v>192</v>
      </c>
      <c r="C58" s="6" t="s">
        <v>139</v>
      </c>
      <c r="D58" s="6" t="s">
        <v>467</v>
      </c>
      <c r="E58" s="6" t="s">
        <v>1331</v>
      </c>
      <c r="F58" s="6" t="s">
        <v>1092</v>
      </c>
      <c r="G58" s="6" t="s">
        <v>1319</v>
      </c>
      <c r="H58" s="6"/>
      <c r="I58" s="6"/>
      <c r="J58" s="6"/>
      <c r="K58" s="6" t="s">
        <v>497</v>
      </c>
      <c r="L58" s="6" t="s">
        <v>1156</v>
      </c>
      <c r="M58" s="6" t="s">
        <v>1332</v>
      </c>
      <c r="N58" s="6" t="s">
        <v>1319</v>
      </c>
      <c r="O58" s="6" t="s">
        <v>497</v>
      </c>
      <c r="P58" s="6" t="s">
        <v>497</v>
      </c>
      <c r="Q58" s="6"/>
    </row>
    <row r="59" spans="1:17" x14ac:dyDescent="0.2">
      <c r="A59" s="6" t="b">
        <v>1</v>
      </c>
      <c r="B59" s="6" t="s">
        <v>192</v>
      </c>
      <c r="C59" s="6" t="s">
        <v>139</v>
      </c>
      <c r="D59" s="6" t="s">
        <v>468</v>
      </c>
      <c r="E59" s="6" t="s">
        <v>1331</v>
      </c>
      <c r="F59" s="6" t="s">
        <v>1092</v>
      </c>
      <c r="G59" s="6" t="s">
        <v>1320</v>
      </c>
      <c r="H59" s="6"/>
      <c r="I59" s="6"/>
      <c r="J59" s="6"/>
      <c r="K59" s="6" t="s">
        <v>497</v>
      </c>
      <c r="L59" s="6" t="s">
        <v>1156</v>
      </c>
      <c r="M59" s="6" t="s">
        <v>1332</v>
      </c>
      <c r="N59" s="6" t="s">
        <v>1320</v>
      </c>
      <c r="O59" s="6" t="s">
        <v>497</v>
      </c>
      <c r="P59" s="6" t="s">
        <v>497</v>
      </c>
      <c r="Q59" s="6"/>
    </row>
    <row r="60" spans="1:17" x14ac:dyDescent="0.2">
      <c r="A60" s="6" t="b">
        <v>1</v>
      </c>
      <c r="B60" s="6" t="s">
        <v>192</v>
      </c>
      <c r="C60" s="6" t="s">
        <v>139</v>
      </c>
      <c r="D60" s="6" t="s">
        <v>469</v>
      </c>
      <c r="E60" s="6" t="s">
        <v>1331</v>
      </c>
      <c r="F60" s="6" t="s">
        <v>1092</v>
      </c>
      <c r="G60" s="6" t="s">
        <v>1321</v>
      </c>
      <c r="H60" s="6"/>
      <c r="I60" s="6"/>
      <c r="J60" s="6"/>
      <c r="K60" s="6" t="s">
        <v>497</v>
      </c>
      <c r="L60" s="6" t="s">
        <v>1156</v>
      </c>
      <c r="M60" s="6" t="s">
        <v>1332</v>
      </c>
      <c r="N60" s="6" t="s">
        <v>1321</v>
      </c>
      <c r="O60" s="6" t="s">
        <v>497</v>
      </c>
      <c r="P60" s="6" t="s">
        <v>497</v>
      </c>
      <c r="Q60" s="6"/>
    </row>
    <row r="61" spans="1:17" x14ac:dyDescent="0.2">
      <c r="A61" s="6" t="b">
        <v>1</v>
      </c>
      <c r="B61" s="6" t="s">
        <v>192</v>
      </c>
      <c r="C61" s="6" t="s">
        <v>139</v>
      </c>
      <c r="D61" s="6" t="s">
        <v>470</v>
      </c>
      <c r="E61" s="6" t="s">
        <v>1331</v>
      </c>
      <c r="F61" s="6" t="s">
        <v>1092</v>
      </c>
      <c r="G61" s="6" t="s">
        <v>1322</v>
      </c>
      <c r="H61" s="6"/>
      <c r="I61" s="6"/>
      <c r="J61" s="6"/>
      <c r="K61" s="6" t="s">
        <v>497</v>
      </c>
      <c r="L61" s="6" t="s">
        <v>1156</v>
      </c>
      <c r="M61" s="6" t="s">
        <v>1332</v>
      </c>
      <c r="N61" s="6" t="s">
        <v>1322</v>
      </c>
      <c r="O61" s="6" t="s">
        <v>497</v>
      </c>
      <c r="P61" s="6" t="s">
        <v>497</v>
      </c>
      <c r="Q61" s="6"/>
    </row>
    <row r="62" spans="1:17" x14ac:dyDescent="0.2">
      <c r="A62" s="6" t="b">
        <v>1</v>
      </c>
      <c r="B62" s="6" t="s">
        <v>192</v>
      </c>
      <c r="C62" s="6" t="s">
        <v>139</v>
      </c>
      <c r="D62" s="6" t="s">
        <v>471</v>
      </c>
      <c r="E62" s="6" t="s">
        <v>1331</v>
      </c>
      <c r="F62" s="6" t="s">
        <v>1092</v>
      </c>
      <c r="G62" s="6" t="s">
        <v>1323</v>
      </c>
      <c r="H62" s="6"/>
      <c r="I62" s="6"/>
      <c r="J62" s="6"/>
      <c r="K62" s="6" t="s">
        <v>497</v>
      </c>
      <c r="L62" s="6" t="s">
        <v>1156</v>
      </c>
      <c r="M62" s="6" t="s">
        <v>1332</v>
      </c>
      <c r="N62" s="6" t="s">
        <v>1323</v>
      </c>
      <c r="O62" s="6" t="s">
        <v>497</v>
      </c>
      <c r="P62" s="6" t="s">
        <v>497</v>
      </c>
      <c r="Q62" s="6"/>
    </row>
    <row r="63" spans="1:17" x14ac:dyDescent="0.2">
      <c r="A63" s="6" t="b">
        <v>1</v>
      </c>
      <c r="B63" s="6" t="s">
        <v>192</v>
      </c>
      <c r="C63" s="6" t="s">
        <v>139</v>
      </c>
      <c r="D63" s="6" t="s">
        <v>472</v>
      </c>
      <c r="E63" s="6" t="s">
        <v>1331</v>
      </c>
      <c r="F63" s="6" t="s">
        <v>1092</v>
      </c>
      <c r="G63" s="6" t="s">
        <v>1324</v>
      </c>
      <c r="H63" s="6"/>
      <c r="I63" s="6"/>
      <c r="J63" s="6"/>
      <c r="K63" s="6" t="s">
        <v>497</v>
      </c>
      <c r="L63" s="6" t="s">
        <v>1156</v>
      </c>
      <c r="M63" s="6" t="s">
        <v>1332</v>
      </c>
      <c r="N63" s="6" t="s">
        <v>1324</v>
      </c>
      <c r="O63" s="6" t="s">
        <v>497</v>
      </c>
      <c r="P63" s="6" t="s">
        <v>497</v>
      </c>
      <c r="Q63" s="6"/>
    </row>
    <row r="64" spans="1:17" x14ac:dyDescent="0.2">
      <c r="A64" s="6" t="b">
        <v>1</v>
      </c>
      <c r="B64" s="6" t="s">
        <v>192</v>
      </c>
      <c r="C64" s="6" t="s">
        <v>139</v>
      </c>
      <c r="D64" s="6" t="s">
        <v>473</v>
      </c>
      <c r="E64" s="6" t="s">
        <v>1331</v>
      </c>
      <c r="F64" s="6" t="s">
        <v>1092</v>
      </c>
      <c r="G64" s="6" t="s">
        <v>1325</v>
      </c>
      <c r="H64" s="6"/>
      <c r="I64" s="6"/>
      <c r="J64" s="6"/>
      <c r="K64" s="6" t="s">
        <v>497</v>
      </c>
      <c r="L64" s="6" t="s">
        <v>1156</v>
      </c>
      <c r="M64" s="6" t="s">
        <v>1332</v>
      </c>
      <c r="N64" s="6" t="s">
        <v>1325</v>
      </c>
      <c r="O64" s="6" t="s">
        <v>497</v>
      </c>
      <c r="P64" s="6" t="s">
        <v>497</v>
      </c>
      <c r="Q64" s="6"/>
    </row>
    <row r="65" spans="1:17" x14ac:dyDescent="0.2">
      <c r="A65" s="6" t="b">
        <v>1</v>
      </c>
      <c r="B65" s="6" t="s">
        <v>192</v>
      </c>
      <c r="C65" s="6" t="s">
        <v>139</v>
      </c>
      <c r="D65" s="6" t="s">
        <v>474</v>
      </c>
      <c r="E65" s="6" t="s">
        <v>1331</v>
      </c>
      <c r="F65" s="6" t="s">
        <v>1092</v>
      </c>
      <c r="G65" s="6" t="s">
        <v>1326</v>
      </c>
      <c r="H65" s="6"/>
      <c r="I65" s="6"/>
      <c r="J65" s="6"/>
      <c r="K65" s="6" t="s">
        <v>497</v>
      </c>
      <c r="L65" s="6" t="s">
        <v>1156</v>
      </c>
      <c r="M65" s="6" t="s">
        <v>1332</v>
      </c>
      <c r="N65" s="6" t="s">
        <v>1326</v>
      </c>
      <c r="O65" s="6" t="s">
        <v>497</v>
      </c>
      <c r="P65" s="6" t="s">
        <v>497</v>
      </c>
      <c r="Q65" s="6"/>
    </row>
    <row r="66" spans="1:17" x14ac:dyDescent="0.2">
      <c r="A66" s="6" t="b">
        <v>1</v>
      </c>
      <c r="B66" s="6" t="s">
        <v>192</v>
      </c>
      <c r="C66" s="6" t="s">
        <v>139</v>
      </c>
      <c r="D66" s="6" t="s">
        <v>475</v>
      </c>
      <c r="E66" s="6" t="s">
        <v>1331</v>
      </c>
      <c r="F66" s="6" t="s">
        <v>1092</v>
      </c>
      <c r="G66" s="6" t="s">
        <v>1327</v>
      </c>
      <c r="H66" s="6"/>
      <c r="I66" s="6"/>
      <c r="J66" s="6"/>
      <c r="K66" s="6" t="s">
        <v>497</v>
      </c>
      <c r="L66" s="6" t="s">
        <v>1156</v>
      </c>
      <c r="M66" s="6" t="s">
        <v>1332</v>
      </c>
      <c r="N66" s="6" t="s">
        <v>1327</v>
      </c>
      <c r="O66" s="6" t="s">
        <v>497</v>
      </c>
      <c r="P66" s="6" t="s">
        <v>497</v>
      </c>
      <c r="Q66" s="6"/>
    </row>
    <row r="67" spans="1:17" x14ac:dyDescent="0.2">
      <c r="A67" s="6" t="b">
        <v>1</v>
      </c>
      <c r="B67" s="6" t="s">
        <v>192</v>
      </c>
      <c r="C67" s="6" t="s">
        <v>139</v>
      </c>
      <c r="D67" s="6" t="s">
        <v>476</v>
      </c>
      <c r="E67" s="6" t="s">
        <v>1331</v>
      </c>
      <c r="F67" s="6" t="s">
        <v>1092</v>
      </c>
      <c r="G67" s="6" t="s">
        <v>1328</v>
      </c>
      <c r="H67" s="6"/>
      <c r="I67" s="6"/>
      <c r="J67" s="6"/>
      <c r="K67" s="6" t="s">
        <v>497</v>
      </c>
      <c r="L67" s="6" t="s">
        <v>1156</v>
      </c>
      <c r="M67" s="6" t="s">
        <v>1332</v>
      </c>
      <c r="N67" s="6" t="s">
        <v>1328</v>
      </c>
      <c r="O67" s="6" t="s">
        <v>497</v>
      </c>
      <c r="P67" s="6" t="s">
        <v>497</v>
      </c>
      <c r="Q67" s="6"/>
    </row>
    <row r="68" spans="1:17" x14ac:dyDescent="0.2">
      <c r="A68" s="6" t="b">
        <v>1</v>
      </c>
      <c r="B68" s="6" t="s">
        <v>192</v>
      </c>
      <c r="C68" s="6" t="s">
        <v>12</v>
      </c>
      <c r="D68" s="6" t="s">
        <v>497</v>
      </c>
      <c r="E68" s="6" t="s">
        <v>1013</v>
      </c>
      <c r="F68" s="6"/>
      <c r="G68" s="6"/>
      <c r="H68" s="6"/>
      <c r="I68" s="6"/>
      <c r="J68" s="6"/>
      <c r="K68" s="6" t="s">
        <v>1105</v>
      </c>
      <c r="L68" s="6" t="s">
        <v>1444</v>
      </c>
      <c r="M68" s="6"/>
      <c r="N68" s="6" t="s">
        <v>1448</v>
      </c>
      <c r="O68" s="6" t="s">
        <v>1115</v>
      </c>
      <c r="P68" s="6" t="s">
        <v>1111</v>
      </c>
      <c r="Q68" s="6"/>
    </row>
    <row r="69" spans="1:17" x14ac:dyDescent="0.2">
      <c r="A69" s="6" t="b">
        <v>1</v>
      </c>
      <c r="B69" s="6" t="s">
        <v>192</v>
      </c>
      <c r="C69" s="6" t="s">
        <v>20</v>
      </c>
      <c r="D69" s="6" t="s">
        <v>497</v>
      </c>
      <c r="E69" s="6" t="s">
        <v>1013</v>
      </c>
      <c r="F69" s="6"/>
      <c r="G69" s="6"/>
      <c r="H69" s="6"/>
      <c r="I69" s="6"/>
      <c r="J69" s="6"/>
      <c r="K69" s="6" t="s">
        <v>1105</v>
      </c>
      <c r="L69" s="6" t="s">
        <v>1445</v>
      </c>
      <c r="M69" s="6"/>
      <c r="N69" s="6" t="s">
        <v>1449</v>
      </c>
      <c r="O69" s="6" t="s">
        <v>1115</v>
      </c>
      <c r="P69" s="6" t="s">
        <v>1111</v>
      </c>
      <c r="Q69" s="6"/>
    </row>
    <row r="70" spans="1:17" x14ac:dyDescent="0.2">
      <c r="A70" s="6" t="b">
        <v>1</v>
      </c>
      <c r="B70" s="6" t="s">
        <v>192</v>
      </c>
      <c r="C70" s="6" t="s">
        <v>22</v>
      </c>
      <c r="D70" s="6" t="s">
        <v>497</v>
      </c>
      <c r="E70" s="6" t="s">
        <v>1013</v>
      </c>
      <c r="F70" s="6"/>
      <c r="G70" s="6"/>
      <c r="H70" s="6"/>
      <c r="I70" s="6"/>
      <c r="J70" s="6"/>
      <c r="K70" s="6" t="s">
        <v>1105</v>
      </c>
      <c r="L70" s="6" t="s">
        <v>1446</v>
      </c>
      <c r="M70" s="6"/>
      <c r="N70" s="6" t="s">
        <v>1450</v>
      </c>
      <c r="O70" s="6" t="s">
        <v>1048</v>
      </c>
      <c r="P70" s="6" t="s">
        <v>1111</v>
      </c>
      <c r="Q70" s="6"/>
    </row>
    <row r="71" spans="1:17" x14ac:dyDescent="0.2">
      <c r="A71" s="6" t="b">
        <v>1</v>
      </c>
      <c r="B71" s="6" t="s">
        <v>192</v>
      </c>
      <c r="C71" s="6" t="s">
        <v>23</v>
      </c>
      <c r="D71" s="6" t="s">
        <v>497</v>
      </c>
      <c r="E71" s="6" t="s">
        <v>1013</v>
      </c>
      <c r="F71" s="6"/>
      <c r="G71" s="6"/>
      <c r="H71" s="6"/>
      <c r="I71" s="6"/>
      <c r="J71" s="6"/>
      <c r="K71" s="6" t="s">
        <v>1105</v>
      </c>
      <c r="L71" s="6" t="s">
        <v>1447</v>
      </c>
      <c r="M71" s="6"/>
      <c r="N71" s="6" t="s">
        <v>1451</v>
      </c>
      <c r="O71" s="6" t="s">
        <v>1115</v>
      </c>
      <c r="P71" s="6" t="s">
        <v>1111</v>
      </c>
      <c r="Q71" s="6"/>
    </row>
    <row r="72" spans="1:17" x14ac:dyDescent="0.2">
      <c r="A72" s="6" t="b">
        <v>1</v>
      </c>
      <c r="B72" s="6" t="s">
        <v>192</v>
      </c>
      <c r="C72" s="6" t="s">
        <v>55</v>
      </c>
      <c r="D72" s="6" t="s">
        <v>497</v>
      </c>
      <c r="E72" s="6" t="s">
        <v>1013</v>
      </c>
      <c r="F72" s="6"/>
      <c r="G72" s="6"/>
      <c r="H72" s="6"/>
      <c r="I72" s="6"/>
      <c r="J72" s="6"/>
      <c r="K72" s="6" t="s">
        <v>1105</v>
      </c>
      <c r="L72" s="6" t="s">
        <v>1436</v>
      </c>
      <c r="M72" s="6"/>
      <c r="N72" s="6" t="s">
        <v>1452</v>
      </c>
      <c r="O72" s="6" t="s">
        <v>1461</v>
      </c>
      <c r="P72" s="6" t="s">
        <v>1111</v>
      </c>
      <c r="Q72" s="6"/>
    </row>
    <row r="73" spans="1:17" x14ac:dyDescent="0.2">
      <c r="A73" s="6" t="b">
        <v>1</v>
      </c>
      <c r="B73" s="6" t="s">
        <v>192</v>
      </c>
      <c r="C73" s="6" t="s">
        <v>58</v>
      </c>
      <c r="D73" s="6" t="s">
        <v>497</v>
      </c>
      <c r="E73" s="6" t="s">
        <v>1013</v>
      </c>
      <c r="F73" s="6"/>
      <c r="G73" s="6"/>
      <c r="H73" s="6"/>
      <c r="I73" s="6"/>
      <c r="J73" s="6"/>
      <c r="K73" s="6" t="s">
        <v>1105</v>
      </c>
      <c r="L73" s="6" t="s">
        <v>1462</v>
      </c>
      <c r="M73" s="6"/>
      <c r="N73" s="6" t="s">
        <v>1453</v>
      </c>
      <c r="O73" s="6" t="s">
        <v>1463</v>
      </c>
      <c r="P73" s="6" t="s">
        <v>1111</v>
      </c>
      <c r="Q73" s="6"/>
    </row>
    <row r="74" spans="1:17" x14ac:dyDescent="0.2">
      <c r="A74" s="6" t="b">
        <v>1</v>
      </c>
      <c r="B74" s="6" t="s">
        <v>192</v>
      </c>
      <c r="C74" s="6" t="s">
        <v>71</v>
      </c>
      <c r="D74" s="6" t="s">
        <v>497</v>
      </c>
      <c r="E74" s="6" t="s">
        <v>1013</v>
      </c>
      <c r="F74" s="6"/>
      <c r="G74" s="6"/>
      <c r="H74" s="6"/>
      <c r="I74" s="6"/>
      <c r="J74" s="6"/>
      <c r="K74" s="6" t="s">
        <v>1105</v>
      </c>
      <c r="L74" s="6" t="s">
        <v>1437</v>
      </c>
      <c r="M74" s="6"/>
      <c r="N74" s="6" t="s">
        <v>1454</v>
      </c>
      <c r="O74" s="6" t="s">
        <v>1464</v>
      </c>
      <c r="P74" s="6" t="s">
        <v>1111</v>
      </c>
      <c r="Q74" s="6"/>
    </row>
    <row r="75" spans="1:17" x14ac:dyDescent="0.2">
      <c r="A75" s="6" t="b">
        <v>1</v>
      </c>
      <c r="B75" s="6" t="s">
        <v>192</v>
      </c>
      <c r="C75" s="6" t="s">
        <v>72</v>
      </c>
      <c r="D75" s="6" t="s">
        <v>497</v>
      </c>
      <c r="E75" s="6" t="s">
        <v>1013</v>
      </c>
      <c r="F75" s="6"/>
      <c r="G75" s="6"/>
      <c r="H75" s="6"/>
      <c r="I75" s="6"/>
      <c r="J75" s="6"/>
      <c r="K75" s="6" t="s">
        <v>1105</v>
      </c>
      <c r="L75" s="6" t="s">
        <v>1438</v>
      </c>
      <c r="M75" s="6"/>
      <c r="N75" s="6" t="s">
        <v>1455</v>
      </c>
      <c r="O75" s="6" t="s">
        <v>1115</v>
      </c>
      <c r="P75" s="6" t="s">
        <v>1111</v>
      </c>
      <c r="Q75" s="6"/>
    </row>
    <row r="76" spans="1:17" x14ac:dyDescent="0.2">
      <c r="A76" s="6" t="b">
        <v>1</v>
      </c>
      <c r="B76" s="6" t="s">
        <v>192</v>
      </c>
      <c r="C76" s="6" t="s">
        <v>73</v>
      </c>
      <c r="D76" s="6" t="s">
        <v>497</v>
      </c>
      <c r="E76" s="6" t="s">
        <v>1013</v>
      </c>
      <c r="F76" s="6"/>
      <c r="G76" s="6"/>
      <c r="H76" s="6"/>
      <c r="I76" s="6"/>
      <c r="J76" s="6"/>
      <c r="K76" s="6" t="s">
        <v>1105</v>
      </c>
      <c r="L76" s="6" t="s">
        <v>1439</v>
      </c>
      <c r="M76" s="6"/>
      <c r="N76" s="6" t="s">
        <v>1456</v>
      </c>
      <c r="O76" s="6" t="s">
        <v>1115</v>
      </c>
      <c r="P76" s="6" t="s">
        <v>1111</v>
      </c>
      <c r="Q76" s="6"/>
    </row>
    <row r="77" spans="1:17" x14ac:dyDescent="0.2">
      <c r="A77" s="6" t="b">
        <v>1</v>
      </c>
      <c r="B77" s="6" t="s">
        <v>192</v>
      </c>
      <c r="C77" s="6" t="s">
        <v>74</v>
      </c>
      <c r="D77" s="6" t="s">
        <v>497</v>
      </c>
      <c r="E77" s="6" t="s">
        <v>1013</v>
      </c>
      <c r="F77" s="6"/>
      <c r="G77" s="6"/>
      <c r="H77" s="6"/>
      <c r="I77" s="6"/>
      <c r="J77" s="6"/>
      <c r="K77" s="6" t="s">
        <v>1105</v>
      </c>
      <c r="L77" s="6" t="s">
        <v>1440</v>
      </c>
      <c r="M77" s="6"/>
      <c r="N77" s="6" t="s">
        <v>1457</v>
      </c>
      <c r="O77" s="6" t="s">
        <v>1115</v>
      </c>
      <c r="P77" s="6" t="s">
        <v>1111</v>
      </c>
      <c r="Q77" s="6"/>
    </row>
    <row r="78" spans="1:17" x14ac:dyDescent="0.2">
      <c r="A78" s="6" t="b">
        <v>1</v>
      </c>
      <c r="B78" s="6" t="s">
        <v>192</v>
      </c>
      <c r="C78" s="6" t="s">
        <v>76</v>
      </c>
      <c r="D78" s="6" t="s">
        <v>497</v>
      </c>
      <c r="E78" s="6" t="s">
        <v>1013</v>
      </c>
      <c r="F78" s="6"/>
      <c r="G78" s="6"/>
      <c r="H78" s="6"/>
      <c r="I78" s="6"/>
      <c r="J78" s="6"/>
      <c r="K78" s="6" t="s">
        <v>1105</v>
      </c>
      <c r="L78" s="6" t="s">
        <v>1441</v>
      </c>
      <c r="M78" s="6"/>
      <c r="N78" s="6" t="s">
        <v>1458</v>
      </c>
      <c r="O78" s="6" t="s">
        <v>1048</v>
      </c>
      <c r="P78" s="6" t="s">
        <v>1111</v>
      </c>
      <c r="Q78" s="6"/>
    </row>
    <row r="79" spans="1:17" x14ac:dyDescent="0.2">
      <c r="A79" s="6" t="b">
        <v>1</v>
      </c>
      <c r="B79" s="6" t="s">
        <v>192</v>
      </c>
      <c r="C79" s="6" t="s">
        <v>77</v>
      </c>
      <c r="D79" s="6" t="s">
        <v>497</v>
      </c>
      <c r="E79" s="6" t="s">
        <v>1013</v>
      </c>
      <c r="F79" s="6"/>
      <c r="G79" s="6"/>
      <c r="H79" s="6"/>
      <c r="I79" s="6"/>
      <c r="J79" s="6"/>
      <c r="K79" s="6" t="s">
        <v>1105</v>
      </c>
      <c r="L79" s="6" t="s">
        <v>1442</v>
      </c>
      <c r="M79" s="6"/>
      <c r="N79" s="6" t="s">
        <v>1459</v>
      </c>
      <c r="O79" s="6" t="s">
        <v>1048</v>
      </c>
      <c r="P79" s="6" t="s">
        <v>1111</v>
      </c>
      <c r="Q79" s="6"/>
    </row>
    <row r="80" spans="1:17" x14ac:dyDescent="0.2">
      <c r="A80" s="6" t="b">
        <v>1</v>
      </c>
      <c r="B80" s="6" t="s">
        <v>192</v>
      </c>
      <c r="C80" s="6" t="s">
        <v>99</v>
      </c>
      <c r="D80" s="6" t="s">
        <v>497</v>
      </c>
      <c r="E80" s="6" t="s">
        <v>1013</v>
      </c>
      <c r="F80" s="6"/>
      <c r="G80" s="6"/>
      <c r="H80" s="6"/>
      <c r="I80" s="6"/>
      <c r="J80" s="6"/>
      <c r="K80" s="6" t="s">
        <v>1105</v>
      </c>
      <c r="L80" s="6" t="s">
        <v>1443</v>
      </c>
      <c r="M80" s="6"/>
      <c r="N80" s="6" t="s">
        <v>1460</v>
      </c>
      <c r="O80" s="6" t="s">
        <v>1115</v>
      </c>
      <c r="P80" s="6" t="s">
        <v>1111</v>
      </c>
      <c r="Q80" s="6"/>
    </row>
    <row r="81" spans="1:17" x14ac:dyDescent="0.2">
      <c r="A81" s="6" t="b">
        <v>1</v>
      </c>
      <c r="B81" s="6" t="s">
        <v>192</v>
      </c>
      <c r="C81" s="6" t="s">
        <v>111</v>
      </c>
      <c r="D81" s="6" t="s">
        <v>497</v>
      </c>
      <c r="E81" s="6" t="s">
        <v>1013</v>
      </c>
      <c r="F81" s="6"/>
      <c r="G81" s="6"/>
      <c r="H81" s="6"/>
      <c r="I81" s="6"/>
      <c r="J81" s="6"/>
      <c r="K81" s="6" t="s">
        <v>1105</v>
      </c>
      <c r="L81" s="6" t="s">
        <v>1527</v>
      </c>
      <c r="M81" s="6"/>
      <c r="N81" s="6" t="s">
        <v>1466</v>
      </c>
      <c r="O81" s="6" t="s">
        <v>1748</v>
      </c>
      <c r="P81" s="6" t="s">
        <v>1111</v>
      </c>
      <c r="Q81" s="5" t="s">
        <v>1750</v>
      </c>
    </row>
    <row r="82" spans="1:17" x14ac:dyDescent="0.2">
      <c r="A82" s="6" t="b">
        <v>1</v>
      </c>
      <c r="B82" s="6" t="s">
        <v>192</v>
      </c>
      <c r="C82" s="6" t="s">
        <v>112</v>
      </c>
      <c r="D82" s="6" t="s">
        <v>497</v>
      </c>
      <c r="E82" s="6" t="s">
        <v>1013</v>
      </c>
      <c r="F82" s="6"/>
      <c r="G82" s="6"/>
      <c r="H82" s="6"/>
      <c r="I82" s="6"/>
      <c r="J82" s="6"/>
      <c r="K82" s="6" t="s">
        <v>1105</v>
      </c>
      <c r="L82" s="6" t="s">
        <v>1527</v>
      </c>
      <c r="M82" s="6"/>
      <c r="N82" s="6" t="s">
        <v>1467</v>
      </c>
      <c r="O82" s="6" t="s">
        <v>1749</v>
      </c>
      <c r="P82" s="6" t="s">
        <v>1111</v>
      </c>
      <c r="Q82" s="5" t="s">
        <v>1750</v>
      </c>
    </row>
    <row r="83" spans="1:17" x14ac:dyDescent="0.2">
      <c r="A83" s="6" t="b">
        <v>1</v>
      </c>
      <c r="B83" s="6" t="s">
        <v>192</v>
      </c>
      <c r="C83" s="6" t="s">
        <v>154</v>
      </c>
      <c r="D83" s="6" t="s">
        <v>497</v>
      </c>
      <c r="E83" s="6" t="s">
        <v>1013</v>
      </c>
      <c r="F83" s="6"/>
      <c r="G83" s="6"/>
      <c r="H83" s="6"/>
      <c r="I83" s="6"/>
      <c r="J83" s="6"/>
      <c r="K83" s="6" t="s">
        <v>1105</v>
      </c>
      <c r="L83" s="6" t="s">
        <v>1474</v>
      </c>
      <c r="M83" s="6"/>
      <c r="N83" s="6" t="s">
        <v>1751</v>
      </c>
      <c r="O83" s="6" t="s">
        <v>1475</v>
      </c>
      <c r="P83" s="6" t="s">
        <v>1111</v>
      </c>
      <c r="Q83" s="6"/>
    </row>
    <row r="84" spans="1:17" x14ac:dyDescent="0.2">
      <c r="A84" s="6" t="b">
        <v>1</v>
      </c>
      <c r="B84" s="6" t="s">
        <v>192</v>
      </c>
      <c r="C84" s="6" t="s">
        <v>160</v>
      </c>
      <c r="D84" s="6" t="s">
        <v>497</v>
      </c>
      <c r="E84" s="6" t="s">
        <v>1013</v>
      </c>
      <c r="F84" s="6"/>
      <c r="G84" s="6"/>
      <c r="H84" s="6"/>
      <c r="I84" s="6"/>
      <c r="J84" s="6"/>
      <c r="K84" s="6" t="s">
        <v>1105</v>
      </c>
      <c r="L84" s="6" t="s">
        <v>1476</v>
      </c>
      <c r="M84" s="6"/>
      <c r="N84" s="6" t="s">
        <v>1477</v>
      </c>
      <c r="O84" s="6" t="s">
        <v>1478</v>
      </c>
      <c r="P84" s="6" t="s">
        <v>1111</v>
      </c>
      <c r="Q84" s="6"/>
    </row>
    <row r="85" spans="1:17" x14ac:dyDescent="0.2">
      <c r="A85" s="6" t="b">
        <v>1</v>
      </c>
      <c r="B85" s="6" t="s">
        <v>192</v>
      </c>
      <c r="C85" s="6" t="s">
        <v>162</v>
      </c>
      <c r="D85" s="6" t="s">
        <v>497</v>
      </c>
      <c r="E85" s="6" t="s">
        <v>1013</v>
      </c>
      <c r="F85" s="6"/>
      <c r="G85" s="6"/>
      <c r="H85" s="6"/>
      <c r="I85" s="6"/>
      <c r="J85" s="6"/>
      <c r="K85" s="6" t="s">
        <v>1104</v>
      </c>
      <c r="L85" s="6" t="s">
        <v>1510</v>
      </c>
      <c r="M85" s="6"/>
      <c r="N85" s="6" t="s">
        <v>1479</v>
      </c>
      <c r="O85" s="6" t="s">
        <v>1495</v>
      </c>
      <c r="P85" s="6" t="s">
        <v>1111</v>
      </c>
      <c r="Q85" s="6"/>
    </row>
    <row r="86" spans="1:17" x14ac:dyDescent="0.2">
      <c r="A86" s="6" t="b">
        <v>1</v>
      </c>
      <c r="B86" s="6" t="s">
        <v>192</v>
      </c>
      <c r="C86" s="6" t="s">
        <v>176</v>
      </c>
      <c r="D86" s="6" t="s">
        <v>497</v>
      </c>
      <c r="E86" s="6" t="s">
        <v>1013</v>
      </c>
      <c r="F86" s="6"/>
      <c r="G86" s="6"/>
      <c r="H86" s="6"/>
      <c r="I86" s="6"/>
      <c r="J86" s="6"/>
      <c r="K86" s="6" t="s">
        <v>1105</v>
      </c>
      <c r="L86" s="6" t="s">
        <v>1511</v>
      </c>
      <c r="M86" s="6"/>
      <c r="N86" s="6" t="s">
        <v>1480</v>
      </c>
      <c r="O86" s="6" t="s">
        <v>1115</v>
      </c>
      <c r="P86" s="6" t="s">
        <v>1111</v>
      </c>
      <c r="Q86" s="6"/>
    </row>
    <row r="87" spans="1:17" x14ac:dyDescent="0.2">
      <c r="A87" s="6" t="b">
        <v>1</v>
      </c>
      <c r="B87" s="6" t="s">
        <v>192</v>
      </c>
      <c r="C87" s="6" t="s">
        <v>177</v>
      </c>
      <c r="D87" s="6" t="s">
        <v>497</v>
      </c>
      <c r="E87" s="6" t="s">
        <v>1013</v>
      </c>
      <c r="F87" s="6"/>
      <c r="G87" s="6"/>
      <c r="H87" s="6"/>
      <c r="I87" s="6"/>
      <c r="J87" s="6"/>
      <c r="K87" s="6" t="s">
        <v>1105</v>
      </c>
      <c r="L87" s="6" t="s">
        <v>1513</v>
      </c>
      <c r="M87" s="6"/>
      <c r="N87" s="6" t="s">
        <v>1481</v>
      </c>
      <c r="O87" s="6" t="s">
        <v>1497</v>
      </c>
      <c r="P87" s="6" t="s">
        <v>1111</v>
      </c>
      <c r="Q87" s="6"/>
    </row>
    <row r="88" spans="1:17" x14ac:dyDescent="0.2">
      <c r="A88" s="6" t="b">
        <v>1</v>
      </c>
      <c r="B88" s="6" t="s">
        <v>192</v>
      </c>
      <c r="C88" s="6" t="s">
        <v>180</v>
      </c>
      <c r="D88" s="6" t="s">
        <v>497</v>
      </c>
      <c r="E88" s="6" t="s">
        <v>1013</v>
      </c>
      <c r="F88" s="6"/>
      <c r="G88" s="6"/>
      <c r="H88" s="6"/>
      <c r="I88" s="6"/>
      <c r="J88" s="6"/>
      <c r="K88" s="6" t="s">
        <v>1105</v>
      </c>
      <c r="L88" s="6" t="s">
        <v>1512</v>
      </c>
      <c r="M88" s="6"/>
      <c r="N88" s="6" t="s">
        <v>1482</v>
      </c>
      <c r="O88" s="6" t="s">
        <v>1496</v>
      </c>
      <c r="P88" s="6" t="s">
        <v>1111</v>
      </c>
      <c r="Q88" s="6"/>
    </row>
    <row r="89" spans="1:17" x14ac:dyDescent="0.2">
      <c r="A89" s="6" t="b">
        <v>1</v>
      </c>
      <c r="B89" s="6" t="s">
        <v>192</v>
      </c>
      <c r="C89" s="6" t="s">
        <v>181</v>
      </c>
      <c r="D89" s="6" t="s">
        <v>497</v>
      </c>
      <c r="E89" s="6" t="s">
        <v>1013</v>
      </c>
      <c r="F89" s="6"/>
      <c r="G89" s="6"/>
      <c r="H89" s="6"/>
      <c r="I89" s="6"/>
      <c r="J89" s="6"/>
      <c r="K89" s="6" t="s">
        <v>1104</v>
      </c>
      <c r="L89" s="6" t="s">
        <v>1514</v>
      </c>
      <c r="M89" s="6"/>
      <c r="N89" s="6" t="s">
        <v>1483</v>
      </c>
      <c r="O89" s="6" t="s">
        <v>1498</v>
      </c>
      <c r="P89" s="6" t="s">
        <v>1111</v>
      </c>
      <c r="Q89" s="6"/>
    </row>
    <row r="90" spans="1:17" x14ac:dyDescent="0.2">
      <c r="A90" s="6" t="b">
        <v>1</v>
      </c>
      <c r="B90" s="6" t="s">
        <v>192</v>
      </c>
      <c r="C90" s="6" t="s">
        <v>182</v>
      </c>
      <c r="D90" s="6" t="s">
        <v>497</v>
      </c>
      <c r="E90" s="6" t="s">
        <v>1013</v>
      </c>
      <c r="F90" s="6"/>
      <c r="G90" s="6"/>
      <c r="H90" s="6"/>
      <c r="I90" s="6"/>
      <c r="J90" s="6"/>
      <c r="K90" s="6" t="s">
        <v>1104</v>
      </c>
      <c r="L90" s="6" t="s">
        <v>1515</v>
      </c>
      <c r="M90" s="6"/>
      <c r="N90" s="6" t="s">
        <v>1484</v>
      </c>
      <c r="O90" s="6" t="s">
        <v>1499</v>
      </c>
      <c r="P90" s="6" t="s">
        <v>1111</v>
      </c>
      <c r="Q90" s="6"/>
    </row>
    <row r="91" spans="1:17" x14ac:dyDescent="0.2">
      <c r="A91" s="6" t="b">
        <v>1</v>
      </c>
      <c r="B91" s="6" t="s">
        <v>192</v>
      </c>
      <c r="C91" s="6" t="s">
        <v>184</v>
      </c>
      <c r="D91" s="6" t="s">
        <v>497</v>
      </c>
      <c r="E91" s="6" t="s">
        <v>1013</v>
      </c>
      <c r="F91" s="6"/>
      <c r="G91" s="6"/>
      <c r="H91" s="6"/>
      <c r="I91" s="6"/>
      <c r="J91" s="6"/>
      <c r="K91" s="6" t="s">
        <v>1105</v>
      </c>
      <c r="L91" s="6" t="s">
        <v>1517</v>
      </c>
      <c r="M91" s="6"/>
      <c r="N91" s="6" t="s">
        <v>1485</v>
      </c>
      <c r="O91" s="6" t="s">
        <v>1500</v>
      </c>
      <c r="P91" s="6" t="s">
        <v>1111</v>
      </c>
      <c r="Q91" s="6"/>
    </row>
    <row r="92" spans="1:17" x14ac:dyDescent="0.2">
      <c r="A92" s="6" t="b">
        <v>1</v>
      </c>
      <c r="B92" s="6" t="s">
        <v>192</v>
      </c>
      <c r="C92" s="6" t="s">
        <v>185</v>
      </c>
      <c r="D92" s="6" t="s">
        <v>497</v>
      </c>
      <c r="E92" s="6" t="s">
        <v>1013</v>
      </c>
      <c r="F92" s="6"/>
      <c r="G92" s="6"/>
      <c r="H92" s="6"/>
      <c r="I92" s="6"/>
      <c r="J92" s="6"/>
      <c r="K92" s="6" t="s">
        <v>1105</v>
      </c>
      <c r="L92" s="6" t="s">
        <v>1516</v>
      </c>
      <c r="M92" s="6"/>
      <c r="N92" s="6" t="s">
        <v>1486</v>
      </c>
      <c r="O92" s="6" t="s">
        <v>1501</v>
      </c>
      <c r="P92" s="6" t="s">
        <v>1111</v>
      </c>
      <c r="Q92" s="6"/>
    </row>
    <row r="93" spans="1:17" x14ac:dyDescent="0.2">
      <c r="A93" s="6" t="b">
        <v>1</v>
      </c>
      <c r="B93" s="6" t="s">
        <v>192</v>
      </c>
      <c r="C93" s="6" t="s">
        <v>186</v>
      </c>
      <c r="D93" s="6" t="s">
        <v>497</v>
      </c>
      <c r="E93" s="6" t="s">
        <v>1013</v>
      </c>
      <c r="F93" s="6"/>
      <c r="G93" s="6"/>
      <c r="H93" s="6"/>
      <c r="I93" s="6"/>
      <c r="J93" s="6"/>
      <c r="K93" s="6" t="s">
        <v>1105</v>
      </c>
      <c r="L93" s="6" t="s">
        <v>1518</v>
      </c>
      <c r="M93" s="6"/>
      <c r="N93" s="6" t="s">
        <v>1487</v>
      </c>
      <c r="O93" s="6" t="s">
        <v>1502</v>
      </c>
      <c r="P93" s="6" t="s">
        <v>1111</v>
      </c>
      <c r="Q93" s="6"/>
    </row>
    <row r="94" spans="1:17" x14ac:dyDescent="0.2">
      <c r="A94" s="6" t="b">
        <v>1</v>
      </c>
      <c r="B94" s="6" t="s">
        <v>192</v>
      </c>
      <c r="C94" s="6" t="s">
        <v>1148</v>
      </c>
      <c r="D94" s="6" t="s">
        <v>497</v>
      </c>
      <c r="E94" s="6" t="s">
        <v>1013</v>
      </c>
      <c r="F94" s="6"/>
      <c r="G94" s="6"/>
      <c r="H94" s="6"/>
      <c r="I94" s="6"/>
      <c r="J94" s="6"/>
      <c r="K94" s="6" t="s">
        <v>1104</v>
      </c>
      <c r="L94" s="6" t="s">
        <v>1524</v>
      </c>
      <c r="M94" s="6"/>
      <c r="N94" s="6" t="s">
        <v>1488</v>
      </c>
      <c r="O94" s="6" t="s">
        <v>1503</v>
      </c>
      <c r="P94" s="6" t="s">
        <v>1110</v>
      </c>
      <c r="Q94" s="5" t="s">
        <v>1525</v>
      </c>
    </row>
    <row r="95" spans="1:17" x14ac:dyDescent="0.2">
      <c r="A95" s="6" t="b">
        <v>1</v>
      </c>
      <c r="B95" s="6" t="s">
        <v>192</v>
      </c>
      <c r="C95" s="6" t="s">
        <v>1145</v>
      </c>
      <c r="D95" s="6" t="s">
        <v>497</v>
      </c>
      <c r="E95" s="6" t="s">
        <v>1013</v>
      </c>
      <c r="F95" s="6"/>
      <c r="G95" s="6"/>
      <c r="H95" s="6"/>
      <c r="I95" s="6"/>
      <c r="J95" s="6"/>
      <c r="K95" s="6" t="s">
        <v>1104</v>
      </c>
      <c r="L95" s="6" t="s">
        <v>1524</v>
      </c>
      <c r="M95" s="6"/>
      <c r="N95" s="6" t="s">
        <v>1489</v>
      </c>
      <c r="O95" s="6" t="s">
        <v>1504</v>
      </c>
      <c r="P95" s="6" t="s">
        <v>1111</v>
      </c>
      <c r="Q95" s="5" t="s">
        <v>1525</v>
      </c>
    </row>
    <row r="96" spans="1:17" x14ac:dyDescent="0.2">
      <c r="A96" s="6" t="b">
        <v>1</v>
      </c>
      <c r="B96" s="6" t="s">
        <v>192</v>
      </c>
      <c r="C96" s="6" t="s">
        <v>187</v>
      </c>
      <c r="D96" s="6" t="s">
        <v>497</v>
      </c>
      <c r="E96" s="6" t="s">
        <v>1013</v>
      </c>
      <c r="F96" s="6"/>
      <c r="G96" s="6"/>
      <c r="H96" s="6"/>
      <c r="I96" s="6"/>
      <c r="J96" s="6"/>
      <c r="K96" s="6" t="s">
        <v>1105</v>
      </c>
      <c r="L96" s="6" t="s">
        <v>1519</v>
      </c>
      <c r="M96" s="6"/>
      <c r="N96" s="6" t="s">
        <v>1490</v>
      </c>
      <c r="O96" s="6" t="s">
        <v>1505</v>
      </c>
      <c r="P96" s="6" t="s">
        <v>1111</v>
      </c>
      <c r="Q96" s="6"/>
    </row>
    <row r="97" spans="1:17" x14ac:dyDescent="0.2">
      <c r="A97" s="6" t="b">
        <v>1</v>
      </c>
      <c r="B97" s="6" t="s">
        <v>192</v>
      </c>
      <c r="C97" s="6" t="s">
        <v>188</v>
      </c>
      <c r="D97" s="6" t="s">
        <v>497</v>
      </c>
      <c r="E97" s="6" t="s">
        <v>1013</v>
      </c>
      <c r="F97" s="6"/>
      <c r="G97" s="6"/>
      <c r="H97" s="6"/>
      <c r="I97" s="6"/>
      <c r="J97" s="6"/>
      <c r="K97" s="6" t="s">
        <v>1105</v>
      </c>
      <c r="L97" s="6" t="s">
        <v>1520</v>
      </c>
      <c r="M97" s="6"/>
      <c r="N97" s="6" t="s">
        <v>1491</v>
      </c>
      <c r="O97" s="6" t="s">
        <v>1506</v>
      </c>
      <c r="P97" s="6" t="s">
        <v>1111</v>
      </c>
      <c r="Q97" s="6"/>
    </row>
    <row r="98" spans="1:17" x14ac:dyDescent="0.2">
      <c r="A98" s="6" t="b">
        <v>1</v>
      </c>
      <c r="B98" s="6" t="s">
        <v>192</v>
      </c>
      <c r="C98" s="6" t="s">
        <v>189</v>
      </c>
      <c r="D98" s="6" t="s">
        <v>497</v>
      </c>
      <c r="E98" s="6" t="s">
        <v>1013</v>
      </c>
      <c r="F98" s="6"/>
      <c r="G98" s="6"/>
      <c r="H98" s="6"/>
      <c r="I98" s="6"/>
      <c r="J98" s="6"/>
      <c r="K98" s="6" t="s">
        <v>1105</v>
      </c>
      <c r="L98" s="6" t="s">
        <v>1521</v>
      </c>
      <c r="M98" s="6"/>
      <c r="N98" s="6" t="s">
        <v>1492</v>
      </c>
      <c r="O98" s="6" t="s">
        <v>1507</v>
      </c>
      <c r="P98" s="6" t="s">
        <v>1111</v>
      </c>
      <c r="Q98" s="6"/>
    </row>
    <row r="99" spans="1:17" x14ac:dyDescent="0.2">
      <c r="A99" s="6" t="b">
        <v>1</v>
      </c>
      <c r="B99" s="6" t="s">
        <v>192</v>
      </c>
      <c r="C99" s="6" t="s">
        <v>190</v>
      </c>
      <c r="D99" s="6" t="s">
        <v>497</v>
      </c>
      <c r="E99" s="6" t="s">
        <v>1013</v>
      </c>
      <c r="F99" s="6"/>
      <c r="G99" s="6"/>
      <c r="H99" s="6"/>
      <c r="I99" s="6"/>
      <c r="J99" s="6"/>
      <c r="K99" s="6" t="s">
        <v>1105</v>
      </c>
      <c r="L99" s="6" t="s">
        <v>1522</v>
      </c>
      <c r="M99" s="6"/>
      <c r="N99" s="6" t="s">
        <v>1493</v>
      </c>
      <c r="O99" s="6" t="s">
        <v>1508</v>
      </c>
      <c r="P99" s="6" t="s">
        <v>1111</v>
      </c>
      <c r="Q99" s="6"/>
    </row>
    <row r="100" spans="1:17" x14ac:dyDescent="0.2">
      <c r="A100" s="6" t="b">
        <v>1</v>
      </c>
      <c r="B100" s="6" t="s">
        <v>192</v>
      </c>
      <c r="C100" s="6" t="s">
        <v>191</v>
      </c>
      <c r="D100" s="6" t="s">
        <v>497</v>
      </c>
      <c r="E100" s="6" t="s">
        <v>1013</v>
      </c>
      <c r="F100" s="6"/>
      <c r="G100" s="6"/>
      <c r="H100" s="6"/>
      <c r="I100" s="6"/>
      <c r="J100" s="6"/>
      <c r="K100" s="6" t="s">
        <v>1105</v>
      </c>
      <c r="L100" s="6" t="s">
        <v>1523</v>
      </c>
      <c r="M100" s="6"/>
      <c r="N100" s="6" t="s">
        <v>1494</v>
      </c>
      <c r="O100" s="6" t="s">
        <v>1509</v>
      </c>
      <c r="P100" s="6" t="s">
        <v>1111</v>
      </c>
      <c r="Q100" s="6"/>
    </row>
    <row r="101" spans="1:17" x14ac:dyDescent="0.2">
      <c r="A101" s="6" t="b">
        <v>1</v>
      </c>
      <c r="B101" s="6" t="s">
        <v>192</v>
      </c>
      <c r="C101" s="6" t="s">
        <v>1203</v>
      </c>
      <c r="D101" s="6" t="s">
        <v>1239</v>
      </c>
      <c r="E101" s="6" t="s">
        <v>1013</v>
      </c>
      <c r="F101" s="6"/>
      <c r="G101" s="6"/>
      <c r="H101" s="6"/>
      <c r="I101" s="6"/>
      <c r="J101" s="6"/>
      <c r="K101" s="6" t="s">
        <v>1105</v>
      </c>
      <c r="L101" s="6" t="s">
        <v>1527</v>
      </c>
      <c r="M101" s="6"/>
      <c r="N101" s="6" t="b">
        <v>1</v>
      </c>
      <c r="O101" s="6" t="s">
        <v>1528</v>
      </c>
      <c r="P101" s="6" t="s">
        <v>1111</v>
      </c>
      <c r="Q101" s="5" t="s">
        <v>1534</v>
      </c>
    </row>
    <row r="102" spans="1:17" x14ac:dyDescent="0.2">
      <c r="A102" s="6" t="b">
        <v>1</v>
      </c>
      <c r="B102" s="6" t="s">
        <v>192</v>
      </c>
      <c r="C102" s="6" t="s">
        <v>1203</v>
      </c>
      <c r="D102" s="6" t="s">
        <v>1240</v>
      </c>
      <c r="E102" s="6" t="s">
        <v>1013</v>
      </c>
      <c r="F102" s="6"/>
      <c r="G102" s="6"/>
      <c r="H102" s="6"/>
      <c r="I102" s="6"/>
      <c r="J102" s="6"/>
      <c r="K102" s="6" t="s">
        <v>1105</v>
      </c>
      <c r="L102" s="6" t="s">
        <v>1527</v>
      </c>
      <c r="M102" s="6"/>
      <c r="N102" s="6" t="b">
        <v>0</v>
      </c>
      <c r="O102" s="6" t="s">
        <v>1528</v>
      </c>
      <c r="P102" s="6" t="s">
        <v>1111</v>
      </c>
      <c r="Q102" s="5" t="s">
        <v>1534</v>
      </c>
    </row>
    <row r="103" spans="1:17" x14ac:dyDescent="0.2">
      <c r="A103" s="6" t="b">
        <v>1</v>
      </c>
      <c r="B103" s="6" t="s">
        <v>192</v>
      </c>
      <c r="C103" s="6" t="s">
        <v>152</v>
      </c>
      <c r="D103" s="6" t="s">
        <v>497</v>
      </c>
      <c r="E103" s="6" t="s">
        <v>1013</v>
      </c>
      <c r="F103" s="6"/>
      <c r="G103" s="6"/>
      <c r="H103" s="6"/>
      <c r="I103" s="6"/>
      <c r="J103" s="6"/>
      <c r="K103" s="6" t="s">
        <v>1105</v>
      </c>
      <c r="L103" s="6" t="s">
        <v>1527</v>
      </c>
      <c r="M103" s="6"/>
      <c r="N103" s="6" t="s">
        <v>1530</v>
      </c>
      <c r="O103" s="6" t="s">
        <v>1529</v>
      </c>
      <c r="P103" s="6" t="s">
        <v>1111</v>
      </c>
      <c r="Q103" s="5" t="s">
        <v>1535</v>
      </c>
    </row>
    <row r="104" spans="1:17" x14ac:dyDescent="0.2">
      <c r="A104" s="6" t="b">
        <v>1</v>
      </c>
      <c r="B104" s="6" t="s">
        <v>192</v>
      </c>
      <c r="C104" s="6" t="s">
        <v>24</v>
      </c>
      <c r="D104" s="6" t="s">
        <v>163</v>
      </c>
      <c r="E104" s="6" t="s">
        <v>1331</v>
      </c>
      <c r="F104" s="6" t="s">
        <v>1092</v>
      </c>
      <c r="G104" s="6" t="s">
        <v>1532</v>
      </c>
      <c r="H104" s="6"/>
      <c r="I104" s="6"/>
      <c r="J104" s="6"/>
      <c r="K104" s="6" t="s">
        <v>497</v>
      </c>
      <c r="L104" s="6"/>
      <c r="M104" s="6" t="s">
        <v>1531</v>
      </c>
      <c r="N104" s="6" t="s">
        <v>1532</v>
      </c>
      <c r="O104" s="6" t="s">
        <v>497</v>
      </c>
      <c r="P104" s="6" t="s">
        <v>497</v>
      </c>
      <c r="Q104" s="5" t="s">
        <v>1533</v>
      </c>
    </row>
    <row r="105" spans="1:17" x14ac:dyDescent="0.2">
      <c r="A105" s="6" t="b">
        <v>1</v>
      </c>
      <c r="B105" s="6" t="s">
        <v>192</v>
      </c>
      <c r="C105" s="6" t="s">
        <v>150</v>
      </c>
      <c r="D105" s="6" t="s">
        <v>1241</v>
      </c>
      <c r="E105" s="6" t="s">
        <v>1331</v>
      </c>
      <c r="F105" s="6" t="s">
        <v>1092</v>
      </c>
      <c r="G105" s="6" t="s">
        <v>1550</v>
      </c>
      <c r="H105" s="6"/>
      <c r="I105" s="6"/>
      <c r="J105" s="6"/>
      <c r="K105" s="6" t="s">
        <v>497</v>
      </c>
      <c r="L105" s="6"/>
      <c r="M105" s="6" t="s">
        <v>1552</v>
      </c>
      <c r="N105" s="6" t="s">
        <v>1550</v>
      </c>
      <c r="O105" s="6" t="s">
        <v>497</v>
      </c>
      <c r="P105" s="6" t="s">
        <v>497</v>
      </c>
      <c r="Q105" s="6"/>
    </row>
    <row r="106" spans="1:17" x14ac:dyDescent="0.2">
      <c r="A106" s="6" t="b">
        <v>1</v>
      </c>
      <c r="B106" s="6" t="s">
        <v>192</v>
      </c>
      <c r="C106" s="6" t="s">
        <v>150</v>
      </c>
      <c r="D106" s="6" t="s">
        <v>1242</v>
      </c>
      <c r="E106" s="6" t="s">
        <v>1331</v>
      </c>
      <c r="F106" s="6" t="s">
        <v>1092</v>
      </c>
      <c r="G106" s="6" t="s">
        <v>1551</v>
      </c>
      <c r="H106" s="6"/>
      <c r="I106" s="6"/>
      <c r="J106" s="6"/>
      <c r="K106" s="6" t="s">
        <v>497</v>
      </c>
      <c r="L106" s="6"/>
      <c r="M106" s="6" t="s">
        <v>1552</v>
      </c>
      <c r="N106" s="6" t="s">
        <v>1551</v>
      </c>
      <c r="O106" s="6" t="s">
        <v>497</v>
      </c>
      <c r="P106" s="6" t="s">
        <v>497</v>
      </c>
      <c r="Q106" s="6"/>
    </row>
    <row r="107" spans="1:17" x14ac:dyDescent="0.2">
      <c r="A107" s="6" t="b">
        <v>1</v>
      </c>
      <c r="B107" s="6" t="s">
        <v>192</v>
      </c>
      <c r="C107" s="6" t="s">
        <v>150</v>
      </c>
      <c r="D107" s="6" t="s">
        <v>1243</v>
      </c>
      <c r="E107" s="6" t="s">
        <v>1331</v>
      </c>
      <c r="F107" s="6" t="s">
        <v>1092</v>
      </c>
      <c r="G107" s="6" t="s">
        <v>1553</v>
      </c>
      <c r="H107" s="6"/>
      <c r="I107" s="6"/>
      <c r="J107" s="6"/>
      <c r="K107" s="6" t="s">
        <v>497</v>
      </c>
      <c r="L107" s="6"/>
      <c r="M107" s="6" t="s">
        <v>1554</v>
      </c>
      <c r="N107" s="6" t="s">
        <v>1553</v>
      </c>
      <c r="O107" s="6" t="s">
        <v>497</v>
      </c>
      <c r="P107" s="6" t="s">
        <v>497</v>
      </c>
      <c r="Q107" s="6"/>
    </row>
    <row r="108" spans="1:17" x14ac:dyDescent="0.2">
      <c r="A108" s="6" t="b">
        <v>1</v>
      </c>
      <c r="B108" s="6" t="s">
        <v>192</v>
      </c>
      <c r="C108" s="6" t="s">
        <v>178</v>
      </c>
      <c r="D108" s="6" t="s">
        <v>497</v>
      </c>
      <c r="E108" s="6" t="s">
        <v>1013</v>
      </c>
      <c r="F108" s="6"/>
      <c r="G108" s="6"/>
      <c r="H108" s="6"/>
      <c r="I108" s="6"/>
      <c r="J108" s="6"/>
      <c r="K108" s="6" t="s">
        <v>1105</v>
      </c>
      <c r="L108" s="6" t="s">
        <v>1603</v>
      </c>
      <c r="M108" s="6"/>
      <c r="N108" s="6" t="s">
        <v>1608</v>
      </c>
      <c r="O108" s="6" t="s">
        <v>1609</v>
      </c>
      <c r="P108" s="6" t="s">
        <v>1110</v>
      </c>
      <c r="Q108" s="5" t="s">
        <v>1607</v>
      </c>
    </row>
    <row r="109" spans="1:17" x14ac:dyDescent="0.2">
      <c r="A109" s="6" t="b">
        <v>1</v>
      </c>
      <c r="B109" s="6" t="s">
        <v>192</v>
      </c>
      <c r="C109" s="6" t="s">
        <v>179</v>
      </c>
      <c r="D109" s="6" t="s">
        <v>497</v>
      </c>
      <c r="E109" s="6" t="s">
        <v>1013</v>
      </c>
      <c r="F109" s="6"/>
      <c r="G109" s="6"/>
      <c r="H109" s="6"/>
      <c r="I109" s="6"/>
      <c r="J109" s="6"/>
      <c r="K109" s="6" t="s">
        <v>1105</v>
      </c>
      <c r="L109" s="6" t="s">
        <v>1604</v>
      </c>
      <c r="M109" s="6"/>
      <c r="N109" s="6" t="s">
        <v>1606</v>
      </c>
      <c r="O109" s="6" t="s">
        <v>1605</v>
      </c>
      <c r="P109" s="6" t="s">
        <v>1110</v>
      </c>
      <c r="Q109" s="5" t="s">
        <v>1607</v>
      </c>
    </row>
    <row r="110" spans="1:17" x14ac:dyDescent="0.2">
      <c r="A110" s="6" t="b">
        <v>1</v>
      </c>
      <c r="B110" s="6" t="s">
        <v>192</v>
      </c>
      <c r="C110" s="6" t="s">
        <v>88</v>
      </c>
      <c r="D110" s="6" t="s">
        <v>1237</v>
      </c>
      <c r="E110" s="6" t="s">
        <v>1331</v>
      </c>
      <c r="F110" s="6" t="s">
        <v>1092</v>
      </c>
      <c r="G110" s="6" t="s">
        <v>1633</v>
      </c>
      <c r="H110" s="6"/>
      <c r="I110" s="6"/>
      <c r="J110" s="6"/>
      <c r="K110" s="6" t="s">
        <v>1105</v>
      </c>
      <c r="L110" s="6"/>
      <c r="M110" s="6" t="s">
        <v>1635</v>
      </c>
      <c r="N110" s="6" t="s">
        <v>1633</v>
      </c>
      <c r="O110" s="6" t="s">
        <v>497</v>
      </c>
      <c r="P110" s="6" t="s">
        <v>497</v>
      </c>
      <c r="Q110" s="6"/>
    </row>
    <row r="111" spans="1:17" x14ac:dyDescent="0.2">
      <c r="A111" s="6" t="b">
        <v>1</v>
      </c>
      <c r="B111" s="6" t="s">
        <v>192</v>
      </c>
      <c r="C111" s="6" t="s">
        <v>88</v>
      </c>
      <c r="D111" s="6" t="s">
        <v>1238</v>
      </c>
      <c r="E111" s="6" t="s">
        <v>1331</v>
      </c>
      <c r="F111" s="6" t="s">
        <v>1092</v>
      </c>
      <c r="G111" s="6" t="s">
        <v>1634</v>
      </c>
      <c r="H111" s="6"/>
      <c r="I111" s="6"/>
      <c r="J111" s="6"/>
      <c r="K111" s="6" t="s">
        <v>1105</v>
      </c>
      <c r="L111" s="6"/>
      <c r="M111" s="6" t="s">
        <v>1635</v>
      </c>
      <c r="N111" s="6" t="s">
        <v>1634</v>
      </c>
      <c r="O111" s="6" t="s">
        <v>497</v>
      </c>
      <c r="P111" s="6" t="s">
        <v>497</v>
      </c>
      <c r="Q111" s="6"/>
    </row>
    <row r="112" spans="1:17" x14ac:dyDescent="0.2">
      <c r="A112" s="6" t="b">
        <v>1</v>
      </c>
      <c r="B112" s="6" t="s">
        <v>192</v>
      </c>
      <c r="C112" s="6" t="s">
        <v>131</v>
      </c>
      <c r="D112" s="6" t="s">
        <v>277</v>
      </c>
      <c r="E112" s="6" t="s">
        <v>1013</v>
      </c>
      <c r="F112" s="6"/>
      <c r="G112" s="6"/>
      <c r="H112" s="6"/>
      <c r="I112" s="6"/>
      <c r="J112" s="6"/>
      <c r="K112" s="6" t="s">
        <v>1104</v>
      </c>
      <c r="L112" s="6" t="s">
        <v>1685</v>
      </c>
      <c r="M112" s="6"/>
      <c r="N112" s="6" t="s">
        <v>1674</v>
      </c>
      <c r="O112" s="6" t="s">
        <v>1115</v>
      </c>
      <c r="P112" s="6" t="s">
        <v>1110</v>
      </c>
      <c r="Q112" s="6"/>
    </row>
    <row r="113" spans="1:17" x14ac:dyDescent="0.2">
      <c r="A113" s="6" t="b">
        <v>1</v>
      </c>
      <c r="B113" s="6" t="s">
        <v>192</v>
      </c>
      <c r="C113" s="6" t="s">
        <v>131</v>
      </c>
      <c r="D113" s="6" t="s">
        <v>278</v>
      </c>
      <c r="E113" s="6" t="s">
        <v>1013</v>
      </c>
      <c r="F113" s="6"/>
      <c r="G113" s="6"/>
      <c r="H113" s="6"/>
      <c r="I113" s="6"/>
      <c r="J113" s="6"/>
      <c r="K113" s="6" t="s">
        <v>1104</v>
      </c>
      <c r="L113" s="6" t="s">
        <v>1685</v>
      </c>
      <c r="M113" s="6"/>
      <c r="N113" s="6" t="s">
        <v>1675</v>
      </c>
      <c r="O113" s="6" t="s">
        <v>1115</v>
      </c>
      <c r="P113" s="6" t="s">
        <v>1110</v>
      </c>
      <c r="Q113" s="6"/>
    </row>
    <row r="114" spans="1:17" x14ac:dyDescent="0.2">
      <c r="A114" s="6" t="b">
        <v>1</v>
      </c>
      <c r="B114" s="6" t="s">
        <v>192</v>
      </c>
      <c r="C114" s="6" t="s">
        <v>131</v>
      </c>
      <c r="D114" s="6" t="s">
        <v>279</v>
      </c>
      <c r="E114" s="6" t="s">
        <v>1013</v>
      </c>
      <c r="F114" s="6"/>
      <c r="G114" s="6"/>
      <c r="H114" s="6"/>
      <c r="I114" s="6"/>
      <c r="J114" s="6"/>
      <c r="K114" s="6" t="s">
        <v>1104</v>
      </c>
      <c r="L114" s="6" t="s">
        <v>1685</v>
      </c>
      <c r="M114" s="6"/>
      <c r="N114" s="6" t="s">
        <v>1676</v>
      </c>
      <c r="O114" s="6" t="s">
        <v>1115</v>
      </c>
      <c r="P114" s="6" t="s">
        <v>1110</v>
      </c>
      <c r="Q114" s="6"/>
    </row>
    <row r="115" spans="1:17" x14ac:dyDescent="0.2">
      <c r="A115" s="6" t="b">
        <v>1</v>
      </c>
      <c r="B115" s="6" t="s">
        <v>192</v>
      </c>
      <c r="C115" s="6" t="s">
        <v>131</v>
      </c>
      <c r="D115" s="6" t="s">
        <v>280</v>
      </c>
      <c r="E115" s="6" t="s">
        <v>1013</v>
      </c>
      <c r="F115" s="6"/>
      <c r="G115" s="6"/>
      <c r="H115" s="6"/>
      <c r="I115" s="6"/>
      <c r="J115" s="6"/>
      <c r="K115" s="6" t="s">
        <v>1104</v>
      </c>
      <c r="L115" s="6" t="s">
        <v>1685</v>
      </c>
      <c r="M115" s="6"/>
      <c r="N115" s="6" t="s">
        <v>1677</v>
      </c>
      <c r="O115" s="6" t="s">
        <v>1115</v>
      </c>
      <c r="P115" s="6" t="s">
        <v>1110</v>
      </c>
      <c r="Q115" s="6"/>
    </row>
    <row r="116" spans="1:17" x14ac:dyDescent="0.2">
      <c r="A116" s="6" t="b">
        <v>1</v>
      </c>
      <c r="B116" s="6" t="s">
        <v>192</v>
      </c>
      <c r="C116" s="6" t="s">
        <v>131</v>
      </c>
      <c r="D116" s="6" t="s">
        <v>281</v>
      </c>
      <c r="E116" s="6" t="s">
        <v>1013</v>
      </c>
      <c r="F116" s="6"/>
      <c r="G116" s="6"/>
      <c r="H116" s="6"/>
      <c r="I116" s="6"/>
      <c r="J116" s="6"/>
      <c r="K116" s="6" t="s">
        <v>1104</v>
      </c>
      <c r="L116" s="6" t="s">
        <v>1685</v>
      </c>
      <c r="M116" s="6"/>
      <c r="N116" s="6" t="s">
        <v>1678</v>
      </c>
      <c r="O116" s="6" t="s">
        <v>1115</v>
      </c>
      <c r="P116" s="6" t="s">
        <v>1110</v>
      </c>
      <c r="Q116" s="6"/>
    </row>
    <row r="117" spans="1:17" x14ac:dyDescent="0.2">
      <c r="A117" s="6" t="b">
        <v>1</v>
      </c>
      <c r="B117" s="6" t="s">
        <v>192</v>
      </c>
      <c r="C117" s="6" t="s">
        <v>131</v>
      </c>
      <c r="D117" s="6" t="s">
        <v>1213</v>
      </c>
      <c r="E117" s="6" t="s">
        <v>1013</v>
      </c>
      <c r="F117" s="6"/>
      <c r="G117" s="6"/>
      <c r="H117" s="6"/>
      <c r="I117" s="6"/>
      <c r="J117" s="6"/>
      <c r="K117" s="6" t="s">
        <v>1104</v>
      </c>
      <c r="L117" s="6" t="s">
        <v>1685</v>
      </c>
      <c r="M117" s="6"/>
      <c r="N117" s="6" t="s">
        <v>1679</v>
      </c>
      <c r="O117" s="6" t="s">
        <v>1115</v>
      </c>
      <c r="P117" s="6" t="s">
        <v>1110</v>
      </c>
      <c r="Q117" s="6"/>
    </row>
    <row r="118" spans="1:17" x14ac:dyDescent="0.2">
      <c r="A118" s="6" t="b">
        <v>1</v>
      </c>
      <c r="B118" s="6" t="s">
        <v>192</v>
      </c>
      <c r="C118" s="6" t="s">
        <v>131</v>
      </c>
      <c r="D118" s="6" t="s">
        <v>1214</v>
      </c>
      <c r="E118" s="6" t="s">
        <v>1013</v>
      </c>
      <c r="F118" s="6"/>
      <c r="G118" s="6"/>
      <c r="H118" s="6"/>
      <c r="I118" s="6"/>
      <c r="J118" s="6"/>
      <c r="K118" s="6" t="s">
        <v>1104</v>
      </c>
      <c r="L118" s="6" t="s">
        <v>1685</v>
      </c>
      <c r="M118" s="6"/>
      <c r="N118" s="6" t="s">
        <v>1680</v>
      </c>
      <c r="O118" s="6" t="s">
        <v>1115</v>
      </c>
      <c r="P118" s="6" t="s">
        <v>1110</v>
      </c>
      <c r="Q118" s="6"/>
    </row>
    <row r="119" spans="1:17" x14ac:dyDescent="0.2">
      <c r="A119" s="6" t="b">
        <v>1</v>
      </c>
      <c r="B119" s="6" t="s">
        <v>192</v>
      </c>
      <c r="C119" s="6" t="s">
        <v>131</v>
      </c>
      <c r="D119" s="6" t="s">
        <v>282</v>
      </c>
      <c r="E119" s="6" t="s">
        <v>1013</v>
      </c>
      <c r="F119" s="6"/>
      <c r="G119" s="6"/>
      <c r="H119" s="6"/>
      <c r="I119" s="6"/>
      <c r="J119" s="6"/>
      <c r="K119" s="6" t="s">
        <v>1104</v>
      </c>
      <c r="L119" s="6" t="s">
        <v>1685</v>
      </c>
      <c r="M119" s="6"/>
      <c r="N119" s="6" t="s">
        <v>1681</v>
      </c>
      <c r="O119" s="6" t="s">
        <v>1115</v>
      </c>
      <c r="P119" s="6" t="s">
        <v>1110</v>
      </c>
      <c r="Q119" s="6"/>
    </row>
    <row r="120" spans="1:17" x14ac:dyDescent="0.2">
      <c r="A120" s="6" t="b">
        <v>1</v>
      </c>
      <c r="B120" s="6" t="s">
        <v>192</v>
      </c>
      <c r="C120" s="6" t="s">
        <v>131</v>
      </c>
      <c r="D120" s="6" t="s">
        <v>283</v>
      </c>
      <c r="E120" s="6" t="s">
        <v>1013</v>
      </c>
      <c r="F120" s="6"/>
      <c r="G120" s="6"/>
      <c r="H120" s="6"/>
      <c r="I120" s="6"/>
      <c r="J120" s="6"/>
      <c r="K120" s="6" t="s">
        <v>1104</v>
      </c>
      <c r="L120" s="6" t="s">
        <v>1685</v>
      </c>
      <c r="M120" s="6"/>
      <c r="N120" s="6" t="s">
        <v>1682</v>
      </c>
      <c r="O120" s="6" t="s">
        <v>1115</v>
      </c>
      <c r="P120" s="6" t="s">
        <v>1110</v>
      </c>
      <c r="Q120" s="6"/>
    </row>
    <row r="121" spans="1:17" x14ac:dyDescent="0.2">
      <c r="A121" s="6" t="b">
        <v>1</v>
      </c>
      <c r="B121" s="6" t="s">
        <v>192</v>
      </c>
      <c r="C121" s="6" t="s">
        <v>131</v>
      </c>
      <c r="D121" s="6" t="s">
        <v>1215</v>
      </c>
      <c r="E121" s="6" t="s">
        <v>1013</v>
      </c>
      <c r="F121" s="6"/>
      <c r="G121" s="6"/>
      <c r="H121" s="6"/>
      <c r="I121" s="6"/>
      <c r="J121" s="6"/>
      <c r="K121" s="6" t="s">
        <v>1104</v>
      </c>
      <c r="L121" s="6" t="s">
        <v>1685</v>
      </c>
      <c r="M121" s="6"/>
      <c r="N121" s="6" t="s">
        <v>1683</v>
      </c>
      <c r="O121" s="6" t="s">
        <v>1115</v>
      </c>
      <c r="P121" s="6" t="s">
        <v>1110</v>
      </c>
      <c r="Q121" s="6"/>
    </row>
    <row r="122" spans="1:17" x14ac:dyDescent="0.2">
      <c r="A122" s="6" t="b">
        <v>1</v>
      </c>
      <c r="B122" s="6" t="s">
        <v>192</v>
      </c>
      <c r="C122" s="6" t="s">
        <v>131</v>
      </c>
      <c r="D122" s="6" t="s">
        <v>1216</v>
      </c>
      <c r="E122" s="6" t="s">
        <v>1013</v>
      </c>
      <c r="F122" s="6"/>
      <c r="G122" s="6"/>
      <c r="H122" s="6"/>
      <c r="I122" s="6"/>
      <c r="J122" s="6"/>
      <c r="K122" s="6" t="s">
        <v>1104</v>
      </c>
      <c r="L122" s="6" t="s">
        <v>1685</v>
      </c>
      <c r="M122" s="6"/>
      <c r="N122" s="6" t="s">
        <v>1684</v>
      </c>
      <c r="O122" s="6" t="s">
        <v>1115</v>
      </c>
      <c r="P122" s="6" t="s">
        <v>1110</v>
      </c>
      <c r="Q122" s="6"/>
    </row>
    <row r="123" spans="1:17" x14ac:dyDescent="0.2">
      <c r="A123" s="6" t="b">
        <v>1</v>
      </c>
      <c r="B123" s="6" t="s">
        <v>192</v>
      </c>
      <c r="C123" s="6" t="s">
        <v>1692</v>
      </c>
      <c r="D123" s="6" t="s">
        <v>214</v>
      </c>
      <c r="E123" s="6" t="s">
        <v>1013</v>
      </c>
      <c r="F123" s="6"/>
      <c r="G123" s="6"/>
      <c r="H123" s="6"/>
      <c r="I123" s="6"/>
      <c r="J123" s="6"/>
      <c r="K123" s="6" t="s">
        <v>1104</v>
      </c>
      <c r="L123" s="6" t="s">
        <v>1694</v>
      </c>
      <c r="M123" s="6"/>
      <c r="N123" s="6" t="s">
        <v>1695</v>
      </c>
      <c r="O123" s="6" t="s">
        <v>1115</v>
      </c>
      <c r="P123" s="6" t="s">
        <v>1110</v>
      </c>
      <c r="Q123" s="5" t="s">
        <v>1705</v>
      </c>
    </row>
    <row r="124" spans="1:17" x14ac:dyDescent="0.2">
      <c r="A124" s="6" t="b">
        <v>1</v>
      </c>
      <c r="B124" s="6" t="s">
        <v>192</v>
      </c>
      <c r="C124" s="6" t="s">
        <v>136</v>
      </c>
      <c r="D124" s="6" t="s">
        <v>215</v>
      </c>
      <c r="E124" s="6" t="s">
        <v>1013</v>
      </c>
      <c r="F124" s="6"/>
      <c r="G124" s="6"/>
      <c r="H124" s="6"/>
      <c r="I124" s="6"/>
      <c r="J124" s="6"/>
      <c r="K124" s="6" t="s">
        <v>1104</v>
      </c>
      <c r="L124" s="6" t="s">
        <v>1694</v>
      </c>
      <c r="M124" s="6"/>
      <c r="N124" s="6" t="s">
        <v>1696</v>
      </c>
      <c r="O124" s="6" t="s">
        <v>1115</v>
      </c>
      <c r="P124" s="6" t="s">
        <v>1110</v>
      </c>
      <c r="Q124" s="5" t="s">
        <v>1705</v>
      </c>
    </row>
    <row r="125" spans="1:17" x14ac:dyDescent="0.2">
      <c r="A125" s="6" t="b">
        <v>1</v>
      </c>
      <c r="B125" s="6" t="s">
        <v>192</v>
      </c>
      <c r="C125" s="6" t="s">
        <v>136</v>
      </c>
      <c r="D125" s="6" t="s">
        <v>216</v>
      </c>
      <c r="E125" s="6" t="s">
        <v>1013</v>
      </c>
      <c r="F125" s="6"/>
      <c r="G125" s="6"/>
      <c r="H125" s="6"/>
      <c r="I125" s="6"/>
      <c r="J125" s="6"/>
      <c r="K125" s="6" t="s">
        <v>1104</v>
      </c>
      <c r="L125" s="6" t="s">
        <v>1694</v>
      </c>
      <c r="M125" s="6"/>
      <c r="N125" s="6" t="s">
        <v>1697</v>
      </c>
      <c r="O125" s="6" t="s">
        <v>1115</v>
      </c>
      <c r="P125" s="6" t="s">
        <v>1110</v>
      </c>
      <c r="Q125" s="5" t="s">
        <v>1705</v>
      </c>
    </row>
    <row r="126" spans="1:17" x14ac:dyDescent="0.2">
      <c r="A126" s="6" t="b">
        <v>1</v>
      </c>
      <c r="B126" s="6" t="s">
        <v>192</v>
      </c>
      <c r="C126" s="6" t="s">
        <v>136</v>
      </c>
      <c r="D126" s="6" t="s">
        <v>217</v>
      </c>
      <c r="E126" s="6" t="s">
        <v>1013</v>
      </c>
      <c r="F126" s="6"/>
      <c r="G126" s="6"/>
      <c r="H126" s="6"/>
      <c r="I126" s="6"/>
      <c r="J126" s="6"/>
      <c r="K126" s="6" t="s">
        <v>1104</v>
      </c>
      <c r="L126" s="6" t="s">
        <v>1694</v>
      </c>
      <c r="M126" s="6"/>
      <c r="N126" s="6" t="s">
        <v>1698</v>
      </c>
      <c r="O126" s="6" t="s">
        <v>1115</v>
      </c>
      <c r="P126" s="6" t="s">
        <v>1110</v>
      </c>
      <c r="Q126" s="5" t="s">
        <v>1705</v>
      </c>
    </row>
    <row r="127" spans="1:17" x14ac:dyDescent="0.2">
      <c r="A127" s="6" t="b">
        <v>1</v>
      </c>
      <c r="B127" s="6" t="s">
        <v>192</v>
      </c>
      <c r="C127" s="6" t="s">
        <v>136</v>
      </c>
      <c r="D127" s="6" t="s">
        <v>218</v>
      </c>
      <c r="E127" s="6" t="s">
        <v>1013</v>
      </c>
      <c r="F127" s="6"/>
      <c r="G127" s="6"/>
      <c r="H127" s="6"/>
      <c r="I127" s="6"/>
      <c r="J127" s="6"/>
      <c r="K127" s="6" t="s">
        <v>1104</v>
      </c>
      <c r="L127" s="6" t="s">
        <v>1694</v>
      </c>
      <c r="M127" s="6"/>
      <c r="N127" s="6" t="s">
        <v>1699</v>
      </c>
      <c r="O127" s="6" t="s">
        <v>1115</v>
      </c>
      <c r="P127" s="6" t="s">
        <v>1110</v>
      </c>
      <c r="Q127" s="5" t="s">
        <v>1705</v>
      </c>
    </row>
    <row r="128" spans="1:17" x14ac:dyDescent="0.2">
      <c r="A128" s="6" t="b">
        <v>1</v>
      </c>
      <c r="B128" s="6" t="s">
        <v>192</v>
      </c>
      <c r="C128" s="6" t="s">
        <v>136</v>
      </c>
      <c r="D128" s="6" t="s">
        <v>219</v>
      </c>
      <c r="E128" s="6" t="s">
        <v>1013</v>
      </c>
      <c r="F128" s="6"/>
      <c r="G128" s="6"/>
      <c r="H128" s="6"/>
      <c r="I128" s="6"/>
      <c r="J128" s="6"/>
      <c r="K128" s="6" t="s">
        <v>1104</v>
      </c>
      <c r="L128" s="6" t="s">
        <v>1694</v>
      </c>
      <c r="M128" s="6"/>
      <c r="N128" s="6" t="s">
        <v>1700</v>
      </c>
      <c r="O128" s="6" t="s">
        <v>1115</v>
      </c>
      <c r="P128" s="6" t="s">
        <v>1110</v>
      </c>
      <c r="Q128" s="5" t="s">
        <v>1705</v>
      </c>
    </row>
    <row r="129" spans="1:17" x14ac:dyDescent="0.2">
      <c r="A129" s="6" t="b">
        <v>1</v>
      </c>
      <c r="B129" s="6" t="s">
        <v>192</v>
      </c>
      <c r="C129" s="6" t="s">
        <v>136</v>
      </c>
      <c r="D129" s="6" t="s">
        <v>220</v>
      </c>
      <c r="E129" s="6" t="s">
        <v>1013</v>
      </c>
      <c r="F129" s="6"/>
      <c r="G129" s="6"/>
      <c r="H129" s="6"/>
      <c r="I129" s="6"/>
      <c r="J129" s="6"/>
      <c r="K129" s="6" t="s">
        <v>1104</v>
      </c>
      <c r="L129" s="6" t="s">
        <v>1694</v>
      </c>
      <c r="M129" s="6"/>
      <c r="N129" s="6" t="s">
        <v>1701</v>
      </c>
      <c r="O129" s="6" t="s">
        <v>1115</v>
      </c>
      <c r="P129" s="6" t="s">
        <v>1110</v>
      </c>
      <c r="Q129" s="5" t="s">
        <v>1705</v>
      </c>
    </row>
    <row r="130" spans="1:17" x14ac:dyDescent="0.2">
      <c r="A130" s="6" t="b">
        <v>1</v>
      </c>
      <c r="B130" s="6" t="s">
        <v>192</v>
      </c>
      <c r="C130" s="6" t="s">
        <v>136</v>
      </c>
      <c r="D130" s="6" t="s">
        <v>1206</v>
      </c>
      <c r="E130" s="6" t="s">
        <v>1013</v>
      </c>
      <c r="F130" s="6"/>
      <c r="G130" s="6"/>
      <c r="H130" s="6"/>
      <c r="I130" s="6"/>
      <c r="J130" s="6"/>
      <c r="K130" s="6" t="s">
        <v>1104</v>
      </c>
      <c r="L130" s="6" t="s">
        <v>1694</v>
      </c>
      <c r="M130" s="6"/>
      <c r="N130" s="6" t="s">
        <v>1702</v>
      </c>
      <c r="O130" s="6" t="s">
        <v>1115</v>
      </c>
      <c r="P130" s="6" t="s">
        <v>1110</v>
      </c>
      <c r="Q130" s="5" t="s">
        <v>1705</v>
      </c>
    </row>
    <row r="131" spans="1:17" x14ac:dyDescent="0.2">
      <c r="A131" s="6" t="b">
        <v>1</v>
      </c>
      <c r="B131" s="6" t="s">
        <v>192</v>
      </c>
      <c r="C131" s="6" t="s">
        <v>136</v>
      </c>
      <c r="D131" s="6" t="s">
        <v>221</v>
      </c>
      <c r="E131" s="6" t="s">
        <v>1013</v>
      </c>
      <c r="F131" s="6"/>
      <c r="G131" s="6"/>
      <c r="H131" s="6"/>
      <c r="I131" s="6"/>
      <c r="J131" s="6"/>
      <c r="K131" s="6" t="s">
        <v>1104</v>
      </c>
      <c r="L131" s="6" t="s">
        <v>1694</v>
      </c>
      <c r="M131" s="6"/>
      <c r="N131" s="6" t="s">
        <v>1703</v>
      </c>
      <c r="O131" s="6" t="s">
        <v>1115</v>
      </c>
      <c r="P131" s="6" t="s">
        <v>1110</v>
      </c>
      <c r="Q131" s="5" t="s">
        <v>1705</v>
      </c>
    </row>
    <row r="132" spans="1:17" x14ac:dyDescent="0.2">
      <c r="A132" s="6" t="b">
        <v>1</v>
      </c>
      <c r="B132" s="6" t="s">
        <v>192</v>
      </c>
      <c r="C132" s="6" t="s">
        <v>136</v>
      </c>
      <c r="D132" s="6" t="s">
        <v>222</v>
      </c>
      <c r="E132" s="6" t="s">
        <v>1013</v>
      </c>
      <c r="F132" s="6"/>
      <c r="G132" s="6"/>
      <c r="H132" s="6"/>
      <c r="I132" s="6"/>
      <c r="J132" s="6"/>
      <c r="K132" s="6" t="s">
        <v>1104</v>
      </c>
      <c r="L132" s="6" t="s">
        <v>1694</v>
      </c>
      <c r="M132" s="6"/>
      <c r="N132" s="6" t="s">
        <v>1704</v>
      </c>
      <c r="O132" s="6" t="s">
        <v>1115</v>
      </c>
      <c r="P132" s="6" t="s">
        <v>1110</v>
      </c>
      <c r="Q132" s="5" t="s">
        <v>1705</v>
      </c>
    </row>
    <row r="133" spans="1:17" x14ac:dyDescent="0.2">
      <c r="A133" s="6" t="b">
        <v>1</v>
      </c>
      <c r="B133" s="6" t="s">
        <v>192</v>
      </c>
      <c r="C133" s="6" t="s">
        <v>143</v>
      </c>
      <c r="D133" s="6" t="s">
        <v>226</v>
      </c>
      <c r="E133" s="6" t="s">
        <v>1331</v>
      </c>
      <c r="F133" s="6" t="s">
        <v>1092</v>
      </c>
      <c r="G133" s="6" t="s">
        <v>1708</v>
      </c>
      <c r="H133" s="6"/>
      <c r="I133" s="6"/>
      <c r="J133" s="6"/>
      <c r="K133" s="6" t="s">
        <v>1105</v>
      </c>
      <c r="L133" s="6"/>
      <c r="M133" s="6" t="s">
        <v>1708</v>
      </c>
      <c r="N133" s="6" t="s">
        <v>814</v>
      </c>
      <c r="O133" s="6" t="s">
        <v>497</v>
      </c>
      <c r="P133" s="6" t="s">
        <v>497</v>
      </c>
      <c r="Q133" s="5" t="s">
        <v>1719</v>
      </c>
    </row>
    <row r="134" spans="1:17" x14ac:dyDescent="0.2">
      <c r="A134" s="6" t="b">
        <v>1</v>
      </c>
      <c r="B134" s="6" t="s">
        <v>192</v>
      </c>
      <c r="C134" s="6" t="s">
        <v>143</v>
      </c>
      <c r="D134" s="6" t="s">
        <v>227</v>
      </c>
      <c r="E134" s="6" t="s">
        <v>1331</v>
      </c>
      <c r="F134" s="6" t="s">
        <v>1092</v>
      </c>
      <c r="G134" s="6" t="s">
        <v>1712</v>
      </c>
      <c r="H134" s="6"/>
      <c r="I134" s="6"/>
      <c r="J134" s="6"/>
      <c r="K134" s="6" t="s">
        <v>1105</v>
      </c>
      <c r="L134" s="6"/>
      <c r="M134" s="6" t="s">
        <v>1712</v>
      </c>
      <c r="N134" s="6" t="s">
        <v>1713</v>
      </c>
      <c r="O134" s="6" t="s">
        <v>497</v>
      </c>
      <c r="P134" s="6" t="s">
        <v>497</v>
      </c>
      <c r="Q134" s="5" t="s">
        <v>1719</v>
      </c>
    </row>
    <row r="135" spans="1:17" x14ac:dyDescent="0.2">
      <c r="A135" s="6" t="b">
        <v>1</v>
      </c>
      <c r="B135" s="6" t="s">
        <v>192</v>
      </c>
      <c r="C135" s="6" t="s">
        <v>143</v>
      </c>
      <c r="D135" s="6" t="s">
        <v>228</v>
      </c>
      <c r="E135" s="6" t="s">
        <v>1331</v>
      </c>
      <c r="F135" s="6" t="s">
        <v>1092</v>
      </c>
      <c r="G135" s="6" t="s">
        <v>1712</v>
      </c>
      <c r="H135" s="6"/>
      <c r="I135" s="6"/>
      <c r="J135" s="6"/>
      <c r="K135" s="6" t="s">
        <v>1105</v>
      </c>
      <c r="L135" s="6"/>
      <c r="M135" s="6" t="s">
        <v>1712</v>
      </c>
      <c r="N135" s="6" t="s">
        <v>1714</v>
      </c>
      <c r="O135" s="6" t="s">
        <v>497</v>
      </c>
      <c r="P135" s="6" t="s">
        <v>497</v>
      </c>
      <c r="Q135" s="5" t="s">
        <v>1719</v>
      </c>
    </row>
    <row r="136" spans="1:17" x14ac:dyDescent="0.2">
      <c r="A136" s="6" t="b">
        <v>1</v>
      </c>
      <c r="B136" s="6" t="s">
        <v>192</v>
      </c>
      <c r="C136" s="6" t="s">
        <v>143</v>
      </c>
      <c r="D136" s="6" t="s">
        <v>229</v>
      </c>
      <c r="E136" s="6" t="s">
        <v>1331</v>
      </c>
      <c r="F136" s="6" t="s">
        <v>1092</v>
      </c>
      <c r="G136" s="6" t="s">
        <v>1708</v>
      </c>
      <c r="H136" s="6"/>
      <c r="I136" s="6"/>
      <c r="J136" s="6"/>
      <c r="K136" s="6" t="s">
        <v>1105</v>
      </c>
      <c r="L136" s="6"/>
      <c r="M136" s="6" t="s">
        <v>1708</v>
      </c>
      <c r="N136" s="6" t="s">
        <v>1715</v>
      </c>
      <c r="O136" s="6" t="s">
        <v>497</v>
      </c>
      <c r="P136" s="6" t="s">
        <v>497</v>
      </c>
      <c r="Q136" s="5" t="s">
        <v>1719</v>
      </c>
    </row>
    <row r="137" spans="1:17" x14ac:dyDescent="0.2">
      <c r="A137" s="6" t="b">
        <v>1</v>
      </c>
      <c r="B137" s="6" t="s">
        <v>192</v>
      </c>
      <c r="C137" s="6" t="s">
        <v>143</v>
      </c>
      <c r="D137" s="6" t="s">
        <v>230</v>
      </c>
      <c r="E137" s="6" t="s">
        <v>1331</v>
      </c>
      <c r="F137" s="6" t="s">
        <v>1092</v>
      </c>
      <c r="G137" s="6" t="s">
        <v>1708</v>
      </c>
      <c r="H137" s="6"/>
      <c r="I137" s="6"/>
      <c r="J137" s="6"/>
      <c r="K137" s="6" t="s">
        <v>1105</v>
      </c>
      <c r="L137" s="6"/>
      <c r="M137" s="6" t="s">
        <v>1708</v>
      </c>
      <c r="N137" s="6" t="s">
        <v>1716</v>
      </c>
      <c r="O137" s="6" t="s">
        <v>497</v>
      </c>
      <c r="P137" s="6" t="s">
        <v>497</v>
      </c>
      <c r="Q137" s="5" t="s">
        <v>1719</v>
      </c>
    </row>
    <row r="138" spans="1:17" x14ac:dyDescent="0.2">
      <c r="A138" s="6" t="b">
        <v>1</v>
      </c>
      <c r="B138" s="6" t="s">
        <v>192</v>
      </c>
      <c r="C138" s="6" t="s">
        <v>143</v>
      </c>
      <c r="D138" s="6" t="s">
        <v>231</v>
      </c>
      <c r="E138" s="6" t="s">
        <v>1331</v>
      </c>
      <c r="F138" s="6" t="s">
        <v>1092</v>
      </c>
      <c r="G138" s="6" t="s">
        <v>1708</v>
      </c>
      <c r="H138" s="6"/>
      <c r="I138" s="6"/>
      <c r="J138" s="6"/>
      <c r="K138" s="6" t="s">
        <v>1105</v>
      </c>
      <c r="L138" s="6"/>
      <c r="M138" s="6" t="s">
        <v>1708</v>
      </c>
      <c r="N138" s="6" t="s">
        <v>1717</v>
      </c>
      <c r="O138" s="6" t="s">
        <v>497</v>
      </c>
      <c r="P138" s="6" t="s">
        <v>497</v>
      </c>
      <c r="Q138" s="5" t="s">
        <v>1719</v>
      </c>
    </row>
    <row r="139" spans="1:17" x14ac:dyDescent="0.2">
      <c r="A139" s="6" t="b">
        <v>1</v>
      </c>
      <c r="B139" s="6" t="s">
        <v>192</v>
      </c>
      <c r="C139" s="6" t="s">
        <v>143</v>
      </c>
      <c r="D139" s="6" t="s">
        <v>232</v>
      </c>
      <c r="E139" s="6" t="s">
        <v>1331</v>
      </c>
      <c r="F139" s="6" t="s">
        <v>1092</v>
      </c>
      <c r="G139" s="6" t="s">
        <v>1712</v>
      </c>
      <c r="H139" s="6"/>
      <c r="I139" s="6"/>
      <c r="J139" s="6"/>
      <c r="K139" s="6" t="s">
        <v>1105</v>
      </c>
      <c r="L139" s="6"/>
      <c r="M139" s="6" t="s">
        <v>1712</v>
      </c>
      <c r="N139" s="6" t="s">
        <v>1718</v>
      </c>
      <c r="O139" s="6" t="s">
        <v>497</v>
      </c>
      <c r="P139" s="6" t="s">
        <v>497</v>
      </c>
      <c r="Q139" s="5" t="s">
        <v>1719</v>
      </c>
    </row>
    <row r="140" spans="1:17" x14ac:dyDescent="0.2">
      <c r="A140" s="6" t="b">
        <v>1</v>
      </c>
      <c r="B140" s="6" t="s">
        <v>192</v>
      </c>
      <c r="C140" s="6" t="s">
        <v>143</v>
      </c>
      <c r="D140" s="6" t="s">
        <v>1207</v>
      </c>
      <c r="E140" s="6" t="s">
        <v>1331</v>
      </c>
      <c r="F140" s="6" t="s">
        <v>1092</v>
      </c>
      <c r="G140" s="21" t="s">
        <v>1554</v>
      </c>
      <c r="H140" s="6"/>
      <c r="I140" s="6"/>
      <c r="J140" s="6"/>
      <c r="K140" s="6" t="s">
        <v>1105</v>
      </c>
      <c r="L140" s="6"/>
      <c r="M140" s="21" t="s">
        <v>1554</v>
      </c>
      <c r="N140" s="22" t="s">
        <v>1720</v>
      </c>
      <c r="O140" s="6" t="s">
        <v>497</v>
      </c>
      <c r="P140" s="6" t="s">
        <v>497</v>
      </c>
      <c r="Q140" s="5" t="s">
        <v>1719</v>
      </c>
    </row>
    <row r="141" spans="1:17" x14ac:dyDescent="0.2">
      <c r="A141" s="6" t="b">
        <v>1</v>
      </c>
      <c r="B141" s="6" t="s">
        <v>192</v>
      </c>
      <c r="C141" s="6" t="s">
        <v>143</v>
      </c>
      <c r="D141" s="6" t="s">
        <v>233</v>
      </c>
      <c r="E141" s="6" t="s">
        <v>1331</v>
      </c>
      <c r="F141" s="6" t="s">
        <v>1092</v>
      </c>
      <c r="G141" s="6" t="s">
        <v>1710</v>
      </c>
      <c r="H141" s="6"/>
      <c r="I141" s="6"/>
      <c r="J141" s="6"/>
      <c r="K141" s="6" t="s">
        <v>1105</v>
      </c>
      <c r="L141" s="6"/>
      <c r="M141" s="6" t="s">
        <v>1710</v>
      </c>
      <c r="N141" s="6" t="b">
        <v>1</v>
      </c>
      <c r="O141" s="6" t="s">
        <v>497</v>
      </c>
      <c r="P141" s="6" t="s">
        <v>497</v>
      </c>
      <c r="Q141" s="5" t="s">
        <v>1719</v>
      </c>
    </row>
    <row r="142" spans="1:17" x14ac:dyDescent="0.2">
      <c r="A142" s="6" t="b">
        <v>1</v>
      </c>
      <c r="B142" s="6" t="s">
        <v>192</v>
      </c>
      <c r="C142" s="6" t="s">
        <v>1193</v>
      </c>
      <c r="D142" s="6" t="s">
        <v>1885</v>
      </c>
      <c r="E142" s="6" t="s">
        <v>1331</v>
      </c>
      <c r="F142" s="6" t="s">
        <v>1092</v>
      </c>
      <c r="G142" s="6" t="s">
        <v>1737</v>
      </c>
      <c r="H142" s="6"/>
      <c r="I142" s="6"/>
      <c r="J142" s="6"/>
      <c r="K142" s="6" t="s">
        <v>1105</v>
      </c>
      <c r="L142" s="6"/>
      <c r="M142" s="6" t="s">
        <v>1737</v>
      </c>
      <c r="N142" s="6" t="s">
        <v>1885</v>
      </c>
      <c r="O142" s="6" t="s">
        <v>497</v>
      </c>
      <c r="P142" s="6" t="s">
        <v>497</v>
      </c>
      <c r="Q142" s="5" t="s">
        <v>1738</v>
      </c>
    </row>
    <row r="143" spans="1:17" x14ac:dyDescent="0.2">
      <c r="A143" s="6" t="b">
        <v>1</v>
      </c>
      <c r="B143" s="6" t="s">
        <v>192</v>
      </c>
      <c r="C143" s="6" t="s">
        <v>13</v>
      </c>
      <c r="D143" s="6" t="s">
        <v>1886</v>
      </c>
      <c r="E143" s="6" t="s">
        <v>1331</v>
      </c>
      <c r="F143" s="6" t="s">
        <v>1092</v>
      </c>
      <c r="G143" s="6" t="s">
        <v>1742</v>
      </c>
      <c r="H143" s="6"/>
      <c r="I143" s="6"/>
      <c r="J143" s="6"/>
      <c r="K143" s="6" t="s">
        <v>1105</v>
      </c>
      <c r="L143" s="6"/>
      <c r="M143" s="6" t="s">
        <v>1742</v>
      </c>
      <c r="N143" s="6" t="s">
        <v>1886</v>
      </c>
      <c r="O143" s="6" t="s">
        <v>497</v>
      </c>
      <c r="P143" s="6" t="s">
        <v>497</v>
      </c>
      <c r="Q143" s="5" t="s">
        <v>1743</v>
      </c>
    </row>
    <row r="144" spans="1:17" x14ac:dyDescent="0.2">
      <c r="A144" s="6" t="b">
        <v>1</v>
      </c>
      <c r="B144" s="6" t="s">
        <v>192</v>
      </c>
      <c r="C144" s="6" t="s">
        <v>15</v>
      </c>
      <c r="D144" s="6" t="s">
        <v>1887</v>
      </c>
      <c r="E144" s="6" t="s">
        <v>1331</v>
      </c>
      <c r="F144" s="6" t="s">
        <v>1092</v>
      </c>
      <c r="G144" s="6" t="s">
        <v>1746</v>
      </c>
      <c r="H144" s="6"/>
      <c r="I144" s="6"/>
      <c r="J144" s="6"/>
      <c r="K144" s="6" t="s">
        <v>1105</v>
      </c>
      <c r="L144" s="6"/>
      <c r="M144" s="6" t="s">
        <v>1746</v>
      </c>
      <c r="N144" s="6" t="s">
        <v>1887</v>
      </c>
      <c r="O144" s="6" t="s">
        <v>497</v>
      </c>
      <c r="P144" s="6" t="s">
        <v>497</v>
      </c>
      <c r="Q144" s="5" t="s">
        <v>1743</v>
      </c>
    </row>
    <row r="145" spans="1:17" x14ac:dyDescent="0.2">
      <c r="A145" s="6" t="b">
        <v>1</v>
      </c>
      <c r="B145" s="6" t="s">
        <v>192</v>
      </c>
      <c r="C145" s="6" t="s">
        <v>18</v>
      </c>
      <c r="D145" s="6" t="s">
        <v>1888</v>
      </c>
      <c r="E145" s="6" t="s">
        <v>1331</v>
      </c>
      <c r="F145" s="6" t="s">
        <v>1092</v>
      </c>
      <c r="G145" s="6" t="s">
        <v>1747</v>
      </c>
      <c r="H145" s="6"/>
      <c r="I145" s="6"/>
      <c r="J145" s="6"/>
      <c r="K145" s="6" t="s">
        <v>1105</v>
      </c>
      <c r="L145" s="6"/>
      <c r="M145" s="6" t="s">
        <v>1747</v>
      </c>
      <c r="N145" s="6" t="s">
        <v>1888</v>
      </c>
      <c r="O145" s="6" t="s">
        <v>497</v>
      </c>
      <c r="P145" s="6" t="s">
        <v>497</v>
      </c>
      <c r="Q145" s="5" t="s">
        <v>1743</v>
      </c>
    </row>
    <row r="146" spans="1:17" x14ac:dyDescent="0.2">
      <c r="A146" s="6" t="b">
        <v>1</v>
      </c>
      <c r="B146" s="6" t="s">
        <v>192</v>
      </c>
      <c r="C146" s="6" t="s">
        <v>87</v>
      </c>
      <c r="D146" s="6" t="s">
        <v>1889</v>
      </c>
      <c r="E146" s="6" t="s">
        <v>1331</v>
      </c>
      <c r="F146" s="6" t="s">
        <v>1092</v>
      </c>
      <c r="G146" s="6" t="s">
        <v>1752</v>
      </c>
      <c r="H146" s="6"/>
      <c r="I146" s="6"/>
      <c r="J146" s="6"/>
      <c r="K146" s="6" t="s">
        <v>1105</v>
      </c>
      <c r="L146" s="6"/>
      <c r="M146" s="6" t="s">
        <v>1752</v>
      </c>
      <c r="N146" s="6" t="s">
        <v>1889</v>
      </c>
      <c r="O146" s="6" t="s">
        <v>497</v>
      </c>
      <c r="P146" s="6" t="s">
        <v>497</v>
      </c>
      <c r="Q146" s="5" t="s">
        <v>1743</v>
      </c>
    </row>
    <row r="147" spans="1:17" x14ac:dyDescent="0.2">
      <c r="A147" s="6" t="b">
        <v>1</v>
      </c>
      <c r="B147" s="6" t="s">
        <v>192</v>
      </c>
      <c r="C147" s="6" t="s">
        <v>100</v>
      </c>
      <c r="D147" s="6" t="s">
        <v>1890</v>
      </c>
      <c r="E147" s="6" t="s">
        <v>1331</v>
      </c>
      <c r="F147" s="6" t="s">
        <v>1092</v>
      </c>
      <c r="G147" s="6" t="s">
        <v>1756</v>
      </c>
      <c r="H147" s="6"/>
      <c r="I147" s="6"/>
      <c r="J147" s="6"/>
      <c r="K147" s="6" t="s">
        <v>1105</v>
      </c>
      <c r="L147" s="6"/>
      <c r="M147" s="6" t="s">
        <v>1756</v>
      </c>
      <c r="N147" s="6" t="s">
        <v>1890</v>
      </c>
      <c r="O147" s="6" t="s">
        <v>497</v>
      </c>
      <c r="P147" s="6" t="s">
        <v>497</v>
      </c>
      <c r="Q147" s="5" t="s">
        <v>1743</v>
      </c>
    </row>
    <row r="148" spans="1:17" x14ac:dyDescent="0.2">
      <c r="A148" s="6" t="b">
        <v>1</v>
      </c>
      <c r="B148" s="6" t="s">
        <v>192</v>
      </c>
      <c r="C148" s="6" t="s">
        <v>1200</v>
      </c>
      <c r="D148" s="6" t="s">
        <v>1891</v>
      </c>
      <c r="E148" s="6" t="s">
        <v>1331</v>
      </c>
      <c r="F148" s="6" t="s">
        <v>1092</v>
      </c>
      <c r="G148" s="6" t="s">
        <v>1760</v>
      </c>
      <c r="H148" s="6"/>
      <c r="I148" s="6"/>
      <c r="J148" s="6"/>
      <c r="K148" s="6" t="s">
        <v>1105</v>
      </c>
      <c r="L148" s="6"/>
      <c r="M148" s="6" t="s">
        <v>1760</v>
      </c>
      <c r="N148" s="6" t="s">
        <v>1891</v>
      </c>
      <c r="O148" s="6" t="s">
        <v>497</v>
      </c>
      <c r="P148" s="6" t="s">
        <v>497</v>
      </c>
      <c r="Q148" s="5" t="s">
        <v>1761</v>
      </c>
    </row>
    <row r="149" spans="1:17" x14ac:dyDescent="0.2">
      <c r="A149" s="6" t="b">
        <v>1</v>
      </c>
      <c r="B149" s="6" t="s">
        <v>192</v>
      </c>
      <c r="C149" s="6" t="s">
        <v>1167</v>
      </c>
      <c r="D149" s="6" t="s">
        <v>1765</v>
      </c>
      <c r="E149" s="6" t="s">
        <v>1013</v>
      </c>
      <c r="F149" s="6"/>
      <c r="G149" s="6"/>
      <c r="H149" s="6" t="s">
        <v>1766</v>
      </c>
      <c r="I149" s="6"/>
      <c r="J149" s="6"/>
      <c r="K149" s="6" t="s">
        <v>1105</v>
      </c>
      <c r="L149" s="6" t="s">
        <v>1765</v>
      </c>
      <c r="M149" s="6"/>
      <c r="N149" s="6" t="b">
        <v>1</v>
      </c>
      <c r="O149" s="6" t="s">
        <v>1528</v>
      </c>
      <c r="P149" s="6" t="s">
        <v>1111</v>
      </c>
      <c r="Q149" s="5" t="s">
        <v>1767</v>
      </c>
    </row>
    <row r="150" spans="1:17" x14ac:dyDescent="0.2">
      <c r="A150" s="6" t="b">
        <v>1</v>
      </c>
      <c r="B150" s="6" t="s">
        <v>192</v>
      </c>
      <c r="C150" s="6" t="s">
        <v>1167</v>
      </c>
      <c r="D150" s="6" t="s">
        <v>1765</v>
      </c>
      <c r="E150" s="6" t="s">
        <v>1013</v>
      </c>
      <c r="F150" s="6"/>
      <c r="G150" s="6"/>
      <c r="H150" s="6" t="s">
        <v>1766</v>
      </c>
      <c r="I150" s="6"/>
      <c r="J150" s="6"/>
      <c r="K150" s="6" t="s">
        <v>1105</v>
      </c>
      <c r="L150" s="6" t="s">
        <v>1765</v>
      </c>
      <c r="M150" s="6"/>
      <c r="N150" s="6" t="b">
        <v>0</v>
      </c>
      <c r="O150" s="6" t="s">
        <v>1528</v>
      </c>
      <c r="P150" s="6" t="s">
        <v>1111</v>
      </c>
      <c r="Q150" s="5" t="s">
        <v>1767</v>
      </c>
    </row>
    <row r="151" spans="1:17" x14ac:dyDescent="0.2">
      <c r="A151" s="6" t="b">
        <v>1</v>
      </c>
      <c r="B151" s="6" t="s">
        <v>192</v>
      </c>
      <c r="C151" s="6" t="s">
        <v>147</v>
      </c>
      <c r="D151" s="6" t="s">
        <v>1773</v>
      </c>
      <c r="E151" s="6" t="s">
        <v>1331</v>
      </c>
      <c r="F151" s="6" t="s">
        <v>1092</v>
      </c>
      <c r="G151" s="6" t="s">
        <v>1774</v>
      </c>
      <c r="H151" s="6"/>
      <c r="I151" s="6"/>
      <c r="J151" s="6"/>
      <c r="K151" s="6" t="s">
        <v>1105</v>
      </c>
      <c r="L151" s="6"/>
      <c r="M151" s="6" t="s">
        <v>1774</v>
      </c>
      <c r="N151" s="6" t="s">
        <v>1773</v>
      </c>
      <c r="O151" s="6" t="s">
        <v>497</v>
      </c>
      <c r="P151" s="6" t="s">
        <v>497</v>
      </c>
      <c r="Q151" s="5" t="s">
        <v>1775</v>
      </c>
    </row>
    <row r="152" spans="1:17" x14ac:dyDescent="0.2">
      <c r="A152" s="6" t="b">
        <v>1</v>
      </c>
      <c r="B152" s="6" t="s">
        <v>192</v>
      </c>
      <c r="C152" s="6" t="s">
        <v>1168</v>
      </c>
      <c r="D152" s="6" t="s">
        <v>1780</v>
      </c>
      <c r="E152" s="6" t="s">
        <v>1013</v>
      </c>
      <c r="F152" s="6"/>
      <c r="G152" s="6"/>
      <c r="H152" s="6"/>
      <c r="I152" s="6"/>
      <c r="J152" s="6"/>
      <c r="K152" s="6" t="s">
        <v>1105</v>
      </c>
      <c r="L152" s="21" t="s">
        <v>1875</v>
      </c>
      <c r="M152" s="6"/>
      <c r="N152" s="6" t="s">
        <v>1780</v>
      </c>
      <c r="O152" s="6" t="s">
        <v>1048</v>
      </c>
      <c r="P152" s="6" t="s">
        <v>1110</v>
      </c>
      <c r="Q152" s="5" t="s">
        <v>1876</v>
      </c>
    </row>
    <row r="153" spans="1:17" x14ac:dyDescent="0.2">
      <c r="A153" s="6" t="b">
        <v>1</v>
      </c>
      <c r="B153" s="6" t="s">
        <v>192</v>
      </c>
      <c r="C153" s="6" t="s">
        <v>140</v>
      </c>
      <c r="D153" s="6" t="s">
        <v>1790</v>
      </c>
      <c r="E153" s="6" t="s">
        <v>1331</v>
      </c>
      <c r="F153" s="6" t="s">
        <v>1092</v>
      </c>
      <c r="G153" s="23" t="s">
        <v>1791</v>
      </c>
      <c r="H153" s="6"/>
      <c r="I153" s="6"/>
      <c r="J153" s="6"/>
      <c r="K153" s="6" t="s">
        <v>1105</v>
      </c>
      <c r="L153" s="6"/>
      <c r="M153" s="6" t="s">
        <v>1791</v>
      </c>
      <c r="N153" s="6" t="s">
        <v>1790</v>
      </c>
      <c r="O153" s="6" t="s">
        <v>497</v>
      </c>
      <c r="P153" s="6" t="s">
        <v>497</v>
      </c>
      <c r="Q153" s="5" t="s">
        <v>1792</v>
      </c>
    </row>
    <row r="154" spans="1:17" x14ac:dyDescent="0.2">
      <c r="A154" s="6" t="b">
        <v>1</v>
      </c>
      <c r="B154" s="6" t="s">
        <v>192</v>
      </c>
      <c r="C154" s="6" t="s">
        <v>1161</v>
      </c>
      <c r="D154" s="6" t="s">
        <v>200</v>
      </c>
      <c r="E154" s="6" t="s">
        <v>1013</v>
      </c>
      <c r="F154" s="6"/>
      <c r="G154" s="6"/>
      <c r="H154" s="6"/>
      <c r="I154" s="6"/>
      <c r="J154" s="6"/>
      <c r="K154" s="6" t="s">
        <v>1105</v>
      </c>
      <c r="L154" s="6" t="s">
        <v>1794</v>
      </c>
      <c r="M154" s="6"/>
      <c r="N154" s="6" t="s">
        <v>1797</v>
      </c>
      <c r="O154" s="6" t="s">
        <v>497</v>
      </c>
      <c r="P154" s="6" t="s">
        <v>497</v>
      </c>
      <c r="Q154" s="5" t="s">
        <v>1793</v>
      </c>
    </row>
    <row r="155" spans="1:17" x14ac:dyDescent="0.2">
      <c r="A155" s="6" t="b">
        <v>1</v>
      </c>
      <c r="B155" s="6" t="s">
        <v>192</v>
      </c>
      <c r="C155" s="6" t="s">
        <v>1161</v>
      </c>
      <c r="D155" s="6" t="s">
        <v>201</v>
      </c>
      <c r="E155" s="6" t="s">
        <v>1013</v>
      </c>
      <c r="F155" s="6"/>
      <c r="G155" s="6"/>
      <c r="H155" s="6"/>
      <c r="I155" s="6"/>
      <c r="J155" s="6"/>
      <c r="K155" s="6" t="s">
        <v>1105</v>
      </c>
      <c r="L155" s="6" t="s">
        <v>1794</v>
      </c>
      <c r="M155" s="6"/>
      <c r="N155" s="6" t="s">
        <v>1796</v>
      </c>
      <c r="O155" s="6" t="s">
        <v>497</v>
      </c>
      <c r="P155" s="6" t="s">
        <v>497</v>
      </c>
      <c r="Q155" s="5" t="s">
        <v>1793</v>
      </c>
    </row>
    <row r="156" spans="1:17" x14ac:dyDescent="0.2">
      <c r="A156" s="6" t="b">
        <v>1</v>
      </c>
      <c r="B156" s="6" t="s">
        <v>192</v>
      </c>
      <c r="C156" s="6" t="s">
        <v>1161</v>
      </c>
      <c r="D156" s="6" t="s">
        <v>202</v>
      </c>
      <c r="E156" s="6" t="s">
        <v>1013</v>
      </c>
      <c r="F156" s="6"/>
      <c r="G156" s="6"/>
      <c r="H156" s="6"/>
      <c r="I156" s="6"/>
      <c r="J156" s="6"/>
      <c r="K156" s="6" t="s">
        <v>1105</v>
      </c>
      <c r="L156" s="6" t="s">
        <v>1794</v>
      </c>
      <c r="M156" s="6"/>
      <c r="N156" s="6" t="s">
        <v>1795</v>
      </c>
      <c r="O156" s="6" t="s">
        <v>497</v>
      </c>
      <c r="P156" s="6" t="s">
        <v>497</v>
      </c>
      <c r="Q156" s="5" t="s">
        <v>1793</v>
      </c>
    </row>
    <row r="157" spans="1:17" x14ac:dyDescent="0.2">
      <c r="A157" s="6" t="b">
        <v>1</v>
      </c>
      <c r="B157" s="6" t="s">
        <v>192</v>
      </c>
      <c r="C157" s="6" t="s">
        <v>67</v>
      </c>
      <c r="D157" s="6" t="s">
        <v>1799</v>
      </c>
      <c r="E157" s="6" t="s">
        <v>1013</v>
      </c>
      <c r="F157" s="6"/>
      <c r="G157" s="6"/>
      <c r="H157" s="6"/>
      <c r="I157" s="6"/>
      <c r="J157" s="6"/>
      <c r="K157" s="6" t="s">
        <v>1105</v>
      </c>
      <c r="L157" s="6" t="s">
        <v>1801</v>
      </c>
      <c r="M157" s="6"/>
      <c r="N157" s="6" t="s">
        <v>1803</v>
      </c>
      <c r="O157" s="6" t="s">
        <v>1464</v>
      </c>
      <c r="P157" s="6" t="s">
        <v>1110</v>
      </c>
      <c r="Q157" s="5" t="s">
        <v>1805</v>
      </c>
    </row>
    <row r="158" spans="1:17" x14ac:dyDescent="0.2">
      <c r="A158" s="6" t="b">
        <v>1</v>
      </c>
      <c r="B158" s="6" t="s">
        <v>192</v>
      </c>
      <c r="C158" s="6" t="s">
        <v>80</v>
      </c>
      <c r="D158" s="6" t="s">
        <v>1800</v>
      </c>
      <c r="E158" s="6" t="s">
        <v>1013</v>
      </c>
      <c r="F158" s="6"/>
      <c r="G158" s="6"/>
      <c r="H158" s="6"/>
      <c r="I158" s="6"/>
      <c r="J158" s="6"/>
      <c r="K158" s="6" t="s">
        <v>1105</v>
      </c>
      <c r="L158" s="6" t="s">
        <v>1802</v>
      </c>
      <c r="M158" s="6"/>
      <c r="N158" s="6" t="s">
        <v>1804</v>
      </c>
      <c r="O158" s="6" t="s">
        <v>1464</v>
      </c>
      <c r="P158" s="6" t="s">
        <v>1110</v>
      </c>
      <c r="Q158" s="5" t="s">
        <v>1805</v>
      </c>
    </row>
    <row r="159" spans="1:17" x14ac:dyDescent="0.2">
      <c r="A159" s="6" t="b">
        <v>1</v>
      </c>
      <c r="B159" s="6" t="s">
        <v>192</v>
      </c>
      <c r="C159" s="6" t="s">
        <v>94</v>
      </c>
      <c r="D159" s="6" t="s">
        <v>1810</v>
      </c>
      <c r="E159" s="6" t="s">
        <v>1331</v>
      </c>
      <c r="F159" s="6" t="s">
        <v>1092</v>
      </c>
      <c r="G159" s="6" t="s">
        <v>1811</v>
      </c>
      <c r="H159" s="6"/>
      <c r="I159" s="6"/>
      <c r="J159" s="6"/>
      <c r="K159" s="6" t="s">
        <v>1105</v>
      </c>
      <c r="L159" s="6"/>
      <c r="M159" s="6" t="s">
        <v>1811</v>
      </c>
      <c r="N159" s="6" t="s">
        <v>1810</v>
      </c>
      <c r="O159" s="6" t="s">
        <v>497</v>
      </c>
      <c r="P159" s="6" t="s">
        <v>497</v>
      </c>
      <c r="Q159" s="5" t="s">
        <v>1812</v>
      </c>
    </row>
    <row r="160" spans="1:17" x14ac:dyDescent="0.2">
      <c r="A160" s="6" t="b">
        <v>1</v>
      </c>
      <c r="B160" s="6" t="s">
        <v>192</v>
      </c>
      <c r="C160" s="6" t="s">
        <v>1188</v>
      </c>
      <c r="D160" s="6" t="s">
        <v>1232</v>
      </c>
      <c r="E160" s="6" t="s">
        <v>1331</v>
      </c>
      <c r="F160" s="6" t="s">
        <v>1092</v>
      </c>
      <c r="G160" s="6" t="s">
        <v>1815</v>
      </c>
      <c r="H160" s="6"/>
      <c r="I160" s="6"/>
      <c r="J160" s="6"/>
      <c r="K160" s="6" t="s">
        <v>1105</v>
      </c>
      <c r="L160" s="6"/>
      <c r="M160" s="6" t="s">
        <v>1815</v>
      </c>
      <c r="N160" s="6" t="s">
        <v>1818</v>
      </c>
      <c r="O160" s="6" t="s">
        <v>497</v>
      </c>
      <c r="P160" s="6" t="s">
        <v>497</v>
      </c>
      <c r="Q160" s="5" t="s">
        <v>1823</v>
      </c>
    </row>
    <row r="161" spans="1:17" x14ac:dyDescent="0.2">
      <c r="A161" s="6" t="b">
        <v>1</v>
      </c>
      <c r="B161" s="6" t="s">
        <v>192</v>
      </c>
      <c r="C161" s="6" t="s">
        <v>1188</v>
      </c>
      <c r="D161" s="6" t="s">
        <v>1816</v>
      </c>
      <c r="E161" s="6" t="s">
        <v>1331</v>
      </c>
      <c r="F161" s="6" t="s">
        <v>1092</v>
      </c>
      <c r="G161" s="6" t="s">
        <v>1815</v>
      </c>
      <c r="H161" s="6"/>
      <c r="I161" s="6"/>
      <c r="J161" s="6"/>
      <c r="K161" s="6" t="s">
        <v>1105</v>
      </c>
      <c r="L161" s="6"/>
      <c r="M161" s="6" t="s">
        <v>1815</v>
      </c>
      <c r="N161" s="6" t="s">
        <v>1820</v>
      </c>
      <c r="O161" s="6" t="s">
        <v>497</v>
      </c>
      <c r="P161" s="6" t="s">
        <v>497</v>
      </c>
      <c r="Q161" s="5" t="s">
        <v>1823</v>
      </c>
    </row>
    <row r="162" spans="1:17" x14ac:dyDescent="0.2">
      <c r="A162" s="6" t="b">
        <v>1</v>
      </c>
      <c r="B162" s="6" t="s">
        <v>192</v>
      </c>
      <c r="C162" s="6" t="s">
        <v>1188</v>
      </c>
      <c r="D162" s="6" t="s">
        <v>1234</v>
      </c>
      <c r="E162" s="6" t="s">
        <v>1331</v>
      </c>
      <c r="F162" s="6" t="s">
        <v>1092</v>
      </c>
      <c r="G162" s="6" t="s">
        <v>1815</v>
      </c>
      <c r="H162" s="6"/>
      <c r="I162" s="6"/>
      <c r="J162" s="6"/>
      <c r="K162" s="6" t="s">
        <v>1105</v>
      </c>
      <c r="L162" s="6"/>
      <c r="M162" s="6" t="s">
        <v>1815</v>
      </c>
      <c r="N162" s="6" t="s">
        <v>1819</v>
      </c>
      <c r="O162" s="6" t="s">
        <v>497</v>
      </c>
      <c r="P162" s="6" t="s">
        <v>497</v>
      </c>
      <c r="Q162" s="5" t="s">
        <v>1823</v>
      </c>
    </row>
    <row r="163" spans="1:17" x14ac:dyDescent="0.2">
      <c r="A163" s="6" t="b">
        <v>1</v>
      </c>
      <c r="B163" s="6" t="s">
        <v>192</v>
      </c>
      <c r="C163" s="6" t="s">
        <v>1188</v>
      </c>
      <c r="D163" s="6" t="s">
        <v>1235</v>
      </c>
      <c r="E163" s="6" t="s">
        <v>1331</v>
      </c>
      <c r="F163" s="6" t="s">
        <v>1092</v>
      </c>
      <c r="G163" s="6" t="s">
        <v>1815</v>
      </c>
      <c r="H163" s="6"/>
      <c r="I163" s="6"/>
      <c r="J163" s="6"/>
      <c r="K163" s="6" t="s">
        <v>1105</v>
      </c>
      <c r="L163" s="6"/>
      <c r="M163" s="6" t="s">
        <v>1815</v>
      </c>
      <c r="N163" s="6" t="s">
        <v>1821</v>
      </c>
      <c r="O163" s="6" t="s">
        <v>497</v>
      </c>
      <c r="P163" s="6" t="s">
        <v>497</v>
      </c>
      <c r="Q163" s="5" t="s">
        <v>1823</v>
      </c>
    </row>
    <row r="164" spans="1:17" x14ac:dyDescent="0.2">
      <c r="A164" s="6" t="b">
        <v>1</v>
      </c>
      <c r="B164" s="6" t="s">
        <v>192</v>
      </c>
      <c r="C164" s="6" t="s">
        <v>1188</v>
      </c>
      <c r="D164" s="6" t="s">
        <v>1817</v>
      </c>
      <c r="E164" s="6" t="s">
        <v>1331</v>
      </c>
      <c r="F164" s="6" t="s">
        <v>1092</v>
      </c>
      <c r="G164" s="6" t="s">
        <v>1815</v>
      </c>
      <c r="H164" s="6"/>
      <c r="I164" s="6"/>
      <c r="J164" s="6"/>
      <c r="K164" s="6" t="s">
        <v>1105</v>
      </c>
      <c r="L164" s="6"/>
      <c r="M164" s="6" t="s">
        <v>1815</v>
      </c>
      <c r="N164" s="6" t="s">
        <v>1822</v>
      </c>
      <c r="O164" s="6" t="s">
        <v>497</v>
      </c>
      <c r="P164" s="6" t="s">
        <v>497</v>
      </c>
      <c r="Q164" s="5" t="s">
        <v>1823</v>
      </c>
    </row>
    <row r="165" spans="1:17" x14ac:dyDescent="0.2">
      <c r="A165" s="6" t="b">
        <v>1</v>
      </c>
      <c r="B165" s="6" t="s">
        <v>192</v>
      </c>
      <c r="C165" s="6" t="s">
        <v>1184</v>
      </c>
      <c r="D165" s="6" t="s">
        <v>1846</v>
      </c>
      <c r="E165" s="6" t="s">
        <v>1013</v>
      </c>
      <c r="F165" s="6"/>
      <c r="G165" s="6"/>
      <c r="H165" s="6"/>
      <c r="I165" s="6"/>
      <c r="J165" s="6"/>
      <c r="K165" s="6" t="s">
        <v>1105</v>
      </c>
      <c r="L165" s="6" t="s">
        <v>1184</v>
      </c>
      <c r="M165" s="6"/>
      <c r="N165" s="6" t="s">
        <v>1846</v>
      </c>
      <c r="O165" s="6" t="s">
        <v>1115</v>
      </c>
      <c r="P165" s="6" t="s">
        <v>1110</v>
      </c>
      <c r="Q165" s="5" t="s">
        <v>1855</v>
      </c>
    </row>
    <row r="166" spans="1:17" x14ac:dyDescent="0.2">
      <c r="A166" s="6" t="b">
        <v>1</v>
      </c>
      <c r="B166" s="6" t="s">
        <v>192</v>
      </c>
      <c r="C166" s="6" t="s">
        <v>1183</v>
      </c>
      <c r="D166" s="6" t="s">
        <v>1847</v>
      </c>
      <c r="E166" s="6" t="s">
        <v>1331</v>
      </c>
      <c r="F166" s="6" t="s">
        <v>1092</v>
      </c>
      <c r="G166" s="6" t="s">
        <v>1851</v>
      </c>
      <c r="H166" s="6" t="s">
        <v>1853</v>
      </c>
      <c r="I166" s="6"/>
      <c r="J166" s="6"/>
      <c r="K166" s="6" t="s">
        <v>1105</v>
      </c>
      <c r="L166" s="6" t="s">
        <v>1851</v>
      </c>
      <c r="M166" s="6"/>
      <c r="N166" s="6" t="s">
        <v>1847</v>
      </c>
      <c r="O166" s="6" t="s">
        <v>497</v>
      </c>
      <c r="P166" s="6" t="s">
        <v>497</v>
      </c>
      <c r="Q166" s="5" t="s">
        <v>1854</v>
      </c>
    </row>
    <row r="167" spans="1:17" x14ac:dyDescent="0.2">
      <c r="A167" s="6" t="b">
        <v>1</v>
      </c>
      <c r="B167" s="6" t="s">
        <v>192</v>
      </c>
      <c r="C167" s="6" t="s">
        <v>1182</v>
      </c>
      <c r="D167" s="6" t="s">
        <v>1848</v>
      </c>
      <c r="E167" s="6" t="s">
        <v>1013</v>
      </c>
      <c r="F167" s="6"/>
      <c r="G167" s="6"/>
      <c r="H167" s="6"/>
      <c r="I167" s="6"/>
      <c r="J167" s="6"/>
      <c r="K167" s="6" t="s">
        <v>1105</v>
      </c>
      <c r="L167" s="6" t="s">
        <v>1182</v>
      </c>
      <c r="M167" s="6"/>
      <c r="N167" s="6" t="s">
        <v>1848</v>
      </c>
      <c r="O167" s="6" t="s">
        <v>1115</v>
      </c>
      <c r="P167" s="6" t="s">
        <v>1110</v>
      </c>
      <c r="Q167" s="5" t="s">
        <v>1856</v>
      </c>
    </row>
    <row r="168" spans="1:17" x14ac:dyDescent="0.2">
      <c r="A168" s="6" t="b">
        <v>1</v>
      </c>
      <c r="B168" s="6" t="s">
        <v>192</v>
      </c>
      <c r="C168" s="6" t="s">
        <v>1172</v>
      </c>
      <c r="D168" s="6" t="s">
        <v>1849</v>
      </c>
      <c r="E168" s="6" t="s">
        <v>1013</v>
      </c>
      <c r="F168" s="6"/>
      <c r="G168" s="6"/>
      <c r="H168" s="6"/>
      <c r="I168" s="6"/>
      <c r="J168" s="6"/>
      <c r="K168" s="6" t="s">
        <v>1105</v>
      </c>
      <c r="L168" s="6" t="s">
        <v>1172</v>
      </c>
      <c r="M168" s="6"/>
      <c r="N168" s="6" t="s">
        <v>1849</v>
      </c>
      <c r="O168" s="6" t="s">
        <v>1115</v>
      </c>
      <c r="P168" s="6" t="s">
        <v>1110</v>
      </c>
      <c r="Q168" s="5" t="s">
        <v>1857</v>
      </c>
    </row>
    <row r="169" spans="1:17" x14ac:dyDescent="0.2">
      <c r="A169" s="6" t="b">
        <v>1</v>
      </c>
      <c r="B169" s="6" t="s">
        <v>192</v>
      </c>
      <c r="C169" s="6" t="s">
        <v>96</v>
      </c>
      <c r="D169" s="6" t="s">
        <v>1850</v>
      </c>
      <c r="E169" s="6" t="s">
        <v>1331</v>
      </c>
      <c r="F169" s="6" t="s">
        <v>1092</v>
      </c>
      <c r="G169" s="6" t="s">
        <v>1852</v>
      </c>
      <c r="H169" s="6"/>
      <c r="I169" s="6"/>
      <c r="J169" s="6"/>
      <c r="K169" s="6" t="s">
        <v>1105</v>
      </c>
      <c r="L169" s="6" t="s">
        <v>1852</v>
      </c>
      <c r="M169" s="6"/>
      <c r="N169" s="6" t="s">
        <v>1850</v>
      </c>
      <c r="O169" s="6" t="s">
        <v>497</v>
      </c>
      <c r="P169" s="6" t="s">
        <v>497</v>
      </c>
      <c r="Q169" s="5" t="s">
        <v>1854</v>
      </c>
    </row>
  </sheetData>
  <conditionalFormatting sqref="G140">
    <cfRule type="duplicateValues" dxfId="48" priority="17"/>
    <cfRule type="duplicateValues" dxfId="47" priority="18"/>
    <cfRule type="duplicateValues" dxfId="46" priority="19"/>
    <cfRule type="duplicateValues" dxfId="45" priority="20"/>
    <cfRule type="duplicateValues" dxfId="44" priority="21"/>
  </conditionalFormatting>
  <conditionalFormatting sqref="L152">
    <cfRule type="duplicateValues" dxfId="43" priority="1"/>
    <cfRule type="duplicateValues" dxfId="42" priority="2"/>
    <cfRule type="duplicateValues" dxfId="41" priority="3"/>
    <cfRule type="duplicateValues" dxfId="40" priority="4"/>
    <cfRule type="duplicateValues" dxfId="39" priority="5"/>
    <cfRule type="duplicateValues" dxfId="38" priority="6"/>
  </conditionalFormatting>
  <conditionalFormatting sqref="M140">
    <cfRule type="duplicateValues" dxfId="37" priority="12"/>
    <cfRule type="duplicateValues" dxfId="36" priority="13"/>
    <cfRule type="duplicateValues" dxfId="35" priority="14"/>
    <cfRule type="duplicateValues" dxfId="34" priority="15"/>
    <cfRule type="duplicateValues" dxfId="33" priority="16"/>
  </conditionalFormatting>
  <conditionalFormatting sqref="N140">
    <cfRule type="duplicateValues" dxfId="32" priority="7"/>
    <cfRule type="duplicateValues" dxfId="31" priority="8"/>
    <cfRule type="duplicateValues" dxfId="30" priority="9"/>
    <cfRule type="duplicateValues" dxfId="29" priority="10"/>
    <cfRule type="duplicateValues" dxfId="28" priority="1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26</vt:i4>
      </vt:variant>
    </vt:vector>
  </HeadingPairs>
  <TitlesOfParts>
    <vt:vector size="26" baseType="lpstr">
      <vt:lpstr>maps</vt:lpstr>
      <vt:lpstr>maps_OTHER</vt:lpstr>
      <vt:lpstr>maps_sites</vt:lpstr>
      <vt:lpstr>maps_samples</vt:lpstr>
      <vt:lpstr>wide_samples</vt:lpstr>
      <vt:lpstr>enums_samples</vt:lpstr>
      <vt:lpstr>wide_sampleRelationships</vt:lpstr>
      <vt:lpstr>maps_repositories</vt:lpstr>
      <vt:lpstr>wide_repositories</vt:lpstr>
      <vt:lpstr>maps_qualityReports</vt:lpstr>
      <vt:lpstr>maps_protocolSteps</vt:lpstr>
      <vt:lpstr>wide_protocolSteps</vt:lpstr>
      <vt:lpstr>maps_protocols</vt:lpstr>
      <vt:lpstr>wide_protocols</vt:lpstr>
      <vt:lpstr>maps_polygons</vt:lpstr>
      <vt:lpstr>maps_measures</vt:lpstr>
      <vt:lpstr>wide_measures</vt:lpstr>
      <vt:lpstr>enums_measures</vt:lpstr>
      <vt:lpstr>maps_instruments</vt:lpstr>
      <vt:lpstr>maps_datasets</vt:lpstr>
      <vt:lpstr>maps_contacts</vt:lpstr>
      <vt:lpstr>wide_contacts</vt:lpstr>
      <vt:lpstr>maps_addresses</vt:lpstr>
      <vt:lpstr>maps_accessions</vt:lpstr>
      <vt:lpstr>enums</vt:lpstr>
      <vt:lpstr>wide-original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Mathew Thomson</dc:creator>
  <cp:lastModifiedBy>Martin Wellman</cp:lastModifiedBy>
  <dcterms:created xsi:type="dcterms:W3CDTF">2024-07-02T17:12:19Z</dcterms:created>
  <dcterms:modified xsi:type="dcterms:W3CDTF">2024-12-17T23:12:55Z</dcterms:modified>
</cp:coreProperties>
</file>
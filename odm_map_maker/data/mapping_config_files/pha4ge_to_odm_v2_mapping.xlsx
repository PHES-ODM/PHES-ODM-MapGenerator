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martinwellman/Documents/Health/Wastewater/PHES-ODM-MapGenerator/PHES-ODM-MapGenerator/odm_map_maker/data/mapping_config_files/"/>
    </mc:Choice>
  </mc:AlternateContent>
  <xr:revisionPtr revIDLastSave="0" documentId="13_ncr:1_{66872460-D65B-E942-B8DA-CE30F390842E}" xr6:coauthVersionLast="47" xr6:coauthVersionMax="47" xr10:uidLastSave="{00000000-0000-0000-0000-000000000000}"/>
  <bookViews>
    <workbookView xWindow="0" yWindow="500" windowWidth="40960" windowHeight="20900" firstSheet="2" activeTab="6" xr2:uid="{D031FD9F-8EDE-1249-89E5-2C42697DC0B4}"/>
  </bookViews>
  <sheets>
    <sheet name="maps_OTHER" sheetId="26" r:id="rId1"/>
    <sheet name="maps_sites" sheetId="25" r:id="rId2"/>
    <sheet name="maps_samples" sheetId="24" r:id="rId3"/>
    <sheet name="wide_samples" sheetId="27" r:id="rId4"/>
    <sheet name="maps_measures" sheetId="17" r:id="rId5"/>
    <sheet name="wide_measures" sheetId="7" r:id="rId6"/>
    <sheet name="wide_measurestest" sheetId="38" r:id="rId7"/>
    <sheet name="enums_samples" sheetId="28" r:id="rId8"/>
    <sheet name="wide_sampleRelationships" sheetId="29" r:id="rId9"/>
    <sheet name="maps_repositories" sheetId="23" r:id="rId10"/>
    <sheet name="wide_repositories" sheetId="6" r:id="rId11"/>
    <sheet name="maps_qualityReports" sheetId="22" r:id="rId12"/>
    <sheet name="maps_protocolSteps" sheetId="21" r:id="rId13"/>
    <sheet name="wide_protocolSteps" sheetId="8" r:id="rId14"/>
    <sheet name="maps_protocols" sheetId="20" r:id="rId15"/>
    <sheet name="wide_protocols" sheetId="10" r:id="rId16"/>
    <sheet name="maps_polygons" sheetId="19" r:id="rId17"/>
    <sheet name="wide_measures2" sheetId="37" r:id="rId18"/>
    <sheet name="enums_measures" sheetId="30" r:id="rId19"/>
    <sheet name="enums_measures2" sheetId="36" r:id="rId20"/>
    <sheet name="maps_instruments" sheetId="16" r:id="rId21"/>
    <sheet name="maps_datasets" sheetId="15" r:id="rId22"/>
    <sheet name="wide_datasets" sheetId="34" r:id="rId23"/>
    <sheet name="wide_contacts" sheetId="11" r:id="rId24"/>
    <sheet name="maps_addresses" sheetId="13" r:id="rId25"/>
    <sheet name="enums_addresses" sheetId="33" r:id="rId26"/>
    <sheet name="maps_accessions" sheetId="12" r:id="rId27"/>
    <sheet name="PHA4GEVars" sheetId="35" r:id="rId28"/>
  </sheets>
  <externalReferences>
    <externalReference r:id="rId29"/>
  </externalReferences>
  <definedNames>
    <definedName name="_xlnm._FilterDatabase" localSheetId="15" hidden="1">wide_protocols!$A$1:$G$1</definedName>
    <definedName name="partID">[1]parts!$A:$A</definedName>
    <definedName name="partLabel">[1]parts!$B:$B</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2" i="38" l="1"/>
  <c r="E3" i="24"/>
  <c r="B6" i="30"/>
  <c r="B7" i="30"/>
  <c r="B9" i="30"/>
  <c r="B11" i="30"/>
  <c r="B13" i="30"/>
  <c r="B14" i="30"/>
  <c r="B15" i="30"/>
  <c r="B16" i="30"/>
  <c r="B17" i="30"/>
  <c r="B19" i="30"/>
  <c r="B20" i="30"/>
  <c r="B21" i="30"/>
  <c r="B23" i="30"/>
  <c r="B24" i="30"/>
  <c r="B25" i="30"/>
  <c r="B26" i="30"/>
  <c r="B27" i="30"/>
  <c r="B28" i="30"/>
  <c r="B29" i="30"/>
  <c r="B30" i="30"/>
  <c r="B31" i="30"/>
  <c r="B33" i="30"/>
  <c r="B34" i="30"/>
  <c r="B35" i="30"/>
  <c r="B36" i="30"/>
  <c r="B37" i="30"/>
  <c r="B38" i="30"/>
  <c r="B40" i="30"/>
  <c r="B41" i="30"/>
  <c r="B42" i="30"/>
  <c r="B43" i="30"/>
  <c r="B45" i="30"/>
  <c r="B46" i="30"/>
  <c r="B47" i="30"/>
  <c r="B48" i="30"/>
  <c r="B49" i="30"/>
  <c r="B50" i="30"/>
  <c r="B51" i="30"/>
  <c r="B52" i="30"/>
  <c r="B54" i="30"/>
  <c r="B56" i="30"/>
  <c r="B57" i="30"/>
  <c r="B58" i="30"/>
  <c r="B59" i="30"/>
  <c r="B60" i="30"/>
  <c r="B62" i="30"/>
  <c r="B63" i="30"/>
  <c r="B64" i="30"/>
  <c r="B65" i="30"/>
  <c r="B66" i="30"/>
  <c r="B68" i="30"/>
  <c r="B69" i="30"/>
  <c r="B71" i="30"/>
  <c r="B72" i="30"/>
  <c r="B74" i="30"/>
  <c r="B75" i="30"/>
  <c r="B76" i="30"/>
  <c r="B77" i="30"/>
  <c r="B78" i="30"/>
  <c r="B79" i="30"/>
  <c r="B80" i="30"/>
  <c r="B81" i="30"/>
  <c r="B83" i="30"/>
  <c r="B84" i="30"/>
  <c r="B86" i="30"/>
  <c r="B87" i="30"/>
  <c r="B88" i="30"/>
  <c r="B90" i="30"/>
  <c r="B91" i="30"/>
  <c r="B92" i="30"/>
  <c r="B93" i="30"/>
  <c r="B94" i="30"/>
  <c r="B96" i="30"/>
  <c r="B97" i="30"/>
  <c r="B99" i="30"/>
  <c r="B100" i="30"/>
  <c r="B102" i="30"/>
  <c r="B103" i="30"/>
  <c r="B105" i="30"/>
  <c r="B107" i="30"/>
  <c r="B109" i="30"/>
  <c r="B110" i="30"/>
  <c r="B111" i="30"/>
  <c r="B112" i="30"/>
  <c r="B122" i="30"/>
  <c r="B123" i="30"/>
  <c r="B124" i="30"/>
  <c r="B125" i="30"/>
  <c r="B126" i="30"/>
  <c r="B127" i="30"/>
  <c r="B128" i="30"/>
  <c r="B130" i="30"/>
  <c r="B131" i="30"/>
  <c r="B132" i="30"/>
  <c r="C2" i="37"/>
  <c r="D8" i="36"/>
  <c r="B8" i="36"/>
  <c r="D7" i="36"/>
  <c r="B7" i="36"/>
  <c r="D6" i="36"/>
  <c r="B6" i="36"/>
  <c r="D5" i="36"/>
  <c r="B5" i="36"/>
  <c r="D4" i="36"/>
  <c r="B4" i="36"/>
  <c r="D3" i="36"/>
  <c r="B3" i="36"/>
  <c r="D2" i="36"/>
  <c r="B2" i="36"/>
  <c r="E4" i="22"/>
  <c r="E7" i="12"/>
  <c r="E3" i="12"/>
  <c r="E4" i="12"/>
  <c r="E5" i="12"/>
  <c r="E6" i="12"/>
  <c r="E2" i="12"/>
  <c r="D3" i="33"/>
  <c r="D4" i="33"/>
  <c r="D5" i="33"/>
  <c r="D6" i="33"/>
  <c r="D7" i="33"/>
  <c r="D8" i="33"/>
  <c r="D9" i="33"/>
  <c r="D10" i="33"/>
  <c r="D11" i="33"/>
  <c r="D12" i="33"/>
  <c r="D13" i="33"/>
  <c r="D14" i="33"/>
  <c r="D15" i="33"/>
  <c r="D16" i="33"/>
  <c r="D17" i="33"/>
  <c r="D18" i="33"/>
  <c r="D19" i="33"/>
  <c r="D20" i="33"/>
  <c r="D21" i="33"/>
  <c r="D22" i="33"/>
  <c r="D23" i="33"/>
  <c r="D24" i="33"/>
  <c r="D25" i="33"/>
  <c r="D26" i="33"/>
  <c r="D27" i="33"/>
  <c r="D28" i="33"/>
  <c r="D29" i="33"/>
  <c r="D30" i="33"/>
  <c r="D31" i="33"/>
  <c r="D32" i="33"/>
  <c r="D33" i="33"/>
  <c r="D34" i="33"/>
  <c r="D35" i="33"/>
  <c r="D36" i="33"/>
  <c r="D37" i="33"/>
  <c r="D38" i="33"/>
  <c r="D39" i="33"/>
  <c r="D40" i="33"/>
  <c r="D41" i="33"/>
  <c r="D42" i="33"/>
  <c r="D43" i="33"/>
  <c r="D44" i="33"/>
  <c r="D45" i="33"/>
  <c r="D46" i="33"/>
  <c r="D47" i="33"/>
  <c r="D48" i="33"/>
  <c r="D49" i="33"/>
  <c r="D50" i="33"/>
  <c r="D51" i="33"/>
  <c r="D52" i="33"/>
  <c r="D53" i="33"/>
  <c r="D54" i="33"/>
  <c r="D55" i="33"/>
  <c r="D56" i="33"/>
  <c r="D57" i="33"/>
  <c r="D58" i="33"/>
  <c r="D59" i="33"/>
  <c r="D60" i="33"/>
  <c r="D61" i="33"/>
  <c r="D62" i="33"/>
  <c r="D63" i="33"/>
  <c r="D64" i="33"/>
  <c r="D65" i="33"/>
  <c r="D66" i="33"/>
  <c r="D67" i="33"/>
  <c r="D68" i="33"/>
  <c r="D69" i="33"/>
  <c r="D70" i="33"/>
  <c r="D71" i="33"/>
  <c r="D72" i="33"/>
  <c r="D73" i="33"/>
  <c r="D74" i="33"/>
  <c r="D75" i="33"/>
  <c r="D76" i="33"/>
  <c r="D77" i="33"/>
  <c r="D78" i="33"/>
  <c r="D79" i="33"/>
  <c r="D80" i="33"/>
  <c r="D81" i="33"/>
  <c r="D82" i="33"/>
  <c r="D83" i="33"/>
  <c r="D84" i="33"/>
  <c r="D85" i="33"/>
  <c r="D86" i="33"/>
  <c r="D87" i="33"/>
  <c r="D88" i="33"/>
  <c r="D89" i="33"/>
  <c r="D90" i="33"/>
  <c r="D91" i="33"/>
  <c r="D92" i="33"/>
  <c r="D93" i="33"/>
  <c r="D94" i="33"/>
  <c r="D95" i="33"/>
  <c r="D96" i="33"/>
  <c r="D97" i="33"/>
  <c r="D98" i="33"/>
  <c r="D99" i="33"/>
  <c r="D100" i="33"/>
  <c r="D101" i="33"/>
  <c r="D102" i="33"/>
  <c r="D103" i="33"/>
  <c r="D104" i="33"/>
  <c r="D105" i="33"/>
  <c r="D106" i="33"/>
  <c r="D107" i="33"/>
  <c r="D108" i="33"/>
  <c r="D109" i="33"/>
  <c r="D110" i="33"/>
  <c r="D111" i="33"/>
  <c r="D112" i="33"/>
  <c r="D113" i="33"/>
  <c r="D114" i="33"/>
  <c r="D115" i="33"/>
  <c r="D116" i="33"/>
  <c r="D117" i="33"/>
  <c r="D118" i="33"/>
  <c r="D119" i="33"/>
  <c r="D120" i="33"/>
  <c r="D121" i="33"/>
  <c r="D122" i="33"/>
  <c r="D123" i="33"/>
  <c r="D124" i="33"/>
  <c r="D125" i="33"/>
  <c r="D126" i="33"/>
  <c r="D127" i="33"/>
  <c r="D128" i="33"/>
  <c r="D129" i="33"/>
  <c r="D130" i="33"/>
  <c r="D131" i="33"/>
  <c r="D132" i="33"/>
  <c r="D133" i="33"/>
  <c r="D134" i="33"/>
  <c r="D135" i="33"/>
  <c r="D136" i="33"/>
  <c r="D137" i="33"/>
  <c r="D138" i="33"/>
  <c r="D139" i="33"/>
  <c r="D140" i="33"/>
  <c r="D141" i="33"/>
  <c r="D142" i="33"/>
  <c r="D143" i="33"/>
  <c r="D144" i="33"/>
  <c r="D145" i="33"/>
  <c r="D146" i="33"/>
  <c r="D147" i="33"/>
  <c r="D148" i="33"/>
  <c r="D149" i="33"/>
  <c r="D150" i="33"/>
  <c r="D151" i="33"/>
  <c r="D152" i="33"/>
  <c r="D153" i="33"/>
  <c r="D154" i="33"/>
  <c r="D155" i="33"/>
  <c r="D156" i="33"/>
  <c r="D157" i="33"/>
  <c r="D158" i="33"/>
  <c r="D159" i="33"/>
  <c r="D160" i="33"/>
  <c r="D161" i="33"/>
  <c r="D162" i="33"/>
  <c r="D163" i="33"/>
  <c r="D164" i="33"/>
  <c r="D165" i="33"/>
  <c r="D166" i="33"/>
  <c r="D167" i="33"/>
  <c r="D168" i="33"/>
  <c r="D169" i="33"/>
  <c r="D170" i="33"/>
  <c r="D171" i="33"/>
  <c r="D172" i="33"/>
  <c r="D173" i="33"/>
  <c r="D174" i="33"/>
  <c r="D175" i="33"/>
  <c r="D176" i="33"/>
  <c r="D177" i="33"/>
  <c r="D178" i="33"/>
  <c r="D179" i="33"/>
  <c r="D180" i="33"/>
  <c r="D181" i="33"/>
  <c r="D182" i="33"/>
  <c r="D183" i="33"/>
  <c r="D184" i="33"/>
  <c r="D185" i="33"/>
  <c r="D186" i="33"/>
  <c r="D187" i="33"/>
  <c r="D188" i="33"/>
  <c r="D189" i="33"/>
  <c r="D190" i="33"/>
  <c r="D191" i="33"/>
  <c r="D192" i="33"/>
  <c r="D193" i="33"/>
  <c r="D194" i="33"/>
  <c r="D195" i="33"/>
  <c r="D196" i="33"/>
  <c r="D197" i="33"/>
  <c r="D198" i="33"/>
  <c r="D199" i="33"/>
  <c r="D200" i="33"/>
  <c r="D201" i="33"/>
  <c r="D202" i="33"/>
  <c r="D203" i="33"/>
  <c r="D204" i="33"/>
  <c r="D205" i="33"/>
  <c r="D206" i="33"/>
  <c r="D207" i="33"/>
  <c r="D208" i="33"/>
  <c r="D209" i="33"/>
  <c r="D210" i="33"/>
  <c r="D211" i="33"/>
  <c r="D212" i="33"/>
  <c r="D213" i="33"/>
  <c r="D214" i="33"/>
  <c r="D215" i="33"/>
  <c r="D216" i="33"/>
  <c r="D217" i="33"/>
  <c r="D218" i="33"/>
  <c r="D219" i="33"/>
  <c r="D220" i="33"/>
  <c r="D221" i="33"/>
  <c r="D222" i="33"/>
  <c r="D223" i="33"/>
  <c r="D224" i="33"/>
  <c r="D225" i="33"/>
  <c r="D226" i="33"/>
  <c r="D227" i="33"/>
  <c r="D228" i="33"/>
  <c r="D229" i="33"/>
  <c r="D230" i="33"/>
  <c r="D231" i="33"/>
  <c r="D232" i="33"/>
  <c r="D233" i="33"/>
  <c r="D234" i="33"/>
  <c r="D235" i="33"/>
  <c r="D236" i="33"/>
  <c r="D237" i="33"/>
  <c r="D238" i="33"/>
  <c r="D239" i="33"/>
  <c r="D240" i="33"/>
  <c r="D241" i="33"/>
  <c r="D242" i="33"/>
  <c r="D243" i="33"/>
  <c r="D244" i="33"/>
  <c r="D245" i="33"/>
  <c r="D246" i="33"/>
  <c r="D247" i="33"/>
  <c r="D248" i="33"/>
  <c r="D249" i="33"/>
  <c r="D250" i="33"/>
  <c r="D251" i="33"/>
  <c r="D252" i="33"/>
  <c r="D253" i="33"/>
  <c r="D254" i="33"/>
  <c r="D255" i="33"/>
  <c r="D256" i="33"/>
  <c r="D257" i="33"/>
  <c r="D258" i="33"/>
  <c r="D259" i="33"/>
  <c r="D260" i="33"/>
  <c r="D261" i="33"/>
  <c r="D262" i="33"/>
  <c r="D263" i="33"/>
  <c r="D264" i="33"/>
  <c r="D265" i="33"/>
  <c r="D266" i="33"/>
  <c r="D267" i="33"/>
  <c r="D268" i="33"/>
  <c r="D269" i="33"/>
  <c r="D270" i="33"/>
  <c r="D271" i="33"/>
  <c r="D272" i="33"/>
  <c r="D2" i="33"/>
  <c r="E3" i="13"/>
  <c r="E4" i="13"/>
  <c r="E5" i="13"/>
  <c r="E2" i="13"/>
  <c r="B3" i="11"/>
  <c r="B4" i="11"/>
  <c r="B5" i="11"/>
  <c r="B6" i="11"/>
  <c r="B2" i="11"/>
  <c r="B3" i="34"/>
  <c r="B2" i="34"/>
  <c r="E2" i="15"/>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2" i="16"/>
  <c r="D3" i="30"/>
  <c r="D4" i="30"/>
  <c r="D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2" i="30"/>
  <c r="E3" i="19"/>
  <c r="E4" i="19"/>
  <c r="E2" i="19"/>
  <c r="B3" i="10"/>
  <c r="B4" i="10"/>
  <c r="B5" i="10"/>
  <c r="B6" i="10"/>
  <c r="B7" i="10"/>
  <c r="B8" i="10"/>
  <c r="B9" i="10"/>
  <c r="B10" i="10"/>
  <c r="B11" i="10"/>
  <c r="B12" i="10"/>
  <c r="B13" i="10"/>
  <c r="B14" i="10"/>
  <c r="B15" i="10"/>
  <c r="B16" i="10"/>
  <c r="B17" i="10"/>
  <c r="B18" i="10"/>
  <c r="B19" i="10"/>
  <c r="B20" i="10"/>
  <c r="B21" i="10"/>
  <c r="B22" i="10"/>
  <c r="B23" i="10"/>
  <c r="B24" i="10"/>
  <c r="B25" i="10"/>
  <c r="B26" i="10"/>
  <c r="B2" i="10"/>
  <c r="E3" i="20"/>
  <c r="E4" i="20"/>
  <c r="E5" i="20"/>
  <c r="E6" i="20"/>
  <c r="E7" i="20"/>
  <c r="E2" i="20"/>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2" i="8"/>
  <c r="E3" i="21"/>
  <c r="E4" i="21"/>
  <c r="E5" i="21"/>
  <c r="E6" i="21"/>
  <c r="E7" i="21"/>
  <c r="E8" i="21"/>
  <c r="E9" i="21"/>
  <c r="E10" i="21"/>
  <c r="E11" i="21"/>
  <c r="E12" i="21"/>
  <c r="E13" i="21"/>
  <c r="E14" i="21"/>
  <c r="E15" i="21"/>
  <c r="E16" i="21"/>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46" i="21"/>
  <c r="E47" i="21"/>
  <c r="E48" i="21"/>
  <c r="E49" i="21"/>
  <c r="E50" i="21"/>
  <c r="E51" i="21"/>
  <c r="E52" i="21"/>
  <c r="E53" i="21"/>
  <c r="E54" i="21"/>
  <c r="E55" i="21"/>
  <c r="E56" i="21"/>
  <c r="E57" i="21"/>
  <c r="E58" i="21"/>
  <c r="E59" i="21"/>
  <c r="E60" i="21"/>
  <c r="E61" i="21"/>
  <c r="E62" i="21"/>
  <c r="E63" i="21"/>
  <c r="E64" i="21"/>
  <c r="E2" i="21"/>
  <c r="E3" i="22"/>
  <c r="E5" i="22"/>
  <c r="E6" i="22"/>
  <c r="E7" i="22"/>
  <c r="E8" i="22"/>
  <c r="E9" i="22"/>
  <c r="E10" i="22"/>
  <c r="E2" i="22"/>
  <c r="B3" i="6"/>
  <c r="B4" i="6"/>
  <c r="B5" i="6"/>
  <c r="B6" i="6"/>
  <c r="B7" i="6"/>
  <c r="B8" i="6"/>
  <c r="B9" i="6"/>
  <c r="B10" i="6"/>
  <c r="B11" i="6"/>
  <c r="B12" i="6"/>
  <c r="B2" i="6"/>
  <c r="B3" i="29"/>
  <c r="B4" i="29"/>
  <c r="B5" i="29"/>
  <c r="B6" i="29"/>
  <c r="B7" i="29"/>
  <c r="B8" i="29"/>
  <c r="B2" i="29"/>
  <c r="D3" i="28"/>
  <c r="D4" i="28"/>
  <c r="D5" i="28"/>
  <c r="D6" i="28"/>
  <c r="D7" i="28"/>
  <c r="D8" i="28"/>
  <c r="D9" i="28"/>
  <c r="D10" i="28"/>
  <c r="D11" i="28"/>
  <c r="D12" i="28"/>
  <c r="D13" i="28"/>
  <c r="D14" i="28"/>
  <c r="D15" i="28"/>
  <c r="D16" i="28"/>
  <c r="D17" i="28"/>
  <c r="D18" i="28"/>
  <c r="D19" i="28"/>
  <c r="D20" i="28"/>
  <c r="D21" i="28"/>
  <c r="D22" i="28"/>
  <c r="D23" i="28"/>
  <c r="D24" i="28"/>
  <c r="D25" i="28"/>
  <c r="D26" i="28"/>
  <c r="D27" i="28"/>
  <c r="D28" i="28"/>
  <c r="D29" i="28"/>
  <c r="D30" i="28"/>
  <c r="D31" i="28"/>
  <c r="D32" i="28"/>
  <c r="D33" i="28"/>
  <c r="D34" i="28"/>
  <c r="D35" i="28"/>
  <c r="D36" i="28"/>
  <c r="D37" i="28"/>
  <c r="D38" i="28"/>
  <c r="D39" i="28"/>
  <c r="D40" i="28"/>
  <c r="D41" i="28"/>
  <c r="D42" i="28"/>
  <c r="D2" i="28"/>
  <c r="B3" i="27"/>
  <c r="B4" i="27"/>
  <c r="B5" i="27"/>
  <c r="B6" i="27"/>
  <c r="B7" i="27"/>
  <c r="B8" i="27"/>
  <c r="B2" i="27"/>
  <c r="E23" i="24"/>
  <c r="E22" i="24"/>
  <c r="E21" i="24"/>
  <c r="E20" i="24"/>
  <c r="E19" i="24"/>
  <c r="E18" i="24"/>
  <c r="E17" i="24"/>
  <c r="E16" i="24"/>
  <c r="E15" i="24"/>
  <c r="E14" i="24"/>
  <c r="E13" i="24"/>
  <c r="E12" i="24"/>
  <c r="E11" i="24"/>
  <c r="E10" i="24"/>
  <c r="E9" i="24"/>
  <c r="E8" i="24"/>
  <c r="E7" i="24"/>
  <c r="E6" i="24"/>
  <c r="E5" i="24"/>
  <c r="E4" i="24"/>
  <c r="E2" i="24"/>
  <c r="E3" i="25"/>
  <c r="E4" i="25"/>
  <c r="E5" i="25"/>
  <c r="E6" i="25"/>
  <c r="E7" i="25"/>
  <c r="E8" i="25"/>
  <c r="E9" i="25"/>
  <c r="E10" i="25"/>
  <c r="E11" i="25"/>
  <c r="E12" i="25"/>
  <c r="E13" i="25"/>
  <c r="E14" i="25"/>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0" i="25"/>
  <c r="E41" i="25"/>
  <c r="E42" i="25"/>
  <c r="E43" i="25"/>
  <c r="E44" i="25"/>
  <c r="E45" i="25"/>
  <c r="E46" i="25"/>
  <c r="E47" i="25"/>
  <c r="E48" i="25"/>
  <c r="E49" i="25"/>
  <c r="E50" i="25"/>
  <c r="E51" i="25"/>
  <c r="E52" i="25"/>
  <c r="E2" i="25"/>
  <c r="F3" i="17"/>
  <c r="F4" i="17"/>
  <c r="F5" i="17"/>
  <c r="F6" i="17"/>
  <c r="F7" i="17"/>
  <c r="F8" i="17"/>
  <c r="F9" i="17"/>
  <c r="F10" i="17"/>
  <c r="F11" i="17"/>
  <c r="F12" i="17"/>
  <c r="F13" i="17"/>
  <c r="F14" i="17"/>
  <c r="F32" i="17"/>
  <c r="F15" i="17"/>
  <c r="F16" i="17"/>
  <c r="F17" i="17"/>
  <c r="F18" i="17"/>
  <c r="F19" i="17"/>
  <c r="F20" i="17"/>
  <c r="F21" i="17"/>
  <c r="F22" i="17"/>
  <c r="F23" i="17"/>
  <c r="F24" i="17"/>
  <c r="F25" i="17"/>
  <c r="F26" i="17"/>
  <c r="F27" i="17"/>
  <c r="F33" i="17"/>
  <c r="F34" i="17"/>
  <c r="F28" i="17"/>
  <c r="F29" i="17"/>
  <c r="F30" i="17"/>
  <c r="F2" i="1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33" i="7"/>
  <c r="C34" i="7"/>
  <c r="C35" i="7"/>
  <c r="C36" i="7"/>
  <c r="C37" i="7"/>
  <c r="C38" i="7"/>
  <c r="C39" i="7"/>
  <c r="C40" i="7"/>
  <c r="C41" i="7"/>
  <c r="C42" i="7"/>
  <c r="C43" i="7"/>
  <c r="C44" i="7"/>
  <c r="C45" i="7"/>
  <c r="C46" i="7"/>
  <c r="C47" i="7"/>
  <c r="C3" i="7"/>
  <c r="C4" i="7"/>
  <c r="C5" i="7"/>
  <c r="C6" i="7"/>
  <c r="C7" i="7"/>
  <c r="C8" i="7"/>
  <c r="C9" i="7"/>
  <c r="C10" i="7"/>
  <c r="C11" i="7"/>
  <c r="C13" i="7"/>
  <c r="C14" i="7"/>
  <c r="C15" i="7"/>
  <c r="C16" i="7"/>
  <c r="C17" i="7"/>
  <c r="C18" i="7"/>
  <c r="C19" i="7"/>
  <c r="C20" i="7"/>
  <c r="C21" i="7"/>
  <c r="C22" i="7"/>
  <c r="C23" i="7"/>
  <c r="C24" i="7"/>
  <c r="C25" i="7"/>
  <c r="C26" i="7"/>
  <c r="C27" i="7"/>
  <c r="C28" i="7"/>
  <c r="C29" i="7"/>
  <c r="C30" i="7"/>
  <c r="C31" i="7"/>
  <c r="C32" i="7"/>
  <c r="C2" i="7"/>
  <c r="B31" i="28" l="1"/>
  <c r="B32" i="28"/>
  <c r="B33" i="28"/>
  <c r="B34" i="28"/>
  <c r="B272" i="33"/>
  <c r="B271" i="33"/>
  <c r="B270" i="33"/>
  <c r="B269" i="33"/>
  <c r="B268" i="33"/>
  <c r="B267" i="33"/>
  <c r="B266" i="33"/>
  <c r="B265" i="33"/>
  <c r="B264" i="33"/>
  <c r="B263" i="33"/>
  <c r="B262" i="33"/>
  <c r="B261" i="33"/>
  <c r="B260" i="33"/>
  <c r="B259" i="33"/>
  <c r="B258" i="33"/>
  <c r="B257" i="33"/>
  <c r="B256" i="33"/>
  <c r="B255" i="33"/>
  <c r="B254" i="33"/>
  <c r="B253" i="33"/>
  <c r="B252" i="33"/>
  <c r="B251" i="33"/>
  <c r="B250" i="33"/>
  <c r="B249" i="33"/>
  <c r="B248" i="33"/>
  <c r="B247" i="33"/>
  <c r="B246" i="33"/>
  <c r="B245" i="33"/>
  <c r="B244" i="33"/>
  <c r="B243" i="33"/>
  <c r="B242" i="33"/>
  <c r="B241" i="33"/>
  <c r="B240" i="33"/>
  <c r="B239" i="33"/>
  <c r="B238" i="33"/>
  <c r="B237" i="33"/>
  <c r="B236" i="33"/>
  <c r="B235" i="33"/>
  <c r="B234" i="33"/>
  <c r="B233" i="33"/>
  <c r="B232" i="33"/>
  <c r="B231" i="33"/>
  <c r="B230" i="33"/>
  <c r="B229" i="33"/>
  <c r="B228" i="33"/>
  <c r="B227" i="33"/>
  <c r="B226" i="33"/>
  <c r="B225" i="33"/>
  <c r="B224" i="33"/>
  <c r="B223" i="33"/>
  <c r="B222" i="33"/>
  <c r="B221" i="33"/>
  <c r="B220" i="33"/>
  <c r="B219" i="33"/>
  <c r="B218" i="33"/>
  <c r="B217" i="33"/>
  <c r="B216" i="33"/>
  <c r="B215" i="33"/>
  <c r="B214" i="33"/>
  <c r="B213" i="33"/>
  <c r="B212" i="33"/>
  <c r="B211" i="33"/>
  <c r="B210" i="33"/>
  <c r="B209" i="33"/>
  <c r="B208" i="33"/>
  <c r="B207" i="33"/>
  <c r="B206" i="33"/>
  <c r="B205" i="33"/>
  <c r="B204" i="33"/>
  <c r="B203" i="33"/>
  <c r="B202" i="33"/>
  <c r="B201" i="33"/>
  <c r="B200" i="33"/>
  <c r="B199" i="33"/>
  <c r="B198" i="33"/>
  <c r="B197" i="33"/>
  <c r="B196" i="33"/>
  <c r="B195" i="33"/>
  <c r="B194" i="33"/>
  <c r="B193" i="33"/>
  <c r="B192" i="33"/>
  <c r="B191" i="33"/>
  <c r="B190" i="33"/>
  <c r="B189" i="33"/>
  <c r="B188" i="33"/>
  <c r="B187" i="33"/>
  <c r="B186" i="33"/>
  <c r="B185" i="33"/>
  <c r="B184" i="33"/>
  <c r="B183" i="33"/>
  <c r="B182" i="33"/>
  <c r="B181" i="33"/>
  <c r="B180" i="33"/>
  <c r="B179" i="33"/>
  <c r="B178" i="33"/>
  <c r="B177" i="33"/>
  <c r="B176" i="33"/>
  <c r="B175" i="33"/>
  <c r="B174" i="33"/>
  <c r="B173" i="33"/>
  <c r="B172" i="33"/>
  <c r="B171" i="33"/>
  <c r="B170" i="33"/>
  <c r="B169" i="33"/>
  <c r="B168" i="33"/>
  <c r="B167" i="33"/>
  <c r="B166" i="33"/>
  <c r="B165" i="33"/>
  <c r="B164" i="33"/>
  <c r="B163" i="33"/>
  <c r="B162" i="33"/>
  <c r="B161" i="33"/>
  <c r="B160" i="33"/>
  <c r="B159" i="33"/>
  <c r="B158" i="33"/>
  <c r="B157" i="33"/>
  <c r="B156" i="33"/>
  <c r="B155" i="33"/>
  <c r="B154" i="33"/>
  <c r="B153" i="33"/>
  <c r="B152" i="33"/>
  <c r="B151" i="33"/>
  <c r="B150" i="33"/>
  <c r="B149" i="33"/>
  <c r="B148" i="33"/>
  <c r="B147" i="33"/>
  <c r="B146" i="33"/>
  <c r="B145" i="33"/>
  <c r="B144" i="33"/>
  <c r="B143" i="33"/>
  <c r="B142" i="33"/>
  <c r="B141" i="33"/>
  <c r="B140" i="33"/>
  <c r="B139" i="33"/>
  <c r="B138" i="33"/>
  <c r="B137" i="33"/>
  <c r="B136" i="33"/>
  <c r="B135" i="33"/>
  <c r="B134" i="33"/>
  <c r="B133" i="33"/>
  <c r="B132" i="33"/>
  <c r="B131" i="33"/>
  <c r="B130" i="33"/>
  <c r="B129" i="33"/>
  <c r="B128" i="33"/>
  <c r="B127" i="33"/>
  <c r="B126" i="33"/>
  <c r="B125" i="33"/>
  <c r="B124" i="33"/>
  <c r="B123" i="33"/>
  <c r="B122" i="33"/>
  <c r="B121" i="33"/>
  <c r="B120" i="33"/>
  <c r="B119" i="33"/>
  <c r="B118" i="33"/>
  <c r="B117" i="33"/>
  <c r="B116" i="33"/>
  <c r="B115" i="33"/>
  <c r="B114" i="33"/>
  <c r="B113" i="33"/>
  <c r="B112" i="33"/>
  <c r="B111" i="33"/>
  <c r="B110" i="33"/>
  <c r="B109" i="33"/>
  <c r="B108" i="33"/>
  <c r="B107" i="33"/>
  <c r="B106" i="33"/>
  <c r="B105" i="33"/>
  <c r="B104" i="33"/>
  <c r="B103" i="33"/>
  <c r="B102" i="33"/>
  <c r="B101" i="33"/>
  <c r="B100" i="33"/>
  <c r="B99" i="33"/>
  <c r="B98" i="33"/>
  <c r="B97" i="33"/>
  <c r="B96" i="33"/>
  <c r="B95" i="33"/>
  <c r="B94" i="33"/>
  <c r="B93" i="33"/>
  <c r="B92" i="33"/>
  <c r="B91" i="33"/>
  <c r="B90" i="33"/>
  <c r="B89" i="33"/>
  <c r="B88" i="33"/>
  <c r="B87" i="33"/>
  <c r="B86" i="33"/>
  <c r="B85" i="33"/>
  <c r="B84" i="33"/>
  <c r="B83" i="33"/>
  <c r="B82" i="33"/>
  <c r="B81" i="33"/>
  <c r="B80" i="33"/>
  <c r="B79" i="33"/>
  <c r="B78" i="33"/>
  <c r="B77" i="33"/>
  <c r="B76" i="33"/>
  <c r="B75" i="33"/>
  <c r="B74" i="33"/>
  <c r="B73" i="33"/>
  <c r="B72" i="33"/>
  <c r="B71" i="33"/>
  <c r="B70" i="33"/>
  <c r="B69" i="33"/>
  <c r="B68" i="33"/>
  <c r="B67" i="33"/>
  <c r="B66" i="33"/>
  <c r="B65" i="33"/>
  <c r="B64" i="33"/>
  <c r="B63" i="33"/>
  <c r="B62" i="33"/>
  <c r="B61" i="33"/>
  <c r="B60" i="33"/>
  <c r="B59" i="33"/>
  <c r="B58" i="33"/>
  <c r="B57" i="33"/>
  <c r="B56" i="33"/>
  <c r="B55" i="33"/>
  <c r="B54" i="33"/>
  <c r="B53" i="33"/>
  <c r="B52" i="33"/>
  <c r="B51" i="33"/>
  <c r="B50" i="33"/>
  <c r="B49" i="33"/>
  <c r="B48" i="33"/>
  <c r="B47" i="33"/>
  <c r="B46" i="33"/>
  <c r="B45" i="33"/>
  <c r="B44" i="33"/>
  <c r="B43" i="33"/>
  <c r="B42" i="33"/>
  <c r="B41" i="33"/>
  <c r="B40" i="33"/>
  <c r="B39" i="33"/>
  <c r="B38" i="33"/>
  <c r="B37" i="33"/>
  <c r="B36" i="33"/>
  <c r="B35" i="33"/>
  <c r="B34" i="33"/>
  <c r="B33" i="33"/>
  <c r="B32" i="33"/>
  <c r="B31" i="33"/>
  <c r="B30" i="33"/>
  <c r="B29" i="33"/>
  <c r="B28" i="33"/>
  <c r="B27" i="33"/>
  <c r="B26" i="33"/>
  <c r="B25" i="33"/>
  <c r="B24" i="33"/>
  <c r="B23" i="33"/>
  <c r="B22" i="33"/>
  <c r="B21" i="33"/>
  <c r="B20" i="33"/>
  <c r="B19" i="33"/>
  <c r="B18" i="33"/>
  <c r="B17" i="33"/>
  <c r="B16" i="33"/>
  <c r="B15" i="33"/>
  <c r="B14" i="33"/>
  <c r="B13" i="33"/>
  <c r="B12" i="33"/>
  <c r="B11" i="33"/>
  <c r="B10" i="33"/>
  <c r="B9" i="33"/>
  <c r="B8" i="33"/>
  <c r="B7" i="33"/>
  <c r="B6" i="33"/>
  <c r="B5" i="33"/>
  <c r="B4" i="33"/>
  <c r="B3" i="33"/>
  <c r="B2" i="33"/>
  <c r="B29" i="28"/>
  <c r="B28" i="28"/>
  <c r="B27" i="28"/>
  <c r="B26" i="28"/>
  <c r="B25" i="28"/>
  <c r="B24" i="28"/>
  <c r="B23" i="28"/>
  <c r="B22" i="28"/>
  <c r="B21" i="28"/>
  <c r="B13" i="28"/>
  <c r="B12" i="28"/>
  <c r="B11" i="28"/>
  <c r="B10" i="28"/>
  <c r="B9" i="28"/>
  <c r="B8" i="28"/>
  <c r="B7" i="28"/>
  <c r="B6" i="28"/>
  <c r="B5" i="28"/>
  <c r="B4" i="28"/>
  <c r="B3" i="28"/>
  <c r="B2" i="28"/>
  <c r="B4" i="30"/>
  <c r="B3" i="30"/>
  <c r="B2" i="30"/>
</calcChain>
</file>

<file path=xl/sharedStrings.xml><?xml version="1.0" encoding="utf-8"?>
<sst xmlns="http://schemas.openxmlformats.org/spreadsheetml/2006/main" count="8593" uniqueCount="1994">
  <si>
    <t>Complete</t>
  </si>
  <si>
    <t>sourceClass</t>
  </si>
  <si>
    <t>sourceSlot</t>
  </si>
  <si>
    <t>sourceValue</t>
  </si>
  <si>
    <t>targetClass</t>
  </si>
  <si>
    <t>targetSlot</t>
  </si>
  <si>
    <t>targetValue</t>
  </si>
  <si>
    <t>exprValue</t>
  </si>
  <si>
    <t>customData</t>
  </si>
  <si>
    <t>notes</t>
  </si>
  <si>
    <t>PHA4GE_table</t>
  </si>
  <si>
    <t>Bioinformatics and QC metrics</t>
  </si>
  <si>
    <t>consensus genome length</t>
  </si>
  <si>
    <t>consensus sequence software name</t>
  </si>
  <si>
    <t>consensus sequence software version</t>
  </si>
  <si>
    <t>deduplication method</t>
  </si>
  <si>
    <t>Sequence information</t>
  </si>
  <si>
    <t>sequence submitter contact email</t>
  </si>
  <si>
    <t>dehosting method</t>
  </si>
  <si>
    <t>sequencing instrument</t>
  </si>
  <si>
    <t>depth of coverage threshold</t>
  </si>
  <si>
    <t>sequencing date</t>
  </si>
  <si>
    <t>genome completeness</t>
  </si>
  <si>
    <t>minimum post-trimming read length</t>
  </si>
  <si>
    <t>Environmental conditions and measurements</t>
  </si>
  <si>
    <t>alkalinity measurement method</t>
  </si>
  <si>
    <t>carbonaceous biochemical oxygen demand (CBOD) measurement method</t>
  </si>
  <si>
    <t>chemical oxygen demand (COD) measurement method</t>
  </si>
  <si>
    <t>conductivity measurement method</t>
  </si>
  <si>
    <t>dissolved oxygen measurement method</t>
  </si>
  <si>
    <t>fecal coliform count method</t>
  </si>
  <si>
    <t>fecal contamination method</t>
  </si>
  <si>
    <t>oxygen reduction potential (ORP) measurement method</t>
  </si>
  <si>
    <t>precipitation measurement method</t>
  </si>
  <si>
    <t>salinity measurement method</t>
  </si>
  <si>
    <t>total dissolved solids (TDS) measurement method</t>
  </si>
  <si>
    <t>total nitrogen (TN) measurement method</t>
  </si>
  <si>
    <t>total phosphorus (TP) measurement method</t>
  </si>
  <si>
    <t>total solids (TS) measurement method</t>
  </si>
  <si>
    <t>total suspended solids (TSS) measurement method</t>
  </si>
  <si>
    <t>turbidity measurement method</t>
  </si>
  <si>
    <t>urinary contamination method</t>
  </si>
  <si>
    <t>alkalinity measurement unit</t>
  </si>
  <si>
    <t>ambient temperature measurement unit</t>
  </si>
  <si>
    <t>carbonaceous biochemical oxygen demand (CBOD) measurement unit</t>
  </si>
  <si>
    <t>chemical oxygen demand (COD) measurement unit</t>
  </si>
  <si>
    <t>conductivity measurement unit</t>
  </si>
  <si>
    <t>dissolved oxygen measurement unit</t>
  </si>
  <si>
    <t>fecal coliform count unit</t>
  </si>
  <si>
    <t>fecal contamination unit</t>
  </si>
  <si>
    <t>oxygen reduction potential (ORP) measurement unit</t>
  </si>
  <si>
    <t>pH measurement method</t>
  </si>
  <si>
    <t>precipitation measurement unit</t>
  </si>
  <si>
    <t>salinity measurement unit</t>
  </si>
  <si>
    <t>sample temperature unit (at collection)</t>
  </si>
  <si>
    <t>sample temperature unit (when received)</t>
  </si>
  <si>
    <t>Ns per 100 kbp</t>
  </si>
  <si>
    <t>total dissolved solids (TDS) measurement unit</t>
  </si>
  <si>
    <t>total nitrogen (TN) measurement unit</t>
  </si>
  <si>
    <t>total phosphorus (TP) measurement unit</t>
  </si>
  <si>
    <t>total solids (TS) measurement unit</t>
  </si>
  <si>
    <t>total suspended solids (TSS) measurement unit</t>
  </si>
  <si>
    <t>turbidity measurement unit</t>
  </si>
  <si>
    <t>urinary contamination unit</t>
  </si>
  <si>
    <t>alkalinity measurement value</t>
  </si>
  <si>
    <t>amplicon size</t>
  </si>
  <si>
    <t>Database identifiers</t>
  </si>
  <si>
    <t>BioProject accession</t>
  </si>
  <si>
    <t>BioSample accession</t>
  </si>
  <si>
    <t>number of base pairs sequenced</t>
  </si>
  <si>
    <t>number of contigs</t>
  </si>
  <si>
    <t>number of total reads</t>
  </si>
  <si>
    <t>number of unique reads</t>
  </si>
  <si>
    <t>DDBJ accession</t>
  </si>
  <si>
    <t>percent Ns across total genome length</t>
  </si>
  <si>
    <t>quality control method name</t>
  </si>
  <si>
    <t>dissolved oxygen measurement value</t>
  </si>
  <si>
    <t>DNA fragment length</t>
  </si>
  <si>
    <t>DRA accession</t>
  </si>
  <si>
    <t>ENA accession</t>
  </si>
  <si>
    <t>Enterobase accession</t>
  </si>
  <si>
    <t>fecal coliform count value</t>
  </si>
  <si>
    <t>GenBank accession (versioned)</t>
  </si>
  <si>
    <t>raw sequence data processing method</t>
  </si>
  <si>
    <t>genomic target enrichment method</t>
  </si>
  <si>
    <t>read mapping criteria</t>
  </si>
  <si>
    <t>GISAID accession</t>
  </si>
  <si>
    <t>GSA accession</t>
  </si>
  <si>
    <t>library ID</t>
  </si>
  <si>
    <t>library preparation kit</t>
  </si>
  <si>
    <t>metagenome-assembled genome (MAG) ID</t>
  </si>
  <si>
    <t>read mapping software name</t>
  </si>
  <si>
    <t>read mapping software version</t>
  </si>
  <si>
    <t>reference genome accession</t>
  </si>
  <si>
    <t>sequence assembly length</t>
  </si>
  <si>
    <t>sequence assembly software name</t>
  </si>
  <si>
    <t>sequence assembly software version</t>
  </si>
  <si>
    <t>taxonomic reference database name</t>
  </si>
  <si>
    <t>oxygen reduction potential (ORP) measurement value</t>
  </si>
  <si>
    <t>taxonomic reference database version</t>
  </si>
  <si>
    <t>bioinformatics protocol</t>
  </si>
  <si>
    <t>populated area type</t>
  </si>
  <si>
    <t>quality control details</t>
  </si>
  <si>
    <t>quality control issues</t>
  </si>
  <si>
    <t>purpose of sequencing details</t>
  </si>
  <si>
    <t>quality control determination</t>
  </si>
  <si>
    <t>breadth of coverage value</t>
  </si>
  <si>
    <t>depth of coverage value</t>
  </si>
  <si>
    <t>Sample collection and processing</t>
  </si>
  <si>
    <t>sample collector contact email</t>
  </si>
  <si>
    <t>salinity measurement value</t>
  </si>
  <si>
    <t>sample processing date</t>
  </si>
  <si>
    <t>sampling event ID</t>
  </si>
  <si>
    <t>organism</t>
  </si>
  <si>
    <t>sample storage duration unit</t>
  </si>
  <si>
    <t>sequencing platform</t>
  </si>
  <si>
    <t>sample volume measurement unit</t>
  </si>
  <si>
    <t>collection device</t>
  </si>
  <si>
    <t>total dissolved solids (TDS) measurement value</t>
  </si>
  <si>
    <t>environmental material properties</t>
  </si>
  <si>
    <t>sequence submitted by</t>
  </si>
  <si>
    <t>sequencing protocol</t>
  </si>
  <si>
    <t>presampling activity</t>
  </si>
  <si>
    <t>sample collection time of day</t>
  </si>
  <si>
    <t>amplicon pcr primer scheme</t>
  </si>
  <si>
    <t>sample storage medium</t>
  </si>
  <si>
    <t>genomic target enrichment method details</t>
  </si>
  <si>
    <t>sample collected by</t>
  </si>
  <si>
    <t>specimen processing</t>
  </si>
  <si>
    <t>specimen processing details</t>
  </si>
  <si>
    <t>Contributor acknowledgement</t>
  </si>
  <si>
    <t>authors</t>
  </si>
  <si>
    <t>extraction kit</t>
  </si>
  <si>
    <t>extraction method</t>
  </si>
  <si>
    <t>Pathogen diagnostic testing</t>
  </si>
  <si>
    <t>diagnostic measurement method</t>
  </si>
  <si>
    <t>diagnostic measurement unit</t>
  </si>
  <si>
    <t>diagnostic measurement value</t>
  </si>
  <si>
    <t>fecal contamination value</t>
  </si>
  <si>
    <t>gene name</t>
  </si>
  <si>
    <t>presampling weather conditions</t>
  </si>
  <si>
    <t>specimen collector subsample ID</t>
  </si>
  <si>
    <t>urinary contamination indicator</t>
  </si>
  <si>
    <t>urinary contamination value</t>
  </si>
  <si>
    <t>sampling site ID</t>
  </si>
  <si>
    <t>wastewater system type</t>
  </si>
  <si>
    <t>sample collection date</t>
  </si>
  <si>
    <t>experimental control details</t>
  </si>
  <si>
    <t>purpose of sampling</t>
  </si>
  <si>
    <t>sample received date</t>
  </si>
  <si>
    <t>environmental material</t>
  </si>
  <si>
    <t>specimen collector sample ID</t>
  </si>
  <si>
    <t>pH measurement value</t>
  </si>
  <si>
    <t>sample temperature value (when received)</t>
  </si>
  <si>
    <t>sample volume measurement value</t>
  </si>
  <si>
    <t>sample storage duration value</t>
  </si>
  <si>
    <t>sample temperature value (at collection)</t>
  </si>
  <si>
    <t>ambient temperature measurement value</t>
  </si>
  <si>
    <t>precipitation measurement value</t>
  </si>
  <si>
    <t>sampling weather conditions</t>
  </si>
  <si>
    <t>carbonaceous biochemical oxygen demand (CBOD) measurement value</t>
  </si>
  <si>
    <t>chemical oxygen demand (COD) measurement value</t>
  </si>
  <si>
    <t>conductivity measurement value</t>
  </si>
  <si>
    <t>total phosphorus (TP) measurement value</t>
  </si>
  <si>
    <t>total nitrogen (TN) measurement value</t>
  </si>
  <si>
    <t>total solids (TS) measurement value</t>
  </si>
  <si>
    <t>total suspended solids (TSS) measurement value</t>
  </si>
  <si>
    <t>turbidity measurement value</t>
  </si>
  <si>
    <t>Wastewater treatment efficiency assessment</t>
  </si>
  <si>
    <t>Wastewater chemical surveillance</t>
  </si>
  <si>
    <t>Wastewater drug surveillance</t>
  </si>
  <si>
    <t>Wastewater pathogen surveillance</t>
  </si>
  <si>
    <t>Research</t>
  </si>
  <si>
    <t>Environmental survey (profiling)</t>
  </si>
  <si>
    <t>Protocol testing</t>
  </si>
  <si>
    <t>Community-level surveillance</t>
  </si>
  <si>
    <t>Institution-level surveillance</t>
  </si>
  <si>
    <t>Building-level surveillance</t>
  </si>
  <si>
    <t>Morning</t>
  </si>
  <si>
    <t>Afternoon</t>
  </si>
  <si>
    <t>Evening</t>
  </si>
  <si>
    <t>Night</t>
  </si>
  <si>
    <t>Second</t>
  </si>
  <si>
    <t>Minute</t>
  </si>
  <si>
    <t>Hour</t>
  </si>
  <si>
    <t>Day</t>
  </si>
  <si>
    <t>Week</t>
  </si>
  <si>
    <t>Month</t>
  </si>
  <si>
    <t>Year</t>
  </si>
  <si>
    <t>Agricultural activity</t>
  </si>
  <si>
    <t>Animal husbandry</t>
  </si>
  <si>
    <t>Industrial activity</t>
  </si>
  <si>
    <t>Healthcare activity</t>
  </si>
  <si>
    <t>Wastewater treatment</t>
  </si>
  <si>
    <t xml:space="preserve">      Wastewater filtration</t>
  </si>
  <si>
    <t xml:space="preserve">      Wastewater grit removal</t>
  </si>
  <si>
    <t xml:space="preserve">      Wastewater secondary sedimentation</t>
  </si>
  <si>
    <t>microliter (uL)</t>
  </si>
  <si>
    <t>milliliter (mL)</t>
  </si>
  <si>
    <t>liter (L)</t>
  </si>
  <si>
    <t>Concentration</t>
  </si>
  <si>
    <t>Centrifugation</t>
  </si>
  <si>
    <t>Filtration</t>
  </si>
  <si>
    <t>Flocculation</t>
  </si>
  <si>
    <t>Magnetic nanobead binding</t>
  </si>
  <si>
    <t>Precipitation</t>
  </si>
  <si>
    <t>Gravity settling</t>
  </si>
  <si>
    <t>Pasteurization</t>
  </si>
  <si>
    <t>Technical replicate</t>
  </si>
  <si>
    <t>Biological replicate</t>
  </si>
  <si>
    <t>Correctional facility</t>
  </si>
  <si>
    <t>Healthcare facility</t>
  </si>
  <si>
    <t xml:space="preserve">      Hospital</t>
  </si>
  <si>
    <t xml:space="preserve">      Clinic</t>
  </si>
  <si>
    <t>Educational facility</t>
  </si>
  <si>
    <t xml:space="preserve">      Daycare facility</t>
  </si>
  <si>
    <t xml:space="preserve">      School</t>
  </si>
  <si>
    <t xml:space="preserve">      College or university</t>
  </si>
  <si>
    <t>Residential building</t>
  </si>
  <si>
    <t xml:space="preserve">      Homeless shelter</t>
  </si>
  <si>
    <t xml:space="preserve">      Long-term care facility</t>
  </si>
  <si>
    <t>Transport hub</t>
  </si>
  <si>
    <t xml:space="preserve">      Airport</t>
  </si>
  <si>
    <t>Farm</t>
  </si>
  <si>
    <t>Refugee camp</t>
  </si>
  <si>
    <t>Industrial plant</t>
  </si>
  <si>
    <t xml:space="preserve">      Meat processing plant</t>
  </si>
  <si>
    <t xml:space="preserve">      Pharmaceutical manufacturing plant</t>
  </si>
  <si>
    <t>Body of water</t>
  </si>
  <si>
    <t xml:space="preserve">      Surface water</t>
  </si>
  <si>
    <t xml:space="preserve">            Lake</t>
  </si>
  <si>
    <t xml:space="preserve">            Stream</t>
  </si>
  <si>
    <t xml:space="preserve">                  River</t>
  </si>
  <si>
    <t xml:space="preserve">            Ocean</t>
  </si>
  <si>
    <t xml:space="preserve">            Sea</t>
  </si>
  <si>
    <t xml:space="preserve">            Canal</t>
  </si>
  <si>
    <t xml:space="preserve">            Reservoir</t>
  </si>
  <si>
    <t xml:space="preserve">      Ground water</t>
  </si>
  <si>
    <t xml:space="preserve">            Well</t>
  </si>
  <si>
    <t xml:space="preserve">            Spring</t>
  </si>
  <si>
    <t>Transportation vehicle</t>
  </si>
  <si>
    <t xml:space="preserve">      Boat</t>
  </si>
  <si>
    <t xml:space="preserve">      Airplane</t>
  </si>
  <si>
    <t>Wastewater treatment plant</t>
  </si>
  <si>
    <t>Wastewater sediment</t>
  </si>
  <si>
    <t>Sludge</t>
  </si>
  <si>
    <t xml:space="preserve">      Primary sludge</t>
  </si>
  <si>
    <t xml:space="preserve">      Secondary sludge</t>
  </si>
  <si>
    <t>Wastewater effluent</t>
  </si>
  <si>
    <t>Liquid</t>
  </si>
  <si>
    <t>Semi-solid</t>
  </si>
  <si>
    <t>Solid</t>
  </si>
  <si>
    <t>Grab sampler</t>
  </si>
  <si>
    <t xml:space="preserve">      Core sampling device</t>
  </si>
  <si>
    <t xml:space="preserve">      Vacuum sludge sampling device</t>
  </si>
  <si>
    <t xml:space="preserve">      Cone-shaped sampling device</t>
  </si>
  <si>
    <t xml:space="preserve">      Horizontal grab sampling device</t>
  </si>
  <si>
    <t xml:space="preserve">      Vertical grab sampling device</t>
  </si>
  <si>
    <t>Composite sampler</t>
  </si>
  <si>
    <t xml:space="preserve">      Passive (trap) sampler</t>
  </si>
  <si>
    <t xml:space="preserve">            Moore swab</t>
  </si>
  <si>
    <t xml:space="preserve">      Automatic composite sampler</t>
  </si>
  <si>
    <t xml:space="preserve">            Automatic flow-proportional sampler</t>
  </si>
  <si>
    <t>Grab sampling</t>
  </si>
  <si>
    <t>Composite sampling</t>
  </si>
  <si>
    <t xml:space="preserve">      Passive composite sampling</t>
  </si>
  <si>
    <t xml:space="preserve">      Automatic composite sampling</t>
  </si>
  <si>
    <t>&lt;10 people</t>
  </si>
  <si>
    <t>10 - 100 people</t>
  </si>
  <si>
    <t>100 - 1,000 people</t>
  </si>
  <si>
    <t>1,000 - 10,000 people</t>
  </si>
  <si>
    <t>10,000 - 100,000 people</t>
  </si>
  <si>
    <t>1,000,000+ people</t>
  </si>
  <si>
    <t>suburban</t>
  </si>
  <si>
    <t>rural</t>
  </si>
  <si>
    <t>urban</t>
  </si>
  <si>
    <t>Cloudy/Overcast</t>
  </si>
  <si>
    <t xml:space="preserve">      Partially cloudy</t>
  </si>
  <si>
    <t>Drizzle</t>
  </si>
  <si>
    <t>Fog</t>
  </si>
  <si>
    <t>Rain</t>
  </si>
  <si>
    <t>Snow</t>
  </si>
  <si>
    <t>Storm</t>
  </si>
  <si>
    <t>Sunny/Clear</t>
  </si>
  <si>
    <t>millimeter (mm)</t>
  </si>
  <si>
    <t>meter (m)</t>
  </si>
  <si>
    <t>inch (in)</t>
  </si>
  <si>
    <t>foot (ft)</t>
  </si>
  <si>
    <t>degree Fahrenheit (F)</t>
  </si>
  <si>
    <t>degree Celsius (C)</t>
  </si>
  <si>
    <t>cubic meter per second (m^3/s)</t>
  </si>
  <si>
    <t>cubic meter per minute (m^3/min)</t>
  </si>
  <si>
    <t>cubic meter per hour (m^3/h)</t>
  </si>
  <si>
    <t>liter per second (L/s)</t>
  </si>
  <si>
    <t>liter per minute (L/min)</t>
  </si>
  <si>
    <t>liter per hour (L/h)</t>
  </si>
  <si>
    <t>nephelometric turbidity unit (NTU)</t>
  </si>
  <si>
    <t>formazin nephelometric unit (FNU)</t>
  </si>
  <si>
    <t>milligram per liter (mg/L)</t>
  </si>
  <si>
    <t>kilogram per cubic meter (kg/m^3)</t>
  </si>
  <si>
    <t>part per million (ppm)</t>
  </si>
  <si>
    <t>milliVolt (mV)</t>
  </si>
  <si>
    <t>percent (%)</t>
  </si>
  <si>
    <t>gram per liter (g/L)</t>
  </si>
  <si>
    <t>nitrogen per total solids (gN/gTS)</t>
  </si>
  <si>
    <t>orthophosphate per total solids (gPO43–/gTS)</t>
  </si>
  <si>
    <t>orthophosphate as phosphorus per total solids (gPO4-P/gTS)</t>
  </si>
  <si>
    <t>milligrams orthophosphate per liter (mg PO43–/L)</t>
  </si>
  <si>
    <t>milligrams orthophosphate as phosphorus per liter (mg PO4-P/L)</t>
  </si>
  <si>
    <t>milliequivalent per liter (meq/L)</t>
  </si>
  <si>
    <t>milligram per liter of calcium carbonate (mg/L CaCO3)</t>
  </si>
  <si>
    <t>milliSiemen per centimeter (mS/cm)</t>
  </si>
  <si>
    <t>microSiemen per centimeter (μS/cm)</t>
  </si>
  <si>
    <t>Siemen per meter (S/m)</t>
  </si>
  <si>
    <t>millimho per centimeter (mmho/cm)</t>
  </si>
  <si>
    <t>micromho per centimeter (μmho/cm)</t>
  </si>
  <si>
    <t>practical salinity unit (PSU)</t>
  </si>
  <si>
    <t>weight for weight (% w/w)</t>
  </si>
  <si>
    <t>gram per kilogram (g/kg)</t>
  </si>
  <si>
    <t>crAssphage</t>
  </si>
  <si>
    <t>PMMoV / pepper mild mottle virus</t>
  </si>
  <si>
    <t>Bacteroides HF183</t>
  </si>
  <si>
    <t>Lachnospiraceae Lachno3</t>
  </si>
  <si>
    <t>stercobilin</t>
  </si>
  <si>
    <t>log10 gene copies per 100 milliliter (log10 GC/100 mL)</t>
  </si>
  <si>
    <t>gene copies per liter (GC/L)</t>
  </si>
  <si>
    <t>cycle threshold (Ct) / quantification cycle (Cq)</t>
  </si>
  <si>
    <t>log10 gene copies per nanogram total DNA</t>
  </si>
  <si>
    <t>nanograms per liter (ng/L)</t>
  </si>
  <si>
    <t>urobilin</t>
  </si>
  <si>
    <t>colony forming units per milliliter (CFU/mL)</t>
  </si>
  <si>
    <t>colony forming units per 100 milliliter (CFU/100 mL)</t>
  </si>
  <si>
    <t>colony forming units per grams total solids (CFU/gTS)</t>
  </si>
  <si>
    <t>most probable number per milliliter (MPN/mL)</t>
  </si>
  <si>
    <t>most probable number per 100 milliliter (MPN/100 mL)</t>
  </si>
  <si>
    <t>Baseline surveillance (random sampling)</t>
  </si>
  <si>
    <t>Targeted surveillance (non-random sampling)</t>
  </si>
  <si>
    <t>Priority surveillance project</t>
  </si>
  <si>
    <t>Longitudinal surveillance (repeat sampling)</t>
  </si>
  <si>
    <t>Travel-associated surveillance</t>
  </si>
  <si>
    <t xml:space="preserve">      Domestic travel surveillance</t>
  </si>
  <si>
    <t xml:space="preserve">      International travel surveillance</t>
  </si>
  <si>
    <t xml:space="preserve">     Viral passage experiment</t>
  </si>
  <si>
    <t xml:space="preserve">     Protocol testing experiment</t>
  </si>
  <si>
    <t>Illumina</t>
  </si>
  <si>
    <t>Pacific Biosciences</t>
  </si>
  <si>
    <t>Ion Torrent</t>
  </si>
  <si>
    <t>Oxford Nanopore Technologies</t>
  </si>
  <si>
    <t>BGI Genomics</t>
  </si>
  <si>
    <t>MGI</t>
  </si>
  <si>
    <t>Roche LS454</t>
  </si>
  <si>
    <t>SOLiD sequencing</t>
  </si>
  <si>
    <t>Complete Genomics</t>
  </si>
  <si>
    <t>Helicos</t>
  </si>
  <si>
    <t>Applied Biosystems</t>
  </si>
  <si>
    <t xml:space="preserve">     Illumina Genome Analyzer</t>
  </si>
  <si>
    <t xml:space="preserve">     Illumina Genome Analyzer II</t>
  </si>
  <si>
    <t xml:space="preserve">     Illumina Genome Analyzer IIx</t>
  </si>
  <si>
    <t xml:space="preserve">     Illumina HiScanSQ</t>
  </si>
  <si>
    <t xml:space="preserve">     Illumina HiSeq</t>
  </si>
  <si>
    <t xml:space="preserve">          Illumina HiSeq X</t>
  </si>
  <si>
    <t xml:space="preserve">          Illumina HiSeq X Five </t>
  </si>
  <si>
    <t xml:space="preserve">          Illumina HiSeq X Ten</t>
  </si>
  <si>
    <t xml:space="preserve">          Illumina HiSeq 1000</t>
  </si>
  <si>
    <t xml:space="preserve">          Illumina HiSeq 1500</t>
  </si>
  <si>
    <t xml:space="preserve">          Illumina HiSeq 2000   </t>
  </si>
  <si>
    <t xml:space="preserve">          Illumina HiSeq 2500</t>
  </si>
  <si>
    <t xml:space="preserve">          Illumina HiSeq 3000</t>
  </si>
  <si>
    <t xml:space="preserve">          Illumina HiSeq 4000</t>
  </si>
  <si>
    <t xml:space="preserve">     Illumina iSeq  </t>
  </si>
  <si>
    <t xml:space="preserve">          Illumina iSeq 100</t>
  </si>
  <si>
    <t xml:space="preserve">     Illumina NovaSeq  </t>
  </si>
  <si>
    <t xml:space="preserve">          Illumina NovaSeq 6000</t>
  </si>
  <si>
    <t xml:space="preserve">     Illumina MiniSeq</t>
  </si>
  <si>
    <t xml:space="preserve">     Illumina MiSeq</t>
  </si>
  <si>
    <t xml:space="preserve">     Illumina NextSeq</t>
  </si>
  <si>
    <t xml:space="preserve">          Illumina NextSeq 500</t>
  </si>
  <si>
    <t xml:space="preserve">          Illumina NextSeq 550</t>
  </si>
  <si>
    <t xml:space="preserve">          Illumina NextSeq 1000</t>
  </si>
  <si>
    <t xml:space="preserve">          Illumina NextSeq 2000</t>
  </si>
  <si>
    <t>PacBio</t>
  </si>
  <si>
    <t xml:space="preserve">     PacBio RS </t>
  </si>
  <si>
    <t xml:space="preserve">     PacBio RS II</t>
  </si>
  <si>
    <t xml:space="preserve">     PacBio Sequel</t>
  </si>
  <si>
    <t xml:space="preserve">     PacBio Sequel II</t>
  </si>
  <si>
    <t xml:space="preserve">     Ion Torrent PGM</t>
  </si>
  <si>
    <t xml:space="preserve">     Ion Torrent Proton</t>
  </si>
  <si>
    <t xml:space="preserve">     Ion Torrent S5 XL</t>
  </si>
  <si>
    <t xml:space="preserve">     Ion Torrent S5</t>
  </si>
  <si>
    <t>Oxford Nanopore</t>
  </si>
  <si>
    <t xml:space="preserve">     Oxford Nanopore Flongle</t>
  </si>
  <si>
    <t xml:space="preserve">     Oxford Nanopore GridION</t>
  </si>
  <si>
    <t xml:space="preserve">     Oxford Nanopore MinION</t>
  </si>
  <si>
    <t xml:space="preserve">     Oxford Nanopore PromethION</t>
  </si>
  <si>
    <t xml:space="preserve">      MGISEQ-2000RS
</t>
  </si>
  <si>
    <t>454 Genome Sequencer</t>
  </si>
  <si>
    <t xml:space="preserve">      454 Genome Sequencer 20</t>
  </si>
  <si>
    <t xml:space="preserve">      454 Genome Sequencer FLX</t>
  </si>
  <si>
    <t xml:space="preserve">      454 Genome Sequencer FLX+</t>
  </si>
  <si>
    <t xml:space="preserve">      454 Genome Sequencer FLX Titanium</t>
  </si>
  <si>
    <t xml:space="preserve">      454 Genome Sequencer Junior</t>
  </si>
  <si>
    <t>SOLiD System</t>
  </si>
  <si>
    <t xml:space="preserve">      SOLiD 5500</t>
  </si>
  <si>
    <t xml:space="preserve">      SOLiD 5500xl Genetic Analyzer</t>
  </si>
  <si>
    <t xml:space="preserve">      SOLiD 3 Plus System</t>
  </si>
  <si>
    <t xml:space="preserve">      SOLiD 4 System</t>
  </si>
  <si>
    <t xml:space="preserve">      SOLiD 4hq System</t>
  </si>
  <si>
    <t xml:space="preserve">      SOLiD PI System</t>
  </si>
  <si>
    <t xml:space="preserve">      SOLiD System 2.0</t>
  </si>
  <si>
    <t xml:space="preserve">      SOLiD System 3.0</t>
  </si>
  <si>
    <t xml:space="preserve">      AB 3130 Genetic Analyzer</t>
  </si>
  <si>
    <t xml:space="preserve">      AB 3130xL Genetic Analyzer</t>
  </si>
  <si>
    <t xml:space="preserve">      AB 3500 Genetic Analyzer</t>
  </si>
  <si>
    <t xml:space="preserve">      AB 3500xL Genetic Analyzer</t>
  </si>
  <si>
    <t xml:space="preserve">      AB 3730 Genetic Analyzer</t>
  </si>
  <si>
    <t xml:space="preserve">      AB 3730xL Genetic Analyzer</t>
  </si>
  <si>
    <t>artic-v1</t>
  </si>
  <si>
    <t>artic-v2</t>
  </si>
  <si>
    <t>artic-v3</t>
  </si>
  <si>
    <t>artic-v4</t>
  </si>
  <si>
    <t>artic-v4.1</t>
  </si>
  <si>
    <t>artic-v5.0.0_400</t>
  </si>
  <si>
    <t>artic-v5.1.0_400</t>
  </si>
  <si>
    <t>artic-v5.2.0_1200</t>
  </si>
  <si>
    <t>artic-v5.2.0_400</t>
  </si>
  <si>
    <t>artic-v5.3.2_400</t>
  </si>
  <si>
    <t>eden-v1</t>
  </si>
  <si>
    <t>midnight-bccdc-v1</t>
  </si>
  <si>
    <t>midnight-bccdc-v2</t>
  </si>
  <si>
    <t>midnight-bccdc-v3</t>
  </si>
  <si>
    <t>midnight-bccdc-v4</t>
  </si>
  <si>
    <t>midnight-ont-v3</t>
  </si>
  <si>
    <t>midnight-v1</t>
  </si>
  <si>
    <t>midnight-v2</t>
  </si>
  <si>
    <t>varskip-vsl1a</t>
  </si>
  <si>
    <t>varskip-vss1a</t>
  </si>
  <si>
    <t>varskip-vss2a</t>
  </si>
  <si>
    <t>varskip-vss2b</t>
  </si>
  <si>
    <t>no quality control issues identified</t>
  </si>
  <si>
    <t>sequence passed quality control</t>
  </si>
  <si>
    <t>sequence failed quality control</t>
  </si>
  <si>
    <t>minor quality control issues identified</t>
  </si>
  <si>
    <t>sequence flagged for potential quality control issues</t>
  </si>
  <si>
    <t>quality control not performed</t>
  </si>
  <si>
    <t>low quality sequence</t>
  </si>
  <si>
    <t>sequence contaminated</t>
  </si>
  <si>
    <t>low average genome coverage</t>
  </si>
  <si>
    <t>low percent genome captured</t>
  </si>
  <si>
    <t>read lengths shorter than expected</t>
  </si>
  <si>
    <t>sequence amplification artifacts</t>
  </si>
  <si>
    <t>low signal to noise ratio</t>
  </si>
  <si>
    <t>low coverage of characteristic mutations</t>
  </si>
  <si>
    <t>null values</t>
  </si>
  <si>
    <t>Not Applicable</t>
  </si>
  <si>
    <t>Not Collected</t>
  </si>
  <si>
    <t>Not Provided</t>
  </si>
  <si>
    <t>Missing</t>
  </si>
  <si>
    <t>Restricted Access</t>
  </si>
  <si>
    <t>NA</t>
  </si>
  <si>
    <t>AF</t>
  </si>
  <si>
    <t>Afghanistan</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</si>
  <si>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</si>
  <si>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</si>
  <si>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</si>
  <si>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</si>
  <si>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</si>
  <si>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</si>
  <si>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</si>
  <si>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</si>
  <si>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</si>
  <si>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</si>
  <si>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</si>
  <si>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</si>
  <si>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</si>
  <si>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</si>
  <si>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</si>
  <si>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</si>
  <si>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</si>
  <si>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</si>
  <si>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</si>
  <si>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</si>
  <si>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</si>
  <si>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</si>
  <si>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Ashmore and Cartier Islands</t>
  </si>
  <si>
    <t>AU</t>
  </si>
  <si>
    <t>Australia</t>
  </si>
  <si>
    <t>AT</t>
  </si>
  <si>
    <t>Austria</t>
  </si>
  <si>
    <t>AZ</t>
  </si>
  <si>
    <t>Azerbaijan</t>
  </si>
  <si>
    <t>BS</t>
  </si>
  <si>
    <t>Bahamas</t>
  </si>
  <si>
    <t>BH</t>
  </si>
  <si>
    <t>Bahrain</t>
  </si>
  <si>
    <t>Baker Island</t>
  </si>
  <si>
    <t>BD</t>
  </si>
  <si>
    <t>Bangladesh</t>
  </si>
  <si>
    <t>BB</t>
  </si>
  <si>
    <t>Barbados</t>
  </si>
  <si>
    <t>Bassas da India</t>
  </si>
  <si>
    <t>BY</t>
  </si>
  <si>
    <t>Belarus</t>
  </si>
  <si>
    <t>BE</t>
  </si>
  <si>
    <t>Belgium</t>
  </si>
  <si>
    <t>BZ</t>
  </si>
  <si>
    <t>Belize</t>
  </si>
  <si>
    <t>BJ</t>
  </si>
  <si>
    <t>Benin</t>
  </si>
  <si>
    <t>BM</t>
  </si>
  <si>
    <t>Bermuda</t>
  </si>
  <si>
    <t>BT</t>
  </si>
  <si>
    <t>Bhutan</t>
  </si>
  <si>
    <t>BO</t>
  </si>
  <si>
    <t>Bolivia</t>
  </si>
  <si>
    <t>BQ</t>
  </si>
  <si>
    <t>Borneo</t>
  </si>
  <si>
    <t>BA</t>
  </si>
  <si>
    <t>Bosnia and Herzegovina</t>
  </si>
  <si>
    <t>BW</t>
  </si>
  <si>
    <t>Botswana</t>
  </si>
  <si>
    <t>BV</t>
  </si>
  <si>
    <t>Bouvet Island</t>
  </si>
  <si>
    <t>BR</t>
  </si>
  <si>
    <t>Brazil</t>
  </si>
  <si>
    <t>IO</t>
  </si>
  <si>
    <t>British Virgin Islands</t>
  </si>
  <si>
    <t>BN</t>
  </si>
  <si>
    <t>Brunei</t>
  </si>
  <si>
    <t>BG</t>
  </si>
  <si>
    <t>Bulgaria</t>
  </si>
  <si>
    <t>BF</t>
  </si>
  <si>
    <t>Burkina Faso</t>
  </si>
  <si>
    <t>BI</t>
  </si>
  <si>
    <t>Burundi</t>
  </si>
  <si>
    <t>KH</t>
  </si>
  <si>
    <t>Cambodia</t>
  </si>
  <si>
    <t>CM</t>
  </si>
  <si>
    <t>Cameroon</t>
  </si>
  <si>
    <t>CA</t>
  </si>
  <si>
    <t>Canada</t>
  </si>
  <si>
    <t>CV</t>
  </si>
  <si>
    <t>Cape Verde</t>
  </si>
  <si>
    <t>KY</t>
  </si>
  <si>
    <t>Cayman Islands</t>
  </si>
  <si>
    <t>CF</t>
  </si>
  <si>
    <t>Central African Republic</t>
  </si>
  <si>
    <t>TD</t>
  </si>
  <si>
    <t>Chad</t>
  </si>
  <si>
    <t>CL</t>
  </si>
  <si>
    <t>Chile</t>
  </si>
  <si>
    <t>CN</t>
  </si>
  <si>
    <t>China</t>
  </si>
  <si>
    <t>CX</t>
  </si>
  <si>
    <t>Christmas Island</t>
  </si>
  <si>
    <t>Clipperton Island</t>
  </si>
  <si>
    <t>CC</t>
  </si>
  <si>
    <t>Cocos Islands</t>
  </si>
  <si>
    <t>CO</t>
  </si>
  <si>
    <t>Colombia</t>
  </si>
  <si>
    <t>KM</t>
  </si>
  <si>
    <t>Comoros</t>
  </si>
  <si>
    <t>CK</t>
  </si>
  <si>
    <t>Cook Islands</t>
  </si>
  <si>
    <t>Coral Sea Islands</t>
  </si>
  <si>
    <t>CR</t>
  </si>
  <si>
    <t>Costa Rica</t>
  </si>
  <si>
    <t>CI</t>
  </si>
  <si>
    <t>Cote d'Ivoire</t>
  </si>
  <si>
    <t>HR</t>
  </si>
  <si>
    <t>Croatia</t>
  </si>
  <si>
    <t>CU</t>
  </si>
  <si>
    <t>Cuba</t>
  </si>
  <si>
    <t>CW</t>
  </si>
  <si>
    <t>Curacao</t>
  </si>
  <si>
    <t>CY</t>
  </si>
  <si>
    <t>Cyprus</t>
  </si>
  <si>
    <t>CZ</t>
  </si>
  <si>
    <t>Czech Republic</t>
  </si>
  <si>
    <t>CD</t>
  </si>
  <si>
    <t>Democratic Republic of the Congo</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</si>
  <si>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</si>
  <si>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</si>
  <si>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</si>
  <si>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</si>
  <si>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</si>
  <si>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</si>
  <si>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</si>
  <si>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</si>
  <si>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</si>
  <si>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</si>
  <si>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</si>
  <si>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</si>
  <si>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</si>
  <si>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</si>
  <si>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</si>
  <si>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</si>
  <si>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</si>
  <si>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</si>
  <si>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</si>
  <si>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</si>
  <si>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</si>
  <si>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</si>
  <si>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</si>
  <si>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</si>
  <si>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Europa Island</t>
  </si>
  <si>
    <t>FK</t>
  </si>
  <si>
    <t>Falkland Islands (Islas Malvinas)</t>
  </si>
  <si>
    <t>FO</t>
  </si>
  <si>
    <t>Faroe Islands</t>
  </si>
  <si>
    <t>FJ</t>
  </si>
  <si>
    <t>Fiji</t>
  </si>
  <si>
    <t>FI</t>
  </si>
  <si>
    <t>Finland</t>
  </si>
  <si>
    <t>FR</t>
  </si>
  <si>
    <t>France</t>
  </si>
  <si>
    <t>GF</t>
  </si>
  <si>
    <t>French Guiana</t>
  </si>
  <si>
    <t>PF</t>
  </si>
  <si>
    <t>French Polynesia</t>
  </si>
  <si>
    <t>TF</t>
  </si>
  <si>
    <t>French Southern and Antarctic Lands</t>
  </si>
  <si>
    <t>GA</t>
  </si>
  <si>
    <t>Gabon</t>
  </si>
  <si>
    <t>GM</t>
  </si>
  <si>
    <t>Gambia</t>
  </si>
  <si>
    <t>Gaza Strip</t>
  </si>
  <si>
    <t>GE</t>
  </si>
  <si>
    <t>Georgia</t>
  </si>
  <si>
    <t>DE</t>
  </si>
  <si>
    <t>Germany</t>
  </si>
  <si>
    <t>GH</t>
  </si>
  <si>
    <t>Ghana</t>
  </si>
  <si>
    <t>GI</t>
  </si>
  <si>
    <t>Gibraltar</t>
  </si>
  <si>
    <t>Glorioso Islands</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</si>
  <si>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</si>
  <si>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</si>
  <si>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</si>
  <si>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</si>
  <si>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</si>
  <si>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</si>
  <si>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</si>
  <si>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</si>
  <si>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</si>
  <si>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</si>
  <si>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</si>
  <si>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</si>
  <si>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</si>
  <si>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</si>
  <si>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</si>
  <si>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</si>
  <si>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</si>
  <si>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</si>
  <si>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</si>
  <si>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</si>
  <si>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</si>
  <si>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</si>
  <si>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</si>
  <si>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</si>
  <si>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HN</t>
  </si>
  <si>
    <t>Honduras</t>
  </si>
  <si>
    <t>HK</t>
  </si>
  <si>
    <t>Hong Kong</t>
  </si>
  <si>
    <t>Howland Island</t>
  </si>
  <si>
    <t>HU</t>
  </si>
  <si>
    <t>Hungary</t>
  </si>
  <si>
    <t>IS</t>
  </si>
  <si>
    <t>Iceland</t>
  </si>
  <si>
    <t>IN</t>
  </si>
  <si>
    <t>India</t>
  </si>
  <si>
    <t>ID</t>
  </si>
  <si>
    <t>Indonesia</t>
  </si>
  <si>
    <t>IR</t>
  </si>
  <si>
    <t>Iran</t>
  </si>
  <si>
    <t>IQ</t>
  </si>
  <si>
    <t>Iraq</t>
  </si>
  <si>
    <t>IE</t>
  </si>
  <si>
    <t>Ireland</t>
  </si>
  <si>
    <t>IM</t>
  </si>
  <si>
    <t>Isle of Man</t>
  </si>
  <si>
    <t>IL</t>
  </si>
  <si>
    <t>Israel</t>
  </si>
  <si>
    <t>IT</t>
  </si>
  <si>
    <t>Italy</t>
  </si>
  <si>
    <t>JM</t>
  </si>
  <si>
    <t>Jamaica</t>
  </si>
  <si>
    <t>Jan Mayen</t>
  </si>
  <si>
    <t>JP</t>
  </si>
  <si>
    <t>Japan</t>
  </si>
  <si>
    <t>Jarvis Island</t>
  </si>
  <si>
    <t>JE</t>
  </si>
  <si>
    <t>Jersey</t>
  </si>
  <si>
    <t>Johnston Atoll</t>
  </si>
  <si>
    <t>JO</t>
  </si>
  <si>
    <t>Jordan</t>
  </si>
  <si>
    <t>Juan de Nova Island</t>
  </si>
  <si>
    <t>KZ</t>
  </si>
  <si>
    <t>Kazakhstan</t>
  </si>
  <si>
    <t>KE</t>
  </si>
  <si>
    <t>Kenya</t>
  </si>
  <si>
    <t>Kerguelen Archipelago</t>
  </si>
  <si>
    <t>Kingman Reef</t>
  </si>
  <si>
    <t>KI</t>
  </si>
  <si>
    <t>Kiribati</t>
  </si>
  <si>
    <t>XK</t>
  </si>
  <si>
    <t>Kosovo</t>
  </si>
  <si>
    <t>KW</t>
  </si>
  <si>
    <t>Kuwait</t>
  </si>
  <si>
    <t>KG</t>
  </si>
  <si>
    <t>Kyrgyzstan</t>
  </si>
  <si>
    <t>LA</t>
  </si>
  <si>
    <t>Laos</t>
  </si>
  <si>
    <t>LV</t>
  </si>
  <si>
    <t>Latvia</t>
  </si>
  <si>
    <t>LB</t>
  </si>
  <si>
    <t>Lebanon</t>
  </si>
  <si>
    <t>LS</t>
  </si>
  <si>
    <t>Lesotho</t>
  </si>
  <si>
    <t>LR</t>
  </si>
  <si>
    <t>Liberia</t>
  </si>
  <si>
    <t>LY</t>
  </si>
  <si>
    <t>Libya</t>
  </si>
  <si>
    <t>LI</t>
  </si>
  <si>
    <t>Liechtenstein</t>
  </si>
  <si>
    <t>Line Islands</t>
  </si>
  <si>
    <t>LT</t>
  </si>
  <si>
    <t>Lithuania</t>
  </si>
  <si>
    <t>LU</t>
  </si>
  <si>
    <t>Luxembourg</t>
  </si>
  <si>
    <t>MO</t>
  </si>
  <si>
    <t>Macau</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</si>
  <si>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</si>
  <si>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</si>
  <si>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</si>
  <si>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</si>
  <si>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</si>
  <si>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</si>
  <si>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</si>
  <si>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</si>
  <si>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</si>
  <si>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</si>
  <si>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</si>
  <si>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</si>
  <si>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</si>
  <si>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</si>
  <si>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</si>
  <si>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</si>
  <si>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</si>
  <si>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</si>
  <si>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</si>
  <si>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</si>
  <si>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</si>
  <si>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</si>
  <si>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</si>
  <si>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</si>
  <si>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</si>
  <si>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t>
  </si>
  <si>
    <t>Midway Islands</t>
  </si>
  <si>
    <t>MD</t>
  </si>
  <si>
    <t>Moldova</t>
  </si>
  <si>
    <t>MC</t>
  </si>
  <si>
    <t>Monaco</t>
  </si>
  <si>
    <t>MN</t>
  </si>
  <si>
    <t>Mongolia</t>
  </si>
  <si>
    <t>ME</t>
  </si>
  <si>
    <t>Montenegro</t>
  </si>
  <si>
    <t>MS</t>
  </si>
  <si>
    <t>Montserrat</t>
  </si>
  <si>
    <t>MA</t>
  </si>
  <si>
    <t>Morocco</t>
  </si>
  <si>
    <t>MZ</t>
  </si>
  <si>
    <t>Mozambique</t>
  </si>
  <si>
    <t>MM</t>
  </si>
  <si>
    <t>Myanmar</t>
  </si>
  <si>
    <t>Namibia</t>
  </si>
  <si>
    <t>NR</t>
  </si>
  <si>
    <t>Nauru</t>
  </si>
  <si>
    <t>Navassa Island</t>
  </si>
  <si>
    <t>NP</t>
  </si>
  <si>
    <t>Nepal</t>
  </si>
  <si>
    <t>NL</t>
  </si>
  <si>
    <t>Netherlands</t>
  </si>
  <si>
    <t>NC</t>
  </si>
  <si>
    <t>New Caledonia</t>
  </si>
  <si>
    <t>NZ</t>
  </si>
  <si>
    <t>New Zealand</t>
  </si>
  <si>
    <t>NI</t>
  </si>
  <si>
    <t>Nicaragua</t>
  </si>
  <si>
    <t>NE</t>
  </si>
  <si>
    <t>Niger</t>
  </si>
  <si>
    <t>NG</t>
  </si>
  <si>
    <t>Nigeria</t>
  </si>
  <si>
    <t>NU</t>
  </si>
  <si>
    <t>Niue</t>
  </si>
  <si>
    <t>NF</t>
  </si>
  <si>
    <t>Norfolk Island</t>
  </si>
  <si>
    <t>KP</t>
  </si>
  <si>
    <t>North Korea</t>
  </si>
  <si>
    <t>MK</t>
  </si>
  <si>
    <t>North Macedonia</t>
  </si>
  <si>
    <t>North Sea</t>
  </si>
  <si>
    <t>MP</t>
  </si>
  <si>
    <t>Northern Mariana Islands</t>
  </si>
  <si>
    <t>NO</t>
  </si>
  <si>
    <t>Norway</t>
  </si>
  <si>
    <t>OM</t>
  </si>
  <si>
    <t>Oman</t>
  </si>
  <si>
    <t>PK</t>
  </si>
  <si>
    <t>Pakistan</t>
  </si>
  <si>
    <t>PW</t>
  </si>
  <si>
    <t>Palau</t>
  </si>
  <si>
    <t>PA</t>
  </si>
  <si>
    <t>Panama</t>
  </si>
  <si>
    <t>PG</t>
  </si>
  <si>
    <t>Papua New Guinea</t>
  </si>
  <si>
    <t>Paracel Islands</t>
  </si>
  <si>
    <t>PY</t>
  </si>
  <si>
    <t>Paraguay</t>
  </si>
  <si>
    <t>PE</t>
  </si>
  <si>
    <t>Peru</t>
  </si>
  <si>
    <t>PH</t>
  </si>
  <si>
    <t>Philippines</t>
  </si>
  <si>
    <t>PN</t>
  </si>
  <si>
    <t>Pitcairn Islands</t>
  </si>
  <si>
    <t>PL</t>
  </si>
  <si>
    <t>Poland</t>
  </si>
  <si>
    <t>PT</t>
  </si>
  <si>
    <t>Portugal</t>
  </si>
  <si>
    <t>PR</t>
  </si>
  <si>
    <t>Puerto Rico</t>
  </si>
  <si>
    <t>QA</t>
  </si>
  <si>
    <t>Qatar</t>
  </si>
  <si>
    <t>CG</t>
  </si>
  <si>
    <t>Republic of the Congo</t>
  </si>
  <si>
    <t>RE</t>
  </si>
  <si>
    <t>Reunion</t>
  </si>
  <si>
    <t>RO</t>
  </si>
  <si>
    <t>Romania</t>
  </si>
  <si>
    <t>Ross Sea</t>
  </si>
  <si>
    <t>RU</t>
  </si>
  <si>
    <t>Russia</t>
  </si>
  <si>
    <t>RW</t>
  </si>
  <si>
    <t>Rwanda</t>
  </si>
  <si>
    <t>SH</t>
  </si>
  <si>
    <t>Saint Helena</t>
  </si>
  <si>
    <t>KN</t>
  </si>
  <si>
    <t>Saint Kitts and Nevis</t>
  </si>
  <si>
    <t>LC</t>
  </si>
  <si>
    <t>Saint Lucia</t>
  </si>
  <si>
    <t>PM</t>
  </si>
  <si>
    <t>Saint Pierre and Miquelon</t>
  </si>
  <si>
    <t>MF</t>
  </si>
  <si>
    <t>Saint Martin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</si>
  <si>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</si>
  <si>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</si>
  <si>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</si>
  <si>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</si>
  <si>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</si>
  <si>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</si>
  <si>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</si>
  <si>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</si>
  <si>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</si>
  <si>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</si>
  <si>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</si>
  <si>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</si>
  <si>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</si>
  <si>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</si>
  <si>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</si>
  <si>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</si>
  <si>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</si>
  <si>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</si>
  <si>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</si>
  <si>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</si>
  <si>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</si>
  <si>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t>
  </si>
  <si>
    <t>SK</t>
  </si>
  <si>
    <t>Slovakia</t>
  </si>
  <si>
    <t>SI</t>
  </si>
  <si>
    <t>Slovenia</t>
  </si>
  <si>
    <t>SB</t>
  </si>
  <si>
    <t>Solomon Islands</t>
  </si>
  <si>
    <t>SO</t>
  </si>
  <si>
    <t>Somalia</t>
  </si>
  <si>
    <t>ZA</t>
  </si>
  <si>
    <t>South Africa</t>
  </si>
  <si>
    <t>GS</t>
  </si>
  <si>
    <t>South Georgia and the South Sandwich Islands</t>
  </si>
  <si>
    <t>KR</t>
  </si>
  <si>
    <t>South Korea</t>
  </si>
  <si>
    <t>SS</t>
  </si>
  <si>
    <t>South Sudan</t>
  </si>
  <si>
    <t>ES</t>
  </si>
  <si>
    <t>Spain</t>
  </si>
  <si>
    <t>Spratly Islands</t>
  </si>
  <si>
    <t>LK</t>
  </si>
  <si>
    <t>Sri Lanka</t>
  </si>
  <si>
    <t>PS</t>
  </si>
  <si>
    <t>State of Palestine</t>
  </si>
  <si>
    <t>SD</t>
  </si>
  <si>
    <t>Sudan</t>
  </si>
  <si>
    <t>SR</t>
  </si>
  <si>
    <t>Suriname</t>
  </si>
  <si>
    <t>SJ</t>
  </si>
  <si>
    <t>Svalbard</t>
  </si>
  <si>
    <t>Swaziland</t>
  </si>
  <si>
    <t>SE</t>
  </si>
  <si>
    <t>Sweden</t>
  </si>
  <si>
    <t>CH</t>
  </si>
  <si>
    <t>Switzerland</t>
  </si>
  <si>
    <t>SY</t>
  </si>
  <si>
    <t>Syria</t>
  </si>
  <si>
    <t>TW</t>
  </si>
  <si>
    <t>Taiwan</t>
  </si>
  <si>
    <t>TJ</t>
  </si>
  <si>
    <t>Tajikistan</t>
  </si>
  <si>
    <t>TZ</t>
  </si>
  <si>
    <t>Tanzania</t>
  </si>
  <si>
    <t>TH</t>
  </si>
  <si>
    <t>Thailand</t>
  </si>
  <si>
    <t>TL</t>
  </si>
  <si>
    <t>Timor-Leste</t>
  </si>
  <si>
    <t>TG</t>
  </si>
  <si>
    <t>Togo</t>
  </si>
  <si>
    <t>TK</t>
  </si>
  <si>
    <t>Tokelau</t>
  </si>
  <si>
    <t>TO</t>
  </si>
  <si>
    <t>Tonga</t>
  </si>
  <si>
    <t>TT</t>
  </si>
  <si>
    <t>Trinidad and Tobago</t>
  </si>
  <si>
    <t>Tromelin Island</t>
  </si>
  <si>
    <t>TN</t>
  </si>
  <si>
    <t>Tunisia</t>
  </si>
  <si>
    <t>TR</t>
  </si>
  <si>
    <t>Turkey</t>
  </si>
  <si>
    <t>TM</t>
  </si>
  <si>
    <t>Turkmenistan</t>
  </si>
  <si>
    <t>TC</t>
  </si>
  <si>
    <t>Turks and Caicos Islands</t>
  </si>
  <si>
    <t>TV</t>
  </si>
  <si>
    <t>Tuvalu</t>
  </si>
  <si>
    <t>US</t>
  </si>
  <si>
    <t>United States of America</t>
  </si>
  <si>
    <t>UG</t>
  </si>
  <si>
    <t>Uganda</t>
  </si>
  <si>
    <t>UA</t>
  </si>
  <si>
    <t>Ukraine</t>
  </si>
  <si>
    <t>AE</t>
  </si>
  <si>
    <t>United Arab Emirates</t>
  </si>
  <si>
    <t>GB</t>
  </si>
  <si>
    <t>United Kingdom</t>
  </si>
  <si>
    <t>UY</t>
  </si>
  <si>
    <t>Uruguay</t>
  </si>
  <si>
    <t>UZ</t>
  </si>
  <si>
    <t>Uzbekistan</t>
  </si>
  <si>
    <t>VU</t>
  </si>
  <si>
    <t>Vanuatu</t>
  </si>
  <si>
    <t>VE</t>
  </si>
  <si>
    <t>Venezuela</t>
  </si>
  <si>
    <t>VN</t>
  </si>
  <si>
    <t>Viet Nam</t>
  </si>
  <si>
    <t>VG</t>
  </si>
  <si>
    <t>Virgin Islands</t>
  </si>
  <si>
    <t>Wake Island</t>
  </si>
  <si>
    <t>WF</t>
  </si>
  <si>
    <t>Wallis and Futuna</t>
  </si>
  <si>
    <t>West Bank</t>
  </si>
  <si>
    <t>EH</t>
  </si>
  <si>
    <t>Western Sahara</t>
  </si>
  <si>
    <t>YE</t>
  </si>
  <si>
    <t>Yemen</t>
  </si>
  <si>
    <t>ZM</t>
  </si>
  <si>
    <t>Zambia</t>
  </si>
  <si>
    <t>ZW</t>
  </si>
  <si>
    <t>Zimbabwe</t>
  </si>
  <si>
    <t>measures</t>
  </si>
  <si>
    <t>protocolID</t>
  </si>
  <si>
    <t>{{alkalinity measurement method}}</t>
  </si>
  <si>
    <t>{{carbonaceous biochemical oxygen demand (CBOD) measurement method}}</t>
  </si>
  <si>
    <t>{{chemical oxygen demand (COD) measurement method}}</t>
  </si>
  <si>
    <t>{{conductivity measurement method}}</t>
  </si>
  <si>
    <t>{{dissolved oxygen measurement method}}</t>
  </si>
  <si>
    <t>{{fecal coliform count method}}</t>
  </si>
  <si>
    <t>{{fecal contamination method}}</t>
  </si>
  <si>
    <t>{{oxygen reduction potential (ORP) measurement method}}</t>
  </si>
  <si>
    <t>{{precipitation measurement method}}</t>
  </si>
  <si>
    <t>{{salinity measurement method}}</t>
  </si>
  <si>
    <t>{{total dissolved solids (TDS) measurement method}}</t>
  </si>
  <si>
    <t>{{total nitrogen (TN) measurement method}}</t>
  </si>
  <si>
    <t>{{total phosphorus (TP) measurement method}}</t>
  </si>
  <si>
    <t>{{total solids (TS) measurement method}}</t>
  </si>
  <si>
    <t>{{turbidity measurement method}}</t>
  </si>
  <si>
    <t>{{urinary contamination method}}</t>
  </si>
  <si>
    <t>Note: This may be somewhat problematic of a mapping, since this is a free-text variable in PHA4GE. But I think this will work for now. ALSO, note that these are the same header and such, but need to be linked to the related measure.</t>
  </si>
  <si>
    <t>{{pH measurement method}}</t>
  </si>
  <si>
    <t>unit</t>
  </si>
  <si>
    <t>cel</t>
  </si>
  <si>
    <t>mgL</t>
  </si>
  <si>
    <t>uSCm</t>
  </si>
  <si>
    <t>ppm</t>
  </si>
  <si>
    <t>cfu100</t>
  </si>
  <si>
    <t>gcL</t>
  </si>
  <si>
    <t>m3S</t>
  </si>
  <si>
    <t>m3H</t>
  </si>
  <si>
    <t>Link in measures with the actual measure value.</t>
  </si>
  <si>
    <t>mm</t>
  </si>
  <si>
    <t>perc</t>
  </si>
  <si>
    <t>ntu</t>
  </si>
  <si>
    <t>meqL</t>
  </si>
  <si>
    <t>mgLCaCO3</t>
  </si>
  <si>
    <t>fah</t>
  </si>
  <si>
    <t>mScm</t>
  </si>
  <si>
    <t>Sm</t>
  </si>
  <si>
    <t>mmhocm</t>
  </si>
  <si>
    <t>umhocm</t>
  </si>
  <si>
    <t>kgm3</t>
  </si>
  <si>
    <t>cfumL</t>
  </si>
  <si>
    <t>cfugTS</t>
  </si>
  <si>
    <t>mpnmL</t>
  </si>
  <si>
    <t>mpn100mL</t>
  </si>
  <si>
    <t>log10gc100mL</t>
  </si>
  <si>
    <t>ctcq</t>
  </si>
  <si>
    <t>log10gcngDNA</t>
  </si>
  <si>
    <t>m3min</t>
  </si>
  <si>
    <t>lsec</t>
  </si>
  <si>
    <t>lmin</t>
  </si>
  <si>
    <t>lhour</t>
  </si>
  <si>
    <t>mvolt</t>
  </si>
  <si>
    <t>meter</t>
  </si>
  <si>
    <t>inch</t>
  </si>
  <si>
    <t>foot</t>
  </si>
  <si>
    <t>psu</t>
  </si>
  <si>
    <t>ww</t>
  </si>
  <si>
    <t>gkg</t>
  </si>
  <si>
    <t>gL</t>
  </si>
  <si>
    <t>gNgTS</t>
  </si>
  <si>
    <t>gPO43gTS</t>
  </si>
  <si>
    <t>gPO4PgTS</t>
  </si>
  <si>
    <t>mgPO43L</t>
  </si>
  <si>
    <t>mgPO4PL</t>
  </si>
  <si>
    <t>fnu</t>
  </si>
  <si>
    <t>ngL</t>
  </si>
  <si>
    <t>wideTargetValue</t>
  </si>
  <si>
    <t>wideOtherSlots</t>
  </si>
  <si>
    <t>measure</t>
  </si>
  <si>
    <t>{{alkalinity measurement value}}</t>
  </si>
  <si>
    <t>{{dissolved oxygen measurement value}}</t>
  </si>
  <si>
    <t>{{fecal coliform count value}}</t>
  </si>
  <si>
    <t>{{oxygen reduction potential (ORP) measurement value}}</t>
  </si>
  <si>
    <t>{{alkalinity measurement unit}}</t>
  </si>
  <si>
    <t>{{dissolved oxygen measurement unit}}</t>
  </si>
  <si>
    <t>{{fecal coliform count unit}}</t>
  </si>
  <si>
    <t>{{oxygen reduction potential (ORP) measurement unit}}</t>
  </si>
  <si>
    <t>si</t>
  </si>
  <si>
    <t>sa</t>
  </si>
  <si>
    <t>alkaline</t>
  </si>
  <si>
    <t>dissOxy</t>
  </si>
  <si>
    <t>fecalCol</t>
  </si>
  <si>
    <t>orp</t>
  </si>
  <si>
    <t>sin</t>
  </si>
  <si>
    <t>me</t>
  </si>
  <si>
    <t>not sure about the aggregation</t>
  </si>
  <si>
    <t>wide_value</t>
  </si>
  <si>
    <t>popAreaType</t>
  </si>
  <si>
    <t>unitless</t>
  </si>
  <si>
    <t>salinity</t>
  </si>
  <si>
    <t>tds</t>
  </si>
  <si>
    <t>popServRange</t>
  </si>
  <si>
    <t>less10</t>
  </si>
  <si>
    <t>less100</t>
  </si>
  <si>
    <t>less1k</t>
  </si>
  <si>
    <t>less10k</t>
  </si>
  <si>
    <t>less100k</t>
  </si>
  <si>
    <t>less1mil</t>
  </si>
  <si>
    <t>more1mil</t>
  </si>
  <si>
    <t>popServ</t>
  </si>
  <si>
    <t>{{salinity measurement unit}}</t>
  </si>
  <si>
    <t>{{total dissolved solids (TDS) measurement unit}}</t>
  </si>
  <si>
    <t>peeps</t>
  </si>
  <si>
    <t>{{total dissolved solids (TDS) measurement value}}</t>
  </si>
  <si>
    <t>{{salinity measurement value}}</t>
  </si>
  <si>
    <t>nr</t>
  </si>
  <si>
    <t>undisc</t>
  </si>
  <si>
    <t>restrict</t>
  </si>
  <si>
    <t>both values map to the NA value as it's used in ODM.</t>
  </si>
  <si>
    <t>preSampWeath</t>
  </si>
  <si>
    <t>cloudy</t>
  </si>
  <si>
    <t>foggy</t>
  </si>
  <si>
    <t>rainy</t>
  </si>
  <si>
    <t>snowy</t>
  </si>
  <si>
    <t>sunny</t>
  </si>
  <si>
    <t>stormy</t>
  </si>
  <si>
    <t>weath</t>
  </si>
  <si>
    <t>total daily flow rate measurement value</t>
  </si>
  <si>
    <t>total daily flow rate measurement unit</t>
  </si>
  <si>
    <t>total daily flow rate measurement method</t>
  </si>
  <si>
    <t>instantaneous flow rate measurement value</t>
  </si>
  <si>
    <t>instantaneous flow rate measurement unit</t>
  </si>
  <si>
    <t>instantaneous flow rate measurement method</t>
  </si>
  <si>
    <t>PCR quantification cycle</t>
  </si>
  <si>
    <t>liter per day (L/day)</t>
  </si>
  <si>
    <t>million gallons per day (MGD)</t>
  </si>
  <si>
    <t>pooled sample ID</t>
  </si>
  <si>
    <t>specimen collector project ID</t>
  </si>
  <si>
    <t/>
  </si>
  <si>
    <t>geo loc latitude</t>
  </si>
  <si>
    <t>geo loc longitude</t>
  </si>
  <si>
    <t>watershed shapefile availability</t>
  </si>
  <si>
    <t>watershed shapefile filename</t>
  </si>
  <si>
    <t>scale of sampling</t>
  </si>
  <si>
    <t>sample collection end date</t>
  </si>
  <si>
    <t>sample collection start time</t>
  </si>
  <si>
    <t>sample collection end time</t>
  </si>
  <si>
    <t>experimental protocol field</t>
  </si>
  <si>
    <t>experimental specimen role type</t>
  </si>
  <si>
    <t>endogenous control details</t>
  </si>
  <si>
    <t>extraction recovery efficiency measurement value</t>
  </si>
  <si>
    <t>extraction recovery efficiency measurement method</t>
  </si>
  <si>
    <t>Strain and isolation information</t>
  </si>
  <si>
    <t>microbiological method</t>
  </si>
  <si>
    <t>strain</t>
  </si>
  <si>
    <t>isolate ID</t>
  </si>
  <si>
    <t>alternative isolate ID</t>
  </si>
  <si>
    <t>progeny isolate ID</t>
  </si>
  <si>
    <t>isolated by</t>
  </si>
  <si>
    <t>isolated by laboratory name</t>
  </si>
  <si>
    <t>isolated by contact email</t>
  </si>
  <si>
    <t>isolation date</t>
  </si>
  <si>
    <t>isolate received date</t>
  </si>
  <si>
    <t>serovar</t>
  </si>
  <si>
    <t>serotyping method</t>
  </si>
  <si>
    <t>phagetype</t>
  </si>
  <si>
    <t>sequenced by</t>
  </si>
  <si>
    <t>sequenced by contact email</t>
  </si>
  <si>
    <t>sequencing assay type</t>
  </si>
  <si>
    <t>Taxonomic identification information</t>
  </si>
  <si>
    <t>taxonomic analysis report filename</t>
  </si>
  <si>
    <t>taxonomic analysis date</t>
  </si>
  <si>
    <t>AMR detection information</t>
  </si>
  <si>
    <t>AMR analysis software name</t>
  </si>
  <si>
    <t>AMR analysis software version</t>
  </si>
  <si>
    <t>AMR reference database name</t>
  </si>
  <si>
    <t>AMR reference database version</t>
  </si>
  <si>
    <t>AMR analysis report filename</t>
  </si>
  <si>
    <t>Lineage/clade information</t>
  </si>
  <si>
    <t>lineage/clade name</t>
  </si>
  <si>
    <t>lineage/clade analysis software name</t>
  </si>
  <si>
    <t>lineage/clade analysis software version</t>
  </si>
  <si>
    <t>lineage/clade analysis report filename</t>
  </si>
  <si>
    <t>diagnostic target presence</t>
  </si>
  <si>
    <t>Available</t>
  </si>
  <si>
    <t>Unknown</t>
  </si>
  <si>
    <t xml:space="preserve">      Wastewater microbial treatment</t>
  </si>
  <si>
    <t>Growth in enrichment broth</t>
  </si>
  <si>
    <t>Pooling specimens</t>
  </si>
  <si>
    <t>Technical replicate process</t>
  </si>
  <si>
    <t>Biological replicate process</t>
  </si>
  <si>
    <t>Waste stabilization pond</t>
  </si>
  <si>
    <t>Plumbing drain</t>
  </si>
  <si>
    <t>Contamination</t>
  </si>
  <si>
    <t>Treated</t>
  </si>
  <si>
    <t>Untreated</t>
  </si>
  <si>
    <t>Sewer (drain)</t>
  </si>
  <si>
    <t>Positive experimental control</t>
  </si>
  <si>
    <t>Negative experimental control</t>
  </si>
  <si>
    <t xml:space="preserve">      Manual composite sampling</t>
  </si>
  <si>
    <t>centimeter (cm)</t>
  </si>
  <si>
    <t>parts per thousand</t>
  </si>
  <si>
    <t>gram per total solids (g/gTS)</t>
  </si>
  <si>
    <t>MGI sequencing instrument</t>
  </si>
  <si>
    <t xml:space="preserve">      MGI DNBSEQ-G99</t>
  </si>
  <si>
    <t xml:space="preserve">      MGI DNBSEQ-G400</t>
  </si>
  <si>
    <t xml:space="preserve">            MGI DNBSEQ-G400RS FAST</t>
  </si>
  <si>
    <t xml:space="preserve">      MGI DNBSEQ-T7</t>
  </si>
  <si>
    <t xml:space="preserve">      MGI DNBSEQ-E25</t>
  </si>
  <si>
    <t xml:space="preserve">      MGI DNBSEQ-G50</t>
  </si>
  <si>
    <t xml:space="preserve">      ABI PRISM 310 Genetic Analyzer</t>
  </si>
  <si>
    <t>amplicon sequencing assay</t>
  </si>
  <si>
    <t xml:space="preserve">      16S ribosomal gene sequencing assay</t>
  </si>
  <si>
    <t>whole genome sequencing assay</t>
  </si>
  <si>
    <t>whole metagenome sequencing assay</t>
  </si>
  <si>
    <t xml:space="preserve">      whole virome sequencing assay</t>
  </si>
  <si>
    <t>hybrid selection method</t>
  </si>
  <si>
    <t>rRNA depletion method</t>
  </si>
  <si>
    <t>diagnostic target present</t>
  </si>
  <si>
    <t>diagnostic target absent</t>
  </si>
  <si>
    <t>quantitative real time polymerase chain reaction (qPCR)</t>
  </si>
  <si>
    <t>digital real time polymerase chain reaction (dPCR)</t>
  </si>
  <si>
    <t>bacteria culture test</t>
  </si>
  <si>
    <t>datasets</t>
  </si>
  <si>
    <t>name</t>
  </si>
  <si>
    <t>{{authors}}</t>
  </si>
  <si>
    <t>May need to shift the mapping depending on the kinds of values received here… tbd</t>
  </si>
  <si>
    <t>repositories</t>
  </si>
  <si>
    <t>insdc</t>
  </si>
  <si>
    <t>ddbj</t>
  </si>
  <si>
    <t>dra</t>
  </si>
  <si>
    <t>ena</t>
  </si>
  <si>
    <t>enterobase</t>
  </si>
  <si>
    <t>genBank</t>
  </si>
  <si>
    <t>gisaid</t>
  </si>
  <si>
    <t>gsa</t>
  </si>
  <si>
    <t>sra</t>
  </si>
  <si>
    <t>mag</t>
  </si>
  <si>
    <t>{{BioProject accession}}</t>
  </si>
  <si>
    <t>{{BioSample accession}}</t>
  </si>
  <si>
    <t>{{DDBJ accession}}</t>
  </si>
  <si>
    <t>{{DRA accession}}</t>
  </si>
  <si>
    <t>{{ENA accession}}</t>
  </si>
  <si>
    <t>{{Enterobase accession}}</t>
  </si>
  <si>
    <t>{{GenBank accession (versioned)}}</t>
  </si>
  <si>
    <t>{{GISAID accession}}</t>
  </si>
  <si>
    <t>{{GSA accession}}</t>
  </si>
  <si>
    <t>{{metagenome-assembled genome (MAG) ID}}</t>
  </si>
  <si>
    <t>{{SRA accession }}</t>
  </si>
  <si>
    <t>samples</t>
  </si>
  <si>
    <t>sampleID</t>
  </si>
  <si>
    <t>{{specimen collector sample ID}}</t>
  </si>
  <si>
    <t>{{specimen collector project ID}}</t>
  </si>
  <si>
    <t>may need to instead be mapped to "name' instead - pending.</t>
  </si>
  <si>
    <t>sites</t>
  </si>
  <si>
    <t>siteID</t>
  </si>
  <si>
    <t>{{sampling site ID}}</t>
  </si>
  <si>
    <t>lday</t>
  </si>
  <si>
    <t>mgd</t>
  </si>
  <si>
    <t>cm</t>
  </si>
  <si>
    <t>addresses</t>
  </si>
  <si>
    <t>country</t>
  </si>
  <si>
    <t>Needs to be linked to the siteID in sites, already matches the "countries" table values.</t>
  </si>
  <si>
    <t>contacts</t>
  </si>
  <si>
    <t>group</t>
  </si>
  <si>
    <t>seconds</t>
  </si>
  <si>
    <t>minutes</t>
  </si>
  <si>
    <t>hours</t>
  </si>
  <si>
    <t>days</t>
  </si>
  <si>
    <t>months</t>
  </si>
  <si>
    <t>years</t>
  </si>
  <si>
    <t>weeks</t>
  </si>
  <si>
    <t>l</t>
  </si>
  <si>
    <t>ml</t>
  </si>
  <si>
    <t>ul</t>
  </si>
  <si>
    <t>{{geo_loc name (site)}}</t>
  </si>
  <si>
    <t>articV1</t>
  </si>
  <si>
    <t>articV2</t>
  </si>
  <si>
    <t>articV41</t>
  </si>
  <si>
    <t>articV500</t>
  </si>
  <si>
    <t>articV510</t>
  </si>
  <si>
    <t>articV520bp1200</t>
  </si>
  <si>
    <t>articV520bp400</t>
  </si>
  <si>
    <t>articV532</t>
  </si>
  <si>
    <t>edenV1</t>
  </si>
  <si>
    <t>midnightBCCDCv1</t>
  </si>
  <si>
    <t>midnightBCCDCv2</t>
  </si>
  <si>
    <t>midnightBCCDCv3</t>
  </si>
  <si>
    <t>midnightBCCDCv4</t>
  </si>
  <si>
    <t>midnightV3</t>
  </si>
  <si>
    <t>midnightV1</t>
  </si>
  <si>
    <t>midnightV2</t>
  </si>
  <si>
    <t>nebVarSkipV1aLong</t>
  </si>
  <si>
    <t>nebVarSkipV1aShort</t>
  </si>
  <si>
    <t>nebVarSkipV2a</t>
  </si>
  <si>
    <t>nebVarSkipV2b</t>
  </si>
  <si>
    <t>articV3</t>
  </si>
  <si>
    <t>articV4</t>
  </si>
  <si>
    <t>protocolSteps</t>
  </si>
  <si>
    <t>primer</t>
  </si>
  <si>
    <t>collType</t>
  </si>
  <si>
    <t>grb</t>
  </si>
  <si>
    <t>passiveGen</t>
  </si>
  <si>
    <t>organizationID</t>
  </si>
  <si>
    <t>{{sample collected by}}</t>
  </si>
  <si>
    <t>stabPnd</t>
  </si>
  <si>
    <t>sampleShed</t>
  </si>
  <si>
    <t>siteType</t>
  </si>
  <si>
    <t>wwtpMuC</t>
  </si>
  <si>
    <t>wwtpMuS</t>
  </si>
  <si>
    <t>septTnk</t>
  </si>
  <si>
    <t>collDT</t>
  </si>
  <si>
    <t>collDTEnd</t>
  </si>
  <si>
    <t>Date and time are separated values here, whereas in the ODM they are recorded together. So "sample collection date" needs to be combined with sample collection start time (if available), and "sample collection end date" and "sample collection end time" need to be combined.</t>
  </si>
  <si>
    <t>ppt</t>
  </si>
  <si>
    <t>gPergTS</t>
  </si>
  <si>
    <t>pcrCycles</t>
  </si>
  <si>
    <t>personPerMile</t>
  </si>
  <si>
    <t>personPerKm</t>
  </si>
  <si>
    <t>resPerMile</t>
  </si>
  <si>
    <t>resPerKm</t>
  </si>
  <si>
    <t>qualityFlag</t>
  </si>
  <si>
    <t>qualityReports</t>
  </si>
  <si>
    <t>lowQualSeq</t>
  </si>
  <si>
    <t>seqContam</t>
  </si>
  <si>
    <t>lAGC</t>
  </si>
  <si>
    <t>lPGC</t>
  </si>
  <si>
    <t>shortRead</t>
  </si>
  <si>
    <t>ampliArtifact</t>
  </si>
  <si>
    <t>lowSNRatio</t>
  </si>
  <si>
    <t>lowCovMut</t>
  </si>
  <si>
    <t>Need linkage to the measureRepID for the sequencing, generate qulaityIDs.</t>
  </si>
  <si>
    <t>reportable</t>
  </si>
  <si>
    <t>report with sequencing measure</t>
  </si>
  <si>
    <t>Generate a quality report with the the quality flag "qf1" to accompany this report, and then report both with the sequencing measure</t>
  </si>
  <si>
    <t>{{quality control details}}</t>
  </si>
  <si>
    <t>{{purpose of sequencing details}}</t>
  </si>
  <si>
    <t>add to sequencing measure report</t>
  </si>
  <si>
    <t>purposeID</t>
  </si>
  <si>
    <t>match to sampleID entry row</t>
  </si>
  <si>
    <t>match to measureRepID entry row</t>
  </si>
  <si>
    <t>regular</t>
  </si>
  <si>
    <t>match to sampleID entry row; plus add compartment = "wat"</t>
  </si>
  <si>
    <t>testing</t>
  </si>
  <si>
    <t>wwtpAssess</t>
  </si>
  <si>
    <t>chemSurv</t>
  </si>
  <si>
    <t>drugSurv</t>
  </si>
  <si>
    <t>researchPurp</t>
  </si>
  <si>
    <t>profil</t>
  </si>
  <si>
    <t>Random sampling surveillance program</t>
  </si>
  <si>
    <t>Targeted surveillance program</t>
  </si>
  <si>
    <t>Emergency targetted surveillance program</t>
  </si>
  <si>
    <t>Longitudinal, repeat sampling surveillance program</t>
  </si>
  <si>
    <t>Travel hub surveillance - general</t>
  </si>
  <si>
    <t>Domestic travel hub surveillance</t>
  </si>
  <si>
    <t>International travel hub surveillance</t>
  </si>
  <si>
    <t>viralPass</t>
  </si>
  <si>
    <t>geoLat</t>
  </si>
  <si>
    <t>geoLong</t>
  </si>
  <si>
    <t>{{geo loc latitude}}</t>
  </si>
  <si>
    <t>{{geo loc longitude}}</t>
  </si>
  <si>
    <t>{{geo_loc_name (city)}}</t>
  </si>
  <si>
    <t>city</t>
  </si>
  <si>
    <t>link to sites</t>
  </si>
  <si>
    <t>stateProvReg</t>
  </si>
  <si>
    <t>{{geo_loc_name (state/province/territory)}}</t>
  </si>
  <si>
    <t>Unfortunately may need regex because it needs to match a value in the "zones" table.</t>
  </si>
  <si>
    <t>{{sample collector contact email}}</t>
  </si>
  <si>
    <t>{{sample processing date}}</t>
  </si>
  <si>
    <t>{{organism}}</t>
  </si>
  <si>
    <t>{{sample storage method
}}</t>
  </si>
  <si>
    <t>Unfortunately may need regex because it needs to match a valid "group" type part in the "parts" table.</t>
  </si>
  <si>
    <t>recDate</t>
  </si>
  <si>
    <t>{{sample received date}}</t>
  </si>
  <si>
    <t>nBPSeq</t>
  </si>
  <si>
    <t>nContig</t>
  </si>
  <si>
    <t>nTotRead</t>
  </si>
  <si>
    <t>nUniRead</t>
  </si>
  <si>
    <t>percNLength</t>
  </si>
  <si>
    <t>percContam</t>
  </si>
  <si>
    <t>seqAssLen</t>
  </si>
  <si>
    <t>conGenLen</t>
  </si>
  <si>
    <t>depCovThresh</t>
  </si>
  <si>
    <t>genComplete</t>
  </si>
  <si>
    <t>minPTLength</t>
  </si>
  <si>
    <t>{{consensus genome length}}</t>
  </si>
  <si>
    <t>{{depth of coverage threshold}}</t>
  </si>
  <si>
    <t>{{genome completeness}}</t>
  </si>
  <si>
    <t>{{Ns per 100 kbp}}</t>
  </si>
  <si>
    <t>{{number of base pairs sequenced}}</t>
  </si>
  <si>
    <t>{{number of contigs}}</t>
  </si>
  <si>
    <t>{{number of total reads}}</t>
  </si>
  <si>
    <t>{{number of unique reads}}</t>
  </si>
  <si>
    <t>{{percent Ns across total genome length}}</t>
  </si>
  <si>
    <t>{{percent read contamination }}</t>
  </si>
  <si>
    <t>{{sequence assembly length}}</t>
  </si>
  <si>
    <t>megaB</t>
  </si>
  <si>
    <t>ambigNs</t>
  </si>
  <si>
    <t>nPerKbp</t>
  </si>
  <si>
    <t>bps</t>
  </si>
  <si>
    <t>{{breadth of coverage value}}</t>
  </si>
  <si>
    <t>{{depth of coverage value}}</t>
  </si>
  <si>
    <t>This should not be reported on it's own, but only as part of the reporting of "fecal contamination value"</t>
  </si>
  <si>
    <t>cra</t>
  </si>
  <si>
    <t>ppmv</t>
  </si>
  <si>
    <t>hf183</t>
  </si>
  <si>
    <t>fColiphage</t>
  </si>
  <si>
    <t>lachno3</t>
  </si>
  <si>
    <t>{{fecal contamination indicator}}</t>
  </si>
  <si>
    <t>{{fecal contamination unit}}</t>
  </si>
  <si>
    <t>{{urinary contamination indicator}}</t>
  </si>
  <si>
    <t>{{urinary contamination value}}</t>
  </si>
  <si>
    <t>{{urinary contamination unit}}</t>
  </si>
  <si>
    <t>{{pH measurement value}}</t>
  </si>
  <si>
    <t>{{sample temperature value (when received)}}</t>
  </si>
  <si>
    <t>{{sample temperature value (at collection)}}</t>
  </si>
  <si>
    <t>{{ambient temperature measurement value}}</t>
  </si>
  <si>
    <t>{{precipitation measurement value}}</t>
  </si>
  <si>
    <t>{{carbonaceous biochemical oxygen demand (CBOD) measurement value}}</t>
  </si>
  <si>
    <t>{{chemical oxygen demand (COD) measurement value}}</t>
  </si>
  <si>
    <t>{{conductivity measurement value}}</t>
  </si>
  <si>
    <t>{{instantaneous flow rate measurement value}}</t>
  </si>
  <si>
    <t>{{total daily flow rate measurement value}}</t>
  </si>
  <si>
    <t>{{total phosphorus (TP) measurement value}}</t>
  </si>
  <si>
    <t>{{total nitrogen (TN) measurement value}}</t>
  </si>
  <si>
    <t>{{total solids (TS) measurement value}}</t>
  </si>
  <si>
    <t>{{total suspended solids (TSS) measurement value}}</t>
  </si>
  <si>
    <t>{{turbidity measurement value}}</t>
  </si>
  <si>
    <t>{{sample temperature unit (at collection)}}</t>
  </si>
  <si>
    <t>{{sample temperature unit (when received)}}</t>
  </si>
  <si>
    <t>{{ambient temperature measurement unit}}</t>
  </si>
  <si>
    <t>{{precipitation measurement unit}}</t>
  </si>
  <si>
    <t>{{carbonaceous biochemical oxygen demand (CBOD) measurement unit}}</t>
  </si>
  <si>
    <t>{{chemical oxygen demand (COD) measurement unit}}</t>
  </si>
  <si>
    <t>{{conductivity measurement unit}}</t>
  </si>
  <si>
    <t>{{instantaneous flow rate measurement unit}}</t>
  </si>
  <si>
    <t>{{total daily flow rate measurement unit}}</t>
  </si>
  <si>
    <t>{{total phosphorus (TP) measurement unit}}</t>
  </si>
  <si>
    <t>{{total nitrogen (TN) measurement unit}}</t>
  </si>
  <si>
    <t>{{total solids (TS) measurement unit}}</t>
  </si>
  <si>
    <t>{{total suspended solids (TSS) measurement unit}}</t>
  </si>
  <si>
    <t>{{turbidity measurement unit}}</t>
  </si>
  <si>
    <t>popDensity</t>
  </si>
  <si>
    <t>ph</t>
  </si>
  <si>
    <t>fst</t>
  </si>
  <si>
    <t>arTemp</t>
  </si>
  <si>
    <t>airTemp</t>
  </si>
  <si>
    <t>precip</t>
  </si>
  <si>
    <t>cod</t>
  </si>
  <si>
    <t>cbod</t>
  </si>
  <si>
    <t>cond</t>
  </si>
  <si>
    <t>phos</t>
  </si>
  <si>
    <t>tn</t>
  </si>
  <si>
    <t>ts</t>
  </si>
  <si>
    <t>tss</t>
  </si>
  <si>
    <t>turb</t>
  </si>
  <si>
    <t>floRate</t>
  </si>
  <si>
    <t>These are recorded the same, and are the same measure. The difference being that instantaeous is a "single" in the aggregation, and "mean" in the aggregation for the daily.</t>
  </si>
  <si>
    <t>should really be reported in the same row as the measure - the trouble here too is that the organism field here is ostensibly freetext, whereas the ODM field is categorical.</t>
  </si>
  <si>
    <t>{{gene name}}</t>
  </si>
  <si>
    <t>det</t>
  </si>
  <si>
    <t>{{diagnostic measurement unit}}</t>
  </si>
  <si>
    <t>{{diagnostic measurement value}}</t>
  </si>
  <si>
    <t>popAs</t>
  </si>
  <si>
    <t>Should match to one of the three possible categorical inputs for this field - ie. census, count, or rev.</t>
  </si>
  <si>
    <t xml:space="preserve">Unsure of aggregation. {{gene name}} here should match the gene name mapping separately, and these measures should be organized together into a measureSet -&gt; meaning a measureSetID will need to be generated. </t>
  </si>
  <si>
    <t>Gene name will need to match a measurement value in the ODM.</t>
  </si>
  <si>
    <t>protocols</t>
  </si>
  <si>
    <t>{{quality control method version}}</t>
  </si>
  <si>
    <t>accessions</t>
  </si>
  <si>
    <t>accessNum</t>
  </si>
  <si>
    <t>{{reference genome accession}}</t>
  </si>
  <si>
    <t>May need to figure out a way to discern the host repository….. I think it links to the {{taxonomic reference database name}} field.</t>
  </si>
  <si>
    <t>dataHost</t>
  </si>
  <si>
    <t>{{taxonomic reference database name}}</t>
  </si>
  <si>
    <t>Again need to go from free-text to categorical….</t>
  </si>
  <si>
    <t>hostVersion</t>
  </si>
  <si>
    <t>{{taxonomic reference database version}}</t>
  </si>
  <si>
    <t>IndexNum</t>
  </si>
  <si>
    <t>dpcr</t>
  </si>
  <si>
    <t>qpcr</t>
  </si>
  <si>
    <t>pcrmeth</t>
  </si>
  <si>
    <t>bacCul</t>
  </si>
  <si>
    <t>bactMeth</t>
  </si>
  <si>
    <t>UM-76</t>
  </si>
  <si>
    <t>AU-AC</t>
  </si>
  <si>
    <t>also populate addresses_country with the value "AU"</t>
  </si>
  <si>
    <t>UM-81</t>
  </si>
  <si>
    <t>also populate addresses_country with the value "UM"</t>
  </si>
  <si>
    <t>FR-BI</t>
  </si>
  <si>
    <t>also populate addresses_country with the value "FR"</t>
  </si>
  <si>
    <t>FR-CP</t>
  </si>
  <si>
    <t>AU-CS</t>
  </si>
  <si>
    <t>FR-EU</t>
  </si>
  <si>
    <t>PS-GZA</t>
  </si>
  <si>
    <t>FR-GL</t>
  </si>
  <si>
    <t>UM-84</t>
  </si>
  <si>
    <t>UM-86</t>
  </si>
  <si>
    <t>also populate addresses_country with the value "PS"</t>
  </si>
  <si>
    <t>UM-67</t>
  </si>
  <si>
    <t>FR-JN</t>
  </si>
  <si>
    <t>FR-KA</t>
  </si>
  <si>
    <t>UM-89</t>
  </si>
  <si>
    <t>KI-L</t>
  </si>
  <si>
    <t>UM-71</t>
  </si>
  <si>
    <t>CN-PA</t>
  </si>
  <si>
    <t>AQ-RS</t>
  </si>
  <si>
    <t>FR-TR</t>
  </si>
  <si>
    <t>UM-79</t>
  </si>
  <si>
    <t>PS-WE</t>
  </si>
  <si>
    <t>also populate addresses_country with the value "KI"</t>
  </si>
  <si>
    <t>also populate addresses_country with the value "CN"</t>
  </si>
  <si>
    <t>also populate addresses_country with the value "AQ"</t>
  </si>
  <si>
    <t>SP</t>
  </si>
  <si>
    <t>Needs to be linked to the siteID in sites</t>
  </si>
  <si>
    <t>flowPr</t>
  </si>
  <si>
    <t>moorSw</t>
  </si>
  <si>
    <t>comp</t>
  </si>
  <si>
    <t>manComp</t>
  </si>
  <si>
    <t>saMaterial</t>
  </si>
  <si>
    <t>nww</t>
  </si>
  <si>
    <t>pEfflu</t>
  </si>
  <si>
    <t>pSludge</t>
  </si>
  <si>
    <t>rawWW</t>
  </si>
  <si>
    <t>sEfflu</t>
  </si>
  <si>
    <t>sSludge</t>
  </si>
  <si>
    <t>swrSed</t>
  </si>
  <si>
    <t>sludgeNS</t>
  </si>
  <si>
    <t>effluNS</t>
  </si>
  <si>
    <t>polygons</t>
  </si>
  <si>
    <t>{{watershed shapefile filename}}</t>
  </si>
  <si>
    <t>samVol</t>
  </si>
  <si>
    <t>stoTim</t>
  </si>
  <si>
    <t>{{sample storage duration unit}}</t>
  </si>
  <si>
    <t>{{sample storage duration value}}</t>
  </si>
  <si>
    <t>Should be in a measure set linked to a specific sample to which this measurement in relevant.</t>
  </si>
  <si>
    <t>{{sample volume measurement value}}</t>
  </si>
  <si>
    <t>{{sample volume measurement unit}}</t>
  </si>
  <si>
    <t>open</t>
  </si>
  <si>
    <t>Link polygon/shapefil items together</t>
  </si>
  <si>
    <t>{{sequence submitter contact email}}</t>
  </si>
  <si>
    <t>{{sequence submitted by}}</t>
  </si>
  <si>
    <t>{{isolated by}}</t>
  </si>
  <si>
    <t>{{isolated by laboratory name}}</t>
  </si>
  <si>
    <t>{{isolated by contact email}}</t>
  </si>
  <si>
    <t>{{sequenced by contact email}}</t>
  </si>
  <si>
    <t>aDateEnd</t>
  </si>
  <si>
    <t>{{sequencing date}}</t>
  </si>
  <si>
    <t>{{sequencing protocol}}</t>
  </si>
  <si>
    <t>match to measureRepID entry row for sequencing</t>
  </si>
  <si>
    <t>link with {{genomic target enrichment method details}} as the notes filed in ODM.</t>
  </si>
  <si>
    <t>Link with {{genomic target enrichment method}} protocol step in ODM.</t>
  </si>
  <si>
    <t>{{genomic target enrichment method details}}</t>
  </si>
  <si>
    <t>summ</t>
  </si>
  <si>
    <t>hySel</t>
  </si>
  <si>
    <t>rnaDepl</t>
  </si>
  <si>
    <t>gte</t>
  </si>
  <si>
    <t>core</t>
  </si>
  <si>
    <t>vac</t>
  </si>
  <si>
    <t>one</t>
  </si>
  <si>
    <t>horGrb</t>
  </si>
  <si>
    <t>vertGrb</t>
  </si>
  <si>
    <t>trap</t>
  </si>
  <si>
    <t>autoComp</t>
  </si>
  <si>
    <t>autoSeq</t>
  </si>
  <si>
    <t>Collection device and collection method are collapsed into a single field, generally, within the ODM. So when both are being mapped to collType, the {{collection Device}} value should supercede {{collection method}}, but here the collection method should match with a value of "Grab Sampling".</t>
  </si>
  <si>
    <t>Collection device and collection method are collapsed into a single field, generally, within the ODM. So when both are being mapped to collType, the {{collection Device}} value should supercede {{collection method}}, but here the collection method should match with a value of "Composite Sampling".</t>
  </si>
  <si>
    <t>Collection device and collection method are collapsed into a single field, generally, within the ODM. So when both are being mapped to collType, the {{collection Device}} value should supercede {{collection method}}, but here the collection method should match with a value of "Passive Composite Sampling".</t>
  </si>
  <si>
    <t>Collection device and collection method are collapsed into a single field, generally, within the ODM. So when both are being mapped to collType, the {{collection Device}} value should supercede {{collection method}}, but here the collection method should match with a value of "Automatic Composite Sampling".</t>
  </si>
  <si>
    <t>See notes for the {{Collection Device.Grab Sampler}} entry.</t>
  </si>
  <si>
    <t>This mapping pre-supposes that the collection device field is blank.</t>
  </si>
  <si>
    <t>See notes for the {{Collection Device.Automatic Composite Sampler}} entry.</t>
  </si>
  <si>
    <t>See notes for the {{Collection Device.Passive Composite Sampler}} entry.</t>
  </si>
  <si>
    <t>See notes for the {{Collection Device.Composite Sampler}} entry.</t>
  </si>
  <si>
    <t>stag</t>
  </si>
  <si>
    <t>slFlow</t>
  </si>
  <si>
    <t>faFlow</t>
  </si>
  <si>
    <t>liquidMat</t>
  </si>
  <si>
    <t>slur</t>
  </si>
  <si>
    <t>contam</t>
  </si>
  <si>
    <t>fecContam</t>
  </si>
  <si>
    <t>semSol</t>
  </si>
  <si>
    <t>solidMat</t>
  </si>
  <si>
    <t>treat</t>
  </si>
  <si>
    <t>untreat</t>
  </si>
  <si>
    <t>matChar</t>
  </si>
  <si>
    <t>repType</t>
  </si>
  <si>
    <t>posCon</t>
  </si>
  <si>
    <t>negCon</t>
  </si>
  <si>
    <t>techRep</t>
  </si>
  <si>
    <t>bioRep</t>
  </si>
  <si>
    <t>presampAct</t>
  </si>
  <si>
    <t>agri</t>
  </si>
  <si>
    <t>husb</t>
  </si>
  <si>
    <t>indus</t>
  </si>
  <si>
    <t>hcAct</t>
  </si>
  <si>
    <t>wwTrt</t>
  </si>
  <si>
    <t>wwFilt</t>
  </si>
  <si>
    <t>wwGrit</t>
  </si>
  <si>
    <t>wwMic</t>
  </si>
  <si>
    <t>wwPriSed</t>
  </si>
  <si>
    <t>wwSecSed</t>
  </si>
  <si>
    <t>Should be linked to a site ID and also to the notes field reporting of the {{presampling activity details}}.</t>
  </si>
  <si>
    <t>{{specimen processing details}}</t>
  </si>
  <si>
    <t>Needs to be in the same ODM row//linked with the mapped value for {{specimen processing}}.</t>
  </si>
  <si>
    <t>methodConc</t>
  </si>
  <si>
    <t>Populate 'value', 'unit', and 'aggregation' for this row as "NR"</t>
  </si>
  <si>
    <t>pasteur</t>
  </si>
  <si>
    <t>Populate 'value', with "TRUE" and populate 'unit', and 'aggregation' for this row as "NR"</t>
  </si>
  <si>
    <t>solidSep</t>
  </si>
  <si>
    <t>cent</t>
  </si>
  <si>
    <t>filt</t>
  </si>
  <si>
    <t>floc</t>
  </si>
  <si>
    <t>magBead</t>
  </si>
  <si>
    <t>prec</t>
  </si>
  <si>
    <t>graSet</t>
  </si>
  <si>
    <t>Should be linked to a sample ID and also to the notes field reporting of the {{specimen processing details}}.</t>
  </si>
  <si>
    <t>growBroth</t>
  </si>
  <si>
    <t>{{experimental protocol field}}</t>
  </si>
  <si>
    <t>Combined sewer system</t>
  </si>
  <si>
    <t>Sanitary sewer system</t>
  </si>
  <si>
    <t>Latrine</t>
  </si>
  <si>
    <t>Septic tank</t>
  </si>
  <si>
    <t>Cesspit</t>
  </si>
  <si>
    <t>Composting toilet</t>
  </si>
  <si>
    <t>drain</t>
  </si>
  <si>
    <t>latrine</t>
  </si>
  <si>
    <t>cesspit</t>
  </si>
  <si>
    <t>compToi</t>
  </si>
  <si>
    <t>Need to cross reference with the {{environmental site}} field</t>
  </si>
  <si>
    <t>link to AMR measures? Idk if there are any.</t>
  </si>
  <si>
    <t>stepVer</t>
  </si>
  <si>
    <t>link to AMR analysis software name - this is a tentative mapping.</t>
  </si>
  <si>
    <t>link to AMR reference database name - this is a tentative mapping.</t>
  </si>
  <si>
    <t>amrSoft</t>
  </si>
  <si>
    <t>should be linked to an AMR measure, additional complications if we RegEx map this free-text input to an ODM category.</t>
  </si>
  <si>
    <t>summ (OR reflink?)</t>
  </si>
  <si>
    <t>link to other bioinformatics pieces from the PHA4GE bioinformatics table?</t>
  </si>
  <si>
    <t>link to sequencing measures</t>
  </si>
  <si>
    <t>conSeqSoft</t>
  </si>
  <si>
    <t>should be linked to a sequencing measure, additional complications if we RegEx map this free-text input to an ODM category.</t>
  </si>
  <si>
    <t>link to consensus sequence software name - this is a tentative mapping.</t>
  </si>
  <si>
    <t>link to sequencing measures - may need to figure out a standard way to string these tegother under a protocolID via relationships</t>
  </si>
  <si>
    <t>dedup</t>
  </si>
  <si>
    <t>dehost</t>
  </si>
  <si>
    <t>boc</t>
  </si>
  <si>
    <t>doc</t>
  </si>
  <si>
    <t>I think this aggregation is right… May need to revisit. This needs to be linked with diagnostic target presence (I think).</t>
  </si>
  <si>
    <t>rawSeqProc</t>
  </si>
  <si>
    <t>the version will need to be cleaved off and stored in protocolSteps_stepVer</t>
  </si>
  <si>
    <t>link to sequence assembly software name - this is a tentative mapping.</t>
  </si>
  <si>
    <t>link with sequence assembly software version</t>
  </si>
  <si>
    <t>seqAss</t>
  </si>
  <si>
    <t>link to lineage/clade analysis software name - this is a tentative mapping.</t>
  </si>
  <si>
    <t>link to lineage/clade analysis measures? Idk if there are any.</t>
  </si>
  <si>
    <t>cladeAn</t>
  </si>
  <si>
    <t>should be linked to an organism or gene measure, likely, additional complications if we RegEx map this free-text input to an ODM category.</t>
  </si>
  <si>
    <t>{{lineage/clade name}}</t>
  </si>
  <si>
    <t>likely need to be regexed. Maybe should actually be group? TBD.</t>
  </si>
  <si>
    <t>Needs to be linked to the main measure report, probably through a measure set. Ideally purpose would also be populated with "normalization".</t>
  </si>
  <si>
    <t>{{endogenous control details}}</t>
  </si>
  <si>
    <t>Unsure of aggregation. This will need to be parsed from free text to find out a) what the endogenous target control was so it can be mapped to the measure (ie. PMMoV), and b) whether it was detected or not to populate the value field with T or F. Needs to be linked to the main measure report, probably through a measure set. Ideally purpose would also be populated with "normalization".</t>
  </si>
  <si>
    <t>{{experimental control details}}</t>
  </si>
  <si>
    <t>need to link to a blank protocol, probably, ad auto-generate a protocol. ID&gt;</t>
  </si>
  <si>
    <t>link with {{extraction method}}; same row/entry</t>
  </si>
  <si>
    <t>link with {{extraction kit}}; same row/entry</t>
  </si>
  <si>
    <t>{{extraction method}}</t>
  </si>
  <si>
    <t>{{extraction kit}}</t>
  </si>
  <si>
    <t>extraction</t>
  </si>
  <si>
    <t>should be linked to {{extraction method}}; will likely need to parse freetext with regex to match ODM categories.</t>
  </si>
  <si>
    <t xml:space="preserve">    </t>
  </si>
  <si>
    <t>{{extraction recovery efficiency measurement method}}</t>
  </si>
  <si>
    <t>link with {{extraction recovery efficiency measurement value}}; probably via protocolID to measures table?</t>
  </si>
  <si>
    <t>{{extraction recovery efficiency measurement value}}</t>
  </si>
  <si>
    <t>morn</t>
  </si>
  <si>
    <t>aft</t>
  </si>
  <si>
    <t>eve</t>
  </si>
  <si>
    <t>night</t>
  </si>
  <si>
    <t>Need to find out how to report time as blank, but not date, inside a datetime variable to link here.</t>
  </si>
  <si>
    <t>May need to be revisitted as a mapping because of duplicate targets - link to extraction recovery measure maybe?</t>
  </si>
  <si>
    <t>link with sample storage medium, maybe should be a protocol step summary rather than overall protocols?</t>
  </si>
  <si>
    <t>Link with {{sample storage method}}</t>
  </si>
  <si>
    <t>{{sample storage medium}}</t>
  </si>
  <si>
    <t>stoMed</t>
  </si>
  <si>
    <t>Needs to be linked to {{sample storage method}}; a;lso will need regex parsing to go from free text to category.</t>
  </si>
  <si>
    <t>link to measure via measure set?… maybe merits larger discussion with group</t>
  </si>
  <si>
    <t>survLevel</t>
  </si>
  <si>
    <t>builLev</t>
  </si>
  <si>
    <t>instituLev</t>
  </si>
  <si>
    <t>communitLev</t>
  </si>
  <si>
    <t>{{amplicon size}}</t>
  </si>
  <si>
    <t>{{DNA fragment length}}</t>
  </si>
  <si>
    <t>ampSize</t>
  </si>
  <si>
    <t>dnaFragLen</t>
  </si>
  <si>
    <t>link to sequencing measures via measure sets</t>
  </si>
  <si>
    <t>stepID</t>
  </si>
  <si>
    <t>{{library ID}}</t>
  </si>
  <si>
    <t>Link with library ID - same row/entry</t>
  </si>
  <si>
    <t>Link with library preparation kit - same row/entry</t>
  </si>
  <si>
    <t>{{library preparation kit}}</t>
  </si>
  <si>
    <t>libraryKit</t>
  </si>
  <si>
    <t>Link with library ID - same row/entry. Also will need need to maybe use regex to go from PHA4GE's ffreetext format to an ODM category.</t>
  </si>
  <si>
    <t>{{sequenced by}}</t>
  </si>
  <si>
    <t>seqStrat</t>
  </si>
  <si>
    <t>16S ribosomal gene sequencing assay</t>
  </si>
  <si>
    <t>whole virome sequencing assay</t>
  </si>
  <si>
    <t>amp</t>
  </si>
  <si>
    <t>wgs</t>
  </si>
  <si>
    <t>16rgs</t>
  </si>
  <si>
    <t>wms</t>
  </si>
  <si>
    <t>wvs</t>
  </si>
  <si>
    <t>link with other sequencing protocols/steps</t>
  </si>
  <si>
    <t>BGI Genomics sequencing instrument</t>
  </si>
  <si>
    <t xml:space="preserve">      BGISEQ-500</t>
  </si>
  <si>
    <t xml:space="preserve">      SOLiD 5500xl-W Genetic Analyzer</t>
  </si>
  <si>
    <t>HeliScope Single Molecule Sequencer</t>
  </si>
  <si>
    <t>Applied Biosystems sequencing instrument model</t>
  </si>
  <si>
    <t>instruments</t>
  </si>
  <si>
    <t>manufacturer</t>
  </si>
  <si>
    <t>Link with {{sequencing instrument}} - an manufactured instrument ID</t>
  </si>
  <si>
    <t>{{alternative isolate ID}}</t>
  </si>
  <si>
    <t>{{isolate ID}}</t>
  </si>
  <si>
    <t>{{isolate received date}}</t>
  </si>
  <si>
    <t>Isolates should be a separate sample from the original sample, but unified via a child relationship in the samples relationships table. Alternative and regular isolate ID samples table entries should match and be linked with a relationship of "duplicate" where applicable.</t>
  </si>
  <si>
    <t>isolate entry, not other entries</t>
  </si>
  <si>
    <t>protocolID / summ</t>
  </si>
  <si>
    <t>{{microbiological method}}</t>
  </si>
  <si>
    <t>Seems that the ID or summary will depend on the dataset? Not standard so harder to map…</t>
  </si>
  <si>
    <t>{{progeny isolate ID}}</t>
  </si>
  <si>
    <t>This new sample ID needs to be linked to the original sample ID with a parent/child relationship ID&gt;</t>
  </si>
  <si>
    <t>{{read mapping criteria}}</t>
  </si>
  <si>
    <t>Link read protocol items all together please</t>
  </si>
  <si>
    <t>{{read mapping software version}}</t>
  </si>
  <si>
    <t>{{taxonomic analysis date}}</t>
  </si>
  <si>
    <t>{{phagetype}}</t>
  </si>
  <si>
    <t>{{serotyping method}}</t>
  </si>
  <si>
    <t>{{serovar}}</t>
  </si>
  <si>
    <t>{{strain}}</t>
  </si>
  <si>
    <t>{{read mapping software name}}</t>
  </si>
  <si>
    <t>seroMeth</t>
  </si>
  <si>
    <t>readMapper</t>
  </si>
  <si>
    <t>{ "version" : "{{the version number at the end of serotyping method (where reported)}}" }</t>
  </si>
  <si>
    <t>regex to match categories from the free-text input/</t>
  </si>
  <si>
    <t>link with isolate sample information, as reated measureSet. Along with serovar and strain.</t>
  </si>
  <si>
    <t>link with isolate sample information, as reated measureSet. Along with phagetype and strain.</t>
  </si>
  <si>
    <t>link with isolate sample information, as reated measureSet. Along with serovar and phagetype.</t>
  </si>
  <si>
    <t>{{AMR analysis report filename}}</t>
  </si>
  <si>
    <t>Add to the measure row of an AMR target in the notes field.</t>
  </si>
  <si>
    <t>{{taxonomic analysis report filename}}</t>
  </si>
  <si>
    <t>Add to the measure row of a taxonomy measure in the notes field.</t>
  </si>
  <si>
    <t>{{specimen collector subsample ID}}</t>
  </si>
  <si>
    <t>{{pooled sample ID}}</t>
  </si>
  <si>
    <t>{{sampling event ID}}</t>
  </si>
  <si>
    <t>also populate 'repType' with 'sampleEvent'; need to be linked to original sample ID through the relationships table with a "child" relationship, where the original sample is the "child" of this sample.</t>
  </si>
  <si>
    <t>also populate 'repType' with 'subSamp'; need to be linked to original sample ID through the relationships table with a "child" relationship (this subsample is child).</t>
  </si>
  <si>
    <t>also populate 'pooled' with 'TRUE'; need to be linked to original sample ID through the relationships table with a "child" relationship (this pooled sample is child).</t>
  </si>
  <si>
    <t>[caputured under {{database identifiers - pooled sample ID}}]</t>
  </si>
  <si>
    <t>{{gernerate new sampleID and new row for this technical replicate}}</t>
  </si>
  <si>
    <t>{{gernerate new sampleID and new row for this biological replicate}}</t>
  </si>
  <si>
    <t>also in new row populate repType as "techRep"; link to original sampleID as a "lcsd" through the sample relationships table.</t>
  </si>
  <si>
    <t>also in new row populate repType as "bioRep"; link to original sampleID as a "lcsd" through the sample relationships table.</t>
  </si>
  <si>
    <t>extractRecov</t>
  </si>
  <si>
    <t xml:space="preserve">should be linked to extraction kit and extraction method. </t>
  </si>
  <si>
    <t>{{sequence assembly software version}}</t>
  </si>
  <si>
    <t>{{lineage/clade analysis software version}}</t>
  </si>
  <si>
    <t>{{sequencing instrument}}</t>
  </si>
  <si>
    <t>Need to probably generate a instrument ID for this… Also revisit if this is the level of detail we really want to record? Lionk as same row as {{sequencing platform}} - also need to link this to a protocol step to link to protocols to link to the actual measure...</t>
  </si>
  <si>
    <t>{{sequencing platform}}</t>
  </si>
  <si>
    <t>collAppxT</t>
  </si>
  <si>
    <t xml:space="preserve">Date and time are separated values here, whereas in the ODM they are recorded together. So "sample collection date" needs to be combined with sample collection start time (if available), and "sample collection end date" and "sample collection end time" need to be combined. In situations where a categorical time of day is reported rather than a precise time, the date should be recorded separately in the {{samples_collDate}} field in ODM. </t>
  </si>
  <si>
    <t>{{AMR analysis software name}}</t>
  </si>
  <si>
    <t>{{consensus sequence software name}}</t>
  </si>
  <si>
    <t>{{deduplication method}}</t>
  </si>
  <si>
    <t>{{dehosting method}}</t>
  </si>
  <si>
    <t>{{raw sequence data processing method}}</t>
  </si>
  <si>
    <t>{{sequence assembly software name}}</t>
  </si>
  <si>
    <t>{{lineage/clade analysis software name}}</t>
  </si>
  <si>
    <t>{{AMR analysis software version}}</t>
  </si>
  <si>
    <t>{{AMR reference database name}}</t>
  </si>
  <si>
    <t>{{AMR reference database version}}</t>
  </si>
  <si>
    <t>{{bioinformatics protocol}}</t>
  </si>
  <si>
    <t>{{consensus sequence software version}}</t>
  </si>
  <si>
    <t>{{amplicon pcr primer scheme}}</t>
  </si>
  <si>
    <t>method_value</t>
  </si>
  <si>
    <t>value_value</t>
  </si>
  <si>
    <t>unit_value</t>
  </si>
  <si>
    <t>aggregation_value</t>
  </si>
  <si>
    <t>measure_value</t>
  </si>
  <si>
    <t>specimen_value</t>
  </si>
  <si>
    <t>{{diagnostic measurement method}}</t>
  </si>
  <si>
    <t>{{genomic target enrichment method}}</t>
  </si>
  <si>
    <t>{{populated area type}}</t>
  </si>
  <si>
    <t>{{presampling weather conditions}}</t>
  </si>
  <si>
    <t>{{sampling weather conditions}}</t>
  </si>
  <si>
    <t>{{environmental material properties}}</t>
  </si>
  <si>
    <t>{{presampling activity}}</t>
  </si>
  <si>
    <t>{{scale of sampling}}</t>
  </si>
  <si>
    <t>{ "purpose_value" : "{{endogenous control details}}" }</t>
  </si>
  <si>
    <t>dataRepo_value</t>
  </si>
  <si>
    <t>{ "notes_value" : "{{GISAID virus name}}" }</t>
  </si>
  <si>
    <t>{{sequencing assay type}}</t>
  </si>
  <si>
    <t>{ "stepVer": "{{consensus sequence software version}}" }</t>
  </si>
  <si>
    <t>{ "stepVer": "{{sequence assembly software version}}" }</t>
  </si>
  <si>
    <t>{{fecal contamination value}}</t>
  </si>
  <si>
    <t>{ "stepVer": "{{AMR analysis software version}}" }</t>
  </si>
  <si>
    <t>Martin notes</t>
  </si>
  <si>
    <t>What are AMR measures?</t>
  </si>
  <si>
    <t>Martin Complete</t>
  </si>
  <si>
    <t>Not sure about notes</t>
  </si>
  <si>
    <t>See notes</t>
  </si>
  <si>
    <t>protocolVersion_value</t>
  </si>
  <si>
    <t>name_value</t>
  </si>
  <si>
    <t>{{quality control method name}}</t>
  </si>
  <si>
    <t>See notes. No accessions table</t>
  </si>
  <si>
    <t>notes2</t>
  </si>
  <si>
    <t>How to link to software name? Which field should it go in?</t>
  </si>
  <si>
    <t>Should this be added to protocolID for "diagnostic measurement value"?</t>
  </si>
  <si>
    <t>{{diagnostic target presence}}</t>
  </si>
  <si>
    <t>gene name is recorded in multiple rows in wide_measures. Should it be reported elsewhere as well?</t>
  </si>
  <si>
    <t>Row in wide_measures seems incorrect</t>
  </si>
  <si>
    <t>Which sampleID row?</t>
  </si>
  <si>
    <t>Martin Notes</t>
  </si>
  <si>
    <t>{ "summ": "{{extraction method}}" }</t>
  </si>
  <si>
    <t>Note sure how to link with the value. Will need to figure out the protocolIDs</t>
  </si>
  <si>
    <t>{{geo_loc name (county/region)}}</t>
  </si>
  <si>
    <t>Need to link to sites (through addressID: ID Generator)</t>
  </si>
  <si>
    <t>See notes; Make sure we don't overwrite stateProvReg that gets mapped from "geo_loc_name (country)"</t>
  </si>
  <si>
    <t>Is this the group value for all output rows in the measures table? (that's the current behavior); Has a conflict with sourceTable=Sample collection and processing, sourceSlot=organism (in another row)</t>
  </si>
  <si>
    <t>See notes; has conflict with other row where sourceTable=Pathogen diagnostic testing, sourceSlot=organism</t>
  </si>
  <si>
    <t>collDTStart</t>
  </si>
  <si>
    <t>Combine "sample collection end date" and "sample collection end time"</t>
  </si>
  <si>
    <t>{ "summ": "{{sample storage method}}" }</t>
  </si>
  <si>
    <t>In notes, is NR in value, unit, and aggregation only for sourceValue of "Concentration"? Shoud unit and aggregation be empty for the other sourceValues?</t>
  </si>
  <si>
    <t>"environmental site" maps to same slot (siteType+sampleShed)</t>
  </si>
  <si>
    <t>{ "summ": "{{genomic target enrichment method details}}" }</t>
  </si>
  <si>
    <t>{ "stepID": "{{library ID}}" }</t>
  </si>
  <si>
    <t>wide?</t>
  </si>
  <si>
    <t>sampleShed:corFcil</t>
  </si>
  <si>
    <t>sampleShed:hcf</t>
  </si>
  <si>
    <t>sampleShed:hosptl</t>
  </si>
  <si>
    <t>sampleShed:clinic</t>
  </si>
  <si>
    <t>sampleShed:edFac</t>
  </si>
  <si>
    <t>sampleShed:cdc</t>
  </si>
  <si>
    <t>sampleShed:school</t>
  </si>
  <si>
    <t>sampleShed:uCampus</t>
  </si>
  <si>
    <t>sampleShed:orb</t>
  </si>
  <si>
    <t>sampleShed:sss</t>
  </si>
  <si>
    <t>sampleShed:ltcfAl</t>
  </si>
  <si>
    <t>sampleShed:tHub</t>
  </si>
  <si>
    <t>sampleShed:airport</t>
  </si>
  <si>
    <t>sampleShed:farm</t>
  </si>
  <si>
    <t>sampleShed:refCamp</t>
  </si>
  <si>
    <t>sampleShed:indPl</t>
  </si>
  <si>
    <t>sampleShed:meatPl</t>
  </si>
  <si>
    <t>sampleShed:pharmPl</t>
  </si>
  <si>
    <t>siteType:bow</t>
  </si>
  <si>
    <t>siteType:opWa</t>
  </si>
  <si>
    <t>siteType:lake</t>
  </si>
  <si>
    <t>siteType:str</t>
  </si>
  <si>
    <t>siteType:river</t>
  </si>
  <si>
    <t>siteType:ocean</t>
  </si>
  <si>
    <t>siteType:sea</t>
  </si>
  <si>
    <t>siteType:canal</t>
  </si>
  <si>
    <t>siteType:res</t>
  </si>
  <si>
    <t>siteType:grWa</t>
  </si>
  <si>
    <t>siteType:well</t>
  </si>
  <si>
    <t>siteType:spr</t>
  </si>
  <si>
    <t>siteType:stabPnd</t>
  </si>
  <si>
    <t>siteType:pluDra</t>
  </si>
  <si>
    <t>sampleShed:transp</t>
  </si>
  <si>
    <t>sampleShed:ship</t>
  </si>
  <si>
    <t>sampleShed:airpln</t>
  </si>
  <si>
    <t>siteType:wwtp</t>
  </si>
  <si>
    <t>sampleID_value</t>
  </si>
  <si>
    <t>targetExpr</t>
  </si>
  <si>
    <t>sampleRelationships</t>
  </si>
  <si>
    <t>sampleRelationshipsID_value</t>
  </si>
  <si>
    <t>sampleIDSubject_value</t>
  </si>
  <si>
    <t>relationshipID_value</t>
  </si>
  <si>
    <t>sampleIDObject_value</t>
  </si>
  <si>
    <t>child</t>
  </si>
  <si>
    <t>labDuplicate</t>
  </si>
  <si>
    <t>Check with Mathew if correct</t>
  </si>
  <si>
    <t>How to link with diagnostic target presence? Not sure if this linkage is required</t>
  </si>
  <si>
    <t>protocolID_value</t>
  </si>
  <si>
    <t>notes_value</t>
  </si>
  <si>
    <t>{{instantaneous flow rate measurement method}}</t>
  </si>
  <si>
    <t>{{total daily flow rate measurement method}}</t>
  </si>
  <si>
    <t>{{total suspended solids (TSS) measurement method}</t>
  </si>
  <si>
    <t>residents per square mile</t>
  </si>
  <si>
    <t>residents per square kilometer</t>
  </si>
  <si>
    <t>insType</t>
  </si>
  <si>
    <t>"sequencer"</t>
  </si>
  <si>
    <t>collPer_expr</t>
  </si>
  <si>
    <t>repType_expr</t>
  </si>
  <si>
    <t>"sampleEvent"</t>
  </si>
  <si>
    <t>"subSamp"</t>
  </si>
  <si>
    <t>recDate_value</t>
  </si>
  <si>
    <t>email_value</t>
  </si>
  <si>
    <t>firstName_expr</t>
  </si>
  <si>
    <t>lastName_expr</t>
  </si>
  <si>
    <t>organizationID_value</t>
  </si>
  <si>
    <t>datasetID_value</t>
  </si>
  <si>
    <t>{ "pooled_value": true }</t>
  </si>
  <si>
    <t>PHA4GE</t>
  </si>
  <si>
    <t xml:space="preserve">Ultimately for each row in the PHA4GE data, there may be up to 4 rows generated in the "contacts" ODM table. 1) Sample collector, 2) sequenced by, 3) sequence submitted by, and 4) isolated by. Complementary contacts metadata need to be grouped together under these ubrellas, but still be separate rows. Furthermore, the "sequenced by/sequence submitted by/isolated by contactIDs should be linked to the measures table, while the sample collector contactID should link to the samples table. </t>
  </si>
  <si>
    <t>Need to make sure "collection device" supercedes "collection method"</t>
  </si>
  <si>
    <t>Not sure about notes; These need their own wide row: Do they also inherit all the values found in maps_samples?</t>
  </si>
  <si>
    <t>{{geo_loc_name (country)}}</t>
  </si>
  <si>
    <t>In ID generator: split at "-": split[0] is the country, split[1] is stateProvReg if it exists</t>
  </si>
  <si>
    <t>match to sampleID entry row; plus add compartment = "wat" (depending on enum value)</t>
  </si>
  <si>
    <t>What value to use for targetSlot? Possible conflict with "experimental control details" also mapping to summ</t>
  </si>
  <si>
    <t>These are currently unused</t>
  </si>
  <si>
    <t>In ID generator: Map to sampleShed if preceded by "sampleShed:", map to siteType if preceded by "siteType:". If siteType is already populated from "wastewater system type", then "wastewater system type" takes precedence</t>
  </si>
  <si>
    <t>sample_collection_end_date + '/!/' + sample_collection_end_time + '/!/'</t>
  </si>
  <si>
    <t>Unsure of aggregation (same as other "det" rows)</t>
  </si>
  <si>
    <t>{ "notes_value": "{{lineage/clade analysis report filename}}" }</t>
  </si>
  <si>
    <t>{ "notes_value": "{{presampling activity details}}" }</t>
  </si>
  <si>
    <t>PHA4GE Class</t>
  </si>
  <si>
    <t>Parent Class</t>
  </si>
  <si>
    <t>Field</t>
  </si>
  <si>
    <t>Colour Code Legend</t>
  </si>
  <si>
    <t>field name in yellow = required</t>
  </si>
  <si>
    <t>field name in purple = recommended</t>
  </si>
  <si>
    <t>field name in white = optional</t>
  </si>
  <si>
    <t>SRA accession</t>
  </si>
  <si>
    <t>GISAID virus name</t>
  </si>
  <si>
    <t>sample collection data steward name</t>
  </si>
  <si>
    <t>geo loc name (country)</t>
  </si>
  <si>
    <t>geo loc name (state/province/territory)</t>
  </si>
  <si>
    <t>geo loc name (county/region)</t>
  </si>
  <si>
    <t>geo loc name (city)</t>
  </si>
  <si>
    <t>geo loc name (site)</t>
  </si>
  <si>
    <t>sample collection time duration value</t>
  </si>
  <si>
    <t>sample collection time duration unit</t>
  </si>
  <si>
    <t>presampling activity details</t>
  </si>
  <si>
    <t>sample storage method</t>
  </si>
  <si>
    <t>environmental site</t>
  </si>
  <si>
    <t>collection method</t>
  </si>
  <si>
    <t>nucleic acid extraction method</t>
  </si>
  <si>
    <t>nucleic acid extraction kit</t>
  </si>
  <si>
    <t>water catchment area human population measurement value</t>
  </si>
  <si>
    <t>water catchment area human population bin</t>
  </si>
  <si>
    <t>water catchment area human population measurement method</t>
  </si>
  <si>
    <t>water catchment area human population density value</t>
  </si>
  <si>
    <t>water catchment area human population density unit</t>
  </si>
  <si>
    <t>fecal contamination indicator</t>
  </si>
  <si>
    <t>isolated by contact name</t>
  </si>
  <si>
    <t>purpose of sequencing</t>
  </si>
  <si>
    <t>sequenced by contact name</t>
  </si>
  <si>
    <t>quality control method version</t>
  </si>
  <si>
    <t>N50 value</t>
  </si>
  <si>
    <t>percent read contamination</t>
  </si>
  <si>
    <t>aDateEnd_value</t>
  </si>
  <si>
    <t>Used to be "water catchment human population measurement value"</t>
  </si>
  <si>
    <t>{{water catchment area human population measurement value}}</t>
  </si>
  <si>
    <t>{{water catchment area human population density value}}</t>
  </si>
  <si>
    <t>Used to be "water catchment human population density value"</t>
  </si>
  <si>
    <t>Used to be "water catchment human population density unit"</t>
  </si>
  <si>
    <t>{ "collDT_value": "{{isolation date}}" }</t>
  </si>
  <si>
    <t>{ "notes_value": "{{taxonomic analysis report filename}}" }</t>
  </si>
  <si>
    <t>Slot authors does not exist in PHA4GE</t>
  </si>
  <si>
    <t>Might be "water catchment area human population bin"</t>
  </si>
  <si>
    <t>{{water catchment area human population measurement method}}</t>
  </si>
  <si>
    <t>minimum posttrimming read length</t>
  </si>
  <si>
    <t>{{minimum posttrimming read length}}</t>
  </si>
  <si>
    <t>N50</t>
  </si>
  <si>
    <t>{{N50}}</t>
  </si>
  <si>
    <t>Might be "N50 value"</t>
  </si>
  <si>
    <t>{{water catchment area human population density unit}}</t>
  </si>
  <si>
    <t>No purposeID in samples table</t>
  </si>
  <si>
    <t>See notes, no purposeID in measures table</t>
  </si>
  <si>
    <t>Add compartment = "wat" (depending on enum value) and match to the sampleID row. No purposeID in samples table</t>
  </si>
  <si>
    <t>wideOtherSlots had purposeID that does not exist in samples table:     "purposeID_value": "{{purpose of sampling}}",</t>
  </si>
  <si>
    <t>measureSetRepID_value</t>
  </si>
  <si>
    <t>{{id:measureSetRepID_gene_name}}</t>
  </si>
  <si>
    <t>poLic does not exist in polygons table</t>
  </si>
  <si>
    <t>combine "sample collection date" and "sample collection start time". Changed sample_collection_date to sample_collection_start_date</t>
  </si>
  <si>
    <t>sample_collection_start_date + '/!/' + sample_collection_start_time + '/!/'</t>
  </si>
  <si>
    <t>def get_name(full_name, get_first):
    if not full_name:
        return ""
    names = full_name.strip().rsplit(" ", 1)
    idx = 0 if get_first else 1
    return names[idx] if len(names) &gt; idx else ""
target = get_name(src.sample_collection_data_steward_name, True)</t>
  </si>
  <si>
    <t>def get_name(full_name, get_first):
    if not full_name:
        return ""
    names = full_name.strip().rsplit(" ", 1)
    idx = 0 if get_first else 1
    return names[idx] if len(names) &gt; idx else ""
target = get_name(src.sample_collection_data_steward_name, False)</t>
  </si>
  <si>
    <t>def get_name(full_name, get_first):
    if not full_name:
        return ""
    names = full_name.strip().rsplit(" ", 1)
    idx = 0 if get_first else 1
    return names[idx] if len(names) &gt; idx else ""
target = get_name(src.sequenced_by_contact_name, True)</t>
  </si>
  <si>
    <t>def get_name(full_name, get_first):
    if not full_name:
        return ""
    names = full_name.strip().rsplit(" ", 1)
    idx = 0 if get_first else 1
    return names[idx] if len(names) &gt; idx else ""
target = get_name(src.sequenced_by_contact_name, False)</t>
  </si>
  <si>
    <t>def get_name(full_name, get_first):
    if not full_name:
        return ""
    names = full_name.strip().rsplit(" ", 1)
    idx = 0 if get_first else 1
    return names[idx] if len(names) &gt; idx else ""
target = get_name(src.isolated_by_contact_name, True)</t>
  </si>
  <si>
    <t>def get_name(full_name, get_first):
    if not full_name:
        return ""
    names = full_name.strip().rsplit(" ", 1)
    idx = 0 if get_first else 1
    return names[idx] if len(names) &gt; idx else ""
target = get_name(src.isolated_by_contact_name, False)</t>
  </si>
  <si>
    <t>water catchment area human population range</t>
  </si>
  <si>
    <t>{{water catchment area human population range}}</t>
  </si>
  <si>
    <t>case((collection_device == "", collection_method), (True, collection_device))</t>
  </si>
  <si>
    <t>Has been changed to diagnostic_measurement_value_1/2/3 and diagnostmic_measurement_unit_1/2/3</t>
  </si>
  <si>
    <t>Has been changed to diagnostic_measurement_unit_1/2/3</t>
  </si>
  <si>
    <t>See notes; Is not in PHA4GE schema for Sars-Cov2 but is in schema for WastewaterPathogenAgnostic</t>
  </si>
  <si>
    <t>Only found in PHA4GE WastewaterAMR schema</t>
  </si>
  <si>
    <t>What are AMR measures? No accessions table; Only found in PHA4GE WastewaterAMR schema</t>
  </si>
  <si>
    <t>Only in PHA4GE WastewaterPathogenAgnostic schema</t>
  </si>
  <si>
    <t xml:space="preserve">      Primary wastewater effluent</t>
  </si>
  <si>
    <t xml:space="preserve">            Automatic sequential (time-proportional) sampler</t>
  </si>
  <si>
    <t>Surface water</t>
  </si>
  <si>
    <t>Wastewater</t>
  </si>
  <si>
    <t xml:space="preserve">      Secondary wastewater effluent</t>
  </si>
  <si>
    <t>F+ (male specific) coliphages</t>
  </si>
  <si>
    <t>Stercobilin</t>
  </si>
  <si>
    <t>Urobilin</t>
  </si>
  <si>
    <t>persons per square mile</t>
  </si>
  <si>
    <t>persons per square kilometer</t>
  </si>
  <si>
    <t>Fluid (stagnant)</t>
  </si>
  <si>
    <t>Fluid (slow)</t>
  </si>
  <si>
    <t>Fluid (fast)</t>
  </si>
  <si>
    <t>Slurry-like</t>
  </si>
  <si>
    <t xml:space="preserve">      Fecal-contaminated</t>
  </si>
  <si>
    <t xml:space="preserve">      Wastewater primary sedimentation</t>
  </si>
  <si>
    <t>Might be "water catchment area human population bin"; An extra space is added after the dash because that's how it is in the PHA4GE schema from Charlie</t>
  </si>
  <si>
    <t>Suburban</t>
  </si>
  <si>
    <t>Rural</t>
  </si>
  <si>
    <t>Urban</t>
  </si>
  <si>
    <t>100,000 -  1,000,000 people</t>
  </si>
  <si>
    <t># Convert _value to hours
try:
    _value = float(src.sample_collection_time_duration_value)
    _unit = src.sample_collection_time_duration_unit.split("[")[0].strip()
    if _unit == "Second":
        target = _value / 60 / 60
    elif _unit == "Minute":
        target = _value / 60
    elif _unit == "Hour":
        target = _value
    elif _unit == "Day":
        target = _value * 24
    elif _unit == "Week":
        target = _value * 24 * 7
    elif _unit == "Month":
        target = _value * 24 * 7 * 30
    elif _unit == "Year":
        target = _value * 24 * 7 * 365
    else:
        target = ""
        raise ValueError("Unrecognized value for sample_collection_time_duration_unit in custom mapping spreadsheet (for collPer): " + _unit)
except:
    target = ""</t>
  </si>
  <si>
    <t>amr</t>
  </si>
  <si>
    <t>selectors</t>
  </si>
  <si>
    <t>Need to figure out how to map both "collection device" and "collection method" to the same targetSlot=collType</t>
  </si>
  <si>
    <t>targetSlot-unused</t>
  </si>
  <si>
    <t>{
    "saMaterial_value": "{{environmental material}}",
    "repType_value": "{{experimental specimen role type}}",
    "organizationID_value": "{{sample collected by}}",
    "collDT_expr": "sample_collection_start_date + '/!/' + sample_collection_start_time",
    "collDTStart_expr": "sample_collection_start_time",
    "collDTEnd_expr": "sample_collection_end_date + '/!/' + sample_collection_end_time"
}</t>
  </si>
  <si>
    <t>if len([d for d in emap.collection_device if len(d) &gt; 0]):
    target = emap.collection_device
else:
    target = emap.collection_method
# case((collection_device != "", collection_device), (True, collection_method))</t>
  </si>
  <si>
    <t>Temporarily changed poLic targetSlot to notes, since poLic doesn't exist. When the ODM v2 LinkML schema has poLic added to it make sure to switch the targetSlot back to poLic</t>
  </si>
  <si>
    <t>match:datasetID</t>
  </si>
  <si>
    <t>match:sampleID</t>
  </si>
  <si>
    <t>match:test</t>
  </si>
  <si>
    <t>"specimen collector project ID"</t>
  </si>
  <si>
    <t>&lt;empty&gt;</t>
  </si>
  <si>
    <t>"specimen collector sample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</si>
</sst>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font>
    <font>
      <sz val="12"/>
      <color rgb="FFFF0000"/>
      <name val="Aptos Narrow"/>
      <family val="2"/>
      <scheme val="minor"/>
    </font>
    <font>
      <b/>
      <sz val="14"/>
      <color theme="1"/>
      <name val="Aptos Narrow"/>
      <scheme val="minor"/>
    </font>
    <font>
      <b/>
      <sz val="14"/>
      <color rgb="FF000000"/>
      <name val="Aptos Narrow"/>
      <scheme val="minor"/>
    </font>
    <font>
      <sz val="12"/>
      <color rgb="FF000000"/>
      <name val="Aptos Narrow"/>
      <family val="2"/>
      <scheme val="minor"/>
    </font>
    <font>
      <b/>
      <sz val="12"/>
      <color theme="1"/>
      <name val="Aptos Narrow"/>
      <scheme val="minor"/>
    </font>
    <font>
      <b/>
      <sz val="12"/>
      <color rgb="FF000000"/>
      <name val="Aptos Narrow"/>
      <scheme val="minor"/>
    </font>
    <font>
      <sz val="12"/>
      <color rgb="FF000000"/>
      <name val="Aptos Narrow"/>
      <scheme val="minor"/>
    </font>
    <font>
      <sz val="10"/>
      <color rgb="FF000000"/>
      <name val="Arial"/>
      <family val="2"/>
    </font>
    <font>
      <sz val="12"/>
      <color rgb="FF000000"/>
      <name val="Calibri"/>
      <family val="2"/>
    </font>
    <font>
      <b/>
      <sz val="12"/>
      <color rgb="FF000000"/>
      <name val="Calibri"/>
      <family val="2"/>
    </font>
    <font>
      <b/>
      <sz val="12"/>
      <color theme="1"/>
      <name val="Calibri"/>
      <family val="2"/>
    </font>
    <font>
      <b/>
      <sz val="12"/>
      <color rgb="FFFF0000"/>
      <name val="Calibri"/>
      <family val="2"/>
    </font>
    <font>
      <sz val="12"/>
      <name val="Calibri"/>
      <family val="2"/>
    </font>
    <font>
      <b/>
      <sz val="12"/>
      <name val="Calibri"/>
      <family val="2"/>
    </font>
    <font>
      <sz val="11"/>
      <color rgb="FF000000"/>
      <name val="Calibri"/>
      <family val="2"/>
    </font>
    <font>
      <sz val="10"/>
      <color theme="1"/>
      <name val="Aptos Narrow"/>
      <family val="2"/>
      <scheme val="minor"/>
    </font>
    <font>
      <b/>
      <sz val="12"/>
      <color rgb="FFFFFFFF"/>
      <name val="Arial"/>
      <family val="2"/>
    </font>
    <font>
      <sz val="10"/>
      <color theme="1"/>
      <name val="Arial"/>
      <family val="2"/>
    </font>
    <font>
      <sz val="12"/>
      <color rgb="FFFFFFFF"/>
      <name val="Arial"/>
      <family val="2"/>
    </font>
    <font>
      <b/>
      <sz val="10"/>
      <color rgb="FFFFFFFF"/>
      <name val="Aptos Narrow"/>
      <family val="2"/>
      <scheme val="minor"/>
    </font>
    <font>
      <b/>
      <sz val="10"/>
      <color theme="1"/>
      <name val="Aptos Narrow"/>
      <family val="2"/>
      <scheme val="minor"/>
    </font>
    <font>
      <b/>
      <sz val="10"/>
      <color rgb="FFFFFFFF"/>
      <name val="Arial"/>
      <family val="2"/>
    </font>
    <font>
      <b/>
      <sz val="10"/>
      <color theme="1"/>
      <name val="Arial"/>
      <family val="2"/>
    </font>
    <font>
      <sz val="10"/>
      <color rgb="FF000000"/>
      <name val="Aptos Narrow"/>
      <family val="2"/>
      <scheme val="minor"/>
    </font>
    <font>
      <b/>
      <sz val="10"/>
      <color rgb="FF000000"/>
      <name val="Arial"/>
      <family val="2"/>
    </font>
  </fonts>
  <fills count="13">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DAF2D0"/>
        <bgColor rgb="FF000000"/>
      </patternFill>
    </fill>
    <fill>
      <patternFill patternType="solid">
        <fgColor rgb="FFFFFF00"/>
        <bgColor rgb="FF000000"/>
      </patternFill>
    </fill>
    <fill>
      <patternFill patternType="solid">
        <fgColor rgb="FFA6A6A6"/>
        <bgColor rgb="FF000000"/>
      </patternFill>
    </fill>
    <fill>
      <patternFill patternType="solid">
        <fgColor rgb="FFFBE2D5"/>
        <bgColor rgb="FF000000"/>
      </patternFill>
    </fill>
    <fill>
      <patternFill patternType="solid">
        <fgColor rgb="FF000000"/>
        <bgColor rgb="FF000000"/>
      </patternFill>
    </fill>
    <fill>
      <patternFill patternType="solid">
        <fgColor rgb="FFFFFF00"/>
        <bgColor rgb="FFFFFF00"/>
      </patternFill>
    </fill>
    <fill>
      <patternFill patternType="solid">
        <fgColor rgb="FFB4A7D6"/>
        <bgColor rgb="FFB4A7D6"/>
      </patternFill>
    </fill>
    <fill>
      <patternFill patternType="solid">
        <fgColor rgb="FFFFFFFF"/>
        <bgColor rgb="FFFFFFFF"/>
      </patternFill>
    </fill>
    <fill>
      <patternFill patternType="solid">
        <fgColor rgb="FFD9D2E9"/>
        <bgColor rgb="FFD9D2E9"/>
      </patternFill>
    </fill>
  </fills>
  <borders count="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4" tint="0.39997558519241921"/>
      </top>
      <bottom style="thin">
        <color theme="4" tint="0.39997558519241921"/>
      </bottom>
      <diagonal/>
    </border>
    <border>
      <left/>
      <right/>
      <top/>
      <bottom style="medium">
        <color rgb="FF000000"/>
      </bottom>
      <diagonal/>
    </border>
    <border>
      <left/>
      <right/>
      <top style="medium">
        <color rgb="FF000000"/>
      </top>
      <bottom/>
      <diagonal/>
    </border>
  </borders>
  <cellStyleXfs count="1">
    <xf numFmtId="0" fontId="0" fillId="0" borderId="0"/>
  </cellStyleXfs>
  <cellXfs count="85">
    <xf numFmtId="0" fontId="0" fillId="0" borderId="0" xfId="0"/>
    <xf numFmtId="0" fontId="2" fillId="0" borderId="0" xfId="0" applyFont="1"/>
    <xf numFmtId="0" fontId="2" fillId="0" borderId="1" xfId="0" applyFont="1" applyBorder="1"/>
    <xf numFmtId="0" fontId="2" fillId="0" borderId="2" xfId="0" applyFont="1" applyBorder="1"/>
    <xf numFmtId="0" fontId="2" fillId="0" borderId="3" xfId="0" applyFont="1" applyBorder="1"/>
    <xf numFmtId="0" fontId="0" fillId="2" borderId="0" xfId="0" applyFill="1"/>
    <xf numFmtId="0" fontId="0" fillId="3" borderId="0" xfId="0" applyFill="1"/>
    <xf numFmtId="0" fontId="3" fillId="0" borderId="2" xfId="0" applyFont="1" applyBorder="1"/>
    <xf numFmtId="0" fontId="3" fillId="0" borderId="3" xfId="0" applyFont="1" applyBorder="1"/>
    <xf numFmtId="49" fontId="0" fillId="3" borderId="0" xfId="0" applyNumberFormat="1" applyFill="1"/>
    <xf numFmtId="0" fontId="4" fillId="4" borderId="0" xfId="0" applyFont="1" applyFill="1"/>
    <xf numFmtId="0" fontId="3" fillId="0" borderId="1" xfId="0" applyFont="1" applyBorder="1"/>
    <xf numFmtId="0" fontId="3" fillId="0" borderId="0" xfId="0" applyFont="1"/>
    <xf numFmtId="0" fontId="5" fillId="3" borderId="0" xfId="0" applyFont="1" applyFill="1"/>
    <xf numFmtId="49" fontId="5" fillId="3" borderId="0" xfId="0" applyNumberFormat="1" applyFont="1" applyFill="1"/>
    <xf numFmtId="49" fontId="5" fillId="3" borderId="4" xfId="0" applyNumberFormat="1" applyFont="1" applyFill="1" applyBorder="1"/>
    <xf numFmtId="0" fontId="5" fillId="0" borderId="0" xfId="0" applyFont="1"/>
    <xf numFmtId="0" fontId="7" fillId="4" borderId="0" xfId="0" applyFont="1" applyFill="1"/>
    <xf numFmtId="0" fontId="4" fillId="0" borderId="0" xfId="0" applyFont="1"/>
    <xf numFmtId="0" fontId="6" fillId="0" borderId="0" xfId="0" applyFont="1"/>
    <xf numFmtId="0" fontId="7" fillId="0" borderId="0" xfId="0" applyFont="1"/>
    <xf numFmtId="0" fontId="4" fillId="5" borderId="0" xfId="0" applyFont="1" applyFill="1"/>
    <xf numFmtId="0" fontId="4" fillId="6" borderId="0" xfId="0" applyFont="1" applyFill="1"/>
    <xf numFmtId="0" fontId="8" fillId="4" borderId="0" xfId="0" applyFont="1" applyFill="1" applyAlignment="1">
      <alignment vertical="top"/>
    </xf>
    <xf numFmtId="0" fontId="1" fillId="4" borderId="0" xfId="0" applyFont="1" applyFill="1"/>
    <xf numFmtId="0" fontId="7" fillId="6" borderId="0" xfId="0" applyFont="1" applyFill="1"/>
    <xf numFmtId="0" fontId="1" fillId="6" borderId="0" xfId="0" applyFont="1" applyFill="1"/>
    <xf numFmtId="0" fontId="7" fillId="5" borderId="0" xfId="0" applyFont="1" applyFill="1"/>
    <xf numFmtId="0" fontId="9" fillId="0" borderId="0" xfId="0" applyFont="1"/>
    <xf numFmtId="0" fontId="10" fillId="0" borderId="0" xfId="0" applyFont="1"/>
    <xf numFmtId="0" fontId="11" fillId="0" borderId="0" xfId="0" applyFont="1"/>
    <xf numFmtId="0" fontId="9" fillId="5" borderId="0" xfId="0" applyFont="1" applyFill="1"/>
    <xf numFmtId="0" fontId="11" fillId="2" borderId="0" xfId="0" applyFont="1" applyFill="1"/>
    <xf numFmtId="49" fontId="0" fillId="0" borderId="0" xfId="0" applyNumberFormat="1"/>
    <xf numFmtId="0" fontId="10" fillId="4" borderId="0" xfId="0" applyFont="1" applyFill="1"/>
    <xf numFmtId="0" fontId="10" fillId="5" borderId="0" xfId="0" applyFont="1" applyFill="1"/>
    <xf numFmtId="0" fontId="9" fillId="4" borderId="0" xfId="0" applyFont="1" applyFill="1"/>
    <xf numFmtId="0" fontId="10" fillId="6" borderId="0" xfId="0" applyFont="1" applyFill="1"/>
    <xf numFmtId="0" fontId="9" fillId="6" borderId="0" xfId="0" applyFont="1" applyFill="1"/>
    <xf numFmtId="0" fontId="10" fillId="7" borderId="0" xfId="0" applyFont="1" applyFill="1"/>
    <xf numFmtId="0" fontId="12" fillId="0" borderId="0" xfId="0" applyFont="1"/>
    <xf numFmtId="0" fontId="13" fillId="0" borderId="0" xfId="0" applyFont="1"/>
    <xf numFmtId="0" fontId="0" fillId="0" borderId="0" xfId="0" applyAlignment="1">
      <alignment wrapText="1"/>
    </xf>
    <xf numFmtId="0" fontId="14" fillId="0" borderId="0" xfId="0" applyFont="1"/>
    <xf numFmtId="0" fontId="15" fillId="0" borderId="0" xfId="0" applyFont="1" applyAlignment="1">
      <alignment wrapText="1"/>
    </xf>
    <xf numFmtId="0" fontId="0" fillId="0" borderId="0" xfId="0" applyAlignment="1">
      <alignment vertical="top"/>
    </xf>
    <xf numFmtId="0" fontId="9" fillId="0" borderId="0" xfId="0" applyFont="1" applyAlignment="1">
      <alignment vertical="top"/>
    </xf>
    <xf numFmtId="0" fontId="10" fillId="0" borderId="2" xfId="0" applyFont="1" applyBorder="1"/>
    <xf numFmtId="0" fontId="10" fillId="0" borderId="0" xfId="0" applyFont="1" applyAlignment="1">
      <alignment vertical="top"/>
    </xf>
    <xf numFmtId="0" fontId="16" fillId="0" borderId="0" xfId="0" applyFont="1" applyAlignment="1">
      <alignment vertical="top" wrapText="1"/>
    </xf>
    <xf numFmtId="0" fontId="17" fillId="8" borderId="0" xfId="0" applyFont="1" applyFill="1" applyAlignment="1">
      <alignment wrapText="1"/>
    </xf>
    <xf numFmtId="0" fontId="18" fillId="8" borderId="0" xfId="0" applyFont="1" applyFill="1"/>
    <xf numFmtId="0" fontId="19" fillId="8" borderId="0" xfId="0" applyFont="1" applyFill="1" applyAlignment="1">
      <alignment wrapText="1"/>
    </xf>
    <xf numFmtId="0" fontId="16" fillId="8" borderId="0" xfId="0" applyFont="1" applyFill="1" applyAlignment="1">
      <alignment vertical="top"/>
    </xf>
    <xf numFmtId="0" fontId="18" fillId="9" borderId="0" xfId="0" applyFont="1" applyFill="1" applyAlignment="1">
      <alignment vertical="top" wrapText="1"/>
    </xf>
    <xf numFmtId="0" fontId="18" fillId="10" borderId="0" xfId="0" applyFont="1" applyFill="1" applyAlignment="1">
      <alignment vertical="top" wrapText="1"/>
    </xf>
    <xf numFmtId="0" fontId="18" fillId="11" borderId="5" xfId="0" applyFont="1" applyFill="1" applyBorder="1" applyAlignment="1">
      <alignment vertical="top" wrapText="1"/>
    </xf>
    <xf numFmtId="0" fontId="20" fillId="8" borderId="0" xfId="0" applyFont="1" applyFill="1" applyAlignment="1">
      <alignment vertical="top"/>
    </xf>
    <xf numFmtId="0" fontId="16" fillId="0" borderId="0" xfId="0" applyFont="1" applyAlignment="1">
      <alignment vertical="top"/>
    </xf>
    <xf numFmtId="0" fontId="21" fillId="9" borderId="0" xfId="0" applyFont="1" applyFill="1" applyAlignment="1">
      <alignment vertical="top"/>
    </xf>
    <xf numFmtId="0" fontId="21" fillId="0" borderId="0" xfId="0" applyFont="1" applyAlignment="1">
      <alignment vertical="top"/>
    </xf>
    <xf numFmtId="0" fontId="21" fillId="12" borderId="0" xfId="0" applyFont="1" applyFill="1" applyAlignment="1">
      <alignment vertical="top"/>
    </xf>
    <xf numFmtId="0" fontId="22" fillId="8" borderId="6" xfId="0" applyFont="1" applyFill="1" applyBorder="1" applyAlignment="1">
      <alignment wrapText="1"/>
    </xf>
    <xf numFmtId="0" fontId="23" fillId="8" borderId="6" xfId="0" applyFont="1" applyFill="1" applyBorder="1"/>
    <xf numFmtId="0" fontId="24" fillId="0" borderId="0" xfId="0" applyFont="1" applyAlignment="1">
      <alignment vertical="top"/>
    </xf>
    <xf numFmtId="0" fontId="23" fillId="12" borderId="0" xfId="0" applyFont="1" applyFill="1" applyAlignment="1">
      <alignment vertical="top"/>
    </xf>
    <xf numFmtId="0" fontId="24" fillId="0" borderId="0" xfId="0" applyFont="1" applyAlignment="1">
      <alignment vertical="top" wrapText="1"/>
    </xf>
    <xf numFmtId="0" fontId="21" fillId="0" borderId="0" xfId="0" applyFont="1" applyAlignment="1">
      <alignment vertical="top" wrapText="1"/>
    </xf>
    <xf numFmtId="0" fontId="21" fillId="12" borderId="0" xfId="0" applyFont="1" applyFill="1" applyAlignment="1">
      <alignment vertical="top" wrapText="1"/>
    </xf>
    <xf numFmtId="0" fontId="25" fillId="11" borderId="0" xfId="0" applyFont="1" applyFill="1" applyAlignment="1">
      <alignment horizontal="left" vertical="top" wrapText="1"/>
    </xf>
    <xf numFmtId="0" fontId="20" fillId="8" borderId="0" xfId="0" applyFont="1" applyFill="1" applyAlignment="1">
      <alignment vertical="top" wrapText="1"/>
    </xf>
    <xf numFmtId="0" fontId="22" fillId="8" borderId="0" xfId="0" applyFont="1" applyFill="1" applyAlignment="1">
      <alignment vertical="top" wrapText="1"/>
    </xf>
    <xf numFmtId="0" fontId="23" fillId="8" borderId="0" xfId="0" applyFont="1" applyFill="1" applyAlignment="1">
      <alignment vertical="top" wrapText="1"/>
    </xf>
    <xf numFmtId="0" fontId="21" fillId="9" borderId="0" xfId="0" applyFont="1" applyFill="1" applyAlignment="1">
      <alignment vertical="top" wrapText="1"/>
    </xf>
    <xf numFmtId="0" fontId="18" fillId="0" borderId="0" xfId="0" applyFont="1" applyAlignment="1">
      <alignment vertical="top" wrapText="1"/>
    </xf>
    <xf numFmtId="0" fontId="23" fillId="9" borderId="0" xfId="0" applyFont="1" applyFill="1" applyAlignment="1">
      <alignment vertical="top" wrapText="1"/>
    </xf>
    <xf numFmtId="0" fontId="25" fillId="12" borderId="0" xfId="0" applyFont="1" applyFill="1" applyAlignment="1">
      <alignment vertical="top" wrapText="1"/>
    </xf>
    <xf numFmtId="0" fontId="23" fillId="0" borderId="0" xfId="0" applyFont="1" applyAlignment="1">
      <alignment vertical="top" wrapText="1"/>
    </xf>
    <xf numFmtId="0" fontId="23" fillId="12" borderId="0" xfId="0" applyFont="1" applyFill="1" applyAlignment="1">
      <alignment vertical="top" wrapText="1"/>
    </xf>
    <xf numFmtId="0" fontId="8" fillId="0" borderId="0" xfId="0" applyFont="1" applyAlignment="1">
      <alignment vertical="top" wrapText="1"/>
    </xf>
    <xf numFmtId="0" fontId="25" fillId="0" borderId="0" xfId="0" applyFont="1" applyAlignment="1">
      <alignment vertical="top" wrapText="1"/>
    </xf>
    <xf numFmtId="0" fontId="23" fillId="0" borderId="0" xfId="0" applyFont="1" applyAlignment="1">
      <alignment vertical="top"/>
    </xf>
    <xf numFmtId="0" fontId="8" fillId="11" borderId="0" xfId="0" applyFont="1" applyFill="1" applyAlignment="1">
      <alignment horizontal="left" vertical="top" wrapText="1"/>
    </xf>
    <xf numFmtId="0" fontId="4" fillId="4" borderId="0" xfId="0" applyFont="1" applyFill="1" applyAlignment="1">
      <alignment wrapText="1"/>
    </xf>
    <xf numFmtId="0" fontId="9" fillId="0" borderId="0" xfId="0" applyFont="1" applyAlignment="1">
      <alignment wrapText="1"/>
    </xf>
  </cellXfs>
  <cellStyles count="1">
    <cellStyle name="Normal" xfId="0" builtinId="0" customBuiltin="1"/>
  </cellStyles>
  <dxfs count="2">
    <dxf>
      <fill>
        <patternFill>
          <bgColor theme="0" tint="-0.34998626667073579"/>
        </patternFill>
      </fill>
    </dxf>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mathewthomson/Desktop/v2%20ODM%20dictionary.xlsx" TargetMode="External"/><Relationship Id="rId1" Type="http://schemas.openxmlformats.org/officeDocument/2006/relationships/externalLinkPath" Target="/Users/mathewthomson/Desktop/v2%20ODM%20diction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ilesV2"/>
      <sheetName val="NWSS Mapping - Rough Work"/>
      <sheetName val="files"/>
      <sheetName val="parts"/>
      <sheetName val="sets"/>
      <sheetName val="wideNames"/>
      <sheetName val="wideName-Dropdowns"/>
      <sheetName val="languages"/>
      <sheetName val="translations"/>
      <sheetName val="countries"/>
      <sheetName val="zones"/>
      <sheetName val="airportLists"/>
      <sheetName val="airportTemplate"/>
      <sheetName val="hpaivLists"/>
      <sheetName val="hpaivH5N1Template"/>
      <sheetName val="lists"/>
      <sheetName val="Checks-rough work"/>
      <sheetName val="measures"/>
      <sheetName val="measureSets"/>
      <sheetName val="samples"/>
      <sheetName val="sampleRelationships"/>
      <sheetName val="qualityReports"/>
      <sheetName val="protocols"/>
      <sheetName val="protocolRelationships"/>
      <sheetName val="protocolSteps"/>
      <sheetName val="contacts"/>
      <sheetName val="sites"/>
      <sheetName val="addresses"/>
      <sheetName val="polygons"/>
      <sheetName val="datasets"/>
      <sheetName val="organizations"/>
      <sheetName val="instruments"/>
      <sheetName val="release-files"/>
      <sheetName val="PHA4GE-rough"/>
      <sheetName val="Sample template - Martin"/>
      <sheetName val="Site template - Martin"/>
      <sheetName val="Method template - Martin"/>
    </sheetNames>
    <sheetDataSet>
      <sheetData sheetId="0" refreshError="1"/>
      <sheetData sheetId="1" refreshError="1"/>
      <sheetData sheetId="2" refreshError="1"/>
      <sheetData sheetId="3" refreshError="1"/>
      <sheetData sheetId="4">
        <row r="1">
          <cell r="A1" t="str">
            <v>partID</v>
          </cell>
          <cell r="B1" t="str">
            <v>partLabel</v>
          </cell>
        </row>
        <row r="2">
          <cell r="A2" t="str">
            <v>a1306s</v>
          </cell>
          <cell r="B2" t="str">
            <v>a1306s delta-variant gene target</v>
          </cell>
        </row>
        <row r="3">
          <cell r="A3" t="str">
            <v>a1918v</v>
          </cell>
          <cell r="B3" t="str">
            <v>a1918v delta-variant gene target</v>
          </cell>
        </row>
        <row r="4">
          <cell r="A4" t="str">
            <v>a2710t</v>
          </cell>
          <cell r="B4" t="str">
            <v>a2710t omicron-variant gene target</v>
          </cell>
        </row>
        <row r="5">
          <cell r="A5" t="str">
            <v>a63t</v>
          </cell>
          <cell r="B5" t="str">
            <v>a63t omicron-variant gene target</v>
          </cell>
        </row>
        <row r="6">
          <cell r="A6" t="str">
            <v>a67v</v>
          </cell>
          <cell r="B6" t="str">
            <v>a67v omicron-variant gene target</v>
          </cell>
        </row>
        <row r="7">
          <cell r="A7" t="str">
            <v>a67vDel69Del70</v>
          </cell>
          <cell r="B7" t="str">
            <v>Omicron Variant a67v del69 and del70 mutations</v>
          </cell>
        </row>
        <row r="8">
          <cell r="A8" t="str">
            <v>aas</v>
          </cell>
          <cell r="B8" t="str">
            <v>Atline Analyzer</v>
          </cell>
        </row>
        <row r="9">
          <cell r="A9" t="str">
            <v>absHum</v>
          </cell>
          <cell r="B9" t="str">
            <v>Absolute humidity</v>
          </cell>
        </row>
        <row r="10">
          <cell r="A10" t="str">
            <v>absHumidUnitSet</v>
          </cell>
          <cell r="B10" t="str">
            <v>Absolute humidity unit set</v>
          </cell>
        </row>
        <row r="11">
          <cell r="A11" t="str">
            <v>academ</v>
          </cell>
          <cell r="B11" t="str">
            <v>Academic institution</v>
          </cell>
        </row>
        <row r="12">
          <cell r="A12" t="str">
            <v>acinetobacter</v>
          </cell>
          <cell r="B12" t="str">
            <v>Acinetobacter</v>
          </cell>
        </row>
        <row r="13">
          <cell r="A13" t="str">
            <v>acinetobacterGrp</v>
          </cell>
          <cell r="B13" t="str">
            <v>Acinetobacter Group</v>
          </cell>
        </row>
        <row r="14">
          <cell r="A14" t="str">
            <v>acti</v>
          </cell>
          <cell r="B14" t="str">
            <v>Number of active cases</v>
          </cell>
        </row>
        <row r="15">
          <cell r="A15" t="str">
            <v>actiEp</v>
          </cell>
          <cell r="B15" t="str">
            <v>Number of active cases by episode date</v>
          </cell>
        </row>
        <row r="16">
          <cell r="A16" t="str">
            <v>actiOn</v>
          </cell>
          <cell r="B16" t="str">
            <v>Number of active cases by Onset date</v>
          </cell>
        </row>
        <row r="17">
          <cell r="A17" t="str">
            <v>actiRep</v>
          </cell>
          <cell r="B17" t="str">
            <v>Number of active cases by Report date</v>
          </cell>
        </row>
        <row r="18">
          <cell r="A18" t="str">
            <v>actiTest</v>
          </cell>
          <cell r="B18" t="str">
            <v>Number of active cases by test date</v>
          </cell>
        </row>
        <row r="19">
          <cell r="A19" t="str">
            <v>active</v>
          </cell>
          <cell r="B19" t="str">
            <v>Active</v>
          </cell>
        </row>
        <row r="20">
          <cell r="A20" t="str">
            <v>ad</v>
          </cell>
          <cell r="B20" t="str">
            <v>Address table Shorthand</v>
          </cell>
        </row>
        <row r="21">
          <cell r="A21" t="str">
            <v>aDate</v>
          </cell>
          <cell r="B21" t="str">
            <v>Analysis date</v>
          </cell>
        </row>
        <row r="22">
          <cell r="A22" t="str">
            <v>aDateEnd</v>
          </cell>
          <cell r="B22" t="str">
            <v>Analysis date end</v>
          </cell>
        </row>
        <row r="23">
          <cell r="A23" t="str">
            <v>aDateStart</v>
          </cell>
          <cell r="B23" t="str">
            <v>Analysis date start</v>
          </cell>
        </row>
        <row r="24">
          <cell r="A24" t="str">
            <v>addL1</v>
          </cell>
          <cell r="B24" t="str">
            <v>Address Line 1</v>
          </cell>
        </row>
        <row r="25">
          <cell r="A25" t="str">
            <v>addL2</v>
          </cell>
          <cell r="B25" t="str">
            <v>Address Line 2</v>
          </cell>
        </row>
        <row r="26">
          <cell r="A26" t="str">
            <v>addresses</v>
          </cell>
          <cell r="B26" t="str">
            <v>Address table</v>
          </cell>
        </row>
        <row r="27">
          <cell r="A27" t="str">
            <v>addressesOrder</v>
          </cell>
          <cell r="B27" t="str">
            <v>Addresses table column order</v>
          </cell>
        </row>
        <row r="28">
          <cell r="A28" t="str">
            <v>addressesRequired</v>
          </cell>
          <cell r="B28" t="str">
            <v>Address table required headers</v>
          </cell>
        </row>
        <row r="29">
          <cell r="A29" t="str">
            <v>addressID</v>
          </cell>
          <cell r="B29" t="str">
            <v>Address ID</v>
          </cell>
        </row>
        <row r="30">
          <cell r="A30" t="str">
            <v>adenovirusF40</v>
          </cell>
          <cell r="B30" t="str">
            <v>Adenovirus (F40/41)</v>
          </cell>
        </row>
        <row r="31">
          <cell r="A31" t="str">
            <v>adenovirusGrp</v>
          </cell>
          <cell r="B31" t="str">
            <v>Adenovirus Group</v>
          </cell>
        </row>
        <row r="32">
          <cell r="A32" t="str">
            <v>admRegLevel</v>
          </cell>
          <cell r="B32" t="str">
            <v>Administrative regions</v>
          </cell>
        </row>
        <row r="33">
          <cell r="A33" t="str">
            <v>adv40</v>
          </cell>
          <cell r="B33" t="str">
            <v>Adenovirus 40</v>
          </cell>
        </row>
        <row r="34">
          <cell r="A34" t="str">
            <v>adv41</v>
          </cell>
          <cell r="B34" t="str">
            <v>Adenovirus 41</v>
          </cell>
        </row>
        <row r="35">
          <cell r="A35" t="str">
            <v>advF41Fibre</v>
          </cell>
          <cell r="B35" t="str">
            <v>Adenovirus F41 Fibre Gene Target</v>
          </cell>
        </row>
        <row r="36">
          <cell r="A36" t="str">
            <v>afl30</v>
          </cell>
          <cell r="B36" t="str">
            <v>Academic Free License v3.0</v>
          </cell>
        </row>
        <row r="37">
          <cell r="A37" t="str">
            <v>afu</v>
          </cell>
          <cell r="B37" t="str">
            <v>Air filter</v>
          </cell>
        </row>
        <row r="38">
          <cell r="A38" t="str">
            <v>aggragationScale</v>
          </cell>
          <cell r="B38" t="str">
            <v>Aggregation scale</v>
          </cell>
        </row>
        <row r="39">
          <cell r="A39" t="str">
            <v>aggregation</v>
          </cell>
          <cell r="B39" t="str">
            <v>Aggregation</v>
          </cell>
        </row>
        <row r="40">
          <cell r="A40" t="str">
            <v>aggregationInput</v>
          </cell>
          <cell r="B40" t="str">
            <v>Aggregation input (wide table)</v>
          </cell>
        </row>
        <row r="41">
          <cell r="A41" t="str">
            <v>aggregationName</v>
          </cell>
          <cell r="B41" t="str">
            <v>Aggregation name (wide table)</v>
          </cell>
        </row>
        <row r="42">
          <cell r="A42" t="str">
            <v>aggregations</v>
          </cell>
          <cell r="B42" t="str">
            <v>Aggregations</v>
          </cell>
        </row>
        <row r="43">
          <cell r="A43" t="str">
            <v>aggregationScales</v>
          </cell>
          <cell r="B43" t="str">
            <v>Aggregation scales</v>
          </cell>
        </row>
        <row r="44">
          <cell r="A44" t="str">
            <v>aggregationSet</v>
          </cell>
          <cell r="B44" t="str">
            <v>Aggregation set</v>
          </cell>
        </row>
        <row r="45">
          <cell r="A45" t="str">
            <v>aggregationSets</v>
          </cell>
          <cell r="B45" t="str">
            <v>Aggregation sets</v>
          </cell>
        </row>
        <row r="46">
          <cell r="A46" t="str">
            <v>agpl30</v>
          </cell>
          <cell r="B46" t="str">
            <v>GNU Affero General Public License v3.0</v>
          </cell>
        </row>
        <row r="47">
          <cell r="A47" t="str">
            <v>air</v>
          </cell>
          <cell r="B47" t="str">
            <v>Air compartment</v>
          </cell>
        </row>
        <row r="48">
          <cell r="A48" t="str">
            <v>airCompartmentSet</v>
          </cell>
          <cell r="B48" t="str">
            <v>Air compartment set</v>
          </cell>
        </row>
        <row r="49">
          <cell r="A49" t="str">
            <v>airpln</v>
          </cell>
          <cell r="B49" t="str">
            <v>Airplane</v>
          </cell>
        </row>
        <row r="50">
          <cell r="A50" t="str">
            <v>airport</v>
          </cell>
          <cell r="B50" t="str">
            <v>Airport</v>
          </cell>
        </row>
        <row r="51">
          <cell r="A51" t="str">
            <v>airportLists</v>
          </cell>
          <cell r="B51" t="str">
            <v>Airport lists worksheet</v>
          </cell>
        </row>
        <row r="52">
          <cell r="A52" t="str">
            <v>airportSheetSet</v>
          </cell>
          <cell r="B52" t="str">
            <v>Airport Sheets Set</v>
          </cell>
        </row>
        <row r="53">
          <cell r="A53" t="str">
            <v>airportTemplate</v>
          </cell>
          <cell r="B53" t="str">
            <v>Airport Surveillance Template</v>
          </cell>
        </row>
        <row r="54">
          <cell r="A54" t="str">
            <v>airSurfaceCompartmentSet</v>
          </cell>
          <cell r="B54" t="str">
            <v>Air and surface compartment set</v>
          </cell>
        </row>
        <row r="55">
          <cell r="A55" t="str">
            <v>airTemp</v>
          </cell>
          <cell r="B55" t="str">
            <v>Environmental temperature</v>
          </cell>
        </row>
        <row r="56">
          <cell r="A56" t="str">
            <v>airWaterCompartmentSet</v>
          </cell>
          <cell r="B56" t="str">
            <v>Air and water compartment set</v>
          </cell>
        </row>
        <row r="57">
          <cell r="A57" t="str">
            <v>aliasDep</v>
          </cell>
          <cell r="B57" t="str">
            <v>Alias depreciated</v>
          </cell>
        </row>
        <row r="58">
          <cell r="A58" t="str">
            <v>aliasIDDep</v>
          </cell>
          <cell r="B58" t="str">
            <v>Alias ID depreciated</v>
          </cell>
        </row>
        <row r="59">
          <cell r="A59" t="str">
            <v>alkaline</v>
          </cell>
          <cell r="B59" t="str">
            <v>Alkalinity</v>
          </cell>
        </row>
        <row r="60">
          <cell r="A60" t="str">
            <v>allDo</v>
          </cell>
          <cell r="B60" t="str">
            <v>All domains</v>
          </cell>
        </row>
        <row r="61">
          <cell r="A61" t="str">
            <v>allele</v>
          </cell>
          <cell r="B61" t="str">
            <v>Alleles class</v>
          </cell>
        </row>
        <row r="62">
          <cell r="A62" t="str">
            <v>alleleUnitSet</v>
          </cell>
          <cell r="B62" t="str">
            <v>Allele unit set</v>
          </cell>
        </row>
        <row r="63">
          <cell r="A63" t="str">
            <v>allOrgs</v>
          </cell>
          <cell r="B63" t="str">
            <v>Access to all org</v>
          </cell>
        </row>
        <row r="64">
          <cell r="A64" t="str">
            <v>alod</v>
          </cell>
          <cell r="B64" t="str">
            <v>Assay Limit of Detection (LOD)</v>
          </cell>
        </row>
        <row r="65">
          <cell r="A65" t="str">
            <v>aloh3</v>
          </cell>
          <cell r="B65" t="str">
            <v>Aloh3 precipitation</v>
          </cell>
        </row>
        <row r="66">
          <cell r="A66" t="str">
            <v>ambigNs</v>
          </cell>
          <cell r="B66" t="str">
            <v>The number of ambiguous bases (Ns) normalized</v>
          </cell>
        </row>
        <row r="67">
          <cell r="A67" t="str">
            <v>amDefDep</v>
          </cell>
          <cell r="B67" t="str">
            <v>Assay method id default depreciated</v>
          </cell>
        </row>
        <row r="68">
          <cell r="A68" t="str">
            <v>amiconUf</v>
          </cell>
          <cell r="B68" t="str">
            <v>Amicon ultrafiltration</v>
          </cell>
        </row>
        <row r="69">
          <cell r="A69" t="str">
            <v>amiMP96</v>
          </cell>
          <cell r="B69" t="str">
            <v>Amicon filter, extract with MP96</v>
          </cell>
        </row>
        <row r="70">
          <cell r="A70" t="str">
            <v>amp</v>
          </cell>
          <cell r="B70" t="str">
            <v>Amplicon sequencing</v>
          </cell>
        </row>
        <row r="71">
          <cell r="A71" t="str">
            <v>ampliArtifact</v>
          </cell>
          <cell r="B71" t="str">
            <v>Sequence Amplification Artifacts</v>
          </cell>
        </row>
        <row r="72">
          <cell r="A72" t="str">
            <v>amrGrp</v>
          </cell>
          <cell r="B72" t="str">
            <v>Anti-microbial resistance Group</v>
          </cell>
        </row>
        <row r="73">
          <cell r="A73" t="str">
            <v>anaplasmaGrp</v>
          </cell>
          <cell r="B73" t="str">
            <v>Anaplasma Group</v>
          </cell>
        </row>
        <row r="74">
          <cell r="A74" t="str">
            <v>andBoo</v>
          </cell>
          <cell r="B74" t="str">
            <v>AND Boolean aggregation</v>
          </cell>
        </row>
        <row r="75">
          <cell r="A75" t="str">
            <v>anneal</v>
          </cell>
          <cell r="B75" t="str">
            <v>annealing/extension</v>
          </cell>
        </row>
        <row r="76">
          <cell r="A76" t="str">
            <v>anyCompartmentSet</v>
          </cell>
          <cell r="B76" t="str">
            <v>Any compartment set</v>
          </cell>
        </row>
        <row r="77">
          <cell r="A77" t="str">
            <v>anySpecimenSet</v>
          </cell>
          <cell r="B77" t="str">
            <v>Any specimen set</v>
          </cell>
        </row>
        <row r="78">
          <cell r="A78" t="str">
            <v>apache20</v>
          </cell>
          <cell r="B78" t="str">
            <v>Apache license 2.0</v>
          </cell>
        </row>
        <row r="79">
          <cell r="A79" t="str">
            <v>aPhagocytophilum</v>
          </cell>
          <cell r="B79" t="str">
            <v>Anaplasma phagocytophilum</v>
          </cell>
        </row>
        <row r="80">
          <cell r="A80" t="str">
            <v>areaPr</v>
          </cell>
          <cell r="B80" t="str">
            <v>Area proportional sample</v>
          </cell>
        </row>
        <row r="81">
          <cell r="A81" t="str">
            <v>arTemp</v>
          </cell>
          <cell r="B81" t="str">
            <v>Arrival temperature</v>
          </cell>
        </row>
        <row r="82">
          <cell r="A82" t="str">
            <v>articV1</v>
          </cell>
          <cell r="B82" t="str">
            <v>Artic V1 Primer Set</v>
          </cell>
        </row>
        <row r="83">
          <cell r="A83" t="str">
            <v>articV2</v>
          </cell>
          <cell r="B83" t="str">
            <v>Artic V2 Primer Set</v>
          </cell>
        </row>
        <row r="84">
          <cell r="A84" t="str">
            <v>articV3</v>
          </cell>
          <cell r="B84" t="str">
            <v>Use of the articV3 primer</v>
          </cell>
        </row>
        <row r="85">
          <cell r="A85" t="str">
            <v>articV4</v>
          </cell>
          <cell r="B85" t="str">
            <v>Use of the articV4 primer</v>
          </cell>
        </row>
        <row r="86">
          <cell r="A86" t="str">
            <v>articV41</v>
          </cell>
          <cell r="B86" t="str">
            <v>Artic V4.1 Primer Set</v>
          </cell>
        </row>
        <row r="87">
          <cell r="A87" t="str">
            <v>articV500</v>
          </cell>
          <cell r="B87" t="str">
            <v>Artic V5 Primer Set</v>
          </cell>
        </row>
        <row r="88">
          <cell r="A88" t="str">
            <v>articV510</v>
          </cell>
          <cell r="B88" t="str">
            <v>Artic V5.1 Primer Set</v>
          </cell>
        </row>
        <row r="89">
          <cell r="A89" t="str">
            <v>articV520bp1200</v>
          </cell>
          <cell r="B89" t="str">
            <v>Artic V5.2 Primer Set, 1200bp</v>
          </cell>
        </row>
        <row r="90">
          <cell r="A90" t="str">
            <v>articV520bp400</v>
          </cell>
          <cell r="B90" t="str">
            <v>Artic V5.2 Primer Set, 400bp</v>
          </cell>
        </row>
        <row r="91">
          <cell r="A91" t="str">
            <v>articV532</v>
          </cell>
          <cell r="B91" t="str">
            <v>Artic V5.3.2 Primer Set</v>
          </cell>
        </row>
        <row r="92">
          <cell r="A92" t="str">
            <v>artistic20</v>
          </cell>
          <cell r="B92" t="str">
            <v>Artistic license 2.0</v>
          </cell>
        </row>
        <row r="93">
          <cell r="A93" t="str">
            <v>asID</v>
          </cell>
          <cell r="B93" t="str">
            <v>Assay ID</v>
          </cell>
        </row>
        <row r="94">
          <cell r="A94" t="str">
            <v>astrovirus</v>
          </cell>
          <cell r="B94" t="str">
            <v>Astrovirus</v>
          </cell>
        </row>
        <row r="95">
          <cell r="A95" t="str">
            <v>astrovirusGrp</v>
          </cell>
          <cell r="B95" t="str">
            <v>Astrovirus Group</v>
          </cell>
        </row>
        <row r="96">
          <cell r="A96" t="str">
            <v>attributeInput</v>
          </cell>
          <cell r="B96" t="str">
            <v>Attribute input (wide table)</v>
          </cell>
        </row>
        <row r="97">
          <cell r="A97" t="str">
            <v>attributeName</v>
          </cell>
          <cell r="B97" t="str">
            <v>Attribute name (wide table)</v>
          </cell>
        </row>
        <row r="98">
          <cell r="A98" t="str">
            <v>attributes</v>
          </cell>
          <cell r="B98" t="str">
            <v>Attributes</v>
          </cell>
        </row>
        <row r="99">
          <cell r="A99" t="str">
            <v>b6r</v>
          </cell>
          <cell r="B99" t="str">
            <v>Mpox B6R Gene Target</v>
          </cell>
        </row>
        <row r="100">
          <cell r="A100" t="str">
            <v>babesia</v>
          </cell>
          <cell r="B100" t="str">
            <v>Babesia</v>
          </cell>
        </row>
        <row r="101">
          <cell r="A101" t="str">
            <v>babesiaGrp</v>
          </cell>
          <cell r="B101" t="str">
            <v>Babesia or Nuttallia Group</v>
          </cell>
        </row>
        <row r="102">
          <cell r="A102" t="str">
            <v>bact16sABIFor</v>
          </cell>
          <cell r="B102" t="str">
            <v>Bacteroides 16S forward primer (HF183) (ABI)</v>
          </cell>
        </row>
        <row r="103">
          <cell r="A103" t="str">
            <v>bact16sABIProbe</v>
          </cell>
          <cell r="B103" t="str">
            <v>Bacteroides 16S probe (BacP234) (ABI)</v>
          </cell>
        </row>
        <row r="104">
          <cell r="A104" t="str">
            <v>bact16sABIRev</v>
          </cell>
          <cell r="B104" t="str">
            <v>Bacteroides 16S reverse primer (BacR287) (ABI)</v>
          </cell>
        </row>
        <row r="105">
          <cell r="A105" t="str">
            <v>bacteria</v>
          </cell>
          <cell r="B105" t="str">
            <v>Bacteria Class</v>
          </cell>
        </row>
        <row r="106">
          <cell r="A106" t="str">
            <v>bacteriaUnitSet</v>
          </cell>
          <cell r="B106" t="str">
            <v>Bacteria unit set</v>
          </cell>
        </row>
        <row r="107">
          <cell r="A107" t="str">
            <v>bacteroidesGrp</v>
          </cell>
          <cell r="B107" t="str">
            <v>Bacteroides Group</v>
          </cell>
        </row>
        <row r="108">
          <cell r="A108" t="str">
            <v>bactMisc</v>
          </cell>
          <cell r="B108" t="str">
            <v>Miscellaneous bacteria group</v>
          </cell>
        </row>
        <row r="109">
          <cell r="A109" t="str">
            <v>bbMP96</v>
          </cell>
          <cell r="B109" t="str">
            <v>Bead beating, extract with MP96</v>
          </cell>
        </row>
        <row r="110">
          <cell r="A110" t="str">
            <v>bBurgdorferi</v>
          </cell>
          <cell r="B110" t="str">
            <v>Borrelia burgdorferi</v>
          </cell>
        </row>
        <row r="111">
          <cell r="A111" t="str">
            <v>bcov</v>
          </cell>
          <cell r="B111" t="str">
            <v>bcov</v>
          </cell>
        </row>
        <row r="112">
          <cell r="A112" t="str">
            <v>bcovCul</v>
          </cell>
          <cell r="B112" t="str">
            <v>bcov culture spike target</v>
          </cell>
        </row>
        <row r="113">
          <cell r="A113" t="str">
            <v>bcovGen</v>
          </cell>
          <cell r="B113" t="str">
            <v>bcov spike target (unspecified)</v>
          </cell>
        </row>
        <row r="114">
          <cell r="A114" t="str">
            <v>bcovVac</v>
          </cell>
          <cell r="B114" t="str">
            <v>bcov vaccine spike target</v>
          </cell>
        </row>
        <row r="115">
          <cell r="A115" t="str">
            <v>beeExtractFloc</v>
          </cell>
          <cell r="B115" t="str">
            <v>Beef extract flocculation</v>
          </cell>
        </row>
        <row r="116">
          <cell r="A116" t="str">
            <v>before</v>
          </cell>
          <cell r="B116" t="str">
            <v xml:space="preserve">Is Before </v>
          </cell>
        </row>
        <row r="117">
          <cell r="A117" t="str">
            <v>beLOD</v>
          </cell>
          <cell r="B117" t="str">
            <v>Below LOD</v>
          </cell>
        </row>
        <row r="118">
          <cell r="A118" t="str">
            <v>beta</v>
          </cell>
          <cell r="B118" t="str">
            <v>Beta</v>
          </cell>
        </row>
        <row r="119">
          <cell r="A119" t="str">
            <v>betaCoronaGrp</v>
          </cell>
          <cell r="B119" t="str">
            <v>Beta Coronavirus Group</v>
          </cell>
        </row>
        <row r="120">
          <cell r="A120" t="str">
            <v>bio</v>
          </cell>
          <cell r="B120" t="str">
            <v>Biologic</v>
          </cell>
        </row>
        <row r="121">
          <cell r="A121" t="str">
            <v>bioRadDdpcr</v>
          </cell>
          <cell r="B121" t="str">
            <v>Digital droplet emulsification PCR</v>
          </cell>
        </row>
        <row r="122">
          <cell r="A122" t="str">
            <v>bLacAMRGrp</v>
          </cell>
          <cell r="B122" t="str">
            <v>Beta-Lactamase Anti-microbial resistance Group</v>
          </cell>
        </row>
        <row r="123">
          <cell r="A123" t="str">
            <v>blaCMY</v>
          </cell>
          <cell r="B123" t="str">
            <v>Cephamycin Beta-Lactamase-Resistance gene target</v>
          </cell>
        </row>
        <row r="124">
          <cell r="A124" t="str">
            <v>blaCTXM1</v>
          </cell>
          <cell r="B124" t="str">
            <v>CTX-M Beta-Lactamase-Resistance gene target</v>
          </cell>
        </row>
        <row r="125">
          <cell r="A125" t="str">
            <v>blaIMP</v>
          </cell>
          <cell r="B125" t="str">
            <v>Impenemase (IMP) Beta-Lactamase-Resistance gene target</v>
          </cell>
        </row>
        <row r="126">
          <cell r="A126" t="str">
            <v>blaKPC</v>
          </cell>
          <cell r="B126" t="str">
            <v>Klebsiella pneumoniae Carbapenam (KPC) Beta-Lactamase-Resistance gene target</v>
          </cell>
        </row>
        <row r="127">
          <cell r="A127" t="str">
            <v>blaNDM</v>
          </cell>
          <cell r="B127" t="str">
            <v>New-Delhi Metallo- (NDM) Beta-Lactamase-Resistance gene target</v>
          </cell>
        </row>
        <row r="128">
          <cell r="A128" t="str">
            <v>blaOXA48</v>
          </cell>
          <cell r="B128" t="str">
            <v>OXA-type Beta-Lactamase-Resistance gene target</v>
          </cell>
        </row>
        <row r="129">
          <cell r="A129" t="str">
            <v>blaSHV</v>
          </cell>
          <cell r="B129" t="str">
            <v>SHV Beta-Lactamase-Resistance gene target</v>
          </cell>
        </row>
        <row r="130">
          <cell r="A130" t="str">
            <v>blaTEM</v>
          </cell>
          <cell r="B130" t="str">
            <v>TEM Beta-Lactamase-Resistance gene target</v>
          </cell>
        </row>
        <row r="131">
          <cell r="A131" t="str">
            <v>blaVIM</v>
          </cell>
          <cell r="B131" t="str">
            <v>Verone Integron-Encoded Metallo- (VIM) Beta-Lactamase-Resistance-resistance gene target</v>
          </cell>
        </row>
        <row r="132">
          <cell r="A132" t="str">
            <v>blob</v>
          </cell>
          <cell r="B132" t="str">
            <v>Binary Large Object (BLOB) data type</v>
          </cell>
        </row>
        <row r="133">
          <cell r="A133" t="str">
            <v>boc</v>
          </cell>
          <cell r="B133" t="str">
            <v>Breadth of coverage (&gt;=5x depth)</v>
          </cell>
        </row>
        <row r="134">
          <cell r="A134" t="str">
            <v>bod5c</v>
          </cell>
          <cell r="B134" t="str">
            <v>5-Day carbonaceous biochemical oxygen demand</v>
          </cell>
        </row>
        <row r="135">
          <cell r="A135" t="str">
            <v>bod5t</v>
          </cell>
          <cell r="B135" t="str">
            <v>5-day total biochemical oxygen demand</v>
          </cell>
        </row>
        <row r="136">
          <cell r="A136" t="str">
            <v>boolean</v>
          </cell>
          <cell r="B136" t="str">
            <v>Boolean data type</v>
          </cell>
        </row>
        <row r="137">
          <cell r="A137" t="str">
            <v>booleanAggrSet</v>
          </cell>
          <cell r="B137" t="str">
            <v>Boolean aggregation set</v>
          </cell>
        </row>
        <row r="138">
          <cell r="A138" t="str">
            <v>booleanSet</v>
          </cell>
          <cell r="B138" t="str">
            <v>Boolean value set</v>
          </cell>
        </row>
        <row r="139">
          <cell r="A139" t="str">
            <v>borreliaGrp</v>
          </cell>
          <cell r="B139" t="str">
            <v>Borrelia burgdorferi or Lyme Disease Group</v>
          </cell>
        </row>
        <row r="140">
          <cell r="A140" t="str">
            <v>bps</v>
          </cell>
          <cell r="B140" t="str">
            <v>Base-pairs</v>
          </cell>
        </row>
        <row r="141">
          <cell r="A141" t="str">
            <v>brsv</v>
          </cell>
          <cell r="B141" t="str">
            <v>Bovine respiratory syncytial virus group</v>
          </cell>
        </row>
        <row r="142">
          <cell r="A142" t="str">
            <v>brsvCul</v>
          </cell>
          <cell r="B142" t="str">
            <v>brsv culture spike target</v>
          </cell>
        </row>
        <row r="143">
          <cell r="A143" t="str">
            <v>brsvN</v>
          </cell>
          <cell r="B143" t="str">
            <v>BRSV-N</v>
          </cell>
        </row>
        <row r="144">
          <cell r="A144" t="str">
            <v>brsvVac</v>
          </cell>
          <cell r="B144" t="str">
            <v>brsv vaccine spike target</v>
          </cell>
        </row>
        <row r="145">
          <cell r="A145" t="str">
            <v>brucella</v>
          </cell>
          <cell r="B145" t="str">
            <v>Brucella</v>
          </cell>
        </row>
        <row r="146">
          <cell r="A146" t="str">
            <v>brucellaGrp</v>
          </cell>
          <cell r="B146" t="str">
            <v>Brucella Group</v>
          </cell>
        </row>
        <row r="147">
          <cell r="A147" t="str">
            <v>bsd0</v>
          </cell>
          <cell r="B147" t="str">
            <v>BSD Zero-Clause license</v>
          </cell>
        </row>
        <row r="148">
          <cell r="A148" t="str">
            <v>bsd2Clause</v>
          </cell>
          <cell r="B148" t="str">
            <v>BSD 2-clause "Simplified" license</v>
          </cell>
        </row>
        <row r="149">
          <cell r="A149" t="str">
            <v>bsd3Clause</v>
          </cell>
          <cell r="B149" t="str">
            <v>BSD 3-clause "New" or "Revised" license</v>
          </cell>
        </row>
        <row r="150">
          <cell r="A150" t="str">
            <v>bsd3ClauseClear</v>
          </cell>
          <cell r="B150" t="str">
            <v>BSD 3-clause Clear license</v>
          </cell>
        </row>
        <row r="151">
          <cell r="A151" t="str">
            <v>bsd4Clause</v>
          </cell>
          <cell r="B151" t="str">
            <v>BSD 4-clause "Original" or "Old" license</v>
          </cell>
        </row>
        <row r="152">
          <cell r="A152" t="str">
            <v>bsl10</v>
          </cell>
          <cell r="B152" t="str">
            <v>Boost Software License 1.0</v>
          </cell>
        </row>
        <row r="153">
          <cell r="A153" t="str">
            <v>bSwrPpl</v>
          </cell>
          <cell r="B153" t="str">
            <v>Branch sewer pipleline</v>
          </cell>
        </row>
        <row r="154">
          <cell r="A154" t="str">
            <v>buildCO</v>
          </cell>
          <cell r="B154" t="str">
            <v>Building cleanout</v>
          </cell>
        </row>
        <row r="155">
          <cell r="A155" t="str">
            <v>c3l</v>
          </cell>
          <cell r="B155" t="str">
            <v>Clade I Mpox C3L Gene Target</v>
          </cell>
        </row>
        <row r="156">
          <cell r="A156" t="str">
            <v>caff</v>
          </cell>
          <cell r="B156" t="str">
            <v>Caffeine</v>
          </cell>
        </row>
        <row r="157">
          <cell r="A157" t="str">
            <v xml:space="preserve">Calprotectin </v>
          </cell>
          <cell r="B157" t="str">
            <v xml:space="preserve">Calprotectin </v>
          </cell>
        </row>
        <row r="158">
          <cell r="A158" t="str">
            <v>camp</v>
          </cell>
          <cell r="B158" t="str">
            <v>Campylobacter</v>
          </cell>
        </row>
        <row r="159">
          <cell r="A159" t="str">
            <v>campGrp</v>
          </cell>
          <cell r="B159" t="str">
            <v>Campylobacter Group</v>
          </cell>
        </row>
        <row r="160">
          <cell r="A160" t="str">
            <v>capacity</v>
          </cell>
          <cell r="B160" t="str">
            <v>Capacity class</v>
          </cell>
        </row>
        <row r="161">
          <cell r="A161" t="str">
            <v>capacityUnitSet</v>
          </cell>
          <cell r="B161" t="str">
            <v>Capacity unit set</v>
          </cell>
        </row>
        <row r="162">
          <cell r="A162" t="str">
            <v>capitalEndonym</v>
          </cell>
          <cell r="B162" t="str">
            <v>Capital city endonym</v>
          </cell>
        </row>
        <row r="163">
          <cell r="A163" t="str">
            <v>capitalExonym</v>
          </cell>
          <cell r="B163" t="str">
            <v>Capital city exonym</v>
          </cell>
        </row>
        <row r="164">
          <cell r="A164" t="str">
            <v>caRepDate</v>
          </cell>
          <cell r="B164" t="str">
            <v>Case report date</v>
          </cell>
        </row>
        <row r="165">
          <cell r="A165" t="str">
            <v>caseEpDate</v>
          </cell>
          <cell r="B165" t="str">
            <v xml:space="preserve">Episode date of confirmed cases </v>
          </cell>
        </row>
        <row r="166">
          <cell r="A166" t="str">
            <v>caseOnDate</v>
          </cell>
          <cell r="B166" t="str">
            <v xml:space="preserve">Onset date of confirmed cases </v>
          </cell>
        </row>
        <row r="167">
          <cell r="A167" t="str">
            <v>caseRepDate</v>
          </cell>
          <cell r="B167" t="str">
            <v xml:space="preserve">Report date of confirmed cases </v>
          </cell>
        </row>
        <row r="168">
          <cell r="A168" t="str">
            <v>caseTestDate</v>
          </cell>
          <cell r="B168" t="str">
            <v xml:space="preserve">Test date of confirmed cases </v>
          </cell>
        </row>
        <row r="169">
          <cell r="A169" t="str">
            <v>categorical</v>
          </cell>
          <cell r="B169" t="str">
            <v>Categorical data type</v>
          </cell>
        </row>
        <row r="170">
          <cell r="A170" t="str">
            <v>categories</v>
          </cell>
          <cell r="B170" t="str">
            <v>Categories</v>
          </cell>
        </row>
        <row r="171">
          <cell r="A171" t="str">
            <v>cAuris</v>
          </cell>
          <cell r="B171" t="str">
            <v>Candida auris</v>
          </cell>
        </row>
        <row r="172">
          <cell r="A172" t="str">
            <v>cAurisGrp</v>
          </cell>
          <cell r="B172" t="str">
            <v>Candida auris Group</v>
          </cell>
        </row>
        <row r="173">
          <cell r="A173" t="str">
            <v>cbod</v>
          </cell>
          <cell r="B173" t="str">
            <v>Carbonaceous Biochemical Oxygen Demand</v>
          </cell>
        </row>
        <row r="174">
          <cell r="A174" t="str">
            <v>cbp</v>
          </cell>
          <cell r="B174" t="str">
            <v>Carbapenemase-encoding genes</v>
          </cell>
        </row>
        <row r="175">
          <cell r="A175" t="str">
            <v>cc010</v>
          </cell>
          <cell r="B175" t="str">
            <v>Creative Commons Zero v1.0 Universal</v>
          </cell>
        </row>
        <row r="176">
          <cell r="A176" t="str">
            <v>ccby40</v>
          </cell>
          <cell r="B176" t="str">
            <v>Creative Commons Attribution 4.0</v>
          </cell>
        </row>
        <row r="177">
          <cell r="A177" t="str">
            <v>ccbysa40</v>
          </cell>
          <cell r="B177" t="str">
            <v>Creative Commons Attribution ShareAlike 4.0</v>
          </cell>
        </row>
        <row r="178">
          <cell r="A178" t="str">
            <v>ccc</v>
          </cell>
          <cell r="B178" t="str">
            <v>Long-term acute care hospital</v>
          </cell>
        </row>
        <row r="179">
          <cell r="A179" t="str">
            <v>cdc</v>
          </cell>
          <cell r="B179" t="str">
            <v>Child day care</v>
          </cell>
        </row>
        <row r="180">
          <cell r="A180" t="str">
            <v>cdcCovEIDTFor</v>
          </cell>
          <cell r="B180" t="str">
            <v>Sarbeco_E forward primer (IDT)</v>
          </cell>
        </row>
        <row r="181">
          <cell r="A181" t="str">
            <v>cdcCovEIDTProbe</v>
          </cell>
          <cell r="B181" t="str">
            <v>Sarbeco_E probe (IDT)</v>
          </cell>
        </row>
        <row r="182">
          <cell r="A182" t="str">
            <v>cdcCovEIDTRev</v>
          </cell>
          <cell r="B182" t="str">
            <v>Sarbeco_E reverse primer (IDT)</v>
          </cell>
        </row>
        <row r="183">
          <cell r="A183" t="str">
            <v>cdcCovN1IDTFor</v>
          </cell>
          <cell r="B183" t="str">
            <v>2019-nCoV_N1 forward primer (IDT)</v>
          </cell>
        </row>
        <row r="184">
          <cell r="A184" t="str">
            <v>cdcCovN1IDTProbe</v>
          </cell>
          <cell r="B184" t="str">
            <v>2019-nCoV_N1 probe (IDT)</v>
          </cell>
        </row>
        <row r="185">
          <cell r="A185" t="str">
            <v>cdcCovN1IDTRev</v>
          </cell>
          <cell r="B185" t="str">
            <v>2019-nCoV_N1 reverse primer (IDT)</v>
          </cell>
        </row>
        <row r="186">
          <cell r="A186" t="str">
            <v>cdcCovN2IDTFor</v>
          </cell>
          <cell r="B186" t="str">
            <v>2019-nCoV_N2 forward primer (IDT)</v>
          </cell>
        </row>
        <row r="187">
          <cell r="A187" t="str">
            <v>cdcCovN2IDTProbe</v>
          </cell>
          <cell r="B187" t="str">
            <v>2019-nCoV_N2 probe (IDT)</v>
          </cell>
        </row>
        <row r="188">
          <cell r="A188" t="str">
            <v>cdcCovN2IDTRev</v>
          </cell>
          <cell r="B188" t="str">
            <v>2019-nCoV_N2 reverse primer (IDT)</v>
          </cell>
        </row>
        <row r="189">
          <cell r="A189" t="str">
            <v>cdcCovN3IDTFor</v>
          </cell>
          <cell r="B189" t="str">
            <v>2019-nCoV_N3 forward primer (IDT)</v>
          </cell>
        </row>
        <row r="190">
          <cell r="A190" t="str">
            <v>cdcCovN3IDTProbe</v>
          </cell>
          <cell r="B190" t="str">
            <v>2019-nCoV_N3 probe (IDT)</v>
          </cell>
        </row>
        <row r="191">
          <cell r="A191" t="str">
            <v>cdcCovN3IDTRev</v>
          </cell>
          <cell r="B191" t="str">
            <v>2019-nCoV_N3 reverse primer (IDT)</v>
          </cell>
        </row>
        <row r="192">
          <cell r="A192" t="str">
            <v>cDiff</v>
          </cell>
          <cell r="B192" t="str">
            <v>Clostridium difficile</v>
          </cell>
        </row>
        <row r="193">
          <cell r="A193" t="str">
            <v>cDip</v>
          </cell>
          <cell r="B193" t="str">
            <v>Corynebacterium diphtheriae</v>
          </cell>
        </row>
        <row r="194">
          <cell r="A194" t="str">
            <v>cecill21</v>
          </cell>
          <cell r="B194" t="str">
            <v>CeCILL Free Software License Agreement v2.1</v>
          </cell>
        </row>
        <row r="195">
          <cell r="A195" t="str">
            <v>cel</v>
          </cell>
          <cell r="B195" t="str">
            <v>Degrees Celcius</v>
          </cell>
        </row>
        <row r="196">
          <cell r="A196" t="str">
            <v>cent</v>
          </cell>
          <cell r="B196" t="str">
            <v>Centrifugation</v>
          </cell>
        </row>
        <row r="197">
          <cell r="A197" t="str">
            <v>centriconUf</v>
          </cell>
          <cell r="B197" t="str">
            <v>Centricon ultrafiltration</v>
          </cell>
        </row>
        <row r="198">
          <cell r="A198" t="str">
            <v>centSpeed</v>
          </cell>
          <cell r="B198" t="str">
            <v>Centrifugation speed</v>
          </cell>
        </row>
        <row r="199">
          <cell r="A199" t="str">
            <v>ceres</v>
          </cell>
          <cell r="B199" t="str">
            <v>Ceres nanotrap</v>
          </cell>
        </row>
        <row r="200">
          <cell r="A200" t="str">
            <v>cfu</v>
          </cell>
          <cell r="B200" t="str">
            <v>Colony Forming Units</v>
          </cell>
        </row>
        <row r="201">
          <cell r="A201" t="str">
            <v>cfu100</v>
          </cell>
          <cell r="B201" t="str">
            <v>CFU per 100 ml</v>
          </cell>
        </row>
        <row r="202">
          <cell r="A202" t="str">
            <v>cfugTS</v>
          </cell>
          <cell r="B202" t="str">
            <v>Colony forming units per grams total solids</v>
          </cell>
        </row>
        <row r="203">
          <cell r="A203" t="str">
            <v>cfumL</v>
          </cell>
          <cell r="B203" t="str">
            <v>Colony forming units per milliliter</v>
          </cell>
        </row>
        <row r="204">
          <cell r="A204" t="str">
            <v>chalydiaGrp</v>
          </cell>
          <cell r="B204" t="str">
            <v>Chlamydia Group</v>
          </cell>
        </row>
        <row r="205">
          <cell r="A205" t="str">
            <v>changes</v>
          </cell>
          <cell r="B205" t="str">
            <v>Changes column</v>
          </cell>
        </row>
        <row r="206">
          <cell r="A206" t="str">
            <v>charLength</v>
          </cell>
          <cell r="B206" t="str">
            <v>character length</v>
          </cell>
        </row>
        <row r="207">
          <cell r="A207" t="str">
            <v>che</v>
          </cell>
          <cell r="B207" t="str">
            <v>Chemical</v>
          </cell>
        </row>
        <row r="208">
          <cell r="A208" t="str">
            <v>chemSurv</v>
          </cell>
          <cell r="B208" t="str">
            <v>Chemical contaminant surveillance</v>
          </cell>
        </row>
        <row r="209">
          <cell r="A209" t="str">
            <v>chemVir</v>
          </cell>
          <cell r="B209" t="str">
            <v>Chemagic viral dna/rna 300 kit</v>
          </cell>
        </row>
        <row r="210">
          <cell r="A210" t="str">
            <v>chikungunyaGrp</v>
          </cell>
          <cell r="B210" t="str">
            <v>Chikungunya Group</v>
          </cell>
        </row>
        <row r="211">
          <cell r="A211" t="str">
            <v>chikv</v>
          </cell>
          <cell r="B211" t="str">
            <v>Chikungunya virus (CHIKV)</v>
          </cell>
        </row>
        <row r="212">
          <cell r="A212" t="str">
            <v>child</v>
          </cell>
          <cell r="B212" t="str">
            <v>Child relationship</v>
          </cell>
        </row>
        <row r="213">
          <cell r="A213" t="str">
            <v>chlamydia</v>
          </cell>
          <cell r="B213" t="str">
            <v>Chlamydia</v>
          </cell>
        </row>
        <row r="214">
          <cell r="A214" t="str">
            <v>city</v>
          </cell>
          <cell r="B214" t="str">
            <v>City</v>
          </cell>
        </row>
        <row r="215">
          <cell r="A215" t="str">
            <v>cJejuni</v>
          </cell>
          <cell r="B215" t="str">
            <v>Campylobacter jejuni bacteria</v>
          </cell>
        </row>
        <row r="216">
          <cell r="A216" t="str">
            <v>cK</v>
          </cell>
          <cell r="B216" t="str">
            <v>Composite Key</v>
          </cell>
        </row>
        <row r="217">
          <cell r="A217" t="str">
            <v>clari</v>
          </cell>
          <cell r="B217" t="str">
            <v>Clarified sample</v>
          </cell>
        </row>
        <row r="218">
          <cell r="A218" t="str">
            <v>class</v>
          </cell>
          <cell r="B218" t="str">
            <v>Class</v>
          </cell>
        </row>
        <row r="219">
          <cell r="A219" t="str">
            <v>classes</v>
          </cell>
          <cell r="B219" t="str">
            <v>Classes</v>
          </cell>
        </row>
        <row r="220">
          <cell r="A220" t="str">
            <v>clostridiumGrp</v>
          </cell>
          <cell r="B220" t="str">
            <v>Clostridium Group</v>
          </cell>
        </row>
        <row r="221">
          <cell r="A221" t="str">
            <v>cloudy</v>
          </cell>
          <cell r="B221" t="str">
            <v>Cloudy</v>
          </cell>
        </row>
        <row r="222">
          <cell r="A222" t="str">
            <v>cm</v>
          </cell>
          <cell r="B222" t="str">
            <v>Centimetres</v>
          </cell>
        </row>
        <row r="223">
          <cell r="A223" t="str">
            <v>co</v>
          </cell>
          <cell r="B223" t="str">
            <v>Contact table Shorthand</v>
          </cell>
        </row>
        <row r="224">
          <cell r="A224" t="str">
            <v>co2</v>
          </cell>
          <cell r="B224" t="str">
            <v xml:space="preserve">Carbon Dioxide </v>
          </cell>
        </row>
        <row r="225">
          <cell r="A225" t="str">
            <v>cod</v>
          </cell>
          <cell r="B225" t="str">
            <v>Chemical Oxygen Demand</v>
          </cell>
        </row>
        <row r="226">
          <cell r="A226" t="str">
            <v>col2Frdg</v>
          </cell>
          <cell r="B226" t="str">
            <v>Time from collection to storage</v>
          </cell>
        </row>
        <row r="227">
          <cell r="A227" t="str">
            <v>colAMRGrp</v>
          </cell>
          <cell r="B227" t="str">
            <v>Colistin Anti-microbial resistance group</v>
          </cell>
        </row>
        <row r="228">
          <cell r="A228" t="str">
            <v>colGrp</v>
          </cell>
          <cell r="B228" t="str">
            <v>Collection group</v>
          </cell>
        </row>
        <row r="229">
          <cell r="A229" t="str">
            <v>colis</v>
          </cell>
          <cell r="B229" t="str">
            <v>Colistin resistance</v>
          </cell>
        </row>
        <row r="230">
          <cell r="A230" t="str">
            <v>collDT</v>
          </cell>
          <cell r="B230" t="str">
            <v>Collection date time</v>
          </cell>
        </row>
        <row r="231">
          <cell r="A231" t="str">
            <v>collDTEnd</v>
          </cell>
          <cell r="B231" t="str">
            <v>Collection date time end</v>
          </cell>
        </row>
        <row r="232">
          <cell r="A232" t="str">
            <v>collDTStart</v>
          </cell>
          <cell r="B232" t="str">
            <v>Collection date time start</v>
          </cell>
        </row>
        <row r="233">
          <cell r="A233" t="str">
            <v>collectSet</v>
          </cell>
          <cell r="B233" t="str">
            <v>Sample collection set</v>
          </cell>
        </row>
        <row r="234">
          <cell r="A234" t="str">
            <v>collNum</v>
          </cell>
          <cell r="B234" t="str">
            <v>Collection number</v>
          </cell>
        </row>
        <row r="235">
          <cell r="A235" t="str">
            <v>collNumPer</v>
          </cell>
          <cell r="B235" t="str">
            <v xml:space="preserve">Collection period and number </v>
          </cell>
        </row>
        <row r="236">
          <cell r="A236" t="str">
            <v>collPer</v>
          </cell>
          <cell r="B236" t="str">
            <v>Collection period</v>
          </cell>
        </row>
        <row r="237">
          <cell r="A237" t="str">
            <v>collType</v>
          </cell>
          <cell r="B237" t="str">
            <v>Sample collection type</v>
          </cell>
        </row>
        <row r="238">
          <cell r="A238" t="str">
            <v>colocated</v>
          </cell>
          <cell r="B238" t="str">
            <v>Co-located sample</v>
          </cell>
        </row>
        <row r="239">
          <cell r="A239" t="str">
            <v>columnNameDep</v>
          </cell>
          <cell r="B239" t="str">
            <v>Column name depreciiated</v>
          </cell>
        </row>
        <row r="240">
          <cell r="A240" t="str">
            <v>commFacOth</v>
          </cell>
          <cell r="B240" t="str">
            <v>Commercial facility - not specified</v>
          </cell>
        </row>
        <row r="241">
          <cell r="A241" t="str">
            <v>comp</v>
          </cell>
          <cell r="B241" t="str">
            <v>Composite sample - archival</v>
          </cell>
        </row>
        <row r="242">
          <cell r="A242" t="str">
            <v>comp3</v>
          </cell>
          <cell r="B242" t="str">
            <v>Composite grab sample of 3</v>
          </cell>
        </row>
        <row r="243">
          <cell r="A243" t="str">
            <v>comp3dep</v>
          </cell>
          <cell r="B243" t="str">
            <v>Composite grab sample of 3 depreciate</v>
          </cell>
        </row>
        <row r="244">
          <cell r="A244" t="str">
            <v>comp3h</v>
          </cell>
          <cell r="B244" t="str">
            <v>Composite 3hr grab sample</v>
          </cell>
        </row>
        <row r="245">
          <cell r="A245" t="str">
            <v>comp3hdep</v>
          </cell>
          <cell r="B245" t="str">
            <v>Composite 3hr grab sample depreciate</v>
          </cell>
        </row>
        <row r="246">
          <cell r="A246" t="str">
            <v>comp8h</v>
          </cell>
          <cell r="B246" t="str">
            <v>Composite 8hr grab sample depreciated</v>
          </cell>
        </row>
        <row r="247">
          <cell r="A247" t="str">
            <v>comp8hDep</v>
          </cell>
          <cell r="B247" t="str">
            <v>Composite 8hr grab sample deprecated</v>
          </cell>
        </row>
        <row r="248">
          <cell r="A248" t="str">
            <v>compartment</v>
          </cell>
          <cell r="B248" t="str">
            <v>Compartment</v>
          </cell>
        </row>
        <row r="249">
          <cell r="A249" t="str">
            <v>compartmentInput</v>
          </cell>
          <cell r="B249" t="str">
            <v>Compartment input (wide table)</v>
          </cell>
        </row>
        <row r="250">
          <cell r="A250" t="str">
            <v>compartmentName</v>
          </cell>
          <cell r="B250" t="str">
            <v>Compartment name (wide table)</v>
          </cell>
        </row>
        <row r="251">
          <cell r="A251" t="str">
            <v>compartments</v>
          </cell>
          <cell r="B251" t="str">
            <v>Compartments</v>
          </cell>
        </row>
        <row r="252">
          <cell r="A252" t="str">
            <v>compartmentSet</v>
          </cell>
          <cell r="B252" t="str">
            <v>Compartment Set Header</v>
          </cell>
        </row>
        <row r="253">
          <cell r="A253" t="str">
            <v>compartmentSets</v>
          </cell>
          <cell r="B253" t="str">
            <v>Compartment sets</v>
          </cell>
        </row>
        <row r="254">
          <cell r="A254" t="str">
            <v>conc</v>
          </cell>
          <cell r="B254" t="str">
            <v>Concentration measure</v>
          </cell>
        </row>
        <row r="255">
          <cell r="A255" t="str">
            <v>concurrent</v>
          </cell>
          <cell r="B255" t="str">
            <v>Is concurrent to</v>
          </cell>
        </row>
        <row r="256">
          <cell r="A256" t="str">
            <v>concVol</v>
          </cell>
          <cell r="B256" t="str">
            <v>Sample volume after concentration</v>
          </cell>
        </row>
        <row r="257">
          <cell r="A257" t="str">
            <v>cond</v>
          </cell>
          <cell r="B257" t="str">
            <v>Water conductivity</v>
          </cell>
        </row>
        <row r="258">
          <cell r="A258" t="str">
            <v>conductivity</v>
          </cell>
          <cell r="B258" t="str">
            <v>Conductivity class</v>
          </cell>
        </row>
        <row r="259">
          <cell r="A259" t="str">
            <v>conductivityUnitSet</v>
          </cell>
          <cell r="B259" t="str">
            <v>Conductivity unit set</v>
          </cell>
        </row>
        <row r="260">
          <cell r="A260" t="str">
            <v>conf</v>
          </cell>
          <cell r="B260" t="str">
            <v>Number of confirmed cases</v>
          </cell>
        </row>
        <row r="261">
          <cell r="A261" t="str">
            <v>confEp</v>
          </cell>
          <cell r="B261" t="str">
            <v>Number of confirmed cases by episode date</v>
          </cell>
        </row>
        <row r="262">
          <cell r="A262" t="str">
            <v>confOn</v>
          </cell>
          <cell r="B262" t="str">
            <v>Number of confirmed Cases Onset date</v>
          </cell>
        </row>
        <row r="263">
          <cell r="A263" t="str">
            <v>confRep</v>
          </cell>
          <cell r="B263" t="str">
            <v>Number of confirmed cases by report date</v>
          </cell>
        </row>
        <row r="264">
          <cell r="A264" t="str">
            <v>confTest</v>
          </cell>
          <cell r="B264" t="str">
            <v>Number of confirmed cases test date</v>
          </cell>
        </row>
        <row r="265">
          <cell r="A265" t="str">
            <v>conGenLen</v>
          </cell>
          <cell r="B265" t="str">
            <v>consensus genome length</v>
          </cell>
        </row>
        <row r="266">
          <cell r="A266" t="str">
            <v>contactID</v>
          </cell>
          <cell r="B266" t="str">
            <v>Contact ID</v>
          </cell>
        </row>
        <row r="267">
          <cell r="A267" t="str">
            <v>contactName</v>
          </cell>
          <cell r="B267" t="str">
            <v>Contact name</v>
          </cell>
        </row>
        <row r="268">
          <cell r="A268" t="str">
            <v>contacts</v>
          </cell>
          <cell r="B268" t="str">
            <v>Contact table</v>
          </cell>
        </row>
        <row r="269">
          <cell r="A269" t="str">
            <v>contactsOrder</v>
          </cell>
          <cell r="B269" t="str">
            <v>Contacts table column order</v>
          </cell>
        </row>
        <row r="270">
          <cell r="A270" t="str">
            <v>contactsRequired</v>
          </cell>
          <cell r="B270" t="str">
            <v>Contact table required headers</v>
          </cell>
        </row>
        <row r="271">
          <cell r="A271" t="str">
            <v>contactTableSet</v>
          </cell>
          <cell r="B271" t="str">
            <v>Contact table set</v>
          </cell>
        </row>
        <row r="272">
          <cell r="A272" t="str">
            <v>coPhone</v>
          </cell>
          <cell r="B272" t="str">
            <v>Contact phone</v>
          </cell>
        </row>
        <row r="273">
          <cell r="A273" t="str">
            <v>corFcil</v>
          </cell>
          <cell r="B273" t="str">
            <v>Correctional facility</v>
          </cell>
        </row>
        <row r="274">
          <cell r="A274" t="str">
            <v>cosca</v>
          </cell>
          <cell r="B274" t="str">
            <v>COSCa ball</v>
          </cell>
        </row>
        <row r="275">
          <cell r="A275" t="str">
            <v>countries</v>
          </cell>
          <cell r="B275" t="str">
            <v>Countries look-up tables</v>
          </cell>
        </row>
        <row r="276">
          <cell r="A276" t="str">
            <v>countriesOrder</v>
          </cell>
          <cell r="B276" t="str">
            <v>Countries table column order</v>
          </cell>
        </row>
        <row r="277">
          <cell r="A277" t="str">
            <v>countriesRequired</v>
          </cell>
          <cell r="B277" t="str">
            <v>Counries table required headers</v>
          </cell>
        </row>
        <row r="278">
          <cell r="A278" t="str">
            <v>country</v>
          </cell>
          <cell r="B278" t="str">
            <v>Country</v>
          </cell>
        </row>
        <row r="279">
          <cell r="A279" t="str">
            <v>countryEndonym</v>
          </cell>
          <cell r="B279" t="str">
            <v>Country endonym</v>
          </cell>
        </row>
        <row r="280">
          <cell r="A280" t="str">
            <v>countryExonym</v>
          </cell>
          <cell r="B280" t="str">
            <v>Country exonym</v>
          </cell>
        </row>
        <row r="281">
          <cell r="A281" t="str">
            <v>countryLevel</v>
          </cell>
          <cell r="B281" t="str">
            <v>Countries or sovereign states</v>
          </cell>
        </row>
        <row r="282">
          <cell r="A282" t="str">
            <v>countyLevel</v>
          </cell>
          <cell r="B282" t="str">
            <v>Districts, counties, regions</v>
          </cell>
        </row>
        <row r="283">
          <cell r="A283" t="str">
            <v>cov</v>
          </cell>
          <cell r="B283" t="str">
            <v>Covid-19</v>
          </cell>
        </row>
        <row r="284">
          <cell r="A284" t="str">
            <v>cov2Me</v>
          </cell>
          <cell r="B284" t="str">
            <v>SARS-CoV-2 measure</v>
          </cell>
        </row>
        <row r="285">
          <cell r="A285" t="str">
            <v>covB117</v>
          </cell>
          <cell r="B285" t="str">
            <v>SARS-CoV-2-B.1.1.7</v>
          </cell>
        </row>
        <row r="286">
          <cell r="A286" t="str">
            <v>covB135</v>
          </cell>
          <cell r="B286" t="str">
            <v>SARS-CoV-2-B.1.351</v>
          </cell>
        </row>
        <row r="287">
          <cell r="A287" t="str">
            <v>covE</v>
          </cell>
          <cell r="B287" t="str">
            <v>SARS-CoV-2-E</v>
          </cell>
        </row>
        <row r="288">
          <cell r="A288" t="str">
            <v>covN1</v>
          </cell>
          <cell r="B288" t="str">
            <v>SARS-CoV-2-N1</v>
          </cell>
        </row>
        <row r="289">
          <cell r="A289" t="str">
            <v>covN2</v>
          </cell>
          <cell r="B289" t="str">
            <v>SARS-CoV-2-N2</v>
          </cell>
        </row>
        <row r="290">
          <cell r="A290" t="str">
            <v>covN200</v>
          </cell>
          <cell r="B290" t="str">
            <v>SARS-CoV-2-N200</v>
          </cell>
        </row>
        <row r="291">
          <cell r="A291" t="str">
            <v>covN3</v>
          </cell>
          <cell r="B291" t="str">
            <v>SARS-CoV-2-N3</v>
          </cell>
        </row>
        <row r="292">
          <cell r="A292" t="str">
            <v>covP1</v>
          </cell>
          <cell r="B292" t="str">
            <v>SARS-CoV-2-P.1</v>
          </cell>
        </row>
        <row r="293">
          <cell r="A293" t="str">
            <v>covRdrp</v>
          </cell>
          <cell r="B293" t="str">
            <v>SARS-CoV-2-RdRp</v>
          </cell>
        </row>
        <row r="294">
          <cell r="A294" t="str">
            <v>cPerfrigens</v>
          </cell>
          <cell r="B294" t="str">
            <v>Clostridium perfringens</v>
          </cell>
        </row>
        <row r="295">
          <cell r="A295" t="str">
            <v>cphDate</v>
          </cell>
          <cell r="B295" t="str">
            <v>Covid-19 population measurement date</v>
          </cell>
        </row>
        <row r="296">
          <cell r="A296" t="str">
            <v>cphid</v>
          </cell>
          <cell r="B296" t="str">
            <v>Cphd ID</v>
          </cell>
        </row>
        <row r="297">
          <cell r="A297" t="str">
            <v>cra</v>
          </cell>
          <cell r="B297" t="str">
            <v>crAssphage-N</v>
          </cell>
        </row>
        <row r="298">
          <cell r="A298" t="str">
            <v>crea</v>
          </cell>
          <cell r="B298" t="str">
            <v>Creatinine</v>
          </cell>
        </row>
        <row r="299">
          <cell r="A299" t="str">
            <v>crosswalkTableSet</v>
          </cell>
          <cell r="B299" t="str">
            <v>Crosswalk table set</v>
          </cell>
        </row>
        <row r="300">
          <cell r="A300" t="str">
            <v>cryptosporidium</v>
          </cell>
          <cell r="B300" t="str">
            <v>Cryptosporidium</v>
          </cell>
        </row>
        <row r="301">
          <cell r="A301" t="str">
            <v>cryptosporidiumGrp</v>
          </cell>
          <cell r="B301" t="str">
            <v>Cryptosporidium Group</v>
          </cell>
        </row>
        <row r="302">
          <cell r="A302" t="str">
            <v>ct</v>
          </cell>
          <cell r="B302" t="str">
            <v>Cycle threshold or quantification cycle (Ct or Cq)</v>
          </cell>
        </row>
        <row r="303">
          <cell r="A303" t="str">
            <v>ctcq</v>
          </cell>
          <cell r="B303" t="str">
            <v>Cycle threshold per quantification cycle</v>
          </cell>
        </row>
        <row r="304">
          <cell r="A304" t="str">
            <v>cu</v>
          </cell>
          <cell r="B304" t="str">
            <v>Countries look-up tables Shorthand</v>
          </cell>
        </row>
        <row r="305">
          <cell r="A305" t="str">
            <v>cuCo</v>
          </cell>
          <cell r="B305" t="str">
            <v>Cumulative count</v>
          </cell>
        </row>
        <row r="306">
          <cell r="A306" t="str">
            <v>custodyCont</v>
          </cell>
          <cell r="B306" t="str">
            <v>Custody Contact ID</v>
          </cell>
        </row>
        <row r="307">
          <cell r="A307" t="str">
            <v>custodyID</v>
          </cell>
          <cell r="B307" t="str">
            <v>Data custodian ID</v>
          </cell>
        </row>
        <row r="308">
          <cell r="A308" t="str">
            <v>cVDPV2</v>
          </cell>
          <cell r="B308" t="str">
            <v>Circulating vaccine-derived poliovirus type 2</v>
          </cell>
        </row>
        <row r="309">
          <cell r="A309" t="str">
            <v>cyNum</v>
          </cell>
          <cell r="B309" t="str">
            <v>Number of cycles</v>
          </cell>
        </row>
        <row r="310">
          <cell r="A310" t="str">
            <v>d339h</v>
          </cell>
          <cell r="B310" t="str">
            <v>D339H Mutation</v>
          </cell>
        </row>
        <row r="311">
          <cell r="A311" t="str">
            <v>d377y</v>
          </cell>
          <cell r="B311" t="str">
            <v>d377y delta-variant gene target</v>
          </cell>
        </row>
        <row r="312">
          <cell r="A312" t="str">
            <v>d3g</v>
          </cell>
          <cell r="B312" t="str">
            <v>d3g omicron-variant gene target</v>
          </cell>
        </row>
        <row r="313">
          <cell r="A313" t="str">
            <v>d63g</v>
          </cell>
          <cell r="B313" t="str">
            <v>d63g delta-variant gene target</v>
          </cell>
        </row>
        <row r="314">
          <cell r="A314" t="str">
            <v>d796y</v>
          </cell>
          <cell r="B314" t="str">
            <v>d796y omicron-variant gene target</v>
          </cell>
        </row>
        <row r="315">
          <cell r="A315" t="str">
            <v>d950n</v>
          </cell>
          <cell r="B315" t="str">
            <v>d950n delta-variant gene target</v>
          </cell>
        </row>
        <row r="316">
          <cell r="A316" t="str">
            <v>daiCo</v>
          </cell>
          <cell r="B316" t="str">
            <v>Daily count</v>
          </cell>
        </row>
        <row r="317">
          <cell r="A317" t="str">
            <v>dataColl</v>
          </cell>
          <cell r="B317" t="str">
            <v>Data collection sector or organization</v>
          </cell>
        </row>
        <row r="318">
          <cell r="A318" t="str">
            <v>dataRepo</v>
          </cell>
          <cell r="B318" t="str">
            <v>Data Repository or bank</v>
          </cell>
        </row>
        <row r="319">
          <cell r="A319" t="str">
            <v>dataRepoSet</v>
          </cell>
          <cell r="B319" t="str">
            <v>Data Repository Set</v>
          </cell>
        </row>
        <row r="320">
          <cell r="A320" t="str">
            <v>datasetDate</v>
          </cell>
          <cell r="B320" t="str">
            <v>Dataset creation date</v>
          </cell>
        </row>
        <row r="321">
          <cell r="A321" t="str">
            <v>datasetID</v>
          </cell>
          <cell r="B321" t="str">
            <v>Dataset ID</v>
          </cell>
        </row>
        <row r="322">
          <cell r="A322" t="str">
            <v>datasets</v>
          </cell>
          <cell r="B322" t="str">
            <v>Dataset table</v>
          </cell>
        </row>
        <row r="323">
          <cell r="A323" t="str">
            <v>datasetsOrder</v>
          </cell>
          <cell r="B323" t="str">
            <v>Datasets table column order</v>
          </cell>
        </row>
        <row r="324">
          <cell r="A324" t="str">
            <v>datasetsRequired</v>
          </cell>
          <cell r="B324" t="str">
            <v>Dataset table required headers</v>
          </cell>
        </row>
        <row r="325">
          <cell r="A325" t="str">
            <v>dataTypes</v>
          </cell>
          <cell r="B325" t="str">
            <v>Data types</v>
          </cell>
        </row>
        <row r="326">
          <cell r="A326" t="str">
            <v>date</v>
          </cell>
          <cell r="B326" t="str">
            <v>Date</v>
          </cell>
        </row>
        <row r="327">
          <cell r="A327" t="str">
            <v>datetime</v>
          </cell>
          <cell r="B327" t="str">
            <v>Datetime data type</v>
          </cell>
        </row>
        <row r="328">
          <cell r="A328" t="str">
            <v>days</v>
          </cell>
          <cell r="B328" t="str">
            <v>Days</v>
          </cell>
        </row>
        <row r="329">
          <cell r="A329" t="str">
            <v>ddbj</v>
          </cell>
          <cell r="B329" t="str">
            <v xml:space="preserve">DNA Data Bank of Japan (DDBJ) </v>
          </cell>
        </row>
        <row r="330">
          <cell r="A330" t="str">
            <v>ddcovE</v>
          </cell>
          <cell r="B330" t="str">
            <v>ddcov_e sars-cov-2 gene target</v>
          </cell>
        </row>
        <row r="331">
          <cell r="A331" t="str">
            <v>ddcovN</v>
          </cell>
          <cell r="B331" t="str">
            <v>ddcov_n sars-cov-2 gene target</v>
          </cell>
        </row>
        <row r="332">
          <cell r="A332" t="str">
            <v>ddpcr</v>
          </cell>
          <cell r="B332" t="str">
            <v>Digital Droplet PCR (ddPCR)</v>
          </cell>
        </row>
        <row r="333">
          <cell r="A333" t="str">
            <v>death</v>
          </cell>
          <cell r="B333" t="str">
            <v>Deaths</v>
          </cell>
        </row>
        <row r="334">
          <cell r="A334" t="str">
            <v>del142144</v>
          </cell>
          <cell r="B334" t="str">
            <v>Omicron Variant 142-144 Deletion</v>
          </cell>
        </row>
        <row r="335">
          <cell r="A335" t="str">
            <v>del143</v>
          </cell>
          <cell r="B335" t="str">
            <v>del143/145 </v>
          </cell>
        </row>
        <row r="336">
          <cell r="A336" t="str">
            <v>del156157</v>
          </cell>
          <cell r="B336" t="str">
            <v>Delta Variant 156-157 Deletion</v>
          </cell>
        </row>
        <row r="337">
          <cell r="A337" t="str">
            <v>del157</v>
          </cell>
          <cell r="B337" t="str">
            <v>del 157/158</v>
          </cell>
        </row>
        <row r="338">
          <cell r="A338" t="str">
            <v>del2084</v>
          </cell>
          <cell r="B338" t="str">
            <v>del2084/2084 </v>
          </cell>
        </row>
        <row r="339">
          <cell r="A339" t="str">
            <v>del212</v>
          </cell>
          <cell r="B339" t="str">
            <v>del212/212 </v>
          </cell>
        </row>
        <row r="340">
          <cell r="A340" t="str">
            <v>del3133</v>
          </cell>
          <cell r="B340" t="str">
            <v>Omicron Variant 142-14431-33 Deletion</v>
          </cell>
        </row>
        <row r="341">
          <cell r="A341" t="str">
            <v>del3674</v>
          </cell>
          <cell r="B341" t="str">
            <v>del3674/3676 </v>
          </cell>
        </row>
        <row r="342">
          <cell r="A342" t="str">
            <v>del6970</v>
          </cell>
          <cell r="B342" t="str">
            <v>del69/70</v>
          </cell>
        </row>
        <row r="343">
          <cell r="A343" t="str">
            <v>delta</v>
          </cell>
          <cell r="B343" t="str">
            <v>Delta</v>
          </cell>
        </row>
        <row r="344">
          <cell r="A344" t="str">
            <v>deltaGrp</v>
          </cell>
          <cell r="B344" t="str">
            <v>SARS-CoV-2 Delta Variant Group</v>
          </cell>
        </row>
        <row r="345">
          <cell r="A345" t="str">
            <v>denat</v>
          </cell>
          <cell r="B345" t="str">
            <v>denaturation</v>
          </cell>
        </row>
        <row r="346">
          <cell r="A346" t="str">
            <v>dengue</v>
          </cell>
          <cell r="B346" t="str">
            <v>Dengue</v>
          </cell>
        </row>
        <row r="347">
          <cell r="A347" t="str">
            <v>depCovThresh</v>
          </cell>
          <cell r="B347" t="str">
            <v>depth of coverage threshold</v>
          </cell>
        </row>
        <row r="348">
          <cell r="A348" t="str">
            <v>depreciated</v>
          </cell>
          <cell r="B348" t="str">
            <v>Depreciated</v>
          </cell>
        </row>
        <row r="349">
          <cell r="A349" t="str">
            <v>derived</v>
          </cell>
          <cell r="B349" t="str">
            <v>Derived sample</v>
          </cell>
        </row>
        <row r="350">
          <cell r="A350" t="str">
            <v>descr</v>
          </cell>
          <cell r="B350" t="str">
            <v>Description</v>
          </cell>
        </row>
        <row r="351">
          <cell r="A351" t="str">
            <v>descrChange</v>
          </cell>
          <cell r="B351" t="str">
            <v>Description of change</v>
          </cell>
        </row>
        <row r="352">
          <cell r="A352" t="str">
            <v>desk</v>
          </cell>
          <cell r="B352" t="str">
            <v>Desk or counter</v>
          </cell>
        </row>
        <row r="353">
          <cell r="A353" t="str">
            <v>deso</v>
          </cell>
          <cell r="B353" t="str">
            <v>Dewatered solids</v>
          </cell>
        </row>
        <row r="354">
          <cell r="A354" t="str">
            <v>det</v>
          </cell>
          <cell r="B354" t="str">
            <v>Detected</v>
          </cell>
        </row>
        <row r="355">
          <cell r="A355" t="str">
            <v>detailsDep</v>
          </cell>
          <cell r="B355" t="str">
            <v>Access to details deprecated</v>
          </cell>
        </row>
        <row r="356">
          <cell r="A356" t="str">
            <v>development</v>
          </cell>
          <cell r="B356" t="str">
            <v>Development</v>
          </cell>
        </row>
        <row r="357">
          <cell r="A357" t="str">
            <v>dictionaryRefTableSet</v>
          </cell>
          <cell r="B357" t="str">
            <v>Dictionary reference table set</v>
          </cell>
        </row>
        <row r="358">
          <cell r="A358" t="str">
            <v>dictionarySupport</v>
          </cell>
          <cell r="B358" t="str">
            <v>Additional dictionary sheets</v>
          </cell>
        </row>
        <row r="359">
          <cell r="A359" t="str">
            <v>dictSets</v>
          </cell>
          <cell r="B359" t="str">
            <v>Dictionary set type</v>
          </cell>
        </row>
        <row r="360">
          <cell r="A360" t="str">
            <v>dilFact</v>
          </cell>
          <cell r="B360" t="str">
            <v>Dilution factor</v>
          </cell>
        </row>
        <row r="361">
          <cell r="A361" t="str">
            <v>dillute</v>
          </cell>
          <cell r="B361" t="str">
            <v>Point dillutions</v>
          </cell>
        </row>
        <row r="362">
          <cell r="A362" t="str">
            <v>dilution</v>
          </cell>
          <cell r="B362" t="str">
            <v>Dilution Class</v>
          </cell>
        </row>
        <row r="363">
          <cell r="A363" t="str">
            <v>diptheriaGrp</v>
          </cell>
          <cell r="B363" t="str">
            <v>Diphtheria Group</v>
          </cell>
        </row>
        <row r="364">
          <cell r="A364" t="str">
            <v>disease</v>
          </cell>
          <cell r="B364" t="str">
            <v>Diseases (human) class</v>
          </cell>
        </row>
        <row r="365">
          <cell r="A365" t="str">
            <v>dissGasUnitSet</v>
          </cell>
          <cell r="B365" t="str">
            <v>Dissolved gas concentration unit set</v>
          </cell>
        </row>
        <row r="366">
          <cell r="A366" t="str">
            <v>dissOxy</v>
          </cell>
          <cell r="B366" t="str">
            <v>Dissolved oxygen</v>
          </cell>
        </row>
        <row r="367">
          <cell r="A367" t="str">
            <v>dna</v>
          </cell>
          <cell r="B367" t="str">
            <v>DNA Template</v>
          </cell>
        </row>
        <row r="368">
          <cell r="A368" t="str">
            <v>doc</v>
          </cell>
          <cell r="B368" t="str">
            <v>Depth of coverage</v>
          </cell>
        </row>
        <row r="369">
          <cell r="A369" t="str">
            <v>domain</v>
          </cell>
          <cell r="B369" t="str">
            <v>Domain</v>
          </cell>
        </row>
        <row r="370">
          <cell r="A370" t="str">
            <v>domains</v>
          </cell>
          <cell r="B370" t="str">
            <v>Domains</v>
          </cell>
        </row>
        <row r="371">
          <cell r="A371" t="str">
            <v>domSurv</v>
          </cell>
          <cell r="B371" t="str">
            <v>Domestic travel hub surveillance</v>
          </cell>
        </row>
        <row r="372">
          <cell r="A372" t="str">
            <v>dorm</v>
          </cell>
          <cell r="B372" t="str">
            <v>Higher education domitory or residential building</v>
          </cell>
        </row>
        <row r="373">
          <cell r="A373" t="str">
            <v>dpcr</v>
          </cell>
          <cell r="B373" t="str">
            <v>Digital PCR (dPCR)</v>
          </cell>
        </row>
        <row r="374">
          <cell r="A374" t="str">
            <v>dra</v>
          </cell>
          <cell r="B374" t="str">
            <v>DDBJ sequence Read Archive (DRA)</v>
          </cell>
        </row>
        <row r="375">
          <cell r="A375" t="str">
            <v>drugSurv</v>
          </cell>
          <cell r="B375" t="str">
            <v>Drug surveillance</v>
          </cell>
        </row>
        <row r="376">
          <cell r="A376" t="str">
            <v>ds</v>
          </cell>
          <cell r="B376" t="str">
            <v>Dataset table Shorthand</v>
          </cell>
        </row>
        <row r="377">
          <cell r="A377" t="str">
            <v>duration</v>
          </cell>
          <cell r="B377" t="str">
            <v>Duration time of a method</v>
          </cell>
        </row>
        <row r="378">
          <cell r="A378" t="str">
            <v>e156g</v>
          </cell>
          <cell r="B378" t="str">
            <v>e156g delta-variant gene target</v>
          </cell>
        </row>
        <row r="379">
          <cell r="A379" t="str">
            <v>e484a</v>
          </cell>
          <cell r="B379" t="str">
            <v>e484a omicron-variant gene target</v>
          </cell>
        </row>
        <row r="380">
          <cell r="A380" t="str">
            <v>e9lNVAR</v>
          </cell>
          <cell r="B380" t="str">
            <v>Mpox &amp; Orthopox E9L-NVAR Gene Target</v>
          </cell>
        </row>
        <row r="381">
          <cell r="A381" t="str">
            <v>e9lOPX3</v>
          </cell>
          <cell r="B381" t="str">
            <v>Mpox &amp; Orthopox E9L-OPX3 Gene Target</v>
          </cell>
        </row>
        <row r="382">
          <cell r="A382" t="str">
            <v>eaec</v>
          </cell>
          <cell r="B382" t="str">
            <v>Enteroaggregative Escherichia coli (EAEC)</v>
          </cell>
        </row>
        <row r="383">
          <cell r="A383" t="str">
            <v>ebv</v>
          </cell>
          <cell r="B383" t="str">
            <v>Epstein–Barr virus (EBV)</v>
          </cell>
        </row>
        <row r="384">
          <cell r="A384" t="str">
            <v>ecl20</v>
          </cell>
          <cell r="B384" t="str">
            <v>Educational Community License v2.0</v>
          </cell>
        </row>
        <row r="385">
          <cell r="A385" t="str">
            <v>ecoli</v>
          </cell>
          <cell r="B385" t="str">
            <v>Escherichia coli</v>
          </cell>
        </row>
        <row r="386">
          <cell r="A386" t="str">
            <v>ecoliGrp</v>
          </cell>
          <cell r="B386" t="str">
            <v>Escherichia coli group</v>
          </cell>
        </row>
        <row r="387">
          <cell r="A387" t="str">
            <v>edenV1</v>
          </cell>
          <cell r="B387" t="str">
            <v>Eden V1 Primer Set</v>
          </cell>
        </row>
        <row r="388">
          <cell r="A388" t="str">
            <v>education</v>
          </cell>
          <cell r="B388" t="str">
            <v>Education</v>
          </cell>
        </row>
        <row r="389">
          <cell r="A389" t="str">
            <v>efficient</v>
          </cell>
          <cell r="B389" t="str">
            <v>Efficiency</v>
          </cell>
        </row>
        <row r="390">
          <cell r="A390" t="str">
            <v>ehec</v>
          </cell>
          <cell r="B390" t="str">
            <v>Enterohemorrhagic Escherichia coli (EHEC)</v>
          </cell>
        </row>
        <row r="391">
          <cell r="A391" t="str">
            <v>eiec</v>
          </cell>
          <cell r="B391" t="str">
            <v>Enteroinvasive Escherichia coli (EIEC)</v>
          </cell>
        </row>
        <row r="392">
          <cell r="A392" t="str">
            <v>eluate</v>
          </cell>
          <cell r="B392" t="str">
            <v>Eluate/Resuspended filter material retained</v>
          </cell>
        </row>
        <row r="393">
          <cell r="A393" t="str">
            <v>elutionBuff</v>
          </cell>
          <cell r="B393" t="str">
            <v>Elution buffer</v>
          </cell>
        </row>
        <row r="394">
          <cell r="A394" t="str">
            <v>email</v>
          </cell>
          <cell r="B394" t="str">
            <v>Contact email</v>
          </cell>
        </row>
        <row r="395">
          <cell r="A395" t="str">
            <v>emergSurv</v>
          </cell>
          <cell r="B395" t="str">
            <v>Emergency targetted surveillance program</v>
          </cell>
        </row>
        <row r="396">
          <cell r="A396" t="str">
            <v>ena</v>
          </cell>
          <cell r="B396" t="str">
            <v>European Nucleotide Archive (ENA)</v>
          </cell>
        </row>
        <row r="397">
          <cell r="A397" t="str">
            <v>enaMap</v>
          </cell>
          <cell r="B397" t="str">
            <v>European Nucleotide Association Mapping Column</v>
          </cell>
        </row>
        <row r="398">
          <cell r="A398" t="str">
            <v>enaNotes</v>
          </cell>
          <cell r="B398" t="str">
            <v>European Nucleotide Association (ENA) - notes</v>
          </cell>
        </row>
        <row r="399">
          <cell r="A399" t="str">
            <v>enterobase</v>
          </cell>
          <cell r="B399" t="str">
            <v>Enterobase archives</v>
          </cell>
        </row>
        <row r="400">
          <cell r="A400" t="str">
            <v>enterovirus</v>
          </cell>
          <cell r="B400" t="str">
            <v>Enterovirus</v>
          </cell>
        </row>
        <row r="401">
          <cell r="A401" t="str">
            <v>enterovirusGrp</v>
          </cell>
          <cell r="B401" t="str">
            <v>Enterovirus Group</v>
          </cell>
        </row>
        <row r="402">
          <cell r="A402" t="str">
            <v>enumeration</v>
          </cell>
          <cell r="B402" t="str">
            <v>Enumeration for set values</v>
          </cell>
        </row>
        <row r="403">
          <cell r="A403" t="str">
            <v>envRnF</v>
          </cell>
          <cell r="B403" t="str">
            <v>Rainfall</v>
          </cell>
        </row>
        <row r="404">
          <cell r="A404" t="str">
            <v>envSnwD</v>
          </cell>
          <cell r="B404" t="str">
            <v>Ground snow depth</v>
          </cell>
        </row>
        <row r="405">
          <cell r="A405" t="str">
            <v>envSnwF</v>
          </cell>
          <cell r="B405" t="str">
            <v>Snowfall</v>
          </cell>
        </row>
        <row r="406">
          <cell r="A406" t="str">
            <v>epec</v>
          </cell>
          <cell r="B406" t="str">
            <v>Enteropathogenic Escherichia coli (EPEC)</v>
          </cell>
        </row>
        <row r="407">
          <cell r="A407" t="str">
            <v>epiDate</v>
          </cell>
          <cell r="B407" t="str">
            <v>Episode date</v>
          </cell>
        </row>
        <row r="408">
          <cell r="A408" t="str">
            <v>epl10</v>
          </cell>
          <cell r="B408" t="str">
            <v>Eclipse Public License 1.0</v>
          </cell>
        </row>
        <row r="409">
          <cell r="A409" t="str">
            <v>epl20</v>
          </cell>
          <cell r="B409" t="str">
            <v>Eclipse Public License 2.0</v>
          </cell>
        </row>
        <row r="410">
          <cell r="A410" t="str">
            <v>erdTableSet</v>
          </cell>
          <cell r="B410" t="str">
            <v>ERD table set</v>
          </cell>
        </row>
        <row r="411">
          <cell r="A411" t="str">
            <v>eSarbec</v>
          </cell>
          <cell r="B411" t="str">
            <v>Sarbecovirus-specific E sars-cov-2 gene target</v>
          </cell>
        </row>
        <row r="412">
          <cell r="A412" t="str">
            <v>esbl</v>
          </cell>
          <cell r="B412" t="str">
            <v>ESBL-encoding genes</v>
          </cell>
        </row>
        <row r="413">
          <cell r="A413" t="str">
            <v>esp</v>
          </cell>
          <cell r="B413" t="str">
            <v>exclusions based sample preparation (ESP)</v>
          </cell>
        </row>
        <row r="414">
          <cell r="A414" t="str">
            <v>estFreqReads</v>
          </cell>
          <cell r="B414" t="str">
            <v>Estimated frequency of reads</v>
          </cell>
        </row>
        <row r="415">
          <cell r="A415" t="str">
            <v>estuary</v>
          </cell>
          <cell r="B415" t="str">
            <v>Estuary, natural water body</v>
          </cell>
        </row>
        <row r="416">
          <cell r="A416" t="str">
            <v>etec</v>
          </cell>
          <cell r="B416" t="str">
            <v>Enterotoxigenic Escherichia coli (ETEC)</v>
          </cell>
        </row>
        <row r="417">
          <cell r="A417" t="str">
            <v>eupl11</v>
          </cell>
          <cell r="B417" t="str">
            <v>European Union Public License 1.1</v>
          </cell>
        </row>
        <row r="418">
          <cell r="A418" t="str">
            <v>eupl12</v>
          </cell>
          <cell r="B418" t="str">
            <v>European Union Public License 1.2</v>
          </cell>
        </row>
        <row r="419">
          <cell r="A419" t="str">
            <v>exceptions</v>
          </cell>
          <cell r="B419" t="str">
            <v>Exception Part Type</v>
          </cell>
        </row>
        <row r="420">
          <cell r="A420" t="str">
            <v>expec</v>
          </cell>
          <cell r="B420" t="str">
            <v>Extraintestinal pathogenic Escherichia coli (ExPEC)</v>
          </cell>
        </row>
        <row r="421">
          <cell r="A421" t="str">
            <v>expFail</v>
          </cell>
          <cell r="B421" t="str">
            <v>Experiment Failed</v>
          </cell>
        </row>
        <row r="422">
          <cell r="A422" t="str">
            <v>extBlank</v>
          </cell>
          <cell r="B422" t="str">
            <v>Extraction Blank - Control</v>
          </cell>
        </row>
        <row r="423">
          <cell r="A423" t="str">
            <v>extract4s</v>
          </cell>
          <cell r="B423" t="str">
            <v>4s method</v>
          </cell>
        </row>
        <row r="424">
          <cell r="A424" t="str">
            <v>extraction</v>
          </cell>
          <cell r="B424" t="str">
            <v>Nucleic acid extraction method</v>
          </cell>
        </row>
        <row r="425">
          <cell r="A425" t="str">
            <v>extractSet</v>
          </cell>
          <cell r="B425" t="str">
            <v>Nucleic Acid Extraction set</v>
          </cell>
        </row>
        <row r="426">
          <cell r="A426" t="str">
            <v>exvol</v>
          </cell>
          <cell r="B426" t="str">
            <v>Extraction volume of sample</v>
          </cell>
        </row>
        <row r="427">
          <cell r="A427" t="str">
            <v>f456l</v>
          </cell>
          <cell r="B427" t="str">
            <v>F456L Mutation</v>
          </cell>
        </row>
        <row r="428">
          <cell r="A428" t="str">
            <v>faeces</v>
          </cell>
          <cell r="B428" t="str">
            <v>Fecal matter</v>
          </cell>
        </row>
        <row r="429">
          <cell r="A429" t="str">
            <v>fah</v>
          </cell>
          <cell r="B429" t="str">
            <v>Degree Fahrenheit</v>
          </cell>
        </row>
        <row r="430">
          <cell r="A430" t="str">
            <v>fColiphage</v>
          </cell>
          <cell r="B430" t="str">
            <v>Male-specific (F+) coliphage - general</v>
          </cell>
        </row>
        <row r="431">
          <cell r="A431" t="str">
            <v>fDNA</v>
          </cell>
          <cell r="B431" t="str">
            <v>F+ DNA coliphage</v>
          </cell>
        </row>
        <row r="432">
          <cell r="A432" t="str">
            <v>fecalCol</v>
          </cell>
          <cell r="B432" t="str">
            <v>Fecal coliform count</v>
          </cell>
        </row>
        <row r="433">
          <cell r="A433" t="str">
            <v>field</v>
          </cell>
          <cell r="B433" t="str">
            <v>Field sample</v>
          </cell>
        </row>
        <row r="434">
          <cell r="A434" t="str">
            <v>fieldReplicate</v>
          </cell>
          <cell r="B434" t="str">
            <v>Field sample replicate</v>
          </cell>
        </row>
        <row r="435">
          <cell r="A435" t="str">
            <v>fileLocation</v>
          </cell>
          <cell r="B435" t="str">
            <v>File location of polygon</v>
          </cell>
        </row>
        <row r="436">
          <cell r="A436" t="str">
            <v>filt</v>
          </cell>
          <cell r="B436" t="str">
            <v>Filtration</v>
          </cell>
        </row>
        <row r="437">
          <cell r="A437" t="str">
            <v>fiNa</v>
          </cell>
          <cell r="B437" t="str">
            <v>First Nation</v>
          </cell>
        </row>
        <row r="438">
          <cell r="A438" t="str">
            <v>finVol</v>
          </cell>
          <cell r="B438" t="str">
            <v>Final volume</v>
          </cell>
        </row>
        <row r="439">
          <cell r="A439" t="str">
            <v>firstName</v>
          </cell>
          <cell r="B439" t="str">
            <v>First name of contact</v>
          </cell>
        </row>
        <row r="440">
          <cell r="A440" t="str">
            <v>firstReleased</v>
          </cell>
          <cell r="B440" t="str">
            <v>First released version</v>
          </cell>
        </row>
        <row r="441">
          <cell r="A441" t="str">
            <v>fK</v>
          </cell>
          <cell r="B441" t="str">
            <v>Foreign key</v>
          </cell>
        </row>
        <row r="442">
          <cell r="A442" t="str">
            <v>flagAI</v>
          </cell>
          <cell r="B442" t="str">
            <v>AI - Inhibition present but addressed</v>
          </cell>
        </row>
        <row r="443">
          <cell r="A443" t="str">
            <v>flagB</v>
          </cell>
          <cell r="B443" t="str">
            <v>B - Trace levels of contamination</v>
          </cell>
        </row>
        <row r="444">
          <cell r="A444" t="str">
            <v>flagFI</v>
          </cell>
          <cell r="B444" t="str">
            <v>FI - Inhibition present and unaddressed</v>
          </cell>
        </row>
        <row r="445">
          <cell r="A445" t="str">
            <v>flagJ</v>
          </cell>
          <cell r="B445" t="str">
            <v>J - Weak signal extrapolation</v>
          </cell>
        </row>
        <row r="446">
          <cell r="A446" t="str">
            <v>flagND</v>
          </cell>
          <cell r="B446" t="str">
            <v>ND - Non-detect</v>
          </cell>
        </row>
        <row r="447">
          <cell r="A447" t="str">
            <v>flagUJ</v>
          </cell>
          <cell r="B447" t="str">
            <v>UJ - Trace signal extrapolation</v>
          </cell>
        </row>
        <row r="448">
          <cell r="A448" t="str">
            <v>flagUQ</v>
          </cell>
          <cell r="B448" t="str">
            <v>UQ - Unquantifiable</v>
          </cell>
        </row>
        <row r="449">
          <cell r="A449" t="str">
            <v>flavivirusGrp</v>
          </cell>
          <cell r="B449" t="str">
            <v>Flavivirus (West Nile, Dengue, Zika) Group</v>
          </cell>
        </row>
        <row r="450">
          <cell r="A450" t="str">
            <v>flirtSLipGrp</v>
          </cell>
          <cell r="B450" t="str">
            <v>FLiRT/SLip Variant Group</v>
          </cell>
        </row>
        <row r="451">
          <cell r="A451" t="str">
            <v>flirtV</v>
          </cell>
          <cell r="B451" t="str">
            <v>FLiRT Variants</v>
          </cell>
        </row>
        <row r="452">
          <cell r="A452" t="str">
            <v>float</v>
          </cell>
          <cell r="B452" t="str">
            <v>Float data type</v>
          </cell>
        </row>
        <row r="453">
          <cell r="A453" t="str">
            <v>floMean</v>
          </cell>
          <cell r="B453" t="str">
            <v>Flow-normalized mean</v>
          </cell>
        </row>
        <row r="454">
          <cell r="A454" t="str">
            <v>floor</v>
          </cell>
          <cell r="B454" t="str">
            <v>Floor</v>
          </cell>
        </row>
        <row r="455">
          <cell r="A455" t="str">
            <v>floRate</v>
          </cell>
          <cell r="B455" t="str">
            <v>Flow rate</v>
          </cell>
        </row>
        <row r="456">
          <cell r="A456" t="str">
            <v>flow</v>
          </cell>
          <cell r="B456" t="str">
            <v>Flow class</v>
          </cell>
        </row>
        <row r="457">
          <cell r="A457" t="str">
            <v>flow24hDep</v>
          </cell>
          <cell r="B457" t="str">
            <v>Flow proportional 24hr sample depreciated</v>
          </cell>
        </row>
        <row r="458">
          <cell r="A458" t="str">
            <v>flowPr</v>
          </cell>
          <cell r="B458" t="str">
            <v>Flow proportional sample</v>
          </cell>
        </row>
        <row r="459">
          <cell r="A459" t="str">
            <v>flowUnitSet</v>
          </cell>
          <cell r="B459" t="str">
            <v>Volume flow rate unit set</v>
          </cell>
        </row>
        <row r="460">
          <cell r="A460" t="str">
            <v>flowVol</v>
          </cell>
          <cell r="B460" t="str">
            <v>Flow volume</v>
          </cell>
        </row>
        <row r="461">
          <cell r="A461" t="str">
            <v>flu</v>
          </cell>
          <cell r="B461" t="str">
            <v>Influenza virus measure</v>
          </cell>
        </row>
        <row r="462">
          <cell r="A462" t="str">
            <v>fluA</v>
          </cell>
          <cell r="B462" t="str">
            <v>Influenza A virus</v>
          </cell>
        </row>
        <row r="463">
          <cell r="A463" t="str">
            <v>fluA1</v>
          </cell>
          <cell r="B463" t="str">
            <v>Influenza virus A1</v>
          </cell>
        </row>
        <row r="464">
          <cell r="A464" t="str">
            <v>fluA1A2c</v>
          </cell>
          <cell r="B464" t="str">
            <v>Influenza virus A1 and A2 combined</v>
          </cell>
        </row>
        <row r="465">
          <cell r="A465" t="str">
            <v>fluA2</v>
          </cell>
          <cell r="B465" t="str">
            <v>influenza virus A2</v>
          </cell>
        </row>
        <row r="466">
          <cell r="A466" t="str">
            <v>fluAGrp</v>
          </cell>
          <cell r="B466" t="str">
            <v>Influenza A Virus Group</v>
          </cell>
        </row>
        <row r="467">
          <cell r="A467" t="str">
            <v>fluB</v>
          </cell>
          <cell r="B467" t="str">
            <v>Influenza virus B</v>
          </cell>
        </row>
        <row r="468">
          <cell r="A468" t="str">
            <v>fluBGrp</v>
          </cell>
          <cell r="B468" t="str">
            <v>Influenza B Virus Group</v>
          </cell>
        </row>
        <row r="469">
          <cell r="A469" t="str">
            <v>fluiDpcr</v>
          </cell>
          <cell r="B469" t="str">
            <v>Fluidigm digital PCR</v>
          </cell>
        </row>
        <row r="470">
          <cell r="A470" t="str">
            <v>fnu</v>
          </cell>
          <cell r="B470" t="str">
            <v>Formazin nephelometric unit</v>
          </cell>
        </row>
        <row r="471">
          <cell r="A471" t="str">
            <v>foggy</v>
          </cell>
          <cell r="B471" t="str">
            <v>Foggy</v>
          </cell>
        </row>
        <row r="472">
          <cell r="A472" t="str">
            <v>foot</v>
          </cell>
          <cell r="B472" t="str">
            <v>Feet</v>
          </cell>
        </row>
        <row r="473">
          <cell r="A473" t="str">
            <v>fraction</v>
          </cell>
          <cell r="B473" t="str">
            <v>Fraction analyzed</v>
          </cell>
        </row>
        <row r="474">
          <cell r="A474" t="str">
            <v>fractionInput</v>
          </cell>
          <cell r="B474" t="str">
            <v>Fraction input (wide table)</v>
          </cell>
        </row>
        <row r="475">
          <cell r="A475" t="str">
            <v>fractionName</v>
          </cell>
          <cell r="B475" t="str">
            <v>Fraction name (wide table)</v>
          </cell>
        </row>
        <row r="476">
          <cell r="A476" t="str">
            <v>fractionSet</v>
          </cell>
          <cell r="B476" t="str">
            <v>Sample fraction set</v>
          </cell>
        </row>
        <row r="477">
          <cell r="A477" t="str">
            <v>freyja</v>
          </cell>
          <cell r="B477" t="str">
            <v>Freyja Script</v>
          </cell>
        </row>
        <row r="478">
          <cell r="A478" t="str">
            <v>fRNABact</v>
          </cell>
          <cell r="B478" t="str">
            <v>F-Specific RNA bacteriophages</v>
          </cell>
        </row>
        <row r="479">
          <cell r="A479" t="str">
            <v>fRNAColi</v>
          </cell>
          <cell r="B479" t="str">
            <v>F+ RNA coliphage</v>
          </cell>
        </row>
        <row r="480">
          <cell r="A480" t="str">
            <v>frnaG2</v>
          </cell>
          <cell r="B480" t="str">
            <v>F-Specific RNA bacteriophages, G2</v>
          </cell>
        </row>
        <row r="481">
          <cell r="A481" t="str">
            <v>frozen</v>
          </cell>
          <cell r="B481" t="str">
            <v>Sample frozen</v>
          </cell>
        </row>
        <row r="482">
          <cell r="A482" t="str">
            <v>fst</v>
          </cell>
          <cell r="B482" t="str">
            <v>Field sample temperature</v>
          </cell>
        </row>
        <row r="483">
          <cell r="A483" t="str">
            <v>fTularensis</v>
          </cell>
          <cell r="B483" t="str">
            <v>Francisella tularensis</v>
          </cell>
        </row>
        <row r="484">
          <cell r="A484" t="str">
            <v>fullDictionarySheetSet</v>
          </cell>
          <cell r="B484" t="str">
            <v>Full dictionary sheets set</v>
          </cell>
        </row>
        <row r="485">
          <cell r="A485" t="str">
            <v>funderCont</v>
          </cell>
          <cell r="B485" t="str">
            <v>Funder contact ID</v>
          </cell>
        </row>
        <row r="486">
          <cell r="A486" t="str">
            <v>funderID</v>
          </cell>
          <cell r="B486" t="str">
            <v>Funding agency ID</v>
          </cell>
        </row>
        <row r="487">
          <cell r="A487" t="str">
            <v>g215c</v>
          </cell>
          <cell r="B487" t="str">
            <v>g215c delta-variant gene target</v>
          </cell>
        </row>
        <row r="488">
          <cell r="A488" t="str">
            <v>g2rG</v>
          </cell>
          <cell r="B488" t="str">
            <v>Mpox G2R-G Gene Target</v>
          </cell>
        </row>
        <row r="489">
          <cell r="A489" t="str">
            <v>g2rWA</v>
          </cell>
          <cell r="B489" t="str">
            <v>Clade II Mpox G2R-WA Gene Target</v>
          </cell>
        </row>
        <row r="490">
          <cell r="A490" t="str">
            <v>g339d</v>
          </cell>
          <cell r="B490" t="str">
            <v>g339d omicron-variant gene target</v>
          </cell>
        </row>
        <row r="491">
          <cell r="A491" t="str">
            <v>g496s</v>
          </cell>
          <cell r="B491" t="str">
            <v>g496s omicron-variant gene target</v>
          </cell>
        </row>
        <row r="492">
          <cell r="A492" t="str">
            <v>g662s</v>
          </cell>
          <cell r="B492" t="str">
            <v>g662s delta-variant gene target</v>
          </cell>
        </row>
        <row r="493">
          <cell r="A493" t="str">
            <v>gam</v>
          </cell>
          <cell r="B493" t="str">
            <v>Gamma</v>
          </cell>
        </row>
        <row r="494">
          <cell r="A494" t="str">
            <v>gas</v>
          </cell>
          <cell r="B494" t="str">
            <v>Gas class</v>
          </cell>
        </row>
        <row r="495">
          <cell r="A495" t="str">
            <v>gc</v>
          </cell>
          <cell r="B495" t="str">
            <v>Gene copies</v>
          </cell>
        </row>
        <row r="496">
          <cell r="A496" t="str">
            <v>gcCrA</v>
          </cell>
          <cell r="B496" t="str">
            <v>Gene copies per copy of crAssphage</v>
          </cell>
        </row>
        <row r="497">
          <cell r="A497" t="str">
            <v>gcD100</v>
          </cell>
          <cell r="B497" t="str">
            <v>gene copies per day per 100,000</v>
          </cell>
        </row>
        <row r="498">
          <cell r="A498" t="str">
            <v>gCGS</v>
          </cell>
          <cell r="B498" t="str">
            <v>Gene copies per gram solids</v>
          </cell>
        </row>
        <row r="499">
          <cell r="A499" t="str">
            <v>gcL</v>
          </cell>
          <cell r="B499" t="str">
            <v>Gene copies per L</v>
          </cell>
        </row>
        <row r="500">
          <cell r="A500" t="str">
            <v>gcMl</v>
          </cell>
          <cell r="B500" t="str">
            <v>Gene copies per mL</v>
          </cell>
        </row>
        <row r="501">
          <cell r="A501" t="str">
            <v>gcPpmov</v>
          </cell>
          <cell r="B501" t="str">
            <v>Gene copies per PMMoV copy</v>
          </cell>
        </row>
        <row r="502">
          <cell r="A502" t="str">
            <v>genBank</v>
          </cell>
          <cell r="B502" t="str">
            <v>GenBank Archives</v>
          </cell>
        </row>
        <row r="503">
          <cell r="A503" t="str">
            <v>genComplete</v>
          </cell>
          <cell r="B503" t="str">
            <v>genome completeness</v>
          </cell>
        </row>
        <row r="504">
          <cell r="A504" t="str">
            <v>geneticUnitSet</v>
          </cell>
          <cell r="B504" t="str">
            <v>Genetics unit set</v>
          </cell>
        </row>
        <row r="505">
          <cell r="A505" t="str">
            <v>genMissingnessSet</v>
          </cell>
          <cell r="B505" t="str">
            <v>General missingness set</v>
          </cell>
        </row>
        <row r="506">
          <cell r="A506" t="str">
            <v>genQualitySet</v>
          </cell>
          <cell r="B506" t="str">
            <v>Generic quality flag set</v>
          </cell>
        </row>
        <row r="507">
          <cell r="A507" t="str">
            <v>geoEPSG</v>
          </cell>
          <cell r="B507" t="str">
            <v>European Petroleum Survey Group Coordinates</v>
          </cell>
        </row>
        <row r="508">
          <cell r="A508" t="str">
            <v>geoLat</v>
          </cell>
          <cell r="B508" t="str">
            <v>Latitude</v>
          </cell>
        </row>
        <row r="509">
          <cell r="A509" t="str">
            <v>geoLong</v>
          </cell>
          <cell r="B509" t="str">
            <v>Longitude</v>
          </cell>
        </row>
        <row r="510">
          <cell r="A510" t="str">
            <v>geoType</v>
          </cell>
          <cell r="B510" t="str">
            <v>Type of geography</v>
          </cell>
        </row>
        <row r="511">
          <cell r="A511" t="str">
            <v>geoTypeSet</v>
          </cell>
          <cell r="B511" t="str">
            <v>Geographic set</v>
          </cell>
        </row>
        <row r="512">
          <cell r="A512" t="str">
            <v>geoWKT</v>
          </cell>
          <cell r="B512" t="str">
            <v>Well-known text</v>
          </cell>
        </row>
        <row r="513">
          <cell r="A513" t="str">
            <v>gfdl13</v>
          </cell>
          <cell r="B513" t="str">
            <v>GNU Free Documentation License v1.3</v>
          </cell>
        </row>
        <row r="514">
          <cell r="A514" t="str">
            <v>gisaid</v>
          </cell>
          <cell r="B514" t="str">
            <v>Global Initiative on Sharing All Influenza Data (GISAID) archives</v>
          </cell>
        </row>
        <row r="515">
          <cell r="A515" t="str">
            <v>github</v>
          </cell>
          <cell r="B515" t="str">
            <v>GitHub</v>
          </cell>
        </row>
        <row r="516">
          <cell r="A516" t="str">
            <v>gkg</v>
          </cell>
          <cell r="B516" t="str">
            <v>Gram per kilogram</v>
          </cell>
        </row>
        <row r="517">
          <cell r="A517" t="str">
            <v>gL</v>
          </cell>
          <cell r="B517" t="str">
            <v>Gram per liter</v>
          </cell>
        </row>
        <row r="518">
          <cell r="A518" t="str">
            <v>gm3</v>
          </cell>
          <cell r="B518" t="str">
            <v>Gram per cubic metre</v>
          </cell>
        </row>
        <row r="519">
          <cell r="A519" t="str">
            <v>gmn</v>
          </cell>
          <cell r="B519" t="str">
            <v>Geometric mean</v>
          </cell>
        </row>
        <row r="520">
          <cell r="A520" t="str">
            <v>gNgTS</v>
          </cell>
          <cell r="B520" t="str">
            <v>Nitrogen per total solids</v>
          </cell>
        </row>
        <row r="521">
          <cell r="A521" t="str">
            <v>gonococcusGrp</v>
          </cell>
          <cell r="B521" t="str">
            <v>Gonococcus Group</v>
          </cell>
        </row>
        <row r="522">
          <cell r="A522" t="str">
            <v>govt</v>
          </cell>
          <cell r="B522" t="str">
            <v>Government agency</v>
          </cell>
        </row>
        <row r="523">
          <cell r="A523" t="str">
            <v>gPergTS</v>
          </cell>
          <cell r="B523" t="str">
            <v>Grams per total solids</v>
          </cell>
        </row>
        <row r="524">
          <cell r="A524" t="str">
            <v>gpl20</v>
          </cell>
          <cell r="B524" t="str">
            <v>GNU General Public License v2.0</v>
          </cell>
        </row>
        <row r="525">
          <cell r="A525" t="str">
            <v>gpl30</v>
          </cell>
          <cell r="B525" t="str">
            <v>GNU General Public License v3.0</v>
          </cell>
        </row>
        <row r="526">
          <cell r="A526" t="str">
            <v>gPO43gTS</v>
          </cell>
          <cell r="B526" t="str">
            <v>Orthophosphate per total solids</v>
          </cell>
        </row>
        <row r="527">
          <cell r="A527" t="str">
            <v>gPO4PgTS</v>
          </cell>
          <cell r="B527" t="str">
            <v>Orthophosphate as phosphorus per total solids</v>
          </cell>
        </row>
        <row r="528">
          <cell r="A528" t="str">
            <v>grams</v>
          </cell>
          <cell r="B528" t="str">
            <v>Grams</v>
          </cell>
        </row>
        <row r="529">
          <cell r="A529" t="str">
            <v>graSet</v>
          </cell>
          <cell r="B529" t="str">
            <v>Gravity settling</v>
          </cell>
        </row>
        <row r="530">
          <cell r="A530" t="str">
            <v>grb</v>
          </cell>
          <cell r="B530" t="str">
            <v>Grab sample</v>
          </cell>
        </row>
        <row r="531">
          <cell r="A531" t="str">
            <v>gromstole</v>
          </cell>
          <cell r="B531" t="str">
            <v>Gromstole 1.0 Script</v>
          </cell>
        </row>
        <row r="532">
          <cell r="A532" t="str">
            <v>group</v>
          </cell>
          <cell r="B532" t="str">
            <v>Group</v>
          </cell>
        </row>
        <row r="533">
          <cell r="A533" t="str">
            <v>groups</v>
          </cell>
          <cell r="B533" t="str">
            <v>Groups</v>
          </cell>
        </row>
        <row r="534">
          <cell r="A534" t="str">
            <v>gsa</v>
          </cell>
          <cell r="B534" t="str">
            <v>Genome Sequence Archive (GSA)</v>
          </cell>
        </row>
        <row r="535">
          <cell r="A535" t="str">
            <v>gtmolMPox</v>
          </cell>
          <cell r="B535" t="str">
            <v>Mpox GT Molecular Gene Target</v>
          </cell>
        </row>
        <row r="536">
          <cell r="A536" t="str">
            <v>h5hema</v>
          </cell>
          <cell r="B536" t="str">
            <v xml:space="preserve">Influenza A H5 hemagglutinin gene </v>
          </cell>
        </row>
        <row r="537">
          <cell r="A537" t="str">
            <v>h5n1</v>
          </cell>
          <cell r="B537" t="str">
            <v xml:space="preserve">H5N1 avian influenza A virus (IAV) </v>
          </cell>
        </row>
        <row r="538">
          <cell r="A538" t="str">
            <v>haemophilusGrp</v>
          </cell>
          <cell r="B538" t="str">
            <v>Haemophilus Group</v>
          </cell>
        </row>
        <row r="539">
          <cell r="A539" t="str">
            <v>hAg</v>
          </cell>
          <cell r="B539" t="str">
            <v>See Header for Aggregation</v>
          </cell>
        </row>
        <row r="540">
          <cell r="A540" t="str">
            <v>hCo</v>
          </cell>
          <cell r="B540" t="str">
            <v xml:space="preserve">See Header for Compartment </v>
          </cell>
        </row>
        <row r="541">
          <cell r="A541" t="str">
            <v>hDucreyi</v>
          </cell>
          <cell r="B541" t="str">
            <v>Haemophilus ducreyi</v>
          </cell>
        </row>
        <row r="542">
          <cell r="A542" t="str">
            <v>header</v>
          </cell>
          <cell r="B542" t="str">
            <v>Header</v>
          </cell>
        </row>
        <row r="543">
          <cell r="A543" t="str">
            <v>healthAdm</v>
          </cell>
          <cell r="B543" t="str">
            <v>Health administration or planning agency</v>
          </cell>
        </row>
        <row r="544">
          <cell r="A544" t="str">
            <v>healthRegion</v>
          </cell>
          <cell r="B544" t="str">
            <v>Health Region for a Site</v>
          </cell>
        </row>
        <row r="545">
          <cell r="A545" t="str">
            <v>heatInacSARS</v>
          </cell>
          <cell r="B545" t="str">
            <v>Heat inactivated sars-cov-2 virus spike target</v>
          </cell>
        </row>
        <row r="546">
          <cell r="A546" t="str">
            <v>hepA</v>
          </cell>
          <cell r="B546" t="str">
            <v>Hepatitis A</v>
          </cell>
        </row>
        <row r="547">
          <cell r="A547" t="str">
            <v>hepB</v>
          </cell>
          <cell r="B547" t="str">
            <v>Hepatitis B</v>
          </cell>
        </row>
        <row r="548">
          <cell r="A548" t="str">
            <v>hepC</v>
          </cell>
          <cell r="B548" t="str">
            <v>Hepatitis C</v>
          </cell>
        </row>
        <row r="549">
          <cell r="A549" t="str">
            <v>hepE</v>
          </cell>
          <cell r="B549" t="str">
            <v>Hepatitis E</v>
          </cell>
        </row>
        <row r="550">
          <cell r="A550" t="str">
            <v>hepGRna</v>
          </cell>
          <cell r="B550" t="str">
            <v>hep g armored rna</v>
          </cell>
        </row>
        <row r="551">
          <cell r="A551" t="str">
            <v>hepGRnaMat</v>
          </cell>
          <cell r="B551" t="str">
            <v>hep g armored rna spike target</v>
          </cell>
        </row>
        <row r="552">
          <cell r="A552" t="str">
            <v>hepGrp</v>
          </cell>
          <cell r="B552" t="str">
            <v>Hepatitis Group</v>
          </cell>
        </row>
        <row r="553">
          <cell r="A553" t="str">
            <v>herpesGrp</v>
          </cell>
          <cell r="B553" t="str">
            <v>Herpes Virus Group</v>
          </cell>
        </row>
        <row r="554">
          <cell r="A554" t="str">
            <v>hf183</v>
          </cell>
          <cell r="B554" t="str">
            <v>HF183 Bacteriodes 16S</v>
          </cell>
        </row>
        <row r="555">
          <cell r="A555" t="str">
            <v>hFr</v>
          </cell>
          <cell r="B555" t="str">
            <v>See Header for Fraction Analyzed</v>
          </cell>
        </row>
        <row r="556">
          <cell r="A556" t="str">
            <v>hiaa5</v>
          </cell>
          <cell r="B556" t="str">
            <v xml:space="preserve"> 5-hydroxyindoleacetic acid (5-HIAA)</v>
          </cell>
        </row>
        <row r="557">
          <cell r="A557" t="str">
            <v>high</v>
          </cell>
          <cell r="B557" t="str">
            <v>High severity</v>
          </cell>
        </row>
        <row r="558">
          <cell r="A558" t="str">
            <v>hInfluenzae</v>
          </cell>
          <cell r="B558" t="str">
            <v>Haemophilus influenzae</v>
          </cell>
        </row>
        <row r="559">
          <cell r="A559" t="str">
            <v>hiv</v>
          </cell>
          <cell r="B559" t="str">
            <v>Human Immunodeficiency Virus (HIV)</v>
          </cell>
        </row>
        <row r="560">
          <cell r="A560" t="str">
            <v>hivGrp</v>
          </cell>
          <cell r="B560" t="str">
            <v>HIV Group</v>
          </cell>
        </row>
        <row r="561">
          <cell r="A561" t="str">
            <v>hlthReg</v>
          </cell>
          <cell r="B561" t="str">
            <v>Sewer Network Health Region</v>
          </cell>
        </row>
        <row r="562">
          <cell r="A562" t="str">
            <v>hma</v>
          </cell>
          <cell r="B562" t="str">
            <v>Hand Measurement</v>
          </cell>
        </row>
        <row r="563">
          <cell r="A563" t="str">
            <v>hMe</v>
          </cell>
          <cell r="B563" t="str">
            <v>See Header for Measure</v>
          </cell>
        </row>
        <row r="564">
          <cell r="A564" t="str">
            <v>hmpv</v>
          </cell>
          <cell r="B564" t="str">
            <v xml:space="preserve">Human Metapneumovirus (HMPV) </v>
          </cell>
        </row>
        <row r="565">
          <cell r="A565" t="str">
            <v>hollowFiberUF</v>
          </cell>
          <cell r="B565" t="str">
            <v>Hollow fiber dead end ultrafiltration</v>
          </cell>
        </row>
        <row r="566">
          <cell r="A566" t="str">
            <v>hosa</v>
          </cell>
          <cell r="B566" t="str">
            <v>General Hospital Admissions</v>
          </cell>
        </row>
        <row r="567">
          <cell r="A567" t="str">
            <v>hosc</v>
          </cell>
          <cell r="B567" t="str">
            <v>Hospital Census</v>
          </cell>
        </row>
        <row r="568">
          <cell r="A568" t="str">
            <v>hosptl</v>
          </cell>
          <cell r="B568" t="str">
            <v>Hospital</v>
          </cell>
        </row>
        <row r="569">
          <cell r="A569" t="str">
            <v>hoTaWa</v>
          </cell>
          <cell r="B569" t="str">
            <v>Holding tank wastewater depreciated</v>
          </cell>
        </row>
        <row r="570">
          <cell r="A570" t="str">
            <v>hours</v>
          </cell>
          <cell r="B570" t="str">
            <v>Hours</v>
          </cell>
        </row>
        <row r="571">
          <cell r="A571" t="str">
            <v>hpiv</v>
          </cell>
          <cell r="B571" t="str">
            <v>Human Parainfluenza Virus (HPIV)</v>
          </cell>
        </row>
        <row r="572">
          <cell r="A572" t="str">
            <v>hpv</v>
          </cell>
          <cell r="B572" t="str">
            <v>Human Papiloma Virus (HPV)</v>
          </cell>
        </row>
        <row r="573">
          <cell r="A573" t="str">
            <v>hrv</v>
          </cell>
          <cell r="B573" t="str">
            <v>Human Rhinovirus (HRV)</v>
          </cell>
        </row>
        <row r="574">
          <cell r="A574" t="str">
            <v>hrvA</v>
          </cell>
          <cell r="B574" t="str">
            <v>Human Rhinovirus (HRV) A</v>
          </cell>
        </row>
        <row r="575">
          <cell r="A575" t="str">
            <v>hrvB</v>
          </cell>
          <cell r="B575" t="str">
            <v>Human Rhinovirus (HRV) B</v>
          </cell>
        </row>
        <row r="576">
          <cell r="A576" t="str">
            <v>hrvC</v>
          </cell>
          <cell r="B576" t="str">
            <v>Human Rhinovirus (HRV) C</v>
          </cell>
        </row>
        <row r="577">
          <cell r="A577" t="str">
            <v>hrvGrp</v>
          </cell>
          <cell r="B577" t="str">
            <v>Rhinovirus Group</v>
          </cell>
        </row>
        <row r="578">
          <cell r="A578" t="str">
            <v>hSp</v>
          </cell>
          <cell r="B578" t="str">
            <v>See Header for Specimen</v>
          </cell>
        </row>
        <row r="579">
          <cell r="A579" t="str">
            <v>hsv</v>
          </cell>
          <cell r="B579" t="str">
            <v>Herpes Simplex Virus</v>
          </cell>
        </row>
        <row r="580">
          <cell r="A580" t="str">
            <v>htSam</v>
          </cell>
          <cell r="B580" t="str">
            <v>Holding tank wastewater</v>
          </cell>
        </row>
        <row r="581">
          <cell r="A581" t="str">
            <v>htSite</v>
          </cell>
          <cell r="B581" t="str">
            <v>Holding tank</v>
          </cell>
        </row>
        <row r="582">
          <cell r="A582" t="str">
            <v>hum</v>
          </cell>
          <cell r="B582" t="str">
            <v>Human compartment</v>
          </cell>
        </row>
        <row r="583">
          <cell r="A583" t="str">
            <v>humanCompartmentSet</v>
          </cell>
          <cell r="B583" t="str">
            <v>Human compartment set</v>
          </cell>
        </row>
        <row r="584">
          <cell r="A584" t="str">
            <v>humid</v>
          </cell>
          <cell r="B584" t="str">
            <v>Humidity class</v>
          </cell>
        </row>
        <row r="585">
          <cell r="A585" t="str">
            <v>hUn</v>
          </cell>
          <cell r="B585" t="str">
            <v>See Header for Unit</v>
          </cell>
        </row>
        <row r="586">
          <cell r="A586" t="str">
            <v>i1566v</v>
          </cell>
          <cell r="B586" t="str">
            <v>i1566v omicron-variant gene target</v>
          </cell>
        </row>
        <row r="587">
          <cell r="A587" t="str">
            <v>i3758v</v>
          </cell>
          <cell r="B587" t="str">
            <v>i3758v omicron-variant gene target</v>
          </cell>
        </row>
        <row r="588">
          <cell r="A588" t="str">
            <v>i82t</v>
          </cell>
          <cell r="B588" t="str">
            <v>i82t delta-variant gene target</v>
          </cell>
        </row>
        <row r="589">
          <cell r="A589" t="str">
            <v>iavM</v>
          </cell>
          <cell r="B589" t="str">
            <v>Influenza A M gene</v>
          </cell>
        </row>
        <row r="590">
          <cell r="A590" t="str">
            <v>ibu</v>
          </cell>
          <cell r="B590" t="str">
            <v>Ibuprofen</v>
          </cell>
        </row>
        <row r="591">
          <cell r="A591" t="str">
            <v>icd</v>
          </cell>
          <cell r="B591" t="str">
            <v>International Classification of Diseases</v>
          </cell>
        </row>
        <row r="592">
          <cell r="A592" t="str">
            <v>icu</v>
          </cell>
          <cell r="B592" t="str">
            <v>Intensive care unit patients</v>
          </cell>
        </row>
        <row r="593">
          <cell r="A593" t="str">
            <v>in</v>
          </cell>
          <cell r="B593" t="str">
            <v>Instrument table Shorthand</v>
          </cell>
        </row>
        <row r="594">
          <cell r="A594" t="str">
            <v>inch</v>
          </cell>
          <cell r="B594" t="str">
            <v>Inch</v>
          </cell>
        </row>
        <row r="595">
          <cell r="A595" t="str">
            <v>index</v>
          </cell>
          <cell r="B595" t="str">
            <v>Index</v>
          </cell>
        </row>
        <row r="596">
          <cell r="A596" t="str">
            <v>indusIn</v>
          </cell>
          <cell r="B596" t="str">
            <v>Industrial input</v>
          </cell>
        </row>
        <row r="597">
          <cell r="A597" t="str">
            <v>influEqui</v>
          </cell>
          <cell r="B597" t="str">
            <v>Influent equilibration</v>
          </cell>
        </row>
        <row r="598">
          <cell r="A598" t="str">
            <v>inhibitionSet</v>
          </cell>
          <cell r="B598" t="str">
            <v>Inhibition set</v>
          </cell>
        </row>
        <row r="599">
          <cell r="A599" t="str">
            <v>inhibMe</v>
          </cell>
          <cell r="B599" t="str">
            <v>Inhibition measure</v>
          </cell>
        </row>
        <row r="600">
          <cell r="A600" t="str">
            <v>inhibMeth</v>
          </cell>
          <cell r="B600" t="str">
            <v>Inhibition method</v>
          </cell>
        </row>
        <row r="601">
          <cell r="A601" t="str">
            <v>innovaprepUF</v>
          </cell>
          <cell r="B601" t="str">
            <v>Innovaprep ultrafiltration</v>
          </cell>
        </row>
        <row r="602">
          <cell r="A602" t="str">
            <v>input</v>
          </cell>
          <cell r="B602" t="str">
            <v>Input</v>
          </cell>
        </row>
        <row r="603">
          <cell r="A603" t="str">
            <v>ins214epe</v>
          </cell>
          <cell r="B603" t="str">
            <v>Omicron Variant ins214epe Insertion</v>
          </cell>
        </row>
        <row r="604">
          <cell r="A604" t="str">
            <v>insdc</v>
          </cell>
          <cell r="B604" t="str">
            <v>International Nucleotide Sequence Database Collaboration (INSDC) Archives</v>
          </cell>
        </row>
        <row r="605">
          <cell r="A605" t="str">
            <v>instrumentID</v>
          </cell>
          <cell r="B605" t="str">
            <v>Instrument ID</v>
          </cell>
        </row>
        <row r="606">
          <cell r="A606" t="str">
            <v>instruments</v>
          </cell>
          <cell r="B606" t="str">
            <v>Instrument table</v>
          </cell>
        </row>
        <row r="607">
          <cell r="A607" t="str">
            <v>instrumentsOrder</v>
          </cell>
          <cell r="B607" t="str">
            <v>Instruments table column order</v>
          </cell>
        </row>
        <row r="608">
          <cell r="A608" t="str">
            <v>instrumentsRequired</v>
          </cell>
          <cell r="B608" t="str">
            <v>Instrutment table required headers</v>
          </cell>
        </row>
        <row r="609">
          <cell r="A609" t="str">
            <v>instrumentTypeOther</v>
          </cell>
          <cell r="B609" t="str">
            <v>Other instrument</v>
          </cell>
        </row>
        <row r="610">
          <cell r="A610" t="str">
            <v>insType</v>
          </cell>
          <cell r="B610" t="str">
            <v>Instrument Type</v>
          </cell>
        </row>
        <row r="611">
          <cell r="A611" t="str">
            <v>insTypeOth</v>
          </cell>
          <cell r="B611" t="str">
            <v>Describe other instrument type, if applicable</v>
          </cell>
        </row>
        <row r="612">
          <cell r="A612" t="str">
            <v>insTypeSet</v>
          </cell>
          <cell r="B612" t="str">
            <v>Instrument set</v>
          </cell>
        </row>
        <row r="613">
          <cell r="A613" t="str">
            <v>intAMRGrp</v>
          </cell>
          <cell r="B613" t="str">
            <v>Integrase Anti-microbial resistance Group</v>
          </cell>
        </row>
        <row r="614">
          <cell r="A614" t="str">
            <v>integer</v>
          </cell>
          <cell r="B614" t="str">
            <v>Integer data type</v>
          </cell>
        </row>
        <row r="615">
          <cell r="A615" t="str">
            <v>integraseCl1</v>
          </cell>
          <cell r="B615" t="str">
            <v>Integrase Class I gene target</v>
          </cell>
        </row>
        <row r="616">
          <cell r="A616" t="str">
            <v>inter</v>
          </cell>
          <cell r="B616" t="str">
            <v>Intercept</v>
          </cell>
        </row>
        <row r="617">
          <cell r="A617" t="str">
            <v>internalRef</v>
          </cell>
          <cell r="B617" t="str">
            <v>Internal reference</v>
          </cell>
        </row>
        <row r="618">
          <cell r="A618" t="str">
            <v>internatSurv</v>
          </cell>
          <cell r="B618" t="str">
            <v>International travel hub surveillance</v>
          </cell>
        </row>
        <row r="619">
          <cell r="A619" t="str">
            <v>ip2ip4</v>
          </cell>
          <cell r="B619" t="str">
            <v>Combined ip2 and ip4 sars-cov-2 gene target</v>
          </cell>
        </row>
        <row r="620">
          <cell r="A620" t="str">
            <v>isc</v>
          </cell>
          <cell r="B620" t="str">
            <v>ISC</v>
          </cell>
        </row>
        <row r="621">
          <cell r="A621" t="str">
            <v>iso6391</v>
          </cell>
          <cell r="B621" t="str">
            <v>ISO639-1</v>
          </cell>
        </row>
        <row r="622">
          <cell r="A622" t="str">
            <v>iso6392B</v>
          </cell>
          <cell r="B622" t="str">
            <v>ISO639-2B</v>
          </cell>
        </row>
        <row r="623">
          <cell r="A623" t="str">
            <v>iso6392T</v>
          </cell>
          <cell r="B623" t="str">
            <v>ISO639-2T</v>
          </cell>
        </row>
        <row r="624">
          <cell r="A624" t="str">
            <v>iso6393</v>
          </cell>
          <cell r="B624" t="str">
            <v>ISO639-3</v>
          </cell>
        </row>
        <row r="625">
          <cell r="A625" t="str">
            <v>iso6396</v>
          </cell>
          <cell r="B625" t="str">
            <v>ISO639-6</v>
          </cell>
        </row>
        <row r="626">
          <cell r="A626" t="str">
            <v>isoCode</v>
          </cell>
          <cell r="B626" t="str">
            <v>ISO 3166-1 alpha-2 country code</v>
          </cell>
        </row>
        <row r="627">
          <cell r="A627" t="str">
            <v>isoCodeX</v>
          </cell>
          <cell r="B627" t="str">
            <v>ISO 3166-1 alpha-3 country code</v>
          </cell>
        </row>
        <row r="628">
          <cell r="A628" t="str">
            <v>isoZone</v>
          </cell>
          <cell r="B628" t="str">
            <v>ISO 3166-2 code for country sub-domain</v>
          </cell>
        </row>
        <row r="629">
          <cell r="A629" t="str">
            <v>jn17V</v>
          </cell>
          <cell r="B629" t="str">
            <v>JN.1.7 Variant</v>
          </cell>
        </row>
        <row r="630">
          <cell r="A630" t="str">
            <v>jn1V</v>
          </cell>
          <cell r="B630" t="str">
            <v>JN.1 Variant</v>
          </cell>
        </row>
        <row r="631">
          <cell r="A631" t="str">
            <v>k856r</v>
          </cell>
          <cell r="B631" t="str">
            <v>k856r omicron-variant gene target</v>
          </cell>
        </row>
        <row r="632">
          <cell r="A632" t="str">
            <v>kgm3</v>
          </cell>
          <cell r="B632" t="str">
            <v>Kilogram per cubic meter</v>
          </cell>
        </row>
        <row r="633">
          <cell r="A633" t="str">
            <v>kgS</v>
          </cell>
          <cell r="B633" t="str">
            <v>Kilogram per second</v>
          </cell>
        </row>
        <row r="634">
          <cell r="A634" t="str">
            <v>kl</v>
          </cell>
          <cell r="B634" t="str">
            <v>Kilolitres</v>
          </cell>
        </row>
        <row r="635">
          <cell r="A635" t="str">
            <v>klebsiellaGrp</v>
          </cell>
          <cell r="B635" t="str">
            <v>Klebsiella Group</v>
          </cell>
        </row>
        <row r="636">
          <cell r="A636" t="str">
            <v>klebsiellaPneu</v>
          </cell>
          <cell r="B636" t="str">
            <v>Klebsiella pneumoniae</v>
          </cell>
        </row>
        <row r="637">
          <cell r="A637" t="str">
            <v>kp11V</v>
          </cell>
          <cell r="B637" t="str">
            <v>KP.1.1 Variant</v>
          </cell>
        </row>
        <row r="638">
          <cell r="A638" t="str">
            <v>kp1V</v>
          </cell>
          <cell r="B638" t="str">
            <v>KP.1 Variant</v>
          </cell>
        </row>
        <row r="639">
          <cell r="A639" t="str">
            <v>kp2V</v>
          </cell>
          <cell r="B639" t="str">
            <v>KP.2 Variant</v>
          </cell>
        </row>
        <row r="640">
          <cell r="A640" t="str">
            <v>l</v>
          </cell>
          <cell r="B640" t="str">
            <v>Litres</v>
          </cell>
        </row>
        <row r="641">
          <cell r="A641" t="str">
            <v>l24s</v>
          </cell>
          <cell r="B641" t="str">
            <v>Omicron Variant l24s mutation</v>
          </cell>
        </row>
        <row r="642">
          <cell r="A642" t="str">
            <v>l452r</v>
          </cell>
          <cell r="B642" t="str">
            <v>l452r delta-variant gene target</v>
          </cell>
        </row>
        <row r="643">
          <cell r="A643" t="str">
            <v>l455s</v>
          </cell>
          <cell r="B643" t="str">
            <v>L455S Mutation</v>
          </cell>
        </row>
        <row r="644">
          <cell r="A644" t="str">
            <v>l981f</v>
          </cell>
          <cell r="B644" t="str">
            <v>l981f omicron-variant gene target</v>
          </cell>
        </row>
        <row r="645">
          <cell r="A645" t="str">
            <v>la</v>
          </cell>
          <cell r="B645" t="str">
            <v>Language Look-up table Shorthand</v>
          </cell>
        </row>
        <row r="646">
          <cell r="A646" t="str">
            <v>lab</v>
          </cell>
          <cell r="B646" t="str">
            <v>Laboratory</v>
          </cell>
        </row>
        <row r="647">
          <cell r="A647" t="str">
            <v>labDefDep</v>
          </cell>
          <cell r="B647" t="str">
            <v>Lab ID default depricated</v>
          </cell>
        </row>
        <row r="648">
          <cell r="A648" t="str">
            <v>labDuplicate</v>
          </cell>
          <cell r="B648" t="str">
            <v xml:space="preserve">Laboratory duplicate </v>
          </cell>
        </row>
        <row r="649">
          <cell r="A649" t="str">
            <v>label</v>
          </cell>
          <cell r="B649" t="str">
            <v>Label</v>
          </cell>
        </row>
        <row r="650">
          <cell r="A650" t="str">
            <v>labID</v>
          </cell>
          <cell r="B650" t="str">
            <v>Lab ID</v>
          </cell>
        </row>
        <row r="651">
          <cell r="A651" t="str">
            <v>lachno3</v>
          </cell>
          <cell r="B651" t="str">
            <v>Lachnospiraceae (Lachno3)</v>
          </cell>
        </row>
        <row r="652">
          <cell r="A652" t="str">
            <v>lAGC</v>
          </cell>
          <cell r="B652" t="str">
            <v>Low Average Genome Coverage</v>
          </cell>
        </row>
        <row r="653">
          <cell r="A653" t="str">
            <v>lagoon</v>
          </cell>
          <cell r="B653" t="str">
            <v>Lagoon system</v>
          </cell>
        </row>
        <row r="654">
          <cell r="A654" t="str">
            <v>lake</v>
          </cell>
          <cell r="B654" t="str">
            <v>Lake,  natural water body</v>
          </cell>
        </row>
        <row r="655">
          <cell r="A655" t="str">
            <v>lamba</v>
          </cell>
          <cell r="B655" t="str">
            <v>Lambda</v>
          </cell>
        </row>
        <row r="656">
          <cell r="A656" t="str">
            <v>lang</v>
          </cell>
          <cell r="B656" t="str">
            <v>Language ID</v>
          </cell>
        </row>
        <row r="657">
          <cell r="A657" t="str">
            <v>langFam</v>
          </cell>
          <cell r="B657" t="str">
            <v>Language family</v>
          </cell>
        </row>
        <row r="658">
          <cell r="A658" t="str">
            <v>langName</v>
          </cell>
          <cell r="B658" t="str">
            <v>Language name</v>
          </cell>
        </row>
        <row r="659">
          <cell r="A659" t="str">
            <v>langScript</v>
          </cell>
          <cell r="B659" t="str">
            <v>National language script</v>
          </cell>
        </row>
        <row r="660">
          <cell r="A660" t="str">
            <v>languages</v>
          </cell>
          <cell r="B660" t="str">
            <v>Language Look-up table</v>
          </cell>
        </row>
        <row r="661">
          <cell r="A661" t="str">
            <v>languagesOrder</v>
          </cell>
          <cell r="B661" t="str">
            <v>Language table column order</v>
          </cell>
        </row>
        <row r="662">
          <cell r="A662" t="str">
            <v>languagesRequired</v>
          </cell>
          <cell r="B662" t="str">
            <v>Language table required headers</v>
          </cell>
        </row>
        <row r="663">
          <cell r="A663" t="str">
            <v>lastEdited</v>
          </cell>
          <cell r="B663" t="str">
            <v>Last edited</v>
          </cell>
        </row>
        <row r="664">
          <cell r="A664" t="str">
            <v>lastName</v>
          </cell>
          <cell r="B664" t="str">
            <v>Last name of contact</v>
          </cell>
        </row>
        <row r="665">
          <cell r="A665" t="str">
            <v>lastUpdated</v>
          </cell>
          <cell r="B665" t="str">
            <v>Last updated version</v>
          </cell>
        </row>
        <row r="666">
          <cell r="A666" t="str">
            <v>latExp</v>
          </cell>
          <cell r="B666" t="str">
            <v>LaTeX expression</v>
          </cell>
        </row>
        <row r="667">
          <cell r="A667" t="str">
            <v>lBC</v>
          </cell>
          <cell r="B667" t="str">
            <v>Low breadth of coverage</v>
          </cell>
        </row>
        <row r="668">
          <cell r="A668" t="str">
            <v>lcsd</v>
          </cell>
          <cell r="B668" t="str">
            <v>Laboratory control sample duplicate</v>
          </cell>
        </row>
        <row r="669">
          <cell r="A669" t="str">
            <v>lday</v>
          </cell>
          <cell r="B669" t="str">
            <v>Litres per day</v>
          </cell>
        </row>
        <row r="670">
          <cell r="A670" t="str">
            <v>lDC</v>
          </cell>
          <cell r="B670" t="str">
            <v>Low depth of coverage</v>
          </cell>
        </row>
        <row r="671">
          <cell r="A671" t="str">
            <v>leaked</v>
          </cell>
          <cell r="B671" t="str">
            <v>Leaked sample</v>
          </cell>
        </row>
        <row r="672">
          <cell r="A672" t="str">
            <v>legionella</v>
          </cell>
          <cell r="B672" t="str">
            <v>Legionella</v>
          </cell>
        </row>
        <row r="673">
          <cell r="A673" t="str">
            <v>legionellaGrp</v>
          </cell>
          <cell r="B673" t="str">
            <v>Legionella Group</v>
          </cell>
        </row>
        <row r="674">
          <cell r="A674" t="str">
            <v>lentiGrp</v>
          </cell>
          <cell r="B674" t="str">
            <v>Lentivirus Group</v>
          </cell>
        </row>
        <row r="675">
          <cell r="A675" t="str">
            <v>less10</v>
          </cell>
          <cell r="B675" t="str">
            <v>&lt;10 people</v>
          </cell>
        </row>
        <row r="676">
          <cell r="A676" t="str">
            <v>less100</v>
          </cell>
          <cell r="B676" t="str">
            <v>10 - 100 people</v>
          </cell>
        </row>
        <row r="677">
          <cell r="A677" t="str">
            <v>less100k</v>
          </cell>
          <cell r="B677" t="str">
            <v>10,000 - 100,000 people</v>
          </cell>
        </row>
        <row r="678">
          <cell r="A678" t="str">
            <v>less10k</v>
          </cell>
          <cell r="B678" t="str">
            <v>1,000 - 10,000 people</v>
          </cell>
        </row>
        <row r="679">
          <cell r="A679" t="str">
            <v>less1k</v>
          </cell>
          <cell r="B679" t="str">
            <v>100 - 1,000 people</v>
          </cell>
        </row>
        <row r="680">
          <cell r="A680" t="str">
            <v>less1mil</v>
          </cell>
          <cell r="B680" t="str">
            <v>100,000 -  1,000,000 people</v>
          </cell>
        </row>
        <row r="681">
          <cell r="A681" t="str">
            <v>lgpl21</v>
          </cell>
          <cell r="B681" t="str">
            <v>GNU Lesser General Public License v2.1</v>
          </cell>
        </row>
        <row r="682">
          <cell r="A682" t="str">
            <v>lgpl30</v>
          </cell>
          <cell r="B682" t="str">
            <v>GNU Lesser General Public License v3.0</v>
          </cell>
        </row>
        <row r="683">
          <cell r="A683" t="str">
            <v>lhour</v>
          </cell>
          <cell r="B683" t="str">
            <v>Liter per hour</v>
          </cell>
        </row>
        <row r="684">
          <cell r="A684" t="str">
            <v>li</v>
          </cell>
          <cell r="B684" t="str">
            <v>Link</v>
          </cell>
        </row>
        <row r="685">
          <cell r="A685" t="str">
            <v>license</v>
          </cell>
          <cell r="B685" t="str">
            <v>License</v>
          </cell>
        </row>
        <row r="686">
          <cell r="A686" t="str">
            <v>licSet</v>
          </cell>
          <cell r="B686" t="str">
            <v>Data license set</v>
          </cell>
        </row>
        <row r="687">
          <cell r="A687" t="str">
            <v>linearAggrSet</v>
          </cell>
          <cell r="B687" t="str">
            <v>Linear scale aggregation set</v>
          </cell>
        </row>
        <row r="688">
          <cell r="A688" t="str">
            <v>liq</v>
          </cell>
          <cell r="B688" t="str">
            <v>Liquid fraction</v>
          </cell>
        </row>
        <row r="689">
          <cell r="A689" t="str">
            <v>liquid</v>
          </cell>
          <cell r="B689" t="str">
            <v>Liquid/Supernatant retained</v>
          </cell>
        </row>
        <row r="690">
          <cell r="A690" t="str">
            <v>listeria</v>
          </cell>
          <cell r="B690" t="str">
            <v>Listeria</v>
          </cell>
        </row>
        <row r="691">
          <cell r="A691" t="str">
            <v>listeriaGrp</v>
          </cell>
          <cell r="B691" t="str">
            <v>Listeria Group</v>
          </cell>
        </row>
        <row r="692">
          <cell r="A692" t="str">
            <v>lists</v>
          </cell>
          <cell r="B692" t="str">
            <v>List worksheet</v>
          </cell>
        </row>
        <row r="693">
          <cell r="A693" t="str">
            <v>listSet</v>
          </cell>
          <cell r="B693" t="str">
            <v>List set</v>
          </cell>
        </row>
        <row r="694">
          <cell r="A694" t="str">
            <v>lmin</v>
          </cell>
          <cell r="B694" t="str">
            <v>Liter per minute</v>
          </cell>
        </row>
        <row r="695">
          <cell r="A695" t="str">
            <v>localHA</v>
          </cell>
          <cell r="B695" t="str">
            <v>Access to local ha</v>
          </cell>
        </row>
        <row r="696">
          <cell r="A696" t="str">
            <v>lod</v>
          </cell>
          <cell r="B696" t="str">
            <v>Limit of detection (LOD)</v>
          </cell>
        </row>
        <row r="697">
          <cell r="A697" t="str">
            <v>lodSewa</v>
          </cell>
          <cell r="B697" t="str">
            <v>Limit of detection (LOD) - sewage</v>
          </cell>
        </row>
        <row r="698">
          <cell r="A698" t="str">
            <v>log10cpG</v>
          </cell>
          <cell r="B698" t="str">
            <v>log10 gene copies per g</v>
          </cell>
        </row>
        <row r="699">
          <cell r="A699" t="str">
            <v>log10cpL</v>
          </cell>
          <cell r="B699" t="str">
            <v>log10 gene copies per L</v>
          </cell>
        </row>
        <row r="700">
          <cell r="A700" t="str">
            <v>log10cpml</v>
          </cell>
          <cell r="B700" t="str">
            <v>log10 gene copies per mL</v>
          </cell>
        </row>
        <row r="701">
          <cell r="A701" t="str">
            <v>log10gc100mL</v>
          </cell>
          <cell r="B701" t="str">
            <v>Log10 gene copies per 100 milliliter</v>
          </cell>
        </row>
        <row r="702">
          <cell r="A702" t="str">
            <v>log10gcngDNA</v>
          </cell>
          <cell r="B702" t="str">
            <v>Log10 gene copies per nanogram total DNA</v>
          </cell>
        </row>
        <row r="703">
          <cell r="A703" t="str">
            <v>log10ugG</v>
          </cell>
          <cell r="B703" t="str">
            <v>log10 micrograms per g</v>
          </cell>
        </row>
        <row r="704">
          <cell r="A704" t="str">
            <v>log10ugL</v>
          </cell>
          <cell r="B704" t="str">
            <v>log10 micrograms per L</v>
          </cell>
        </row>
        <row r="705">
          <cell r="A705" t="str">
            <v>logAggrSet</v>
          </cell>
          <cell r="B705" t="str">
            <v>Logarithmic scale aggregation set</v>
          </cell>
        </row>
        <row r="706">
          <cell r="A706" t="str">
            <v>longSurv</v>
          </cell>
          <cell r="B706" t="str">
            <v>Longitudinal, repeat sampling surveillance program</v>
          </cell>
        </row>
        <row r="707">
          <cell r="A707" t="str">
            <v>lookup</v>
          </cell>
          <cell r="B707" t="str">
            <v>Dictionary tables</v>
          </cell>
        </row>
        <row r="708">
          <cell r="A708" t="str">
            <v>loq</v>
          </cell>
          <cell r="B708" t="str">
            <v>Limit of quantification (LOQ)</v>
          </cell>
        </row>
        <row r="709">
          <cell r="A709" t="str">
            <v>low</v>
          </cell>
          <cell r="B709" t="str">
            <v>Low severity</v>
          </cell>
        </row>
        <row r="710">
          <cell r="A710" t="str">
            <v>lowCovMut</v>
          </cell>
          <cell r="B710" t="str">
            <v>Low Coverage of Characteristic Mutations</v>
          </cell>
        </row>
        <row r="711">
          <cell r="A711" t="str">
            <v>lowerCI95</v>
          </cell>
          <cell r="B711" t="str">
            <v>Lower limit of a 95% confidence interval</v>
          </cell>
        </row>
        <row r="712">
          <cell r="A712" t="str">
            <v>lowQualSeq</v>
          </cell>
          <cell r="B712" t="str">
            <v>Low-quality Sequence</v>
          </cell>
        </row>
        <row r="713">
          <cell r="A713" t="str">
            <v>lowSNRatio</v>
          </cell>
          <cell r="B713" t="str">
            <v>Low Signal-to-Noise Ratio</v>
          </cell>
        </row>
        <row r="714">
          <cell r="A714" t="str">
            <v>lowVol</v>
          </cell>
          <cell r="B714" t="str">
            <v>Low-volume sample</v>
          </cell>
        </row>
        <row r="715">
          <cell r="A715" t="str">
            <v>lPGC</v>
          </cell>
          <cell r="B715" t="str">
            <v>Low Percent of Genome Captured</v>
          </cell>
        </row>
        <row r="716">
          <cell r="A716" t="str">
            <v>lppa24s</v>
          </cell>
          <cell r="B716" t="str">
            <v>Omicron Variant LPPA24S mutation</v>
          </cell>
        </row>
        <row r="717">
          <cell r="A717" t="str">
            <v>lppl13c</v>
          </cell>
          <cell r="B717" t="str">
            <v>LaTeX Project Public License v1.3c</v>
          </cell>
        </row>
        <row r="718">
          <cell r="A718" t="str">
            <v>lsec</v>
          </cell>
          <cell r="B718" t="str">
            <v>Liter per second</v>
          </cell>
        </row>
        <row r="719">
          <cell r="A719" t="str">
            <v>ltcf</v>
          </cell>
          <cell r="B719" t="str">
            <v>Long-term care facility</v>
          </cell>
        </row>
        <row r="720">
          <cell r="A720" t="str">
            <v>ltcfAl</v>
          </cell>
          <cell r="B720" t="str">
            <v>Long-term care - assisted living or retirement home</v>
          </cell>
        </row>
        <row r="721">
          <cell r="A721" t="str">
            <v>ltcfO</v>
          </cell>
          <cell r="B721" t="str">
            <v>Other long-term care</v>
          </cell>
        </row>
        <row r="722">
          <cell r="A722" t="str">
            <v>ltDpcr</v>
          </cell>
          <cell r="B722" t="str">
            <v>Life technologies digital PCR</v>
          </cell>
        </row>
        <row r="723">
          <cell r="A723" t="str">
            <v>luminWWExtract</v>
          </cell>
          <cell r="B723" t="str">
            <v>luminultra wastewater extraction kit</v>
          </cell>
        </row>
        <row r="724">
          <cell r="A724" t="str">
            <v>lysi</v>
          </cell>
          <cell r="B724" t="str">
            <v>Lysis buffer</v>
          </cell>
        </row>
        <row r="725">
          <cell r="A725" t="str">
            <v>m3D</v>
          </cell>
          <cell r="B725" t="str">
            <v>Cubic metres per day</v>
          </cell>
        </row>
        <row r="726">
          <cell r="A726" t="str">
            <v>m3H</v>
          </cell>
          <cell r="B726" t="str">
            <v>Cubic metres per hour</v>
          </cell>
        </row>
        <row r="727">
          <cell r="A727" t="str">
            <v>m3min</v>
          </cell>
          <cell r="B727" t="str">
            <v>Cubic meter per minute</v>
          </cell>
        </row>
        <row r="728">
          <cell r="A728" t="str">
            <v>m3S</v>
          </cell>
          <cell r="B728" t="str">
            <v>Cubic metres per second</v>
          </cell>
        </row>
        <row r="729">
          <cell r="A729" t="str">
            <v>malariaGrp</v>
          </cell>
          <cell r="B729" t="str">
            <v>Plasmodium or Malaria Group</v>
          </cell>
        </row>
        <row r="730">
          <cell r="A730" t="str">
            <v>manComp</v>
          </cell>
          <cell r="B730" t="str">
            <v>Manual Composite Sample</v>
          </cell>
        </row>
        <row r="731">
          <cell r="A731" t="str">
            <v>manufacturer</v>
          </cell>
          <cell r="B731" t="str">
            <v>Manufacturer</v>
          </cell>
        </row>
        <row r="732">
          <cell r="A732" t="str">
            <v>mateLay</v>
          </cell>
          <cell r="B732" t="str">
            <v>Mate pair layout</v>
          </cell>
        </row>
        <row r="733">
          <cell r="A733" t="str">
            <v>maxLength</v>
          </cell>
          <cell r="B733" t="str">
            <v>Maximum length</v>
          </cell>
        </row>
        <row r="734">
          <cell r="A734" t="str">
            <v>maxVal</v>
          </cell>
          <cell r="B734" t="str">
            <v>Maximum value</v>
          </cell>
        </row>
        <row r="735">
          <cell r="A735" t="str">
            <v>maxValue</v>
          </cell>
          <cell r="B735" t="str">
            <v>Maximum value part support</v>
          </cell>
        </row>
        <row r="736">
          <cell r="A736" t="str">
            <v>ntcFlag</v>
          </cell>
          <cell r="B736" t="str">
            <v>Control-plate Flag - NTCs</v>
          </cell>
        </row>
        <row r="737">
          <cell r="A737" t="str">
            <v>mcr11</v>
          </cell>
          <cell r="B737" t="str">
            <v>MCR-1.1 Colistin-resistence gene target</v>
          </cell>
        </row>
        <row r="738">
          <cell r="A738" t="str">
            <v>me</v>
          </cell>
          <cell r="B738" t="str">
            <v>Arithmetic mean</v>
          </cell>
        </row>
        <row r="739">
          <cell r="A739" t="str">
            <v>measGrp</v>
          </cell>
          <cell r="B739" t="str">
            <v>Measurement group</v>
          </cell>
        </row>
        <row r="740">
          <cell r="A740" t="str">
            <v>measles</v>
          </cell>
          <cell r="B740" t="str">
            <v>Measles</v>
          </cell>
        </row>
        <row r="741">
          <cell r="A741" t="str">
            <v>measlesGrp</v>
          </cell>
          <cell r="B741" t="str">
            <v>Measles Group</v>
          </cell>
        </row>
        <row r="742">
          <cell r="A742" t="str">
            <v>measOth</v>
          </cell>
          <cell r="B742" t="str">
            <v>Other Measure</v>
          </cell>
        </row>
        <row r="743">
          <cell r="A743" t="str">
            <v>measQualitySet</v>
          </cell>
          <cell r="B743" t="str">
            <v>Measures quality set</v>
          </cell>
        </row>
        <row r="744">
          <cell r="A744" t="str">
            <v>measure</v>
          </cell>
          <cell r="B744" t="str">
            <v>Measure</v>
          </cell>
        </row>
        <row r="745">
          <cell r="A745" t="str">
            <v>measureInput</v>
          </cell>
          <cell r="B745" t="str">
            <v>Measure input (wide table)</v>
          </cell>
        </row>
        <row r="746">
          <cell r="A746" t="str">
            <v>measureLic</v>
          </cell>
          <cell r="B746" t="str">
            <v>Measure license</v>
          </cell>
        </row>
        <row r="747">
          <cell r="A747" t="str">
            <v>measurements</v>
          </cell>
          <cell r="B747" t="str">
            <v>Measures</v>
          </cell>
        </row>
        <row r="748">
          <cell r="A748" t="str">
            <v>measureName</v>
          </cell>
          <cell r="B748" t="str">
            <v>Measure name (wide table)</v>
          </cell>
        </row>
        <row r="749">
          <cell r="A749" t="str">
            <v>measureRepID</v>
          </cell>
          <cell r="B749" t="str">
            <v>Report ID</v>
          </cell>
        </row>
        <row r="750">
          <cell r="A750" t="str">
            <v>measures</v>
          </cell>
          <cell r="B750" t="str">
            <v>Measure report table</v>
          </cell>
        </row>
        <row r="751">
          <cell r="A751" t="str">
            <v>measureSetRepID</v>
          </cell>
          <cell r="B751" t="str">
            <v>Measure set report set ID</v>
          </cell>
        </row>
        <row r="752">
          <cell r="A752" t="str">
            <v>measureSets</v>
          </cell>
          <cell r="B752" t="str">
            <v>Measure set report table</v>
          </cell>
        </row>
        <row r="753">
          <cell r="A753" t="str">
            <v>measureSetsOrder</v>
          </cell>
          <cell r="B753" t="str">
            <v>Measure sets table column order</v>
          </cell>
        </row>
        <row r="754">
          <cell r="A754" t="str">
            <v>measureSetsRequired</v>
          </cell>
          <cell r="B754" t="str">
            <v>Measure Set table required headers</v>
          </cell>
        </row>
        <row r="755">
          <cell r="A755" t="str">
            <v>measuresOrder</v>
          </cell>
          <cell r="B755" t="str">
            <v>Measures table column order</v>
          </cell>
        </row>
        <row r="756">
          <cell r="A756" t="str">
            <v>measuresRequired</v>
          </cell>
          <cell r="B756" t="str">
            <v>Measures table required headers</v>
          </cell>
        </row>
        <row r="757">
          <cell r="A757" t="str">
            <v>med</v>
          </cell>
          <cell r="B757" t="str">
            <v>Median</v>
          </cell>
        </row>
        <row r="758">
          <cell r="A758" t="str">
            <v>megaB</v>
          </cell>
          <cell r="B758" t="str">
            <v>Mega-bases or Mega-base-pairs</v>
          </cell>
        </row>
        <row r="759">
          <cell r="A759" t="str">
            <v>memMgCl3</v>
          </cell>
          <cell r="B759" t="str">
            <v>membrane filtration with addition of mgcl3</v>
          </cell>
        </row>
        <row r="760">
          <cell r="A760" t="str">
            <v>menr</v>
          </cell>
          <cell r="B760" t="str">
            <v>Normalized arithmetic mean</v>
          </cell>
        </row>
        <row r="761">
          <cell r="A761" t="str">
            <v>meOthDe</v>
          </cell>
          <cell r="B761" t="str">
            <v>Other Measure Description</v>
          </cell>
        </row>
        <row r="762">
          <cell r="A762" t="str">
            <v>meqL</v>
          </cell>
          <cell r="B762" t="str">
            <v>Milliequivalent per liter</v>
          </cell>
        </row>
        <row r="763">
          <cell r="A763" t="str">
            <v>mes</v>
          </cell>
          <cell r="B763" t="str">
            <v>Measures Part-type Shorthand</v>
          </cell>
        </row>
        <row r="764">
          <cell r="A764" t="str">
            <v>met</v>
          </cell>
          <cell r="B764" t="str">
            <v>Methods part-type Shorthand</v>
          </cell>
        </row>
        <row r="765">
          <cell r="A765" t="str">
            <v>metaboliteGrp</v>
          </cell>
          <cell r="B765" t="str">
            <v>Metabolite Group</v>
          </cell>
        </row>
        <row r="766">
          <cell r="A766" t="str">
            <v>meter</v>
          </cell>
          <cell r="B766" t="str">
            <v>Meter</v>
          </cell>
        </row>
        <row r="767">
          <cell r="A767" t="str">
            <v>method</v>
          </cell>
          <cell r="B767" t="str">
            <v>Method</v>
          </cell>
        </row>
        <row r="768">
          <cell r="A768" t="str">
            <v>methodConc</v>
          </cell>
          <cell r="B768" t="str">
            <v>Concentration method</v>
          </cell>
        </row>
        <row r="769">
          <cell r="A769" t="str">
            <v>methodConcSet</v>
          </cell>
          <cell r="B769" t="str">
            <v>Concentration method set</v>
          </cell>
        </row>
        <row r="770">
          <cell r="A770" t="str">
            <v>methodInput</v>
          </cell>
          <cell r="B770" t="str">
            <v>Method input (wide table)</v>
          </cell>
        </row>
        <row r="771">
          <cell r="A771" t="str">
            <v>methodName</v>
          </cell>
          <cell r="B771" t="str">
            <v>Method name (wide table)</v>
          </cell>
        </row>
        <row r="772">
          <cell r="A772" t="str">
            <v>methods</v>
          </cell>
          <cell r="B772" t="str">
            <v>Methods</v>
          </cell>
        </row>
        <row r="773">
          <cell r="A773" t="str">
            <v>mfAcidmgcl2</v>
          </cell>
          <cell r="B773" t="str">
            <v>Membrane filtration with acidification and mgcl2</v>
          </cell>
        </row>
        <row r="774">
          <cell r="A774" t="str">
            <v>mfAcidmgcl2SS</v>
          </cell>
          <cell r="B774" t="str">
            <v>Membrane filtration with acidification and mgcl2, membrane recombined with separated solids</v>
          </cell>
        </row>
        <row r="775">
          <cell r="A775" t="str">
            <v>mfMgcl2</v>
          </cell>
          <cell r="B775" t="str">
            <v>Membrane filtration with addition of mgcl2</v>
          </cell>
        </row>
        <row r="776">
          <cell r="A776" t="str">
            <v>mfMgcl2SS</v>
          </cell>
          <cell r="B776" t="str">
            <v>Membrane filtration with  mgcl2 and separated solids</v>
          </cell>
        </row>
        <row r="777">
          <cell r="A777" t="str">
            <v>mfNoAmend</v>
          </cell>
          <cell r="B777" t="str">
            <v>Membrane filtration with no amendment</v>
          </cell>
        </row>
        <row r="778">
          <cell r="A778" t="str">
            <v>mfNoAmendSS</v>
          </cell>
          <cell r="B778" t="str">
            <v>Membrane filtration with no amendment, membrane recombined with separated solids</v>
          </cell>
        </row>
        <row r="779">
          <cell r="A779" t="str">
            <v>mfSampleAcid</v>
          </cell>
          <cell r="B779" t="str">
            <v>Membrane filtration with sample acidification</v>
          </cell>
        </row>
        <row r="780">
          <cell r="A780" t="str">
            <v>mfSampleAcidSS</v>
          </cell>
          <cell r="B780" t="str">
            <v>Membrane filtration with sample acidification, membrane recombined with separated solids</v>
          </cell>
        </row>
        <row r="781">
          <cell r="A781" t="str">
            <v>mgd</v>
          </cell>
          <cell r="B781" t="str">
            <v>Millions of gallons per day (MG/D)</v>
          </cell>
        </row>
        <row r="782">
          <cell r="A782" t="str">
            <v>mGenitalus</v>
          </cell>
          <cell r="B782" t="str">
            <v>Mycoplasma genitalus</v>
          </cell>
        </row>
        <row r="783">
          <cell r="A783" t="str">
            <v>mgL</v>
          </cell>
          <cell r="B783" t="str">
            <v>Milligrams per litre</v>
          </cell>
        </row>
        <row r="784">
          <cell r="A784" t="str">
            <v>mgLCaCO3</v>
          </cell>
          <cell r="B784" t="str">
            <v>Milligram per liter of calcium carbonate</v>
          </cell>
        </row>
        <row r="785">
          <cell r="A785" t="str">
            <v>mgPO43L</v>
          </cell>
          <cell r="B785" t="str">
            <v>Milligrams orthophosphate per liter</v>
          </cell>
        </row>
        <row r="786">
          <cell r="A786" t="str">
            <v>mgPO4PL</v>
          </cell>
          <cell r="B786" t="str">
            <v>Milligrams orthophosphate as phosphorus per liter</v>
          </cell>
        </row>
        <row r="787">
          <cell r="A787" t="str">
            <v>mhv</v>
          </cell>
          <cell r="B787" t="str">
            <v>Murine Hepatitis Virus</v>
          </cell>
        </row>
        <row r="788">
          <cell r="A788" t="str">
            <v>mhvSpike</v>
          </cell>
          <cell r="B788" t="str">
            <v>murine hepatitis virus (MHV) spike target</v>
          </cell>
        </row>
        <row r="789">
          <cell r="A789" t="str">
            <v>mI</v>
          </cell>
          <cell r="B789" t="str">
            <v>Multiple issues</v>
          </cell>
        </row>
        <row r="790">
          <cell r="A790" t="str">
            <v>mid</v>
          </cell>
          <cell r="B790" t="str">
            <v>Mid-level severity</v>
          </cell>
        </row>
        <row r="791">
          <cell r="A791" t="str">
            <v>midnightBCCDCv1</v>
          </cell>
          <cell r="B791" t="str">
            <v>Midnight and BC-CDC V1 Primer Set</v>
          </cell>
        </row>
        <row r="792">
          <cell r="A792" t="str">
            <v>midnightBCCDCv2</v>
          </cell>
          <cell r="B792" t="str">
            <v>Midnight and BC-CDC V2 Primer Set</v>
          </cell>
        </row>
        <row r="793">
          <cell r="A793" t="str">
            <v>midnightBCCDCv3</v>
          </cell>
          <cell r="B793" t="str">
            <v>Midnight and BC-CDC V3 Primer Set</v>
          </cell>
        </row>
        <row r="794">
          <cell r="A794" t="str">
            <v>midnightBCCDCv4</v>
          </cell>
          <cell r="B794" t="str">
            <v>Midnight and BC-CDC V4 Primer Set</v>
          </cell>
        </row>
        <row r="795">
          <cell r="A795" t="str">
            <v>midnightV1</v>
          </cell>
          <cell r="B795" t="str">
            <v>Midnight scheme V1 Primer Set</v>
          </cell>
        </row>
        <row r="796">
          <cell r="A796" t="str">
            <v>midnightV2</v>
          </cell>
          <cell r="B796" t="str">
            <v>Midnight scheme V2 Primer Set</v>
          </cell>
        </row>
        <row r="797">
          <cell r="A797" t="str">
            <v>midnightV3</v>
          </cell>
          <cell r="B797" t="str">
            <v>Midnight scheme V3 Primer Set</v>
          </cell>
        </row>
        <row r="798">
          <cell r="A798" t="str">
            <v>minLength</v>
          </cell>
          <cell r="B798" t="str">
            <v>Minimum length</v>
          </cell>
        </row>
        <row r="799">
          <cell r="A799" t="str">
            <v>minPTLength</v>
          </cell>
          <cell r="B799" t="str">
            <v>minimum post-trimming read length</v>
          </cell>
        </row>
        <row r="800">
          <cell r="A800" t="str">
            <v>minutes</v>
          </cell>
          <cell r="B800" t="str">
            <v>Minutes</v>
          </cell>
        </row>
        <row r="801">
          <cell r="A801" t="str">
            <v>minVal</v>
          </cell>
          <cell r="B801" t="str">
            <v>Minimum value</v>
          </cell>
        </row>
        <row r="802">
          <cell r="A802" t="str">
            <v>minValue</v>
          </cell>
          <cell r="B802" t="str">
            <v>Minimum value part support</v>
          </cell>
        </row>
        <row r="803">
          <cell r="A803" t="str">
            <v>miscAttr</v>
          </cell>
          <cell r="B803" t="str">
            <v>Miscellaneous attribute group</v>
          </cell>
        </row>
        <row r="804">
          <cell r="A804" t="str">
            <v>miscMeas</v>
          </cell>
          <cell r="B804" t="str">
            <v>Miscellaneous measure group</v>
          </cell>
        </row>
        <row r="805">
          <cell r="A805" t="str">
            <v>missingness</v>
          </cell>
          <cell r="B805" t="str">
            <v>Missingness</v>
          </cell>
        </row>
        <row r="806">
          <cell r="A806" t="str">
            <v>missingnessSet</v>
          </cell>
          <cell r="B806" t="str">
            <v>Missingness Set</v>
          </cell>
        </row>
        <row r="807">
          <cell r="A807" t="str">
            <v>missingnessSets</v>
          </cell>
          <cell r="B807" t="str">
            <v>Missingness sets</v>
          </cell>
        </row>
        <row r="808">
          <cell r="A808" t="str">
            <v>mit</v>
          </cell>
          <cell r="B808" t="str">
            <v>MIT</v>
          </cell>
        </row>
        <row r="809">
          <cell r="A809" t="str">
            <v>mit0</v>
          </cell>
          <cell r="B809" t="str">
            <v>MIT No Attribution</v>
          </cell>
        </row>
        <row r="810">
          <cell r="A810" t="str">
            <v>mix</v>
          </cell>
          <cell r="B810" t="str">
            <v>Mixed/homogenized sample</v>
          </cell>
        </row>
        <row r="811">
          <cell r="A811" t="str">
            <v>ml</v>
          </cell>
          <cell r="B811" t="str">
            <v>Millilitres</v>
          </cell>
        </row>
        <row r="812">
          <cell r="A812" t="str">
            <v>mld</v>
          </cell>
          <cell r="B812" t="str">
            <v>Megalitres per day (ML/d)</v>
          </cell>
        </row>
        <row r="813">
          <cell r="A813" t="str">
            <v>mlod</v>
          </cell>
          <cell r="B813" t="str">
            <v>Method Limit of Detection (LOD)</v>
          </cell>
        </row>
        <row r="814">
          <cell r="A814" t="str">
            <v>mm</v>
          </cell>
          <cell r="B814" t="str">
            <v>Millimetres</v>
          </cell>
        </row>
        <row r="815">
          <cell r="A815" t="str">
            <v>mmaSet</v>
          </cell>
          <cell r="B815" t="str">
            <v>Measure, Method, or Attribute Set Header</v>
          </cell>
        </row>
        <row r="816">
          <cell r="A816" t="str">
            <v>mmaSets</v>
          </cell>
          <cell r="B816" t="str">
            <v>Measure, method, or attribute sets</v>
          </cell>
        </row>
        <row r="817">
          <cell r="A817" t="str">
            <v>mmhocm</v>
          </cell>
          <cell r="B817" t="str">
            <v>Millimho per centimeter</v>
          </cell>
        </row>
        <row r="818">
          <cell r="A818" t="str">
            <v>model</v>
          </cell>
          <cell r="B818" t="str">
            <v>Model</v>
          </cell>
        </row>
        <row r="819">
          <cell r="A819" t="str">
            <v>monarchRNA</v>
          </cell>
          <cell r="B819" t="str">
            <v>monarch total RNA miniprep kit (new england biolabs) + onestep PCR inhibitor removal kit (zymo)</v>
          </cell>
        </row>
        <row r="820">
          <cell r="A820" t="str">
            <v>months</v>
          </cell>
          <cell r="B820" t="str">
            <v>Months</v>
          </cell>
        </row>
        <row r="821">
          <cell r="A821" t="str">
            <v>moorSw</v>
          </cell>
          <cell r="B821" t="str">
            <v>Moore swab passive sample</v>
          </cell>
        </row>
        <row r="822">
          <cell r="A822" t="str">
            <v>more1mil</v>
          </cell>
          <cell r="B822" t="str">
            <v>1,000,000+ people</v>
          </cell>
        </row>
        <row r="823">
          <cell r="A823" t="str">
            <v>mpl20</v>
          </cell>
          <cell r="B823" t="str">
            <v>Mozilla Public License 2.0</v>
          </cell>
        </row>
        <row r="824">
          <cell r="A824" t="str">
            <v>mpn100mL</v>
          </cell>
          <cell r="B824" t="str">
            <v>Most probable number per 100 milliliters</v>
          </cell>
        </row>
        <row r="825">
          <cell r="A825" t="str">
            <v>mpnmL</v>
          </cell>
          <cell r="B825" t="str">
            <v>Most probable number per milliliter</v>
          </cell>
        </row>
        <row r="826">
          <cell r="A826" t="str">
            <v>mpox</v>
          </cell>
          <cell r="B826" t="str">
            <v>Mpox</v>
          </cell>
        </row>
        <row r="827">
          <cell r="A827" t="str">
            <v>mpoxGrp</v>
          </cell>
          <cell r="B827" t="str">
            <v>MPox Group</v>
          </cell>
        </row>
        <row r="828">
          <cell r="A828" t="str">
            <v>mps</v>
          </cell>
          <cell r="B828" t="str">
            <v>Metres per second</v>
          </cell>
        </row>
        <row r="829">
          <cell r="A829" t="str">
            <v>mpvGrp</v>
          </cell>
          <cell r="B829" t="str">
            <v>Metapneumovirus Group</v>
          </cell>
        </row>
        <row r="830">
          <cell r="A830" t="str">
            <v>mpxCldIGrp</v>
          </cell>
          <cell r="B830" t="str">
            <v>MPox Clade I Group</v>
          </cell>
        </row>
        <row r="831">
          <cell r="A831" t="str">
            <v>mpxCldIIGrp</v>
          </cell>
          <cell r="B831" t="str">
            <v>MPox Clade II Group</v>
          </cell>
        </row>
        <row r="832">
          <cell r="A832" t="str">
            <v>mr</v>
          </cell>
          <cell r="B832" t="str">
            <v>Measure report table Shorthand</v>
          </cell>
        </row>
        <row r="833">
          <cell r="A833" t="str">
            <v>mrsa</v>
          </cell>
          <cell r="B833" t="str">
            <v>Methicillin-resistant Staphylococcus aureus (MRSA)</v>
          </cell>
        </row>
        <row r="834">
          <cell r="A834" t="str">
            <v>ms</v>
          </cell>
          <cell r="B834" t="str">
            <v>Measure set report table Shorthand</v>
          </cell>
        </row>
        <row r="835">
          <cell r="A835" t="str">
            <v>ms2Col</v>
          </cell>
          <cell r="B835" t="str">
            <v>ms2 coliphage</v>
          </cell>
        </row>
        <row r="836">
          <cell r="A836" t="str">
            <v>ms2ColMat</v>
          </cell>
          <cell r="B836" t="str">
            <v>ms2 coliphage spike target</v>
          </cell>
        </row>
        <row r="837">
          <cell r="A837" t="str">
            <v>mScm</v>
          </cell>
          <cell r="B837" t="str">
            <v>MilliSiemen per centimeter</v>
          </cell>
        </row>
        <row r="838">
          <cell r="A838" t="str">
            <v>msd</v>
          </cell>
          <cell r="B838" t="str">
            <v>Matrix spike duplicate</v>
          </cell>
        </row>
        <row r="839">
          <cell r="A839" t="str">
            <v>mspl</v>
          </cell>
          <cell r="B839" t="str">
            <v>Microsoft Public License</v>
          </cell>
        </row>
        <row r="840">
          <cell r="A840" t="str">
            <v>mspsDep</v>
          </cell>
          <cell r="B840" t="str">
            <v>Moore swab passive sample depreciated</v>
          </cell>
        </row>
        <row r="841">
          <cell r="A841" t="str">
            <v>mSwrPpl</v>
          </cell>
          <cell r="B841" t="str">
            <v>Major sewer pipeline</v>
          </cell>
        </row>
        <row r="842">
          <cell r="A842" t="str">
            <v>mTuberculosis</v>
          </cell>
          <cell r="B842" t="str">
            <v>Mycobacterium tuberculosis</v>
          </cell>
        </row>
        <row r="843">
          <cell r="A843" t="str">
            <v>mu</v>
          </cell>
          <cell r="B843" t="str">
            <v>Mu</v>
          </cell>
        </row>
        <row r="844">
          <cell r="A844" t="str">
            <v>muCo</v>
          </cell>
          <cell r="B844" t="str">
            <v>murine coronavirus</v>
          </cell>
        </row>
        <row r="845">
          <cell r="A845" t="str">
            <v>muCoMat</v>
          </cell>
          <cell r="B845" t="str">
            <v>murine coronavirus spike target</v>
          </cell>
        </row>
        <row r="846">
          <cell r="A846" t="str">
            <v>mul</v>
          </cell>
          <cell r="B846" t="str">
            <v>Multiple fraction</v>
          </cell>
        </row>
        <row r="847">
          <cell r="A847" t="str">
            <v>mulanPSL20</v>
          </cell>
          <cell r="B847" t="str">
            <v>Mulan Permissive Software License, Version 2</v>
          </cell>
        </row>
        <row r="848">
          <cell r="A848" t="str">
            <v>multiple</v>
          </cell>
          <cell r="B848" t="str">
            <v>Multiple Purpose</v>
          </cell>
        </row>
        <row r="849">
          <cell r="A849" t="str">
            <v>mumps</v>
          </cell>
          <cell r="B849" t="str">
            <v>Mumps</v>
          </cell>
        </row>
        <row r="850">
          <cell r="A850" t="str">
            <v>mumpsGrp</v>
          </cell>
          <cell r="B850" t="str">
            <v>Mumps Group</v>
          </cell>
        </row>
        <row r="851">
          <cell r="A851" t="str">
            <v>municipalLevel</v>
          </cell>
          <cell r="B851" t="str">
            <v>Municipalities or communes</v>
          </cell>
        </row>
        <row r="852">
          <cell r="A852" t="str">
            <v>municp</v>
          </cell>
          <cell r="B852" t="str">
            <v>Municipality</v>
          </cell>
        </row>
        <row r="853">
          <cell r="A853" t="str">
            <v>mutation</v>
          </cell>
          <cell r="B853" t="str">
            <v>Mutations class</v>
          </cell>
        </row>
        <row r="854">
          <cell r="A854" t="str">
            <v>mutationPanel</v>
          </cell>
          <cell r="B854" t="str">
            <v>Mutation panels class</v>
          </cell>
        </row>
        <row r="855">
          <cell r="A855" t="str">
            <v>mvolt</v>
          </cell>
          <cell r="B855" t="str">
            <v>MilliVolt</v>
          </cell>
        </row>
        <row r="856">
          <cell r="A856" t="str">
            <v>mycoplasmaGrp</v>
          </cell>
          <cell r="B856" t="str">
            <v>Mycoplasma Group</v>
          </cell>
        </row>
        <row r="857">
          <cell r="A857" t="str">
            <v>n</v>
          </cell>
          <cell r="B857" t="str">
            <v>N sars-cov-2 gene target</v>
          </cell>
        </row>
        <row r="858">
          <cell r="A858" t="str">
            <v>n1n2</v>
          </cell>
          <cell r="B858" t="str">
            <v>Combined N1 and N2 sars-cov-2 gene target</v>
          </cell>
        </row>
        <row r="859">
          <cell r="A859" t="str">
            <v>n1neur</v>
          </cell>
          <cell r="B859" t="str">
            <v>Influenza A N1 neuraminidase gene</v>
          </cell>
        </row>
        <row r="860">
          <cell r="A860" t="str">
            <v>n211i</v>
          </cell>
          <cell r="B860" t="str">
            <v>Omicron Variant n211i mutation</v>
          </cell>
        </row>
        <row r="861">
          <cell r="A861" t="str">
            <v>n50</v>
          </cell>
          <cell r="B861" t="str">
            <v>N50</v>
          </cell>
        </row>
        <row r="862">
          <cell r="A862" t="str">
            <v>n679k</v>
          </cell>
          <cell r="B862" t="str">
            <v>Omicron Variant n679k mutation</v>
          </cell>
        </row>
        <row r="863">
          <cell r="A863" t="str">
            <v>n856k</v>
          </cell>
          <cell r="B863" t="str">
            <v>Omicron Variant n856k mutation</v>
          </cell>
        </row>
        <row r="864">
          <cell r="A864" t="str">
            <v>n969k</v>
          </cell>
          <cell r="B864" t="str">
            <v>Omicron Variant n969k mutation</v>
          </cell>
        </row>
        <row r="865">
          <cell r="A865" t="str">
            <v>NA</v>
          </cell>
          <cell r="B865" t="str">
            <v>Not applicable</v>
          </cell>
        </row>
        <row r="866">
          <cell r="A866" t="str">
            <v>naAggr</v>
          </cell>
          <cell r="B866" t="str">
            <v>Aggregation not applicable</v>
          </cell>
        </row>
        <row r="867">
          <cell r="A867" t="str">
            <v>naAggrScale</v>
          </cell>
          <cell r="B867" t="str">
            <v>Aggregation scale not applicable</v>
          </cell>
        </row>
        <row r="868">
          <cell r="A868" t="str">
            <v>naAggrSet</v>
          </cell>
          <cell r="B868" t="str">
            <v>Aggregation set not applicable</v>
          </cell>
        </row>
        <row r="869">
          <cell r="A869" t="str">
            <v>naClass</v>
          </cell>
          <cell r="B869" t="str">
            <v>Class not applicable</v>
          </cell>
        </row>
        <row r="870">
          <cell r="A870" t="str">
            <v>naCompartment</v>
          </cell>
          <cell r="B870" t="str">
            <v>Compartment not applicable</v>
          </cell>
        </row>
        <row r="871">
          <cell r="A871" t="str">
            <v>naCompartmentSet</v>
          </cell>
          <cell r="B871" t="str">
            <v>Compartment set not applicable</v>
          </cell>
        </row>
        <row r="872">
          <cell r="A872" t="str">
            <v>naDomain</v>
          </cell>
          <cell r="B872" t="str">
            <v>Domain not applicable</v>
          </cell>
        </row>
        <row r="873">
          <cell r="A873" t="str">
            <v>naGroup</v>
          </cell>
          <cell r="B873" t="str">
            <v>Group not applicable</v>
          </cell>
        </row>
        <row r="874">
          <cell r="A874" t="str">
            <v>name</v>
          </cell>
          <cell r="B874" t="str">
            <v>Name</v>
          </cell>
        </row>
        <row r="875">
          <cell r="A875" t="str">
            <v>nameEngl</v>
          </cell>
          <cell r="B875" t="str">
            <v>English name for countries</v>
          </cell>
        </row>
        <row r="876">
          <cell r="A876" t="str">
            <v>nameOfficial</v>
          </cell>
          <cell r="B876" t="str">
            <v>Official state name</v>
          </cell>
        </row>
        <row r="877">
          <cell r="A877" t="str">
            <v>nan</v>
          </cell>
          <cell r="B877" t="str">
            <v>Not a number</v>
          </cell>
        </row>
        <row r="878">
          <cell r="A878" t="str">
            <v>naNomenclature</v>
          </cell>
          <cell r="B878" t="str">
            <v>Nomenclature not applicable</v>
          </cell>
        </row>
        <row r="879">
          <cell r="A879" t="str">
            <v>naSpecimen</v>
          </cell>
          <cell r="B879" t="str">
            <v>Specimen not applicable</v>
          </cell>
        </row>
        <row r="880">
          <cell r="A880" t="str">
            <v>naSpecimenSet</v>
          </cell>
          <cell r="B880" t="str">
            <v>Specimen set not applicable</v>
          </cell>
        </row>
        <row r="881">
          <cell r="A881" t="str">
            <v>natName</v>
          </cell>
          <cell r="B881" t="str">
            <v>Native Name</v>
          </cell>
        </row>
        <row r="882">
          <cell r="A882" t="str">
            <v>naUnit</v>
          </cell>
          <cell r="B882" t="str">
            <v>Unit not applicable</v>
          </cell>
        </row>
        <row r="883">
          <cell r="A883" t="str">
            <v>naUnitSet</v>
          </cell>
          <cell r="B883" t="str">
            <v>Unit set not applicable</v>
          </cell>
        </row>
        <row r="884">
          <cell r="A884" t="str">
            <v>nBPSeq</v>
          </cell>
          <cell r="B884" t="str">
            <v>number of base pairs sequenced</v>
          </cell>
        </row>
        <row r="885">
          <cell r="A885" t="str">
            <v>ncbi</v>
          </cell>
          <cell r="B885" t="str">
            <v>National Center for Biotechnology Information</v>
          </cell>
        </row>
        <row r="886">
          <cell r="A886" t="str">
            <v>ncbiNotes</v>
          </cell>
          <cell r="B886" t="str">
            <v>NCBI - notes</v>
          </cell>
        </row>
        <row r="887">
          <cell r="A887" t="str">
            <v>nContig</v>
          </cell>
          <cell r="B887" t="str">
            <v>number of contigs</v>
          </cell>
        </row>
        <row r="888">
          <cell r="A888" t="str">
            <v>ncsa</v>
          </cell>
          <cell r="B888" t="str">
            <v>University of Illinois/NCSA Open Source License</v>
          </cell>
        </row>
        <row r="889">
          <cell r="A889" t="str">
            <v>nebVarSkipV1aLong</v>
          </cell>
          <cell r="B889" t="str">
            <v>New England Biolabs VarSKip V1a Long Primer Set</v>
          </cell>
        </row>
        <row r="890">
          <cell r="A890" t="str">
            <v>nebVarSkipV1aShort</v>
          </cell>
          <cell r="B890" t="str">
            <v>New England Biolabs VarSKip V1a short Primer Set</v>
          </cell>
        </row>
        <row r="891">
          <cell r="A891" t="str">
            <v>nebVarSkipV2a</v>
          </cell>
          <cell r="B891" t="str">
            <v>New England Biolabs VarSKip V2a Primer Set</v>
          </cell>
        </row>
        <row r="892">
          <cell r="A892" t="str">
            <v>nebVarSkipV2b</v>
          </cell>
          <cell r="B892" t="str">
            <v>New England Biolabs VarSKip V2b Primer Set</v>
          </cell>
        </row>
        <row r="893">
          <cell r="A893" t="str">
            <v>neigh</v>
          </cell>
          <cell r="B893" t="str">
            <v>Neighbourhood</v>
          </cell>
        </row>
        <row r="894">
          <cell r="A894" t="str">
            <v>neighborLevel</v>
          </cell>
          <cell r="B894" t="str">
            <v>Local administrative units or neighborhoods</v>
          </cell>
        </row>
        <row r="895">
          <cell r="A895" t="str">
            <v>newVax</v>
          </cell>
          <cell r="B895" t="str">
            <v>Population of newly vaccinated persons</v>
          </cell>
        </row>
        <row r="896">
          <cell r="A896" t="str">
            <v>nextclade</v>
          </cell>
          <cell r="B896" t="str">
            <v>NextClade nomenclature</v>
          </cell>
        </row>
        <row r="897">
          <cell r="A897" t="str">
            <v>ngL</v>
          </cell>
          <cell r="B897" t="str">
            <v>Nanograms per liter</v>
          </cell>
        </row>
        <row r="898">
          <cell r="A898" t="str">
            <v>ngmn</v>
          </cell>
          <cell r="B898" t="str">
            <v>Normalized geometric mean</v>
          </cell>
        </row>
        <row r="899">
          <cell r="A899" t="str">
            <v>nGonorrhoeae</v>
          </cell>
          <cell r="B899" t="str">
            <v>Neisseria gonorrhoeae</v>
          </cell>
        </row>
        <row r="900">
          <cell r="A900" t="str">
            <v>nH4N</v>
          </cell>
          <cell r="B900" t="str">
            <v>Ammonium Nitrogen</v>
          </cell>
        </row>
        <row r="901">
          <cell r="A901" t="str">
            <v>niid19</v>
          </cell>
          <cell r="B901" t="str">
            <v>niid_2019-ncov_n sars-cov-2 gene target</v>
          </cell>
        </row>
        <row r="902">
          <cell r="A902" t="str">
            <v>nM</v>
          </cell>
          <cell r="B902" t="str">
            <v>Nano-molar</v>
          </cell>
        </row>
        <row r="903">
          <cell r="A903" t="str">
            <v>noConcern</v>
          </cell>
          <cell r="B903" t="str">
            <v>No quality concerns</v>
          </cell>
        </row>
        <row r="904">
          <cell r="A904" t="str">
            <v>noLabel</v>
          </cell>
          <cell r="B904" t="str">
            <v>Sample not labelled</v>
          </cell>
        </row>
        <row r="905">
          <cell r="A905" t="str">
            <v>noliquid</v>
          </cell>
          <cell r="B905" t="str">
            <v>No liquid concentration, liquid recombined with separated solids</v>
          </cell>
        </row>
        <row r="906">
          <cell r="A906" t="str">
            <v>nomenclature</v>
          </cell>
          <cell r="B906" t="str">
            <v>Nomenclature</v>
          </cell>
        </row>
        <row r="907">
          <cell r="A907" t="str">
            <v>nomenclatures</v>
          </cell>
          <cell r="B907" t="str">
            <v>Nomenclatures</v>
          </cell>
        </row>
        <row r="908">
          <cell r="A908" t="str">
            <v>noRain</v>
          </cell>
          <cell r="B908" t="str">
            <v>No rain</v>
          </cell>
        </row>
        <row r="909">
          <cell r="A909" t="str">
            <v>norm</v>
          </cell>
          <cell r="B909" t="str">
            <v>Purpose is normalization</v>
          </cell>
        </row>
        <row r="910">
          <cell r="A910" t="str">
            <v>norman</v>
          </cell>
          <cell r="B910" t="str">
            <v>NORMAN</v>
          </cell>
        </row>
        <row r="911">
          <cell r="A911" t="str">
            <v>normanNotes</v>
          </cell>
          <cell r="B911" t="str">
            <v>NORMAN - notes</v>
          </cell>
        </row>
        <row r="912">
          <cell r="A912" t="str">
            <v>noro</v>
          </cell>
          <cell r="B912" t="str">
            <v>Norovirus</v>
          </cell>
        </row>
        <row r="913">
          <cell r="A913" t="str">
            <v>noroG1</v>
          </cell>
          <cell r="B913" t="str">
            <v>Norovirus G1</v>
          </cell>
        </row>
        <row r="914">
          <cell r="A914" t="str">
            <v>noroG2</v>
          </cell>
          <cell r="B914" t="str">
            <v>Norovirus G2</v>
          </cell>
        </row>
        <row r="915">
          <cell r="A915" t="str">
            <v>noroGIGrp</v>
          </cell>
          <cell r="B915" t="str">
            <v>Norovirus GI Group</v>
          </cell>
        </row>
        <row r="916">
          <cell r="A916" t="str">
            <v>noroGIIGrp</v>
          </cell>
          <cell r="B916" t="str">
            <v>Norovirus GII Group</v>
          </cell>
        </row>
        <row r="917">
          <cell r="A917" t="str">
            <v>noroGrp</v>
          </cell>
          <cell r="B917" t="str">
            <v>Norovirus Group</v>
          </cell>
        </row>
        <row r="918">
          <cell r="A918" t="str">
            <v>noSep</v>
          </cell>
          <cell r="B918" t="str">
            <v>No Seperation or Concentration</v>
          </cell>
        </row>
        <row r="919">
          <cell r="A919" t="str">
            <v>notes</v>
          </cell>
          <cell r="B919" t="str">
            <v>Notes</v>
          </cell>
        </row>
        <row r="920">
          <cell r="A920" t="str">
            <v>noTime</v>
          </cell>
          <cell r="B920" t="str">
            <v>Sample missing time stamp</v>
          </cell>
        </row>
        <row r="921">
          <cell r="A921" t="str">
            <v>nPerKbp</v>
          </cell>
          <cell r="B921" t="str">
            <v>Number per 100 kilo-base-pairs</v>
          </cell>
        </row>
        <row r="922">
          <cell r="A922" t="str">
            <v>nr</v>
          </cell>
          <cell r="B922" t="str">
            <v>Not reported</v>
          </cell>
        </row>
        <row r="923">
          <cell r="A923" t="str">
            <v>nrNAMissingnessSet</v>
          </cell>
          <cell r="B923" t="str">
            <v>Not reported, Not applicable missing set</v>
          </cell>
        </row>
        <row r="924">
          <cell r="A924" t="str">
            <v>nSarbec</v>
          </cell>
          <cell r="B924" t="str">
            <v>Sarbecovirus-specific N sars-cov-2 gene target</v>
          </cell>
        </row>
        <row r="925">
          <cell r="A925" t="str">
            <v>ntcAmp</v>
          </cell>
          <cell r="B925" t="str">
            <v>NTC Amplification Detected</v>
          </cell>
        </row>
        <row r="926">
          <cell r="A926" t="str">
            <v>nTotRead</v>
          </cell>
          <cell r="B926" t="str">
            <v>number of total reads</v>
          </cell>
        </row>
        <row r="927">
          <cell r="A927" t="str">
            <v>ntu</v>
          </cell>
          <cell r="B927" t="str">
            <v>Nephelometric turbidity unit</v>
          </cell>
        </row>
        <row r="928">
          <cell r="A928" t="str">
            <v>nucAuto</v>
          </cell>
          <cell r="B928" t="str">
            <v>Nuclisens automated magnetic bead extraction kit</v>
          </cell>
        </row>
        <row r="929">
          <cell r="A929" t="str">
            <v>nucKingfish</v>
          </cell>
          <cell r="B929" t="str">
            <v>nucleomag (ref. 744220.4) using kingfisher automated instrument</v>
          </cell>
        </row>
        <row r="930">
          <cell r="A930" t="str">
            <v>nucManu</v>
          </cell>
          <cell r="B930" t="str">
            <v>Nuclisens manual magnetic bead extraction kit</v>
          </cell>
        </row>
        <row r="931">
          <cell r="A931" t="str">
            <v>null</v>
          </cell>
          <cell r="B931" t="str">
            <v>Null</v>
          </cell>
        </row>
        <row r="932">
          <cell r="A932" t="str">
            <v>numCode</v>
          </cell>
          <cell r="B932" t="str">
            <v>ISO 3166-1 numeric country code</v>
          </cell>
        </row>
        <row r="933">
          <cell r="A933" t="str">
            <v>numNTC</v>
          </cell>
          <cell r="B933" t="str">
            <v>Number of NTCs per Run</v>
          </cell>
        </row>
        <row r="934">
          <cell r="A934" t="str">
            <v>nUniRead</v>
          </cell>
          <cell r="B934" t="str">
            <v>number of unique reads</v>
          </cell>
        </row>
        <row r="935">
          <cell r="A935" t="str">
            <v>nwss</v>
          </cell>
          <cell r="B935" t="str">
            <v>National Wastewater Surveillance System</v>
          </cell>
        </row>
        <row r="936">
          <cell r="A936" t="str">
            <v>nwssNotes</v>
          </cell>
          <cell r="B936" t="str">
            <v>NWSS - notes</v>
          </cell>
        </row>
        <row r="937">
          <cell r="A937" t="str">
            <v>nwssProcess</v>
          </cell>
          <cell r="B937" t="str">
            <v>NWSS - process</v>
          </cell>
        </row>
        <row r="938">
          <cell r="A938" t="str">
            <v>nww</v>
          </cell>
          <cell r="B938" t="str">
            <v>Water</v>
          </cell>
        </row>
        <row r="939">
          <cell r="A939" t="str">
            <v>oc43</v>
          </cell>
          <cell r="B939" t="str">
            <v>coronavirus OC43</v>
          </cell>
        </row>
        <row r="940">
          <cell r="A940" t="str">
            <v>oc43Mat</v>
          </cell>
          <cell r="B940" t="str">
            <v>oc43 spike target</v>
          </cell>
        </row>
        <row r="941">
          <cell r="A941" t="str">
            <v>ocean</v>
          </cell>
          <cell r="B941" t="str">
            <v>Ocean, natural water body</v>
          </cell>
        </row>
        <row r="942">
          <cell r="A942" t="str">
            <v>oColDep</v>
          </cell>
          <cell r="B942" t="str">
            <v>Other Collection depreciated</v>
          </cell>
        </row>
        <row r="943">
          <cell r="A943" t="str">
            <v>ofl11</v>
          </cell>
          <cell r="B943" t="str">
            <v>SIL Open Font License 1.1</v>
          </cell>
        </row>
        <row r="944">
          <cell r="A944" t="str">
            <v>ola</v>
          </cell>
          <cell r="B944" t="str">
            <v>Lab Analysis</v>
          </cell>
        </row>
        <row r="945">
          <cell r="A945" t="str">
            <v>omicr1</v>
          </cell>
          <cell r="B945" t="str">
            <v>Omicron BA.1</v>
          </cell>
        </row>
        <row r="946">
          <cell r="A946" t="str">
            <v>omicr2</v>
          </cell>
          <cell r="B946" t="str">
            <v>Omicron BA.2</v>
          </cell>
        </row>
        <row r="947">
          <cell r="A947" t="str">
            <v>omicr275</v>
          </cell>
          <cell r="B947" t="str">
            <v>Omicron BA.2.75</v>
          </cell>
        </row>
        <row r="948">
          <cell r="A948" t="str">
            <v>omicr4</v>
          </cell>
          <cell r="B948" t="str">
            <v>Omicron BA.4</v>
          </cell>
        </row>
        <row r="949">
          <cell r="A949" t="str">
            <v>omicr5</v>
          </cell>
          <cell r="B949" t="str">
            <v>Omicron BA.5</v>
          </cell>
        </row>
        <row r="950">
          <cell r="A950" t="str">
            <v>omicronGrp</v>
          </cell>
          <cell r="B950" t="str">
            <v>SARS-CoV-2 Omicron Variant Group</v>
          </cell>
        </row>
        <row r="951">
          <cell r="A951" t="str">
            <v>onsDate</v>
          </cell>
          <cell r="B951" t="str">
            <v>Onset date</v>
          </cell>
        </row>
        <row r="952">
          <cell r="A952" t="str">
            <v>onse</v>
          </cell>
          <cell r="B952" t="str">
            <v>Online Sensor</v>
          </cell>
        </row>
        <row r="953">
          <cell r="A953" t="str">
            <v>ontologyRef</v>
          </cell>
          <cell r="B953" t="str">
            <v>Ontology reference</v>
          </cell>
        </row>
        <row r="954">
          <cell r="A954" t="str">
            <v>oor</v>
          </cell>
          <cell r="B954" t="str">
            <v>Value out of range</v>
          </cell>
        </row>
        <row r="955">
          <cell r="A955" t="str">
            <v>open</v>
          </cell>
          <cell r="B955" t="str">
            <v>Open license not otherwise described</v>
          </cell>
        </row>
        <row r="956">
          <cell r="A956" t="str">
            <v>ophos</v>
          </cell>
          <cell r="B956" t="str">
            <v>Orthophosphates</v>
          </cell>
        </row>
        <row r="957">
          <cell r="A957" t="str">
            <v>or</v>
          </cell>
          <cell r="B957" t="str">
            <v>Organization table Shorthand</v>
          </cell>
        </row>
        <row r="958">
          <cell r="A958" t="str">
            <v>orb</v>
          </cell>
          <cell r="B958" t="str">
            <v>Other residential building</v>
          </cell>
        </row>
        <row r="959">
          <cell r="A959" t="str">
            <v>orBoo</v>
          </cell>
          <cell r="B959" t="str">
            <v>OR Boolean aggregation</v>
          </cell>
        </row>
        <row r="960">
          <cell r="A960" t="str">
            <v>orf1a</v>
          </cell>
          <cell r="B960" t="str">
            <v>ORF1a sars-cov-2 gene target</v>
          </cell>
        </row>
        <row r="961">
          <cell r="A961" t="str">
            <v>orf1ab</v>
          </cell>
          <cell r="B961" t="str">
            <v>ORF1ab sars-cov-2 gene target</v>
          </cell>
        </row>
        <row r="962">
          <cell r="A962" t="str">
            <v>orf1b</v>
          </cell>
          <cell r="B962" t="str">
            <v>ORF1b sars-cov-2 gene target</v>
          </cell>
        </row>
        <row r="963">
          <cell r="A963" t="str">
            <v>organism</v>
          </cell>
          <cell r="B963" t="str">
            <v>Organism</v>
          </cell>
        </row>
        <row r="964">
          <cell r="A964" t="str">
            <v>organizationID</v>
          </cell>
          <cell r="B964" t="str">
            <v>Organization ID</v>
          </cell>
        </row>
        <row r="965">
          <cell r="A965" t="str">
            <v>organizations</v>
          </cell>
          <cell r="B965" t="str">
            <v>Organization table</v>
          </cell>
        </row>
        <row r="966">
          <cell r="A966" t="str">
            <v>organizationsOrder</v>
          </cell>
          <cell r="B966" t="str">
            <v>Organizations table column order</v>
          </cell>
        </row>
        <row r="967">
          <cell r="A967" t="str">
            <v>organizationsRequired</v>
          </cell>
          <cell r="B967" t="str">
            <v>Organziation table required headers</v>
          </cell>
        </row>
        <row r="968">
          <cell r="A968" t="str">
            <v>orgLevel</v>
          </cell>
          <cell r="B968" t="str">
            <v>Organization level</v>
          </cell>
        </row>
        <row r="969">
          <cell r="A969" t="str">
            <v>orgLevelSet</v>
          </cell>
          <cell r="B969" t="str">
            <v>Organization level set</v>
          </cell>
        </row>
        <row r="970">
          <cell r="A970" t="str">
            <v>orgSector</v>
          </cell>
          <cell r="B970" t="str">
            <v>Organization sector</v>
          </cell>
        </row>
        <row r="971">
          <cell r="A971" t="str">
            <v>orgSectorSet</v>
          </cell>
          <cell r="B971" t="str">
            <v>Organization sector set</v>
          </cell>
        </row>
        <row r="972">
          <cell r="A972" t="str">
            <v>orgType</v>
          </cell>
          <cell r="B972" t="str">
            <v>Organization Type</v>
          </cell>
        </row>
        <row r="973">
          <cell r="A973" t="str">
            <v>orgTypeSet</v>
          </cell>
          <cell r="B973" t="str">
            <v>Organization type set</v>
          </cell>
        </row>
        <row r="974">
          <cell r="A974" t="str">
            <v>origin</v>
          </cell>
          <cell r="B974" t="str">
            <v>Sample origin</v>
          </cell>
        </row>
        <row r="975">
          <cell r="A975" t="str">
            <v>originSet</v>
          </cell>
          <cell r="B975" t="str">
            <v>Sample Origin set</v>
          </cell>
        </row>
        <row r="976">
          <cell r="A976" t="str">
            <v>orp</v>
          </cell>
          <cell r="B976" t="str">
            <v>Oxidation reduction potential (ORP)</v>
          </cell>
        </row>
        <row r="977">
          <cell r="A977" t="str">
            <v>orthoGrp</v>
          </cell>
          <cell r="B977" t="str">
            <v>Orthopox Virus Group</v>
          </cell>
        </row>
        <row r="978">
          <cell r="A978" t="str">
            <v>osf</v>
          </cell>
          <cell r="B978" t="str">
            <v>Open Science Foundation (OSF)</v>
          </cell>
        </row>
        <row r="979">
          <cell r="A979" t="str">
            <v>osl30</v>
          </cell>
          <cell r="B979" t="str">
            <v>Open Software License 3.0</v>
          </cell>
        </row>
        <row r="980">
          <cell r="A980" t="str">
            <v>otco</v>
          </cell>
          <cell r="B980" t="str">
            <v>Other Collection depreciated</v>
          </cell>
        </row>
        <row r="981">
          <cell r="A981" t="str">
            <v>othAgg</v>
          </cell>
          <cell r="B981" t="str">
            <v>Other aggregation scale</v>
          </cell>
        </row>
        <row r="982">
          <cell r="A982" t="str">
            <v>other</v>
          </cell>
          <cell r="B982" t="str">
            <v>Other</v>
          </cell>
        </row>
        <row r="983">
          <cell r="A983" t="str">
            <v>otherAggrSet</v>
          </cell>
          <cell r="B983" t="str">
            <v>Other aggregation set</v>
          </cell>
        </row>
        <row r="984">
          <cell r="A984" t="str">
            <v>otherDep</v>
          </cell>
          <cell r="B984" t="str">
            <v>Other aggregation depricated</v>
          </cell>
        </row>
        <row r="985">
          <cell r="A985" t="str">
            <v>otherProvDep</v>
          </cell>
          <cell r="B985" t="str">
            <v>Access to other prov depricated</v>
          </cell>
        </row>
        <row r="986">
          <cell r="A986" t="str">
            <v>otherReportTableSet</v>
          </cell>
          <cell r="B986" t="str">
            <v>Other report table set</v>
          </cell>
        </row>
        <row r="987">
          <cell r="A987" t="str">
            <v>otherV</v>
          </cell>
          <cell r="B987" t="str">
            <v>Variants Other</v>
          </cell>
        </row>
        <row r="988">
          <cell r="A988" t="str">
            <v>otsisaDep</v>
          </cell>
          <cell r="B988" t="str">
            <v xml:space="preserve">Other Site - sample depreciated </v>
          </cell>
        </row>
        <row r="989">
          <cell r="A989" t="str">
            <v>otsisiDep</v>
          </cell>
          <cell r="B989" t="str">
            <v>Other Site - Site depreciated</v>
          </cell>
        </row>
        <row r="990">
          <cell r="A990" t="str">
            <v>otunDep</v>
          </cell>
          <cell r="B990" t="str">
            <v>Other Unit depricated</v>
          </cell>
        </row>
        <row r="991">
          <cell r="A991" t="str">
            <v>out</v>
          </cell>
          <cell r="B991" t="str">
            <v>Value is an outlier</v>
          </cell>
        </row>
        <row r="992">
          <cell r="A992" t="str">
            <v>outb</v>
          </cell>
          <cell r="B992" t="str">
            <v>Outbreak</v>
          </cell>
        </row>
        <row r="993">
          <cell r="A993" t="str">
            <v>outbEnd</v>
          </cell>
          <cell r="B993" t="str">
            <v>Outbreak End</v>
          </cell>
        </row>
        <row r="994">
          <cell r="A994" t="str">
            <v>outbOngoing</v>
          </cell>
          <cell r="B994" t="str">
            <v>Outbreak - on-going</v>
          </cell>
        </row>
        <row r="995">
          <cell r="A995" t="str">
            <v>outbreak</v>
          </cell>
          <cell r="B995" t="str">
            <v>Outbreak class</v>
          </cell>
        </row>
        <row r="996">
          <cell r="A996" t="str">
            <v>outbreakSet</v>
          </cell>
          <cell r="B996" t="str">
            <v>Outbreak set</v>
          </cell>
        </row>
        <row r="997">
          <cell r="A997" t="str">
            <v>outbStart</v>
          </cell>
          <cell r="B997" t="str">
            <v>Outbreak start</v>
          </cell>
        </row>
        <row r="998">
          <cell r="A998" t="str">
            <v>p100l</v>
          </cell>
          <cell r="B998" t="str">
            <v>Delta Variant p100l mutation</v>
          </cell>
        </row>
        <row r="999">
          <cell r="A999" t="str">
            <v>p13L</v>
          </cell>
          <cell r="B999" t="str">
            <v>Omicron Variant p13l mutation</v>
          </cell>
        </row>
        <row r="1000">
          <cell r="A1000" t="str">
            <v>p2046l</v>
          </cell>
          <cell r="B1000" t="str">
            <v>Delta Variant p2046l mutation</v>
          </cell>
        </row>
        <row r="1001">
          <cell r="A1001" t="str">
            <v>p2287s</v>
          </cell>
          <cell r="B1001" t="str">
            <v>Delta Variant  p2287s mutation</v>
          </cell>
        </row>
        <row r="1002">
          <cell r="A1002" t="str">
            <v>p3395h</v>
          </cell>
          <cell r="B1002" t="str">
            <v>Omicron Variant p3395h mutation</v>
          </cell>
        </row>
        <row r="1003">
          <cell r="A1003" t="str">
            <v>p681r</v>
          </cell>
          <cell r="B1003" t="str">
            <v>Delta Variant p681r</v>
          </cell>
        </row>
        <row r="1004">
          <cell r="A1004" t="str">
            <v>pa</v>
          </cell>
          <cell r="B1004" t="str">
            <v>Parts Look-up table Shorthand</v>
          </cell>
        </row>
        <row r="1005">
          <cell r="A1005" t="str">
            <v>pAct</v>
          </cell>
          <cell r="B1005" t="str">
            <v>polymerase activation</v>
          </cell>
        </row>
        <row r="1006">
          <cell r="A1006" t="str">
            <v>pairLay</v>
          </cell>
          <cell r="B1006" t="str">
            <v>Paired Layout</v>
          </cell>
        </row>
        <row r="1007">
          <cell r="A1007" t="str">
            <v>pangolin</v>
          </cell>
          <cell r="B1007" t="str">
            <v>Pangolin nomenclature</v>
          </cell>
        </row>
        <row r="1008">
          <cell r="A1008" t="str">
            <v>papilomavirusGrp</v>
          </cell>
          <cell r="B1008" t="str">
            <v>Papilomavirus Group</v>
          </cell>
        </row>
        <row r="1009">
          <cell r="A1009" t="str">
            <v>para</v>
          </cell>
          <cell r="B1009" t="str">
            <v>Paraxanthine (PARA)</v>
          </cell>
        </row>
        <row r="1010">
          <cell r="A1010" t="str">
            <v>parafluGrp</v>
          </cell>
          <cell r="B1010" t="str">
            <v>Parainfluenza Group</v>
          </cell>
        </row>
        <row r="1011">
          <cell r="A1011" t="str">
            <v>parapoxSpike</v>
          </cell>
          <cell r="B1011" t="str">
            <v>Parapoxvirus Orf Virus Spike Target</v>
          </cell>
        </row>
        <row r="1012">
          <cell r="A1012" t="str">
            <v>parDatasetID</v>
          </cell>
          <cell r="B1012" t="str">
            <v>Parent dataset ID</v>
          </cell>
        </row>
        <row r="1013">
          <cell r="A1013" t="str">
            <v>parent</v>
          </cell>
          <cell r="B1013" t="str">
            <v>Parent sample ID</v>
          </cell>
        </row>
        <row r="1014">
          <cell r="A1014" t="str">
            <v>parSiteID</v>
          </cell>
          <cell r="B1014" t="str">
            <v>Parent Site ID</v>
          </cell>
        </row>
        <row r="1015">
          <cell r="A1015" t="str">
            <v>partDesc</v>
          </cell>
          <cell r="B1015" t="str">
            <v>Part description</v>
          </cell>
        </row>
        <row r="1016">
          <cell r="A1016" t="str">
            <v>partID</v>
          </cell>
          <cell r="B1016" t="str">
            <v>Part identifier</v>
          </cell>
        </row>
        <row r="1017">
          <cell r="A1017" t="str">
            <v>partInstr</v>
          </cell>
          <cell r="B1017" t="str">
            <v>Part instruction</v>
          </cell>
        </row>
        <row r="1018">
          <cell r="A1018" t="str">
            <v>parts</v>
          </cell>
          <cell r="B1018" t="str">
            <v>Parts Look-up table</v>
          </cell>
        </row>
        <row r="1019">
          <cell r="A1019" t="str">
            <v>partsOrder</v>
          </cell>
          <cell r="B1019" t="str">
            <v>Parts table column order</v>
          </cell>
        </row>
        <row r="1020">
          <cell r="A1020" t="str">
            <v>partsRequired</v>
          </cell>
          <cell r="B1020" t="str">
            <v>Parts table required headers</v>
          </cell>
        </row>
        <row r="1021">
          <cell r="A1021" t="str">
            <v>partType</v>
          </cell>
          <cell r="B1021" t="str">
            <v>Part types</v>
          </cell>
        </row>
        <row r="1022">
          <cell r="A1022" t="str">
            <v>partTypeInput</v>
          </cell>
          <cell r="B1022" t="str">
            <v>Part type input (wide table)</v>
          </cell>
        </row>
        <row r="1023">
          <cell r="A1023" t="str">
            <v>partTypeName</v>
          </cell>
          <cell r="B1023" t="str">
            <v>Part type name (wide table)</v>
          </cell>
        </row>
        <row r="1024">
          <cell r="A1024" t="str">
            <v>passiveGen</v>
          </cell>
          <cell r="B1024" t="str">
            <v>Passive Sample - General</v>
          </cell>
        </row>
        <row r="1025">
          <cell r="A1025" t="str">
            <v>pasteur</v>
          </cell>
          <cell r="B1025" t="str">
            <v>Pasteurized sample</v>
          </cell>
        </row>
        <row r="1026">
          <cell r="A1026" t="str">
            <v>pceDep</v>
          </cell>
          <cell r="B1026" t="str">
            <v>Primary Clarifier Effluent depreciated</v>
          </cell>
        </row>
        <row r="1027">
          <cell r="A1027" t="str">
            <v>pCode</v>
          </cell>
          <cell r="B1027" t="str">
            <v>Postal or Zip Code</v>
          </cell>
        </row>
        <row r="1028">
          <cell r="A1028" t="str">
            <v>pcr</v>
          </cell>
          <cell r="B1028" t="str">
            <v>qPCR Class</v>
          </cell>
        </row>
        <row r="1029">
          <cell r="A1029" t="str">
            <v>pcrAct</v>
          </cell>
          <cell r="B1029" t="str">
            <v>PCR Action/Activity</v>
          </cell>
        </row>
        <row r="1030">
          <cell r="A1030" t="str">
            <v>pcrActSet</v>
          </cell>
          <cell r="B1030" t="str">
            <v>PCR action/activity set</v>
          </cell>
        </row>
        <row r="1031">
          <cell r="A1031" t="str">
            <v>pcrCycles</v>
          </cell>
          <cell r="B1031" t="str">
            <v>PCR Quanitification Cycles</v>
          </cell>
        </row>
        <row r="1032">
          <cell r="A1032" t="str">
            <v>pcrmeth</v>
          </cell>
          <cell r="B1032" t="str">
            <v>PCR method</v>
          </cell>
        </row>
        <row r="1033">
          <cell r="A1033" t="str">
            <v>pcrQualitySet</v>
          </cell>
          <cell r="B1033" t="str">
            <v>PCR quality set</v>
          </cell>
        </row>
        <row r="1034">
          <cell r="A1034" t="str">
            <v>pcrSeq</v>
          </cell>
          <cell r="B1034" t="str">
            <v>PCR sequencingsSelection method</v>
          </cell>
        </row>
        <row r="1035">
          <cell r="A1035" t="str">
            <v>pcrSet</v>
          </cell>
          <cell r="B1035" t="str">
            <v>PCR Method set</v>
          </cell>
        </row>
        <row r="1036">
          <cell r="A1036" t="str">
            <v>pcs</v>
          </cell>
          <cell r="B1036" t="str">
            <v>Primary Clarifier Sludge depreciated</v>
          </cell>
        </row>
        <row r="1037">
          <cell r="A1037" t="str">
            <v>peeps</v>
          </cell>
          <cell r="B1037" t="str">
            <v>Number of people</v>
          </cell>
        </row>
        <row r="1038">
          <cell r="A1038" t="str">
            <v>pEfflu</v>
          </cell>
          <cell r="B1038" t="str">
            <v>Primary clarifier effluent</v>
          </cell>
        </row>
        <row r="1039">
          <cell r="A1039" t="str">
            <v>peg</v>
          </cell>
          <cell r="B1039" t="str">
            <v>Polyethyleneglycol (PEG) precipitation</v>
          </cell>
        </row>
        <row r="1040">
          <cell r="A1040" t="str">
            <v>perc</v>
          </cell>
          <cell r="B1040" t="str">
            <v>Percent</v>
          </cell>
        </row>
        <row r="1041">
          <cell r="A1041" t="str">
            <v>percContam</v>
          </cell>
          <cell r="B1041" t="str">
            <v xml:space="preserve">percent read contamination </v>
          </cell>
        </row>
        <row r="1042">
          <cell r="A1042" t="str">
            <v>percNLength</v>
          </cell>
          <cell r="B1042" t="str">
            <v>percent Ns across total genome length</v>
          </cell>
        </row>
        <row r="1043">
          <cell r="A1043" t="str">
            <v>percRec</v>
          </cell>
          <cell r="B1043" t="str">
            <v>Percent recovery</v>
          </cell>
        </row>
        <row r="1044">
          <cell r="A1044" t="str">
            <v>personPerKm</v>
          </cell>
          <cell r="B1044" t="str">
            <v>Persons for square kilometre</v>
          </cell>
        </row>
        <row r="1045">
          <cell r="A1045" t="str">
            <v>personPerMile</v>
          </cell>
          <cell r="B1045" t="str">
            <v>Persons per square mile</v>
          </cell>
        </row>
        <row r="1046">
          <cell r="A1046" t="str">
            <v>ph</v>
          </cell>
          <cell r="B1046" t="str">
            <v>pH</v>
          </cell>
        </row>
        <row r="1047">
          <cell r="A1047" t="str">
            <v>phac</v>
          </cell>
          <cell r="B1047" t="str">
            <v>Access to phac</v>
          </cell>
        </row>
        <row r="1048">
          <cell r="A1048" t="str">
            <v>phage</v>
          </cell>
          <cell r="B1048" t="str">
            <v>PHAGE</v>
          </cell>
        </row>
        <row r="1049">
          <cell r="A1049" t="str">
            <v>phageGrp</v>
          </cell>
          <cell r="B1049" t="str">
            <v>Bacteriophage Group</v>
          </cell>
        </row>
        <row r="1050">
          <cell r="A1050" t="str">
            <v>phageNotes</v>
          </cell>
          <cell r="B1050" t="str">
            <v>PHAGE - notes</v>
          </cell>
        </row>
        <row r="1051">
          <cell r="A1051" t="str">
            <v>pHClass</v>
          </cell>
          <cell r="B1051" t="str">
            <v>pH class</v>
          </cell>
        </row>
        <row r="1052">
          <cell r="A1052" t="str">
            <v>phenCl</v>
          </cell>
          <cell r="B1052" t="str">
            <v>Phenol chloroform</v>
          </cell>
        </row>
        <row r="1053">
          <cell r="A1053" t="str">
            <v>phi6</v>
          </cell>
          <cell r="B1053" t="str">
            <v>Pseudomonas virus phi6</v>
          </cell>
        </row>
        <row r="1054">
          <cell r="A1054" t="str">
            <v>phi6Mat</v>
          </cell>
          <cell r="B1054" t="str">
            <v>phi6 spike target</v>
          </cell>
        </row>
        <row r="1055">
          <cell r="A1055" t="str">
            <v>phone</v>
          </cell>
          <cell r="B1055" t="str">
            <v>Country national phone prefix</v>
          </cell>
        </row>
        <row r="1056">
          <cell r="A1056" t="str">
            <v>phos</v>
          </cell>
          <cell r="B1056" t="str">
            <v>Total phosphorous</v>
          </cell>
        </row>
        <row r="1057">
          <cell r="A1057" t="str">
            <v>phostot</v>
          </cell>
          <cell r="B1057" t="str">
            <v>Total Phosphates</v>
          </cell>
        </row>
        <row r="1058">
          <cell r="A1058" t="str">
            <v>phred</v>
          </cell>
          <cell r="B1058" t="str">
            <v>PHRED quality score</v>
          </cell>
        </row>
        <row r="1059">
          <cell r="A1059" t="str">
            <v>phy</v>
          </cell>
          <cell r="B1059" t="str">
            <v>Physical property</v>
          </cell>
        </row>
        <row r="1060">
          <cell r="A1060" t="str">
            <v>physical</v>
          </cell>
          <cell r="B1060" t="str">
            <v>Physical class</v>
          </cell>
        </row>
        <row r="1061">
          <cell r="A1061" t="str">
            <v>pK</v>
          </cell>
          <cell r="B1061" t="str">
            <v>Primary key</v>
          </cell>
        </row>
        <row r="1062">
          <cell r="A1062" t="str">
            <v>plasmodium</v>
          </cell>
          <cell r="B1062" t="str">
            <v>Plasmodium</v>
          </cell>
        </row>
        <row r="1063">
          <cell r="A1063" t="str">
            <v>pmFloMean</v>
          </cell>
          <cell r="B1063" t="str">
            <v>PMMoV- and flow-normalized mean</v>
          </cell>
        </row>
        <row r="1064">
          <cell r="A1064" t="str">
            <v>pmmovGrp</v>
          </cell>
          <cell r="B1064" t="str">
            <v>PMMoV Group</v>
          </cell>
        </row>
        <row r="1065">
          <cell r="A1065" t="str">
            <v>pmmovNorm</v>
          </cell>
          <cell r="B1065" t="str">
            <v>PMMoV-normalized mean</v>
          </cell>
        </row>
        <row r="1066">
          <cell r="A1066" t="str">
            <v>pmmvABIFor</v>
          </cell>
          <cell r="B1066" t="str">
            <v>PMMV forward primer (ABI)</v>
          </cell>
        </row>
        <row r="1067">
          <cell r="A1067" t="str">
            <v>pmmvABIProbe</v>
          </cell>
          <cell r="B1067" t="str">
            <v>PMMV probe (ABI)</v>
          </cell>
        </row>
        <row r="1068">
          <cell r="A1068" t="str">
            <v>pmmvABIRev</v>
          </cell>
          <cell r="B1068" t="str">
            <v>PMMV reverse primer (ABI)</v>
          </cell>
        </row>
        <row r="1069">
          <cell r="A1069" t="str">
            <v>po</v>
          </cell>
          <cell r="B1069" t="str">
            <v>Polygon table Shorthand</v>
          </cell>
        </row>
        <row r="1070">
          <cell r="A1070" t="str">
            <v>pogr</v>
          </cell>
          <cell r="B1070" t="str">
            <v>Post-Grit depreciated</v>
          </cell>
        </row>
        <row r="1071">
          <cell r="A1071" t="str">
            <v>policy</v>
          </cell>
          <cell r="B1071" t="str">
            <v>Policy and political sector or organization</v>
          </cell>
        </row>
        <row r="1072">
          <cell r="A1072" t="str">
            <v>polioGrp</v>
          </cell>
          <cell r="B1072" t="str">
            <v>Poliovirus Group</v>
          </cell>
        </row>
        <row r="1073">
          <cell r="A1073" t="str">
            <v>polygonID</v>
          </cell>
          <cell r="B1073" t="str">
            <v>Polygon ID</v>
          </cell>
        </row>
        <row r="1074">
          <cell r="A1074" t="str">
            <v>polygons</v>
          </cell>
          <cell r="B1074" t="str">
            <v>Polygon table</v>
          </cell>
        </row>
        <row r="1075">
          <cell r="A1075" t="str">
            <v>polygonsOrder</v>
          </cell>
          <cell r="B1075" t="str">
            <v>Polygons table column order</v>
          </cell>
        </row>
        <row r="1076">
          <cell r="A1076" t="str">
            <v>polygonsRequired</v>
          </cell>
          <cell r="B1076" t="str">
            <v>Polygon table required headers</v>
          </cell>
        </row>
        <row r="1077">
          <cell r="A1077" t="str">
            <v>polyPop</v>
          </cell>
          <cell r="B1077" t="str">
            <v>Polygon Population</v>
          </cell>
        </row>
        <row r="1078">
          <cell r="A1078" t="str">
            <v>pooled</v>
          </cell>
          <cell r="B1078" t="str">
            <v>Pooled</v>
          </cell>
        </row>
        <row r="1079">
          <cell r="A1079" t="str">
            <v>pop</v>
          </cell>
          <cell r="B1079" t="str">
            <v>Population</v>
          </cell>
        </row>
        <row r="1080">
          <cell r="A1080" t="str">
            <v>popAreaSet</v>
          </cell>
          <cell r="B1080" t="str">
            <v>Populated area type set</v>
          </cell>
        </row>
        <row r="1081">
          <cell r="A1081" t="str">
            <v>popAreaType</v>
          </cell>
          <cell r="B1081" t="str">
            <v>Populated area type</v>
          </cell>
        </row>
        <row r="1082">
          <cell r="A1082" t="str">
            <v>popDateTypeDep</v>
          </cell>
          <cell r="B1082" t="str">
            <v>Type of date for case reporting depreciated</v>
          </cell>
        </row>
        <row r="1083">
          <cell r="A1083" t="str">
            <v>popDensity</v>
          </cell>
          <cell r="B1083" t="str">
            <v>Population density</v>
          </cell>
        </row>
        <row r="1084">
          <cell r="A1084" t="str">
            <v>popDensUnitSet</v>
          </cell>
          <cell r="B1084" t="str">
            <v>Population density unit set</v>
          </cell>
        </row>
        <row r="1085">
          <cell r="A1085" t="str">
            <v>popEq</v>
          </cell>
          <cell r="B1085" t="str">
            <v>Population equivalents</v>
          </cell>
        </row>
        <row r="1086">
          <cell r="A1086" t="str">
            <v>popGrp</v>
          </cell>
          <cell r="B1086" t="str">
            <v>Population group</v>
          </cell>
        </row>
        <row r="1087">
          <cell r="A1087" t="str">
            <v>popServ</v>
          </cell>
          <cell r="B1087" t="str">
            <v>Population Served</v>
          </cell>
        </row>
        <row r="1088">
          <cell r="A1088" t="str">
            <v>popServRange</v>
          </cell>
          <cell r="B1088" t="str">
            <v>Population Served - Interval</v>
          </cell>
        </row>
        <row r="1089">
          <cell r="A1089" t="str">
            <v>populationUnitSet</v>
          </cell>
          <cell r="B1089" t="str">
            <v>Population unit set</v>
          </cell>
        </row>
        <row r="1090">
          <cell r="A1090" t="str">
            <v>poSaSpecimenSet</v>
          </cell>
          <cell r="B1090" t="str">
            <v>Population or sample set</v>
          </cell>
        </row>
        <row r="1091">
          <cell r="A1091" t="str">
            <v>poSiSpecimenSet</v>
          </cell>
          <cell r="B1091" t="str">
            <v>Population or site set</v>
          </cell>
        </row>
        <row r="1092">
          <cell r="A1092" t="str">
            <v>poSpecimenSet</v>
          </cell>
          <cell r="B1092" t="str">
            <v>Population specimen set</v>
          </cell>
        </row>
        <row r="1093">
          <cell r="A1093" t="str">
            <v>postgreSQL</v>
          </cell>
          <cell r="B1093" t="str">
            <v>PostgreSQL License</v>
          </cell>
        </row>
        <row r="1094">
          <cell r="A1094" t="str">
            <v>pp</v>
          </cell>
          <cell r="B1094" t="str">
            <v>Percent positive</v>
          </cell>
        </row>
        <row r="1095">
          <cell r="A1095" t="str">
            <v>ppm</v>
          </cell>
          <cell r="B1095" t="str">
            <v>parts per million</v>
          </cell>
        </row>
        <row r="1096">
          <cell r="A1096" t="str">
            <v>ppmv</v>
          </cell>
          <cell r="B1096" t="str">
            <v>PMMoV-CP</v>
          </cell>
        </row>
        <row r="1097">
          <cell r="A1097" t="str">
            <v>pprt</v>
          </cell>
          <cell r="B1097" t="str">
            <v>Percent positivity rate</v>
          </cell>
        </row>
        <row r="1098">
          <cell r="A1098" t="str">
            <v>pps</v>
          </cell>
          <cell r="B1098" t="str">
            <v>Percent primary sludge</v>
          </cell>
        </row>
        <row r="1099">
          <cell r="A1099" t="str">
            <v>ppt</v>
          </cell>
          <cell r="B1099" t="str">
            <v>parts per thousand</v>
          </cell>
        </row>
        <row r="1100">
          <cell r="A1100" t="str">
            <v>pr</v>
          </cell>
          <cell r="B1100" t="str">
            <v>Protocol relationships table Shorthand</v>
          </cell>
        </row>
        <row r="1101">
          <cell r="A1101" t="str">
            <v>precip</v>
          </cell>
          <cell r="B1101" t="str">
            <v>Precipitation - general</v>
          </cell>
        </row>
        <row r="1102">
          <cell r="A1102" t="str">
            <v>precipation</v>
          </cell>
          <cell r="B1102" t="str">
            <v>Precipitation class</v>
          </cell>
        </row>
        <row r="1103">
          <cell r="A1103" t="str">
            <v>precipitationUnitSet</v>
          </cell>
          <cell r="B1103" t="str">
            <v>Precipitation unit set</v>
          </cell>
        </row>
        <row r="1104">
          <cell r="A1104" t="str">
            <v>preConcTemp</v>
          </cell>
          <cell r="B1104" t="str">
            <v>Storage temperature prior to concentration</v>
          </cell>
        </row>
        <row r="1105">
          <cell r="A1105" t="str">
            <v>preConcTime</v>
          </cell>
          <cell r="B1105" t="str">
            <v>Storage time prior to concentration</v>
          </cell>
        </row>
        <row r="1106">
          <cell r="A1106" t="str">
            <v>preExtractTemp</v>
          </cell>
          <cell r="B1106" t="str">
            <v>Storage temperature prior to extraction</v>
          </cell>
        </row>
        <row r="1107">
          <cell r="A1107" t="str">
            <v>preExtractTime</v>
          </cell>
          <cell r="B1107" t="str">
            <v>Storage time prior to extraction</v>
          </cell>
        </row>
        <row r="1108">
          <cell r="A1108" t="str">
            <v>preSampWeath</v>
          </cell>
          <cell r="B1108" t="str">
            <v>Pre-sampling weather</v>
          </cell>
        </row>
        <row r="1109">
          <cell r="A1109" t="str">
            <v>pretreat</v>
          </cell>
          <cell r="B1109" t="str">
            <v>Pretreatment</v>
          </cell>
        </row>
        <row r="1110">
          <cell r="A1110" t="str">
            <v>primer</v>
          </cell>
          <cell r="B1110" t="str">
            <v>Genetic primer</v>
          </cell>
        </row>
        <row r="1111">
          <cell r="A1111" t="str">
            <v>primerSet</v>
          </cell>
          <cell r="B1111" t="str">
            <v>Genetic primer set</v>
          </cell>
        </row>
        <row r="1112">
          <cell r="A1112" t="str">
            <v>priv</v>
          </cell>
          <cell r="B1112" t="str">
            <v>Private sector</v>
          </cell>
        </row>
        <row r="1113">
          <cell r="A1113" t="str">
            <v>private</v>
          </cell>
          <cell r="B1113" t="str">
            <v>Private data - not for disemination</v>
          </cell>
        </row>
        <row r="1114">
          <cell r="A1114" t="str">
            <v>pro</v>
          </cell>
          <cell r="B1114" t="str">
            <v>Protocol relationships table Shorthand</v>
          </cell>
        </row>
        <row r="1115">
          <cell r="A1115" t="str">
            <v>procGrp</v>
          </cell>
          <cell r="B1115" t="str">
            <v>Processing group</v>
          </cell>
        </row>
        <row r="1116">
          <cell r="A1116" t="str">
            <v>profil</v>
          </cell>
          <cell r="B1116" t="str">
            <v>Environmental survey or profiling</v>
          </cell>
        </row>
        <row r="1117">
          <cell r="A1117" t="str">
            <v>programDescr</v>
          </cell>
          <cell r="B1117" t="str">
            <v>Program decription tables</v>
          </cell>
        </row>
        <row r="1118">
          <cell r="A1118" t="str">
            <v>promAuto</v>
          </cell>
          <cell r="B1118" t="str">
            <v>promega automated tna kit</v>
          </cell>
        </row>
        <row r="1119">
          <cell r="A1119" t="str">
            <v>promegaLVTNA</v>
          </cell>
          <cell r="B1119" t="str">
            <v>promega wastewater large volume tna capture kit</v>
          </cell>
        </row>
        <row r="1120">
          <cell r="A1120" t="str">
            <v>promHt</v>
          </cell>
          <cell r="B1120" t="str">
            <v>promega ht tna kit</v>
          </cell>
        </row>
        <row r="1121">
          <cell r="A1121" t="str">
            <v>promManu</v>
          </cell>
          <cell r="B1121" t="str">
            <v>promega manual tna kit</v>
          </cell>
        </row>
        <row r="1122">
          <cell r="A1122" t="str">
            <v>promWW</v>
          </cell>
          <cell r="B1122" t="str">
            <v>promega wastewater large volume tna capture kit</v>
          </cell>
        </row>
        <row r="1123">
          <cell r="A1123" t="str">
            <v>prop</v>
          </cell>
          <cell r="B1123" t="str">
            <v>Proportion of total</v>
          </cell>
        </row>
        <row r="1124">
          <cell r="A1124" t="str">
            <v>propV</v>
          </cell>
          <cell r="B1124" t="str">
            <v>Proportion of variant in sample</v>
          </cell>
        </row>
        <row r="1125">
          <cell r="A1125" t="str">
            <v>protein</v>
          </cell>
          <cell r="B1125" t="str">
            <v>Proteins class</v>
          </cell>
        </row>
        <row r="1126">
          <cell r="A1126" t="str">
            <v>protocolID</v>
          </cell>
          <cell r="B1126" t="str">
            <v>Protocol ID</v>
          </cell>
        </row>
        <row r="1127">
          <cell r="A1127" t="str">
            <v>protocolIDContainer</v>
          </cell>
          <cell r="B1127" t="str">
            <v>Protocol ID container</v>
          </cell>
        </row>
        <row r="1128">
          <cell r="A1128" t="str">
            <v>protocolIDObj</v>
          </cell>
          <cell r="B1128" t="str">
            <v>Protocol ID object</v>
          </cell>
        </row>
        <row r="1129">
          <cell r="A1129" t="str">
            <v>protocolIDSub</v>
          </cell>
          <cell r="B1129" t="str">
            <v>Protocol ID subject</v>
          </cell>
        </row>
        <row r="1130">
          <cell r="A1130" t="str">
            <v>protocolRelationships</v>
          </cell>
          <cell r="B1130" t="str">
            <v>Protocol relationships table</v>
          </cell>
        </row>
        <row r="1131">
          <cell r="A1131" t="str">
            <v>protocolRelationshipsID</v>
          </cell>
          <cell r="B1131" t="str">
            <v>Synthetic ID for the protocolRelationships table</v>
          </cell>
        </row>
        <row r="1132">
          <cell r="A1132" t="str">
            <v>protocolRelationshipsOrder</v>
          </cell>
          <cell r="B1132" t="str">
            <v>Protocol relationships table column order</v>
          </cell>
        </row>
        <row r="1133">
          <cell r="A1133" t="str">
            <v>protocolRelationshipsRequired</v>
          </cell>
          <cell r="B1133" t="str">
            <v>Protocol Relationship table required headers</v>
          </cell>
        </row>
        <row r="1134">
          <cell r="A1134" t="str">
            <v>protocolRelSet</v>
          </cell>
          <cell r="B1134" t="str">
            <v>Protocol Relationships set</v>
          </cell>
        </row>
        <row r="1135">
          <cell r="A1135" t="str">
            <v>protocols</v>
          </cell>
          <cell r="B1135" t="str">
            <v>Protocols table</v>
          </cell>
        </row>
        <row r="1136">
          <cell r="A1136" t="str">
            <v>protocolsOrder</v>
          </cell>
          <cell r="B1136" t="str">
            <v>Protocols table column order</v>
          </cell>
        </row>
        <row r="1137">
          <cell r="A1137" t="str">
            <v>protocolsRequired</v>
          </cell>
          <cell r="B1137" t="str">
            <v>Protocols table required headers</v>
          </cell>
        </row>
        <row r="1138">
          <cell r="A1138" t="str">
            <v>protocolSteps</v>
          </cell>
          <cell r="B1138" t="str">
            <v>Protocol steps table</v>
          </cell>
        </row>
        <row r="1139">
          <cell r="A1139" t="str">
            <v>protocolStepsOrder</v>
          </cell>
          <cell r="B1139" t="str">
            <v>Protocol steps table column order</v>
          </cell>
        </row>
        <row r="1140">
          <cell r="A1140" t="str">
            <v>protocolStepsRequired</v>
          </cell>
          <cell r="B1140" t="str">
            <v>Protocol steps table required headers</v>
          </cell>
        </row>
        <row r="1141">
          <cell r="A1141" t="str">
            <v>protocolTableSet</v>
          </cell>
          <cell r="B1141" t="str">
            <v>Protocol table set</v>
          </cell>
        </row>
        <row r="1142">
          <cell r="A1142" t="str">
            <v>protocolVersion</v>
          </cell>
          <cell r="B1142" t="str">
            <v>Protocol version</v>
          </cell>
        </row>
        <row r="1143">
          <cell r="A1143" t="str">
            <v>provHA</v>
          </cell>
          <cell r="B1143" t="str">
            <v>Access to prov ha</v>
          </cell>
        </row>
        <row r="1144">
          <cell r="A1144" t="str">
            <v>provisional</v>
          </cell>
          <cell r="B1144" t="str">
            <v>Provisional report</v>
          </cell>
        </row>
        <row r="1145">
          <cell r="A1145" t="str">
            <v>ps</v>
          </cell>
          <cell r="B1145" t="str">
            <v>Protocol steps table Shorthand</v>
          </cell>
        </row>
        <row r="1146">
          <cell r="A1146" t="str">
            <v>pseudomonas</v>
          </cell>
          <cell r="B1146" t="str">
            <v>Pseudomonas</v>
          </cell>
        </row>
        <row r="1147">
          <cell r="A1147" t="str">
            <v>pseudomonasGrp</v>
          </cell>
          <cell r="B1147" t="str">
            <v>Pseudomonas Group</v>
          </cell>
        </row>
        <row r="1148">
          <cell r="A1148" t="str">
            <v>pSludge</v>
          </cell>
          <cell r="B1148" t="str">
            <v>Primary clarifier sludge</v>
          </cell>
        </row>
        <row r="1149">
          <cell r="A1149" t="str">
            <v>pStat</v>
          </cell>
          <cell r="B1149" t="str">
            <v>Pumping station</v>
          </cell>
        </row>
        <row r="1150">
          <cell r="A1150" t="str">
            <v>pstGrit</v>
          </cell>
          <cell r="B1150" t="str">
            <v>Post-grit</v>
          </cell>
        </row>
        <row r="1151">
          <cell r="A1151" t="str">
            <v>psu</v>
          </cell>
          <cell r="B1151" t="str">
            <v>Practical salinity unit</v>
          </cell>
        </row>
        <row r="1152">
          <cell r="A1152" t="str">
            <v>ptDescDep</v>
          </cell>
          <cell r="B1152" t="str">
            <v>Pretreatment description -  depreciated</v>
          </cell>
        </row>
        <row r="1153">
          <cell r="A1153" t="str">
            <v>ptot</v>
          </cell>
          <cell r="B1153" t="str">
            <v>Number of positive tests</v>
          </cell>
        </row>
        <row r="1154">
          <cell r="A1154" t="str">
            <v>pubAdm</v>
          </cell>
          <cell r="B1154" t="str">
            <v>Public Administration</v>
          </cell>
        </row>
        <row r="1155">
          <cell r="A1155" t="str">
            <v>pubAuth</v>
          </cell>
          <cell r="B1155" t="str">
            <v>English name of country sub-domains</v>
          </cell>
        </row>
        <row r="1156">
          <cell r="A1156" t="str">
            <v>pubHealth</v>
          </cell>
          <cell r="B1156" t="str">
            <v>Public health agency</v>
          </cell>
        </row>
        <row r="1157">
          <cell r="A1157" t="str">
            <v>public</v>
          </cell>
          <cell r="B1157" t="str">
            <v>Access to public</v>
          </cell>
        </row>
        <row r="1158">
          <cell r="A1158" t="str">
            <v>puro</v>
          </cell>
          <cell r="B1158" t="str">
            <v>Puro virus</v>
          </cell>
        </row>
        <row r="1159">
          <cell r="A1159" t="str">
            <v>puroMat</v>
          </cell>
          <cell r="B1159" t="str">
            <v>Puro virus spike target</v>
          </cell>
        </row>
        <row r="1160">
          <cell r="A1160" t="str">
            <v>purpose</v>
          </cell>
          <cell r="B1160" t="str">
            <v>Purpose</v>
          </cell>
        </row>
        <row r="1161">
          <cell r="A1161" t="str">
            <v>purposeSet</v>
          </cell>
          <cell r="B1161" t="str">
            <v>Purpose set</v>
          </cell>
        </row>
        <row r="1162">
          <cell r="A1162" t="str">
            <v>pv2</v>
          </cell>
          <cell r="B1162" t="str">
            <v>Poliovirus type 2</v>
          </cell>
        </row>
        <row r="1163">
          <cell r="A1163" t="str">
            <v>q19e</v>
          </cell>
          <cell r="B1163" t="str">
            <v>q19e omicron-variant gene target</v>
          </cell>
        </row>
        <row r="1164">
          <cell r="A1164" t="str">
            <v>q493r</v>
          </cell>
          <cell r="B1164" t="str">
            <v>q493r omicron-variant gene target</v>
          </cell>
        </row>
        <row r="1165">
          <cell r="A1165" t="str">
            <v>q498r</v>
          </cell>
          <cell r="B1165" t="str">
            <v>q498r omicron-variant gene target</v>
          </cell>
        </row>
        <row r="1166">
          <cell r="A1166" t="str">
            <v>q954h</v>
          </cell>
          <cell r="B1166" t="str">
            <v>q954h omicron-variant gene target</v>
          </cell>
        </row>
        <row r="1167">
          <cell r="A1167" t="str">
            <v>qaqc</v>
          </cell>
          <cell r="B1167" t="str">
            <v>Quaility assurance method</v>
          </cell>
        </row>
        <row r="1168">
          <cell r="A1168" t="str">
            <v>qcMethod</v>
          </cell>
          <cell r="B1168" t="str">
            <v>Quality Control Method</v>
          </cell>
        </row>
        <row r="1169">
          <cell r="A1169" t="str">
            <v>qf1</v>
          </cell>
          <cell r="B1169" t="str">
            <v>Quality concerns</v>
          </cell>
        </row>
        <row r="1170">
          <cell r="A1170" t="str">
            <v>qgDNARNA</v>
          </cell>
          <cell r="B1170" t="str">
            <v>qiagen allprep dna/rna kit</v>
          </cell>
        </row>
        <row r="1171">
          <cell r="A1171" t="str">
            <v>qgDpcr</v>
          </cell>
          <cell r="B1171" t="str">
            <v>qiagen digital PCR</v>
          </cell>
        </row>
        <row r="1172">
          <cell r="A1172" t="str">
            <v>qgEz1</v>
          </cell>
          <cell r="B1172" t="str">
            <v>qiagen ez1 virus mini kit v2.0</v>
          </cell>
        </row>
        <row r="1173">
          <cell r="A1173" t="str">
            <v>qgPwrFecal</v>
          </cell>
          <cell r="B1173" t="str">
            <v>qiagen allprep powerfecal dna/rna kit</v>
          </cell>
        </row>
        <row r="1174">
          <cell r="A1174" t="str">
            <v>qgPwrViral</v>
          </cell>
          <cell r="B1174" t="str">
            <v>qiagen allprep powerviral dna/rna kit</v>
          </cell>
        </row>
        <row r="1175">
          <cell r="A1175" t="str">
            <v>qgPwrWtr</v>
          </cell>
          <cell r="B1175" t="str">
            <v>qiagen powerwater kit</v>
          </cell>
        </row>
        <row r="1176">
          <cell r="A1176" t="str">
            <v>qgQiAmp</v>
          </cell>
          <cell r="B1176" t="str">
            <v>qiagen qiaamp buffers with epoch columns</v>
          </cell>
        </row>
        <row r="1177">
          <cell r="A1177" t="str">
            <v>qgRneasy</v>
          </cell>
          <cell r="B1177" t="str">
            <v>qiagen rneasy kit</v>
          </cell>
        </row>
        <row r="1178">
          <cell r="A1178" t="str">
            <v>qgRneasyPwr</v>
          </cell>
          <cell r="B1178" t="str">
            <v>qiagen rneasy powermicrobiome kit</v>
          </cell>
        </row>
        <row r="1179">
          <cell r="A1179" t="str">
            <v>qiAllprep</v>
          </cell>
          <cell r="B1179" t="str">
            <v>qiagen allprep dna/rna kit</v>
          </cell>
        </row>
        <row r="1180">
          <cell r="A1180" t="str">
            <v>qiampDSP</v>
          </cell>
          <cell r="B1180" t="str">
            <v>qiagen qiaamp dsp viral rna mini kit</v>
          </cell>
        </row>
        <row r="1181">
          <cell r="A1181" t="str">
            <v>qpcr</v>
          </cell>
          <cell r="B1181" t="str">
            <v>Quantitative Real-Time PCR</v>
          </cell>
        </row>
        <row r="1182">
          <cell r="A1182" t="str">
            <v>qr</v>
          </cell>
          <cell r="B1182" t="str">
            <v>Quality reports table Shorthand</v>
          </cell>
        </row>
        <row r="1183">
          <cell r="A1183" t="str">
            <v>qualAggScale</v>
          </cell>
          <cell r="B1183" t="str">
            <v>Qualitative</v>
          </cell>
        </row>
        <row r="1184">
          <cell r="A1184" t="str">
            <v>qualityControl</v>
          </cell>
          <cell r="B1184" t="str">
            <v>Quality control</v>
          </cell>
        </row>
        <row r="1185">
          <cell r="A1185" t="str">
            <v>qualityFlag</v>
          </cell>
          <cell r="B1185" t="str">
            <v>Quality flag</v>
          </cell>
        </row>
        <row r="1186">
          <cell r="A1186" t="str">
            <v>qualityIndicators</v>
          </cell>
          <cell r="B1186" t="str">
            <v>Quality indicators</v>
          </cell>
        </row>
        <row r="1187">
          <cell r="A1187" t="str">
            <v>qualityIndSet</v>
          </cell>
          <cell r="B1187" t="str">
            <v>Quality Indicator Set Header</v>
          </cell>
        </row>
        <row r="1188">
          <cell r="A1188" t="str">
            <v>qualityIndSets</v>
          </cell>
          <cell r="B1188" t="str">
            <v>Quality indicator sets</v>
          </cell>
        </row>
        <row r="1189">
          <cell r="A1189" t="str">
            <v>qualityReportID</v>
          </cell>
          <cell r="B1189" t="str">
            <v>Quality report ID</v>
          </cell>
        </row>
        <row r="1190">
          <cell r="A1190" t="str">
            <v>qualityReports</v>
          </cell>
          <cell r="B1190" t="str">
            <v>Quality reports table</v>
          </cell>
        </row>
        <row r="1191">
          <cell r="A1191" t="str">
            <v>qualityReportsOrder</v>
          </cell>
          <cell r="B1191" t="str">
            <v>Quality rerpots table column order</v>
          </cell>
        </row>
        <row r="1192">
          <cell r="A1192" t="str">
            <v>qualityReportsRequired</v>
          </cell>
          <cell r="B1192" t="str">
            <v>Quality report table required headers</v>
          </cell>
        </row>
        <row r="1193">
          <cell r="A1193" t="str">
            <v>quantAggScale</v>
          </cell>
          <cell r="B1193" t="str">
            <v>Quantitative</v>
          </cell>
        </row>
        <row r="1194">
          <cell r="A1194" t="str">
            <v>r2</v>
          </cell>
          <cell r="B1194" t="str">
            <v>R squared</v>
          </cell>
        </row>
        <row r="1195">
          <cell r="A1195" t="str">
            <v>r203m</v>
          </cell>
          <cell r="B1195" t="str">
            <v>r203m delta-variant gene target</v>
          </cell>
        </row>
        <row r="1196">
          <cell r="A1196" t="str">
            <v>r346t</v>
          </cell>
          <cell r="B1196" t="str">
            <v>R346T Mutation</v>
          </cell>
        </row>
        <row r="1197">
          <cell r="A1197" t="str">
            <v>rainDpcr</v>
          </cell>
          <cell r="B1197" t="str">
            <v>Raindance digital PCR</v>
          </cell>
        </row>
        <row r="1198">
          <cell r="A1198" t="str">
            <v>rainy</v>
          </cell>
          <cell r="B1198" t="str">
            <v>Rainy</v>
          </cell>
        </row>
        <row r="1199">
          <cell r="A1199" t="str">
            <v>randomSurv</v>
          </cell>
          <cell r="B1199" t="str">
            <v>Random sampling surveillance program</v>
          </cell>
        </row>
        <row r="1200">
          <cell r="A1200" t="str">
            <v>ranSeq</v>
          </cell>
          <cell r="B1200" t="str">
            <v>Random sequencing selection method</v>
          </cell>
        </row>
        <row r="1201">
          <cell r="A1201" t="str">
            <v>ratio</v>
          </cell>
          <cell r="B1201" t="str">
            <v>Ratio</v>
          </cell>
        </row>
        <row r="1202">
          <cell r="A1202" t="str">
            <v>raws</v>
          </cell>
          <cell r="B1202" t="str">
            <v>Raw wastewater</v>
          </cell>
        </row>
        <row r="1203">
          <cell r="A1203" t="str">
            <v>rawWW</v>
          </cell>
          <cell r="B1203" t="str">
            <v>Raw sewage at site</v>
          </cell>
        </row>
        <row r="1204">
          <cell r="A1204" t="str">
            <v>rawWWdown</v>
          </cell>
          <cell r="B1204" t="str">
            <v>Raw sewage downstream from a site</v>
          </cell>
        </row>
        <row r="1205">
          <cell r="A1205" t="str">
            <v>rawWWup</v>
          </cell>
          <cell r="B1205" t="str">
            <v>Raw sewage upstream from a site</v>
          </cell>
        </row>
        <row r="1206">
          <cell r="A1206" t="str">
            <v>rdrpIP2</v>
          </cell>
          <cell r="B1206" t="str">
            <v>IP2 rdrp sars-cov-2 gene target</v>
          </cell>
        </row>
        <row r="1207">
          <cell r="A1207" t="str">
            <v>rdrpIP4</v>
          </cell>
          <cell r="B1207" t="str">
            <v>IP4 rdrp sars-cov-2 gene target</v>
          </cell>
        </row>
        <row r="1208">
          <cell r="A1208" t="str">
            <v>recDate</v>
          </cell>
          <cell r="B1208" t="str">
            <v>Date sample recieved</v>
          </cell>
        </row>
        <row r="1209">
          <cell r="A1209" t="str">
            <v>recov</v>
          </cell>
          <cell r="B1209" t="str">
            <v>Recovered patients</v>
          </cell>
        </row>
        <row r="1210">
          <cell r="A1210" t="str">
            <v>refLink</v>
          </cell>
          <cell r="B1210" t="str">
            <v>Reference link</v>
          </cell>
        </row>
        <row r="1211">
          <cell r="A1211" t="str">
            <v>regular</v>
          </cell>
          <cell r="B1211" t="str">
            <v>Regular Pathogen Surveillance</v>
          </cell>
        </row>
        <row r="1212">
          <cell r="A1212" t="str">
            <v>regularReportTableSet</v>
          </cell>
          <cell r="B1212" t="str">
            <v>Regular reports table set</v>
          </cell>
        </row>
        <row r="1213">
          <cell r="A1213" t="str">
            <v>relationshipID</v>
          </cell>
          <cell r="B1213" t="str">
            <v>Relationship between entities</v>
          </cell>
        </row>
        <row r="1214">
          <cell r="A1214" t="str">
            <v>relDateEnd</v>
          </cell>
          <cell r="B1214" t="str">
            <v>Measure relevance end date</v>
          </cell>
        </row>
        <row r="1215">
          <cell r="A1215" t="str">
            <v>relDateStart</v>
          </cell>
          <cell r="B1215" t="str">
            <v>Measure relevance start date</v>
          </cell>
        </row>
        <row r="1216">
          <cell r="A1216" t="str">
            <v>relHum</v>
          </cell>
          <cell r="B1216" t="str">
            <v>Relative humidity</v>
          </cell>
        </row>
        <row r="1217">
          <cell r="A1217" t="str">
            <v>relHumidUnitSet</v>
          </cell>
          <cell r="B1217" t="str">
            <v>Relative humidity unit set</v>
          </cell>
        </row>
        <row r="1218">
          <cell r="A1218" t="str">
            <v>repGrab</v>
          </cell>
          <cell r="B1218" t="str">
            <v>Representative grab sample</v>
          </cell>
        </row>
        <row r="1219">
          <cell r="A1219" t="str">
            <v>replicateSet</v>
          </cell>
          <cell r="B1219" t="str">
            <v>Replicate Type set</v>
          </cell>
        </row>
        <row r="1220">
          <cell r="A1220" t="str">
            <v>repNum</v>
          </cell>
          <cell r="B1220" t="str">
            <v>replicate number</v>
          </cell>
        </row>
        <row r="1221">
          <cell r="A1221" t="str">
            <v>repOrg1</v>
          </cell>
          <cell r="B1221" t="str">
            <v>Primary reporting authority ID</v>
          </cell>
        </row>
        <row r="1222">
          <cell r="A1222" t="str">
            <v>repOrg2</v>
          </cell>
          <cell r="B1222" t="str">
            <v>Secondary reporting authority ID</v>
          </cell>
        </row>
        <row r="1223">
          <cell r="A1223" t="str">
            <v>reportable</v>
          </cell>
          <cell r="B1223" t="str">
            <v>Reportable</v>
          </cell>
        </row>
        <row r="1224">
          <cell r="A1224" t="str">
            <v>reportDate</v>
          </cell>
          <cell r="B1224" t="str">
            <v>Report date</v>
          </cell>
        </row>
        <row r="1225">
          <cell r="A1225" t="str">
            <v>reporterIDDep</v>
          </cell>
          <cell r="B1225" t="str">
            <v>Reporter ID depreciated</v>
          </cell>
        </row>
        <row r="1226">
          <cell r="A1226" t="str">
            <v>reportersDep</v>
          </cell>
          <cell r="B1226" t="str">
            <v>Reporter table depreciated</v>
          </cell>
        </row>
        <row r="1227">
          <cell r="A1227" t="str">
            <v>reportTableInput</v>
          </cell>
          <cell r="B1227" t="str">
            <v>Report table input (wide table)</v>
          </cell>
        </row>
        <row r="1228">
          <cell r="A1228" t="str">
            <v>reportTableName</v>
          </cell>
          <cell r="B1228" t="str">
            <v>Report table name (wide table)</v>
          </cell>
        </row>
        <row r="1229">
          <cell r="A1229" t="str">
            <v>repositories</v>
          </cell>
          <cell r="B1229" t="str">
            <v>Repositories Table</v>
          </cell>
        </row>
        <row r="1230">
          <cell r="A1230" t="str">
            <v>repositoryID</v>
          </cell>
          <cell r="B1230" t="str">
            <v>External Repository ID</v>
          </cell>
        </row>
        <row r="1231">
          <cell r="A1231" t="str">
            <v>repType</v>
          </cell>
          <cell r="B1231" t="str">
            <v>Replicate Type</v>
          </cell>
        </row>
        <row r="1232">
          <cell r="A1232" t="str">
            <v>resCosca</v>
          </cell>
          <cell r="B1232" t="str">
            <v>Resuspend COSCa filter collection</v>
          </cell>
        </row>
        <row r="1233">
          <cell r="A1233" t="str">
            <v>research</v>
          </cell>
          <cell r="B1233" t="str">
            <v>Research sector or organization</v>
          </cell>
        </row>
        <row r="1234">
          <cell r="A1234" t="str">
            <v>researchPurp</v>
          </cell>
          <cell r="B1234" t="str">
            <v>Research purposes</v>
          </cell>
        </row>
        <row r="1235">
          <cell r="A1235" t="str">
            <v>resPerKm</v>
          </cell>
          <cell r="B1235" t="str">
            <v>Residents per square kilometre</v>
          </cell>
        </row>
        <row r="1236">
          <cell r="A1236" t="str">
            <v>resPerMile</v>
          </cell>
          <cell r="B1236" t="str">
            <v>Residents per square mile</v>
          </cell>
        </row>
        <row r="1237">
          <cell r="A1237" t="str">
            <v>restrict</v>
          </cell>
          <cell r="B1237" t="str">
            <v>Restricted data</v>
          </cell>
        </row>
        <row r="1238">
          <cell r="A1238" t="str">
            <v>results</v>
          </cell>
          <cell r="B1238" t="str">
            <v>Results tables</v>
          </cell>
        </row>
        <row r="1239">
          <cell r="A1239" t="str">
            <v>resuspension</v>
          </cell>
          <cell r="B1239" t="str">
            <v>Resuspension method</v>
          </cell>
        </row>
        <row r="1240">
          <cell r="A1240" t="str">
            <v>resusSet</v>
          </cell>
          <cell r="B1240" t="str">
            <v>Resuspension method set</v>
          </cell>
        </row>
        <row r="1241">
          <cell r="A1241" t="str">
            <v>retainedElement</v>
          </cell>
          <cell r="B1241" t="str">
            <v>Retained Element</v>
          </cell>
        </row>
        <row r="1242">
          <cell r="A1242" t="str">
            <v>retElSet</v>
          </cell>
          <cell r="B1242" t="str">
            <v>Retained Element Set</v>
          </cell>
        </row>
        <row r="1243">
          <cell r="A1243" t="str">
            <v>retPond</v>
          </cell>
          <cell r="B1243" t="str">
            <v>Retention pond</v>
          </cell>
        </row>
        <row r="1244">
          <cell r="A1244" t="str">
            <v>rickettsia</v>
          </cell>
          <cell r="B1244" t="str">
            <v>Rickettsia</v>
          </cell>
        </row>
        <row r="1245">
          <cell r="A1245" t="str">
            <v>rickettsiaGrp</v>
          </cell>
          <cell r="B1245" t="str">
            <v>Rickettsia Group</v>
          </cell>
        </row>
        <row r="1246">
          <cell r="A1246" t="str">
            <v>river</v>
          </cell>
          <cell r="B1246" t="str">
            <v>River, natural water body</v>
          </cell>
        </row>
        <row r="1247">
          <cell r="A1247" t="str">
            <v>rna</v>
          </cell>
          <cell r="B1247" t="str">
            <v>RNA Template</v>
          </cell>
        </row>
        <row r="1248">
          <cell r="A1248" t="str">
            <v>rnaseP</v>
          </cell>
          <cell r="B1248" t="str">
            <v>Ribonuclease P (RNase P)</v>
          </cell>
        </row>
        <row r="1249">
          <cell r="A1249" t="str">
            <v>role</v>
          </cell>
          <cell r="B1249" t="str">
            <v>Role of contact</v>
          </cell>
        </row>
        <row r="1250">
          <cell r="A1250" t="str">
            <v>rotavirus</v>
          </cell>
          <cell r="B1250" t="str">
            <v>Rotavirus</v>
          </cell>
        </row>
        <row r="1251">
          <cell r="A1251" t="str">
            <v>rotavirusGrp</v>
          </cell>
          <cell r="B1251" t="str">
            <v>Rotavirus Group</v>
          </cell>
        </row>
        <row r="1252">
          <cell r="A1252" t="str">
            <v>rP100</v>
          </cell>
          <cell r="B1252" t="str">
            <v>Rate per 100,000</v>
          </cell>
        </row>
        <row r="1253">
          <cell r="A1253" t="str">
            <v>rpm</v>
          </cell>
          <cell r="B1253" t="str">
            <v>Revolutions per minute (RPM)</v>
          </cell>
        </row>
        <row r="1254">
          <cell r="A1254" t="str">
            <v>rppw</v>
          </cell>
          <cell r="B1254" t="str">
            <v>Raw post-pasteurized wastewater</v>
          </cell>
        </row>
        <row r="1255">
          <cell r="A1255" t="str">
            <v>rsvAB</v>
          </cell>
          <cell r="B1255" t="str">
            <v>Respiratory syncytial virus A and B combined</v>
          </cell>
        </row>
        <row r="1256">
          <cell r="A1256" t="str">
            <v>rsvAMe</v>
          </cell>
          <cell r="B1256" t="str">
            <v>Respiratory syncytial virus A</v>
          </cell>
        </row>
        <row r="1257">
          <cell r="A1257" t="str">
            <v>rsvB</v>
          </cell>
          <cell r="B1257" t="str">
            <v>Respiratory syncytial virus B</v>
          </cell>
        </row>
        <row r="1258">
          <cell r="A1258" t="str">
            <v>rsvGrp</v>
          </cell>
          <cell r="B1258" t="str">
            <v>Respiratory syncytial virus (RSV) Group</v>
          </cell>
        </row>
        <row r="1259">
          <cell r="A1259" t="str">
            <v>rsvMe</v>
          </cell>
          <cell r="B1259" t="str">
            <v>Respiratory syncytial virus</v>
          </cell>
        </row>
        <row r="1260">
          <cell r="A1260" t="str">
            <v>rsvN</v>
          </cell>
          <cell r="B1260" t="str">
            <v>RSV N-gene</v>
          </cell>
        </row>
        <row r="1261">
          <cell r="A1261" t="str">
            <v>rt</v>
          </cell>
          <cell r="B1261" t="str">
            <v>reverse transcription</v>
          </cell>
        </row>
        <row r="1262">
          <cell r="A1262" t="str">
            <v>rubella</v>
          </cell>
          <cell r="B1262" t="str">
            <v>Rubella</v>
          </cell>
        </row>
        <row r="1263">
          <cell r="A1263" t="str">
            <v>rubellaGrp</v>
          </cell>
          <cell r="B1263" t="str">
            <v>Rubella Group</v>
          </cell>
        </row>
        <row r="1264">
          <cell r="A1264" t="str">
            <v>rural</v>
          </cell>
          <cell r="B1264" t="str">
            <v>Rural</v>
          </cell>
        </row>
        <row r="1265">
          <cell r="A1265" t="str">
            <v>s2083i</v>
          </cell>
          <cell r="B1265" t="str">
            <v>s2083i omicron-variant gene target</v>
          </cell>
        </row>
        <row r="1266">
          <cell r="A1266" t="str">
            <v>s371l</v>
          </cell>
          <cell r="B1266" t="str">
            <v>s371l omicron-variant gene target</v>
          </cell>
        </row>
        <row r="1267">
          <cell r="A1267" t="str">
            <v>s373p</v>
          </cell>
          <cell r="B1267" t="str">
            <v>s373p omicron-variant gene target</v>
          </cell>
        </row>
        <row r="1268">
          <cell r="A1268" t="str">
            <v>s375f</v>
          </cell>
          <cell r="B1268" t="str">
            <v>s375f omicron-variant gene target</v>
          </cell>
        </row>
        <row r="1269">
          <cell r="A1269" t="str">
            <v>s477n</v>
          </cell>
          <cell r="B1269" t="str">
            <v>s477n omicron-variant gene target</v>
          </cell>
        </row>
        <row r="1270">
          <cell r="A1270" t="str">
            <v>sa</v>
          </cell>
          <cell r="B1270" t="str">
            <v>Sample</v>
          </cell>
        </row>
        <row r="1271">
          <cell r="A1271" t="str">
            <v>salinity</v>
          </cell>
          <cell r="B1271" t="str">
            <v>Salinity</v>
          </cell>
        </row>
        <row r="1272">
          <cell r="A1272" t="str">
            <v>salmonella</v>
          </cell>
          <cell r="B1272" t="str">
            <v>Salmonella</v>
          </cell>
        </row>
        <row r="1273">
          <cell r="A1273" t="str">
            <v>salmonellaGrp</v>
          </cell>
          <cell r="B1273" t="str">
            <v>Salmonella Group</v>
          </cell>
        </row>
        <row r="1274">
          <cell r="A1274" t="str">
            <v>saMaterial</v>
          </cell>
          <cell r="B1274" t="str">
            <v>Sample material</v>
          </cell>
        </row>
        <row r="1275">
          <cell r="A1275" t="str">
            <v>samConc</v>
          </cell>
          <cell r="B1275" t="str">
            <v>Sample concentrate</v>
          </cell>
        </row>
        <row r="1276">
          <cell r="A1276" t="str">
            <v>sampleID</v>
          </cell>
          <cell r="B1276" t="str">
            <v>Sample ID</v>
          </cell>
        </row>
        <row r="1277">
          <cell r="A1277" t="str">
            <v>sampleIDObject</v>
          </cell>
          <cell r="B1277" t="str">
            <v>Sample ID object</v>
          </cell>
        </row>
        <row r="1278">
          <cell r="A1278" t="str">
            <v>sampleIDSubject</v>
          </cell>
          <cell r="B1278" t="str">
            <v>Sample ID subject</v>
          </cell>
        </row>
        <row r="1279">
          <cell r="A1279" t="str">
            <v>sampleMatSet</v>
          </cell>
          <cell r="B1279" t="str">
            <v>Sample material set</v>
          </cell>
        </row>
        <row r="1280">
          <cell r="A1280" t="str">
            <v>sampleQualitySet</v>
          </cell>
          <cell r="B1280" t="str">
            <v>Sample quality set</v>
          </cell>
        </row>
        <row r="1281">
          <cell r="A1281" t="str">
            <v>sampleRelationships</v>
          </cell>
          <cell r="B1281" t="str">
            <v>Sample relationships table</v>
          </cell>
        </row>
        <row r="1282">
          <cell r="A1282" t="str">
            <v>sampleRelationshipsID</v>
          </cell>
          <cell r="B1282" t="str">
            <v>Synthetic ID for the sampleRelationships table</v>
          </cell>
        </row>
        <row r="1283">
          <cell r="A1283" t="str">
            <v>sampleRelationshipsOrder</v>
          </cell>
          <cell r="B1283" t="str">
            <v>Sample relationships table column order</v>
          </cell>
        </row>
        <row r="1284">
          <cell r="A1284" t="str">
            <v>sampleRelationshipsRequired</v>
          </cell>
          <cell r="B1284" t="str">
            <v>Sample relationships table required headers</v>
          </cell>
        </row>
        <row r="1285">
          <cell r="A1285" t="str">
            <v>sampleRelSet</v>
          </cell>
          <cell r="B1285" t="str">
            <v>Sample relationships set</v>
          </cell>
        </row>
        <row r="1286">
          <cell r="A1286" t="str">
            <v>samples</v>
          </cell>
          <cell r="B1286" t="str">
            <v>Sample report table</v>
          </cell>
        </row>
        <row r="1287">
          <cell r="A1287" t="str">
            <v>sampleShed</v>
          </cell>
          <cell r="B1287" t="str">
            <v>Sample shed</v>
          </cell>
        </row>
        <row r="1288">
          <cell r="A1288" t="str">
            <v>samplesOrder</v>
          </cell>
          <cell r="B1288" t="str">
            <v>Samples table column order</v>
          </cell>
        </row>
        <row r="1289">
          <cell r="A1289" t="str">
            <v>samplesRequired</v>
          </cell>
          <cell r="B1289" t="str">
            <v>Sample table required headers</v>
          </cell>
        </row>
        <row r="1290">
          <cell r="A1290" t="str">
            <v>sampleTypeOther</v>
          </cell>
          <cell r="B1290" t="str">
            <v>Collection other depreciated</v>
          </cell>
        </row>
        <row r="1291">
          <cell r="A1291" t="str">
            <v>samVol</v>
          </cell>
          <cell r="B1291" t="str">
            <v>Sample volume</v>
          </cell>
        </row>
        <row r="1292">
          <cell r="A1292" t="str">
            <v>sapovirus</v>
          </cell>
          <cell r="B1292" t="str">
            <v>Sapovirus</v>
          </cell>
        </row>
        <row r="1293">
          <cell r="A1293" t="str">
            <v>sapovirusGrp</v>
          </cell>
          <cell r="B1293" t="str">
            <v>Sapovirus Group</v>
          </cell>
        </row>
        <row r="1294">
          <cell r="A1294" t="str">
            <v>sar</v>
          </cell>
          <cell r="B1294" t="str">
            <v>Sample relationships table Shorthand</v>
          </cell>
        </row>
        <row r="1295">
          <cell r="A1295" t="str">
            <v>sarsCov2</v>
          </cell>
          <cell r="B1295" t="str">
            <v>SARS-CoV-2</v>
          </cell>
        </row>
        <row r="1296">
          <cell r="A1296" t="str">
            <v>sas</v>
          </cell>
          <cell r="B1296" t="str">
            <v>Sample report table Shorthand</v>
          </cell>
        </row>
        <row r="1297">
          <cell r="A1297" t="str">
            <v>saSpecimenSet</v>
          </cell>
          <cell r="B1297" t="str">
            <v>Sample specimen set</v>
          </cell>
        </row>
        <row r="1298">
          <cell r="A1298" t="str">
            <v>sC</v>
          </cell>
          <cell r="B1298" t="str">
            <v>Sparse coverage</v>
          </cell>
        </row>
        <row r="1299">
          <cell r="A1299" t="str">
            <v>sce</v>
          </cell>
          <cell r="B1299" t="str">
            <v>Secondary clarifier effluent depreciated</v>
          </cell>
        </row>
        <row r="1300">
          <cell r="A1300" t="str">
            <v>scf</v>
          </cell>
          <cell r="B1300" t="str">
            <v>Standard curve frequency</v>
          </cell>
        </row>
        <row r="1301">
          <cell r="A1301" t="str">
            <v>school</v>
          </cell>
          <cell r="B1301" t="str">
            <v>School</v>
          </cell>
        </row>
        <row r="1302">
          <cell r="A1302" t="str">
            <v>sciencellRNA</v>
          </cell>
          <cell r="B1302" t="str">
            <v>sciencell viral rna isolation kit</v>
          </cell>
        </row>
        <row r="1303">
          <cell r="A1303" t="str">
            <v>scriptSet</v>
          </cell>
          <cell r="B1303" t="str">
            <v>Sequencing script version set</v>
          </cell>
        </row>
        <row r="1304">
          <cell r="A1304" t="str">
            <v>scriptVersion</v>
          </cell>
          <cell r="B1304" t="str">
            <v>Genetic sequencing script version</v>
          </cell>
        </row>
        <row r="1305">
          <cell r="A1305" t="str">
            <v>scsDep</v>
          </cell>
          <cell r="B1305" t="str">
            <v>Secondary clarifier sludge depreciated</v>
          </cell>
        </row>
        <row r="1306">
          <cell r="A1306" t="str">
            <v>sd</v>
          </cell>
          <cell r="B1306" t="str">
            <v>Standard deviation</v>
          </cell>
        </row>
        <row r="1307">
          <cell r="A1307" t="str">
            <v>sdn</v>
          </cell>
          <cell r="B1307" t="str">
            <v>Normalized standard deviation</v>
          </cell>
        </row>
        <row r="1308">
          <cell r="A1308" t="str">
            <v>se</v>
          </cell>
          <cell r="B1308" t="str">
            <v>Sets look-up table Shorthand</v>
          </cell>
        </row>
        <row r="1309">
          <cell r="A1309" t="str">
            <v>sea</v>
          </cell>
          <cell r="B1309" t="str">
            <v>Sea, natural water body</v>
          </cell>
        </row>
        <row r="1310">
          <cell r="A1310" t="str">
            <v>seconds</v>
          </cell>
          <cell r="B1310" t="str">
            <v>Seconds</v>
          </cell>
        </row>
        <row r="1311">
          <cell r="A1311" t="str">
            <v>seeUnitAggScale</v>
          </cell>
          <cell r="B1311" t="str">
            <v>See unit (aggregation scales)</v>
          </cell>
        </row>
        <row r="1312">
          <cell r="A1312" t="str">
            <v>seeUnitData</v>
          </cell>
          <cell r="B1312" t="str">
            <v>See unit (data type)</v>
          </cell>
        </row>
        <row r="1313">
          <cell r="A1313" t="str">
            <v>seeUnitVal</v>
          </cell>
          <cell r="B1313" t="str">
            <v>See unit (value)</v>
          </cell>
        </row>
        <row r="1314">
          <cell r="A1314" t="str">
            <v>sEfflu</v>
          </cell>
          <cell r="B1314" t="str">
            <v>Secondary clarifier effluent</v>
          </cell>
        </row>
        <row r="1315">
          <cell r="A1315" t="str">
            <v>self</v>
          </cell>
          <cell r="B1315" t="str">
            <v>Access to self</v>
          </cell>
        </row>
        <row r="1316">
          <cell r="A1316" t="str">
            <v>sentDate</v>
          </cell>
          <cell r="B1316" t="str">
            <v>Date sample was sent</v>
          </cell>
        </row>
        <row r="1317">
          <cell r="A1317" t="str">
            <v>septage</v>
          </cell>
          <cell r="B1317" t="str">
            <v>Septic tank wastewater</v>
          </cell>
        </row>
        <row r="1318">
          <cell r="A1318" t="str">
            <v>septTnk</v>
          </cell>
          <cell r="B1318" t="str">
            <v>Septic tank</v>
          </cell>
        </row>
        <row r="1319">
          <cell r="A1319" t="str">
            <v>seqAssLen</v>
          </cell>
          <cell r="B1319" t="str">
            <v>sequence assembly length</v>
          </cell>
        </row>
        <row r="1320">
          <cell r="A1320" t="str">
            <v>seqContam</v>
          </cell>
          <cell r="B1320" t="str">
            <v>Sequence Contaminated</v>
          </cell>
        </row>
        <row r="1321">
          <cell r="A1321" t="str">
            <v>seqLay</v>
          </cell>
          <cell r="B1321" t="str">
            <v>Sequencing Layout</v>
          </cell>
        </row>
        <row r="1322">
          <cell r="A1322" t="str">
            <v>seqLaySet</v>
          </cell>
          <cell r="B1322" t="str">
            <v>Sequencing Layout set</v>
          </cell>
        </row>
        <row r="1323">
          <cell r="A1323" t="str">
            <v>seqQualitySet</v>
          </cell>
          <cell r="B1323" t="str">
            <v>Sequencing quality set</v>
          </cell>
        </row>
        <row r="1324">
          <cell r="A1324" t="str">
            <v>seqSel</v>
          </cell>
          <cell r="B1324" t="str">
            <v>Sequencing selection method</v>
          </cell>
        </row>
        <row r="1325">
          <cell r="A1325" t="str">
            <v>seqSelSet</v>
          </cell>
          <cell r="B1325" t="str">
            <v>Sequencing selection method set</v>
          </cell>
        </row>
        <row r="1326">
          <cell r="A1326" t="str">
            <v>seqStrat</v>
          </cell>
          <cell r="B1326" t="str">
            <v>Sequencing Strategy</v>
          </cell>
        </row>
        <row r="1327">
          <cell r="A1327" t="str">
            <v>seqStratSet</v>
          </cell>
          <cell r="B1327" t="str">
            <v>Sequencing Strategy set</v>
          </cell>
        </row>
        <row r="1328">
          <cell r="A1328" t="str">
            <v>sequence</v>
          </cell>
          <cell r="B1328" t="str">
            <v>Genetic sequences class</v>
          </cell>
        </row>
        <row r="1329">
          <cell r="A1329" t="str">
            <v>serDil</v>
          </cell>
          <cell r="B1329" t="str">
            <v>serial dillution</v>
          </cell>
        </row>
        <row r="1330">
          <cell r="A1330" t="str">
            <v>serialDilution</v>
          </cell>
          <cell r="B1330" t="str">
            <v>Serial dilution</v>
          </cell>
        </row>
        <row r="1331">
          <cell r="A1331" t="str">
            <v>seseDep</v>
          </cell>
          <cell r="B1331" t="str">
            <v>Sewer Sediments Depreciated</v>
          </cell>
        </row>
        <row r="1332">
          <cell r="A1332" t="str">
            <v>setCompID</v>
          </cell>
          <cell r="B1332" t="str">
            <v>Composite Set ID</v>
          </cell>
        </row>
        <row r="1333">
          <cell r="A1333" t="str">
            <v>setID</v>
          </cell>
          <cell r="B1333" t="str">
            <v>Set ID</v>
          </cell>
        </row>
        <row r="1334">
          <cell r="A1334" t="str">
            <v>sets</v>
          </cell>
          <cell r="B1334" t="str">
            <v>Sets look-up table</v>
          </cell>
        </row>
        <row r="1335">
          <cell r="A1335" t="str">
            <v>setsOrder</v>
          </cell>
          <cell r="B1335" t="str">
            <v>Sets table column order</v>
          </cell>
        </row>
        <row r="1336">
          <cell r="A1336" t="str">
            <v>setsRequired</v>
          </cell>
          <cell r="B1336" t="str">
            <v>Sets table required headers</v>
          </cell>
        </row>
        <row r="1337">
          <cell r="A1337" t="str">
            <v>settsol</v>
          </cell>
          <cell r="B1337" t="str">
            <v>Settled solids</v>
          </cell>
        </row>
        <row r="1338">
          <cell r="A1338" t="str">
            <v>setType</v>
          </cell>
          <cell r="B1338" t="str">
            <v>Set type</v>
          </cell>
        </row>
        <row r="1339">
          <cell r="A1339" t="str">
            <v>severity</v>
          </cell>
          <cell r="B1339" t="str">
            <v>Severity indicator</v>
          </cell>
        </row>
        <row r="1340">
          <cell r="A1340" t="str">
            <v>sevSet</v>
          </cell>
          <cell r="B1340" t="str">
            <v>Severity set</v>
          </cell>
        </row>
        <row r="1341">
          <cell r="A1341" t="str">
            <v>sewEq</v>
          </cell>
          <cell r="B1341" t="str">
            <v>Sewage equivalent</v>
          </cell>
        </row>
        <row r="1342">
          <cell r="A1342" t="str">
            <v>sewerNetworkFileBLOB</v>
          </cell>
          <cell r="B1342" t="str">
            <v>Sewer network file link depreciated</v>
          </cell>
        </row>
        <row r="1343">
          <cell r="A1343" t="str">
            <v>sewTrTi</v>
          </cell>
          <cell r="B1343" t="str">
            <v>Sewage travel time</v>
          </cell>
        </row>
        <row r="1344">
          <cell r="A1344" t="str">
            <v>sGene</v>
          </cell>
          <cell r="B1344" t="str">
            <v>S sars-cov-2 gene target</v>
          </cell>
        </row>
        <row r="1345">
          <cell r="A1345" t="str">
            <v>shaker</v>
          </cell>
          <cell r="B1345" t="str">
            <v>Shaker aggitation speed</v>
          </cell>
        </row>
        <row r="1346">
          <cell r="A1346" t="str">
            <v>shedSet</v>
          </cell>
          <cell r="B1346" t="str">
            <v>Sampleshed set</v>
          </cell>
        </row>
        <row r="1347">
          <cell r="A1347" t="str">
            <v>shigella</v>
          </cell>
          <cell r="B1347" t="str">
            <v>Shigella</v>
          </cell>
        </row>
        <row r="1348">
          <cell r="A1348" t="str">
            <v>shigellaGroup</v>
          </cell>
          <cell r="B1348" t="str">
            <v>Shigella Group</v>
          </cell>
        </row>
        <row r="1349">
          <cell r="A1349" t="str">
            <v>ship</v>
          </cell>
          <cell r="B1349" t="str">
            <v>Ship</v>
          </cell>
        </row>
        <row r="1350">
          <cell r="A1350" t="str">
            <v>shipOnIce</v>
          </cell>
          <cell r="B1350" t="str">
            <v>Shipped on ice</v>
          </cell>
        </row>
        <row r="1351">
          <cell r="A1351" t="str">
            <v>shortName</v>
          </cell>
          <cell r="B1351" t="str">
            <v>Short names</v>
          </cell>
        </row>
        <row r="1352">
          <cell r="A1352" t="str">
            <v>shortRead</v>
          </cell>
          <cell r="B1352" t="str">
            <v>Read Lengths Shorter Than Expected</v>
          </cell>
        </row>
        <row r="1353">
          <cell r="A1353" t="str">
            <v>shrtNameSet</v>
          </cell>
          <cell r="B1353" t="str">
            <v>Short Name Set</v>
          </cell>
        </row>
        <row r="1354">
          <cell r="A1354" t="str">
            <v>si</v>
          </cell>
          <cell r="B1354" t="str">
            <v>Sites table Shorthand</v>
          </cell>
        </row>
        <row r="1355">
          <cell r="A1355" t="str">
            <v>sin</v>
          </cell>
          <cell r="B1355" t="str">
            <v>Single</v>
          </cell>
        </row>
        <row r="1356">
          <cell r="A1356" t="str">
            <v>sinLay</v>
          </cell>
          <cell r="B1356" t="str">
            <v>Single Layout</v>
          </cell>
        </row>
        <row r="1357">
          <cell r="A1357" t="str">
            <v>sinProbeOne</v>
          </cell>
          <cell r="B1357" t="str">
            <v>Singleplex, probe-based, one-step RT-qPCR</v>
          </cell>
        </row>
        <row r="1358">
          <cell r="A1358" t="str">
            <v>siSaSpecimenSet</v>
          </cell>
          <cell r="B1358" t="str">
            <v>Site or sample specimen set</v>
          </cell>
        </row>
        <row r="1359">
          <cell r="A1359" t="str">
            <v>siSpecimenSet</v>
          </cell>
          <cell r="B1359" t="str">
            <v>Site specimen set</v>
          </cell>
        </row>
        <row r="1360">
          <cell r="A1360" t="str">
            <v>sit</v>
          </cell>
          <cell r="B1360" t="str">
            <v>Site</v>
          </cell>
        </row>
        <row r="1361">
          <cell r="A1361" t="str">
            <v>siteDef</v>
          </cell>
          <cell r="B1361" t="str">
            <v>Site ID default</v>
          </cell>
        </row>
        <row r="1362">
          <cell r="A1362" t="str">
            <v>siteFeat</v>
          </cell>
          <cell r="B1362" t="str">
            <v>Site features group</v>
          </cell>
        </row>
        <row r="1364">
          <cell r="A1364" t="str">
            <v>siteID</v>
          </cell>
          <cell r="B1364" t="str">
            <v>Site ID</v>
          </cell>
        </row>
        <row r="1365">
          <cell r="A1365" t="str">
            <v>siteMeasureID</v>
          </cell>
          <cell r="B1365" t="str">
            <v>Site measure ID</v>
          </cell>
        </row>
        <row r="1366">
          <cell r="A1366" t="str">
            <v>sites</v>
          </cell>
          <cell r="B1366" t="str">
            <v>Sites table</v>
          </cell>
        </row>
        <row r="1367">
          <cell r="A1367" t="str">
            <v>sitesOrder</v>
          </cell>
          <cell r="B1367" t="str">
            <v>Sites table column order</v>
          </cell>
        </row>
        <row r="1368">
          <cell r="A1368" t="str">
            <v>sitesRequired</v>
          </cell>
          <cell r="B1368" t="str">
            <v>Sites table required headers</v>
          </cell>
        </row>
        <row r="1369">
          <cell r="A1369" t="str">
            <v>siteType</v>
          </cell>
          <cell r="B1369" t="str">
            <v>Site Type</v>
          </cell>
        </row>
        <row r="1370">
          <cell r="A1370" t="str">
            <v>siteTypeSet</v>
          </cell>
          <cell r="B1370" t="str">
            <v>Site set</v>
          </cell>
        </row>
        <row r="1371">
          <cell r="A1371" t="str">
            <v>skimMilkFloc</v>
          </cell>
          <cell r="B1371" t="str">
            <v>Skimmed milk flocculation</v>
          </cell>
        </row>
        <row r="1372">
          <cell r="A1372" t="str">
            <v>slod</v>
          </cell>
          <cell r="B1372" t="str">
            <v>Sample Limit of Detection (LOD)</v>
          </cell>
        </row>
        <row r="1373">
          <cell r="A1373" t="str">
            <v>slope</v>
          </cell>
          <cell r="B1373" t="str">
            <v>slope</v>
          </cell>
        </row>
        <row r="1374">
          <cell r="A1374" t="str">
            <v>sm</v>
          </cell>
          <cell r="B1374" t="str">
            <v>Siemens per meter</v>
          </cell>
        </row>
        <row r="1375">
          <cell r="A1375" t="str">
            <v>snfl</v>
          </cell>
          <cell r="B1375" t="str">
            <v>Sewer network file link depreciated 2</v>
          </cell>
        </row>
        <row r="1376">
          <cell r="A1376" t="str">
            <v>snowy</v>
          </cell>
          <cell r="B1376" t="str">
            <v>Snowy</v>
          </cell>
        </row>
        <row r="1377">
          <cell r="A1377" t="str">
            <v>sol</v>
          </cell>
          <cell r="B1377" t="str">
            <v>Solid fraction</v>
          </cell>
        </row>
        <row r="1378">
          <cell r="A1378" t="str">
            <v>solid</v>
          </cell>
          <cell r="B1378" t="str">
            <v>Solids/Pellet retained</v>
          </cell>
        </row>
        <row r="1379">
          <cell r="A1379" t="str">
            <v>solidSep</v>
          </cell>
          <cell r="B1379" t="str">
            <v>Solid seperation</v>
          </cell>
        </row>
        <row r="1380">
          <cell r="A1380" t="str">
            <v>solidSeparationSet</v>
          </cell>
          <cell r="B1380" t="str">
            <v>Solid separation set</v>
          </cell>
        </row>
        <row r="1381">
          <cell r="A1381" t="str">
            <v>source</v>
          </cell>
          <cell r="B1381" t="str">
            <v>Wide name source</v>
          </cell>
        </row>
        <row r="1382">
          <cell r="A1382" t="str">
            <v>sourceProtocol</v>
          </cell>
          <cell r="B1382" t="str">
            <v>Source Protocol ID</v>
          </cell>
        </row>
        <row r="1383">
          <cell r="A1383" t="str">
            <v>sourceStep</v>
          </cell>
          <cell r="B1383" t="str">
            <v>Protocol step source ID</v>
          </cell>
        </row>
        <row r="1384">
          <cell r="A1384" t="str">
            <v>sovereignty</v>
          </cell>
          <cell r="B1384" t="str">
            <v>Sovereign status of a country</v>
          </cell>
        </row>
        <row r="1385">
          <cell r="A1385" t="str">
            <v>specHum</v>
          </cell>
          <cell r="B1385" t="str">
            <v>Specific humidity</v>
          </cell>
        </row>
        <row r="1386">
          <cell r="A1386" t="str">
            <v>specHumidUnitSet</v>
          </cell>
          <cell r="B1386" t="str">
            <v>Specific humidity unit set</v>
          </cell>
        </row>
        <row r="1387">
          <cell r="A1387" t="str">
            <v>specifies</v>
          </cell>
          <cell r="B1387" t="str">
            <v>Specifies</v>
          </cell>
        </row>
        <row r="1388">
          <cell r="A1388" t="str">
            <v>specimen</v>
          </cell>
          <cell r="B1388" t="str">
            <v>Specimen</v>
          </cell>
        </row>
        <row r="1389">
          <cell r="A1389" t="str">
            <v>specimenInput</v>
          </cell>
          <cell r="B1389" t="str">
            <v>Specimen input (wide table)</v>
          </cell>
        </row>
        <row r="1390">
          <cell r="A1390" t="str">
            <v>specimenName</v>
          </cell>
          <cell r="B1390" t="str">
            <v>Specimen name (wide table)</v>
          </cell>
        </row>
        <row r="1391">
          <cell r="A1391" t="str">
            <v>specimens</v>
          </cell>
          <cell r="B1391" t="str">
            <v>Specimens</v>
          </cell>
        </row>
        <row r="1392">
          <cell r="A1392" t="str">
            <v>specimenSet</v>
          </cell>
          <cell r="B1392" t="str">
            <v>Specimen Set Header</v>
          </cell>
        </row>
        <row r="1393">
          <cell r="A1393" t="str">
            <v>specimenSets</v>
          </cell>
          <cell r="B1393" t="str">
            <v>Specimen sets</v>
          </cell>
        </row>
        <row r="1394">
          <cell r="A1394" t="str">
            <v>speed</v>
          </cell>
          <cell r="B1394" t="str">
            <v>Speed class</v>
          </cell>
        </row>
        <row r="1395">
          <cell r="A1395" t="str">
            <v>speedUnitSet</v>
          </cell>
          <cell r="B1395" t="str">
            <v>Speed Unit Set</v>
          </cell>
        </row>
        <row r="1396">
          <cell r="A1396" t="str">
            <v>spike</v>
          </cell>
          <cell r="B1396" t="str">
            <v>Spike matrix and recovery</v>
          </cell>
        </row>
        <row r="1397">
          <cell r="A1397" t="str">
            <v>spikeConc</v>
          </cell>
          <cell r="B1397" t="str">
            <v>Spike Concentration</v>
          </cell>
        </row>
        <row r="1398">
          <cell r="A1398" t="str">
            <v>spikeMat</v>
          </cell>
          <cell r="B1398" t="str">
            <v>Spike material</v>
          </cell>
        </row>
        <row r="1399">
          <cell r="A1399" t="str">
            <v>spikeMatSet</v>
          </cell>
          <cell r="B1399" t="str">
            <v>Spike material set</v>
          </cell>
        </row>
        <row r="1400">
          <cell r="A1400" t="str">
            <v>spikeTarget</v>
          </cell>
          <cell r="B1400" t="str">
            <v>Recovery efficiency spike target</v>
          </cell>
        </row>
        <row r="1401">
          <cell r="A1401" t="str">
            <v>spikeTargetSet</v>
          </cell>
          <cell r="B1401" t="str">
            <v>Recovery efficiency spike target set</v>
          </cell>
        </row>
        <row r="1402">
          <cell r="A1402" t="str">
            <v>spill</v>
          </cell>
          <cell r="B1402" t="str">
            <v>Sample spilled</v>
          </cell>
        </row>
        <row r="1403">
          <cell r="A1403" t="str">
            <v>sra</v>
          </cell>
          <cell r="B1403" t="str">
            <v>Sequence Read Archive (SRA)</v>
          </cell>
        </row>
        <row r="1404">
          <cell r="A1404" t="str">
            <v>sSludge</v>
          </cell>
          <cell r="B1404" t="str">
            <v>Secondary clarifier sludge</v>
          </cell>
        </row>
        <row r="1405">
          <cell r="A1405" t="str">
            <v>sss</v>
          </cell>
          <cell r="B1405" t="str">
            <v>Social services shelter</v>
          </cell>
        </row>
        <row r="1406">
          <cell r="A1406" t="str">
            <v>stabPnd</v>
          </cell>
          <cell r="B1406" t="str">
            <v>Stabilization pond</v>
          </cell>
        </row>
        <row r="1407">
          <cell r="A1407" t="str">
            <v>standardConc</v>
          </cell>
          <cell r="B1407" t="str">
            <v>Standard concentrations class</v>
          </cell>
        </row>
        <row r="1408">
          <cell r="A1408" t="str">
            <v>standardCurve</v>
          </cell>
          <cell r="B1408" t="str">
            <v>Standard curve class</v>
          </cell>
        </row>
        <row r="1409">
          <cell r="A1409" t="str">
            <v>staphGrp</v>
          </cell>
          <cell r="B1409" t="str">
            <v>Staphylococcus Group</v>
          </cell>
        </row>
        <row r="1410">
          <cell r="A1410" t="str">
            <v>stateProvLevel</v>
          </cell>
          <cell r="B1410" t="str">
            <v>Departments, states, or provinces</v>
          </cell>
        </row>
        <row r="1411">
          <cell r="A1411" t="str">
            <v>stateProvReg</v>
          </cell>
          <cell r="B1411" t="str">
            <v>State, Province, or Region</v>
          </cell>
        </row>
        <row r="1412">
          <cell r="A1412" t="str">
            <v>status</v>
          </cell>
          <cell r="B1412" t="str">
            <v>Status</v>
          </cell>
        </row>
        <row r="1413">
          <cell r="A1413" t="str">
            <v>statusSet</v>
          </cell>
          <cell r="B1413" t="str">
            <v>Status set</v>
          </cell>
        </row>
        <row r="1414">
          <cell r="A1414" t="str">
            <v>stdConcentrationUnitSet</v>
          </cell>
          <cell r="B1414" t="str">
            <v>Standard concentration unit set</v>
          </cell>
        </row>
        <row r="1415">
          <cell r="A1415" t="str">
            <v>stdCurveMet</v>
          </cell>
          <cell r="B1415" t="str">
            <v>Standard Curve Calculation Method</v>
          </cell>
        </row>
        <row r="1416">
          <cell r="A1416" t="str">
            <v>stdCurveSet</v>
          </cell>
          <cell r="B1416" t="str">
            <v>Standard Curve Calculation Set</v>
          </cell>
        </row>
        <row r="1417">
          <cell r="A1417" t="str">
            <v>stec</v>
          </cell>
          <cell r="B1417" t="str">
            <v>Shiga-toxin-producing Escheria coli (STEC)</v>
          </cell>
        </row>
        <row r="1418">
          <cell r="A1418" t="str">
            <v>sTemp</v>
          </cell>
          <cell r="B1418" t="str">
            <v>Storage temp</v>
          </cell>
        </row>
        <row r="1419">
          <cell r="A1419" t="str">
            <v>stepID</v>
          </cell>
          <cell r="B1419" t="str">
            <v>Protocol Step ID</v>
          </cell>
        </row>
        <row r="1420">
          <cell r="A1420" t="str">
            <v>stepIDObj</v>
          </cell>
          <cell r="B1420" t="str">
            <v>Step ID Object</v>
          </cell>
        </row>
        <row r="1421">
          <cell r="A1421" t="str">
            <v>stepIDSub</v>
          </cell>
          <cell r="B1421" t="str">
            <v>Step ID Subject</v>
          </cell>
        </row>
        <row r="1422">
          <cell r="A1422" t="str">
            <v>stepProvenanceID</v>
          </cell>
          <cell r="B1422" t="str">
            <v>Method step parent ID</v>
          </cell>
        </row>
        <row r="1423">
          <cell r="A1423" t="str">
            <v>stepVer</v>
          </cell>
          <cell r="B1423" t="str">
            <v>Protocol step version</v>
          </cell>
        </row>
        <row r="1424">
          <cell r="A1424" t="str">
            <v>stEr</v>
          </cell>
          <cell r="B1424" t="str">
            <v>Standard Error</v>
          </cell>
        </row>
        <row r="1425">
          <cell r="A1425" t="str">
            <v>stercobilin</v>
          </cell>
          <cell r="B1425" t="str">
            <v>Stercobilin</v>
          </cell>
        </row>
        <row r="1426">
          <cell r="A1426" t="str">
            <v>stormy</v>
          </cell>
          <cell r="B1426" t="str">
            <v>Stormy Weather</v>
          </cell>
        </row>
        <row r="1427">
          <cell r="A1427" t="str">
            <v>storTempDef</v>
          </cell>
          <cell r="B1427" t="str">
            <v>Sewer network file blob</v>
          </cell>
        </row>
        <row r="1428">
          <cell r="A1428" t="str">
            <v>stoTim</v>
          </cell>
          <cell r="B1428" t="str">
            <v>Storage time</v>
          </cell>
        </row>
        <row r="1429">
          <cell r="A1429" t="str">
            <v>strepGrp</v>
          </cell>
          <cell r="B1429" t="str">
            <v>Streptococcus Group</v>
          </cell>
        </row>
        <row r="1430">
          <cell r="A1430" t="str">
            <v>strepPneu</v>
          </cell>
          <cell r="B1430" t="str">
            <v>Streptococcus pneumoniae</v>
          </cell>
        </row>
        <row r="1431">
          <cell r="A1431" t="str">
            <v>su</v>
          </cell>
          <cell r="B1431" t="str">
            <v>Summary worksheet Shorthand</v>
          </cell>
        </row>
        <row r="1432">
          <cell r="A1432" t="str">
            <v>suburban</v>
          </cell>
          <cell r="B1432" t="str">
            <v>Suburban</v>
          </cell>
        </row>
        <row r="1433">
          <cell r="A1433" t="str">
            <v>subVar</v>
          </cell>
          <cell r="B1433" t="str">
            <v>Sub-variant or lineage</v>
          </cell>
        </row>
        <row r="1434">
          <cell r="A1434" t="str">
            <v>suc</v>
          </cell>
          <cell r="B1434" t="str">
            <v>Sucralose</v>
          </cell>
        </row>
        <row r="1435">
          <cell r="A1435" t="str">
            <v>sum14</v>
          </cell>
          <cell r="B1435" t="str">
            <v>Rolling sum of previous 14 days</v>
          </cell>
        </row>
        <row r="1436">
          <cell r="A1436" t="str">
            <v>summ</v>
          </cell>
          <cell r="B1436" t="str">
            <v>Summary</v>
          </cell>
        </row>
        <row r="1437">
          <cell r="A1437" t="str">
            <v>summary</v>
          </cell>
          <cell r="B1437" t="str">
            <v>Summary worksheet</v>
          </cell>
        </row>
        <row r="1438">
          <cell r="A1438" t="str">
            <v>sunny</v>
          </cell>
          <cell r="B1438" t="str">
            <v>Sunny</v>
          </cell>
        </row>
        <row r="1439">
          <cell r="A1439" t="str">
            <v>surf</v>
          </cell>
          <cell r="B1439" t="str">
            <v>Surface compartment</v>
          </cell>
        </row>
        <row r="1440">
          <cell r="A1440" t="str">
            <v>surface</v>
          </cell>
          <cell r="B1440" t="str">
            <v>Other surface</v>
          </cell>
        </row>
        <row r="1441">
          <cell r="A1441" t="str">
            <v>surfaceCompartmentSet</v>
          </cell>
          <cell r="B1441" t="str">
            <v>Surface compartment set</v>
          </cell>
        </row>
        <row r="1442">
          <cell r="A1442" t="str">
            <v>surfaceWaterCompartmentSet</v>
          </cell>
          <cell r="B1442" t="str">
            <v>Surface and water compartment set</v>
          </cell>
        </row>
        <row r="1443">
          <cell r="A1443" t="str">
            <v>surfSw</v>
          </cell>
          <cell r="B1443" t="str">
            <v>Surface swab</v>
          </cell>
        </row>
        <row r="1444">
          <cell r="A1444" t="str">
            <v>swgTrck</v>
          </cell>
          <cell r="B1444" t="str">
            <v>Sewage truck</v>
          </cell>
        </row>
        <row r="1445">
          <cell r="A1445" t="str">
            <v>swrSed</v>
          </cell>
          <cell r="B1445" t="str">
            <v>Sewer sediment</v>
          </cell>
        </row>
        <row r="1446">
          <cell r="A1446" t="str">
            <v>swrSet</v>
          </cell>
          <cell r="B1446" t="str">
            <v>Sewer catchment area</v>
          </cell>
        </row>
        <row r="1447">
          <cell r="A1447" t="str">
            <v>synthetic</v>
          </cell>
          <cell r="B1447" t="str">
            <v>Synthetic sample</v>
          </cell>
        </row>
        <row r="1448">
          <cell r="A1448" t="str">
            <v>t19r</v>
          </cell>
          <cell r="B1448" t="str">
            <v>t19r delta-variant gene target</v>
          </cell>
        </row>
        <row r="1449">
          <cell r="A1449" t="str">
            <v>t3646a</v>
          </cell>
          <cell r="B1449" t="str">
            <v>t3646a delta-variant gene target</v>
          </cell>
        </row>
        <row r="1450">
          <cell r="A1450" t="str">
            <v>t547k</v>
          </cell>
          <cell r="B1450" t="str">
            <v>t547k omicron-variant gene target</v>
          </cell>
        </row>
        <row r="1451">
          <cell r="A1451" t="str">
            <v>t9i</v>
          </cell>
          <cell r="B1451" t="str">
            <v>t9i omicron-variant gene target</v>
          </cell>
        </row>
        <row r="1452">
          <cell r="A1452" t="str">
            <v>tables</v>
          </cell>
          <cell r="B1452" t="str">
            <v>Tables</v>
          </cell>
        </row>
        <row r="1453">
          <cell r="A1453" t="str">
            <v>tableSet</v>
          </cell>
          <cell r="B1453" t="str">
            <v>Table column set</v>
          </cell>
        </row>
        <row r="1454">
          <cell r="A1454" t="str">
            <v>taqpatN</v>
          </cell>
          <cell r="B1454" t="str">
            <v>TaqPath N sars-cov-2 gene target</v>
          </cell>
        </row>
        <row r="1455">
          <cell r="A1455" t="str">
            <v>taqpatS</v>
          </cell>
          <cell r="B1455" t="str">
            <v>TaqPath S sars-cov-2 gene target</v>
          </cell>
        </row>
        <row r="1456">
          <cell r="A1456" t="str">
            <v>targetSurv</v>
          </cell>
          <cell r="B1456" t="str">
            <v>Targeted surveillance program</v>
          </cell>
        </row>
        <row r="1457">
          <cell r="A1457" t="str">
            <v>tds</v>
          </cell>
          <cell r="B1457" t="str">
            <v>Total Dissolved Solids (TDS)</v>
          </cell>
        </row>
        <row r="1458">
          <cell r="A1458" t="str">
            <v>temp</v>
          </cell>
          <cell r="B1458" t="str">
            <v>Sample temperature</v>
          </cell>
        </row>
        <row r="1459">
          <cell r="A1459" t="str">
            <v>temperature</v>
          </cell>
          <cell r="B1459" t="str">
            <v>Temperature class</v>
          </cell>
        </row>
        <row r="1460">
          <cell r="A1460" t="str">
            <v>temperatureUnitSet</v>
          </cell>
          <cell r="B1460" t="str">
            <v>Temperature unit set</v>
          </cell>
        </row>
        <row r="1461">
          <cell r="A1461" t="str">
            <v>templateSheetSet</v>
          </cell>
          <cell r="B1461" t="str">
            <v>Template Sheet Set</v>
          </cell>
        </row>
        <row r="1462">
          <cell r="A1462" t="str">
            <v>tempSet</v>
          </cell>
          <cell r="B1462" t="str">
            <v>Template Set</v>
          </cell>
        </row>
        <row r="1463">
          <cell r="A1463" t="str">
            <v>tempType</v>
          </cell>
          <cell r="B1463" t="str">
            <v>Nucelic Acid Template Type</v>
          </cell>
        </row>
        <row r="1464">
          <cell r="A1464" t="str">
            <v>tempVol</v>
          </cell>
          <cell r="B1464" t="str">
            <v>Nucleic acid template volume</v>
          </cell>
        </row>
        <row r="1465">
          <cell r="A1465" t="str">
            <v>terminal</v>
          </cell>
          <cell r="B1465" t="str">
            <v>Airport terminal</v>
          </cell>
        </row>
        <row r="1466">
          <cell r="A1466" t="str">
            <v>tesDate</v>
          </cell>
          <cell r="B1466" t="str">
            <v>Test date</v>
          </cell>
        </row>
        <row r="1467">
          <cell r="A1467" t="str">
            <v>test</v>
          </cell>
          <cell r="B1467" t="str">
            <v>Number of tests performed</v>
          </cell>
        </row>
        <row r="1468">
          <cell r="A1468" t="str">
            <v>testing</v>
          </cell>
          <cell r="B1468" t="str">
            <v>Protocol testing</v>
          </cell>
        </row>
        <row r="1469">
          <cell r="A1469" t="str">
            <v>tetAMRGrp</v>
          </cell>
          <cell r="B1469" t="str">
            <v>Tetracycline Anti-microbial resistance Group</v>
          </cell>
        </row>
        <row r="1470">
          <cell r="A1470" t="str">
            <v>tetW</v>
          </cell>
          <cell r="B1470" t="str">
            <v>TetW Tetracycline-resistance gene target</v>
          </cell>
        </row>
        <row r="1471">
          <cell r="A1471" t="str">
            <v>thermMag</v>
          </cell>
          <cell r="B1471" t="str">
            <v>thermo magmax microbiome ultra nucleic acid isolation kit</v>
          </cell>
        </row>
        <row r="1472">
          <cell r="A1472" t="str">
            <v>thermMagmax</v>
          </cell>
          <cell r="B1472" t="str">
            <v>thermo magmax viral/pathogen nucleic acid isolation kit</v>
          </cell>
        </row>
        <row r="1473">
          <cell r="A1473" t="str">
            <v>time</v>
          </cell>
          <cell r="B1473" t="str">
            <v>Time class</v>
          </cell>
        </row>
        <row r="1474">
          <cell r="A1474" t="str">
            <v>timePr</v>
          </cell>
          <cell r="B1474" t="str">
            <v>Time proportional sample</v>
          </cell>
        </row>
        <row r="1475">
          <cell r="A1475" t="str">
            <v>timeUnitSet</v>
          </cell>
          <cell r="B1475" t="str">
            <v>Time unit set</v>
          </cell>
        </row>
        <row r="1476">
          <cell r="A1476" t="str">
            <v>tkn</v>
          </cell>
          <cell r="B1476" t="str">
            <v>Total Kjeldahl Nitrogen</v>
          </cell>
        </row>
        <row r="1477">
          <cell r="A1477" t="str">
            <v>tld</v>
          </cell>
          <cell r="B1477" t="str">
            <v>Country code top-level domain</v>
          </cell>
        </row>
        <row r="1478">
          <cell r="A1478" t="str">
            <v>tn</v>
          </cell>
          <cell r="B1478" t="str">
            <v>Total Nitrogen</v>
          </cell>
        </row>
        <row r="1479">
          <cell r="A1479" t="str">
            <v>total</v>
          </cell>
          <cell r="B1479" t="str">
            <v>Total amount or count - the sum</v>
          </cell>
        </row>
        <row r="1480">
          <cell r="A1480" t="str">
            <v>tp24s</v>
          </cell>
          <cell r="B1480" t="str">
            <v>Time Proportional 24hr sample</v>
          </cell>
        </row>
        <row r="1481">
          <cell r="A1481" t="str">
            <v>tPallidum</v>
          </cell>
          <cell r="B1481" t="str">
            <v>Treponema pallidum</v>
          </cell>
        </row>
        <row r="1482">
          <cell r="A1482" t="str">
            <v>tr</v>
          </cell>
          <cell r="B1482" t="str">
            <v>Translation look-up table Shorthand</v>
          </cell>
        </row>
        <row r="1483">
          <cell r="A1483" t="str">
            <v>translationID</v>
          </cell>
          <cell r="B1483" t="str">
            <v>Synthetic ID for the translations table</v>
          </cell>
        </row>
        <row r="1484">
          <cell r="A1484" t="str">
            <v>translations</v>
          </cell>
          <cell r="B1484" t="str">
            <v>Translation look-up table</v>
          </cell>
        </row>
        <row r="1485">
          <cell r="A1485" t="str">
            <v>translationsOrder</v>
          </cell>
          <cell r="B1485" t="str">
            <v>Translation table column order</v>
          </cell>
        </row>
        <row r="1486">
          <cell r="A1486" t="str">
            <v>translationsRequired</v>
          </cell>
          <cell r="B1486" t="str">
            <v>Translation table required headers</v>
          </cell>
        </row>
        <row r="1487">
          <cell r="A1487" t="str">
            <v>travelSurv</v>
          </cell>
          <cell r="B1487" t="str">
            <v>Travel hub surveillance - general</v>
          </cell>
        </row>
        <row r="1488">
          <cell r="A1488" t="str">
            <v>treponemaGrp</v>
          </cell>
          <cell r="B1488" t="str">
            <v>Treponema Group</v>
          </cell>
        </row>
        <row r="1489">
          <cell r="A1489" t="str">
            <v>trichomonasGrp</v>
          </cell>
          <cell r="B1489" t="str">
            <v>Trichomonas Group</v>
          </cell>
        </row>
        <row r="1490">
          <cell r="A1490" t="str">
            <v>trizol</v>
          </cell>
          <cell r="B1490" t="str">
            <v>trizol, zymo mag beads w/ zymo clean and concentrator</v>
          </cell>
        </row>
        <row r="1491">
          <cell r="A1491" t="str">
            <v>trizolEtOH</v>
          </cell>
          <cell r="B1491" t="str">
            <v>trizol, garnet bead beating, alcohol precipitation</v>
          </cell>
        </row>
        <row r="1492">
          <cell r="A1492" t="str">
            <v>trizolRNA</v>
          </cell>
          <cell r="B1492" t="str">
            <v>trizol and RNA purification kit</v>
          </cell>
        </row>
        <row r="1493">
          <cell r="A1493" t="str">
            <v>ts</v>
          </cell>
          <cell r="B1493" t="str">
            <v>Total solids concentration</v>
          </cell>
        </row>
        <row r="1494">
          <cell r="A1494" t="str">
            <v>tss</v>
          </cell>
          <cell r="B1494" t="str">
            <v>Total suspended solids</v>
          </cell>
        </row>
        <row r="1495">
          <cell r="A1495" t="str">
            <v>tssConc</v>
          </cell>
          <cell r="B1495" t="str">
            <v>Concentration of total suspended solids</v>
          </cell>
        </row>
        <row r="1496">
          <cell r="A1496" t="str">
            <v>tuberculosisGrp</v>
          </cell>
          <cell r="B1496" t="str">
            <v>Tuberculosis Group</v>
          </cell>
        </row>
        <row r="1497">
          <cell r="A1497" t="str">
            <v>tularemiaGrp</v>
          </cell>
          <cell r="B1497" t="str">
            <v>Francisella tularensis (tularemia) Group</v>
          </cell>
        </row>
        <row r="1498">
          <cell r="A1498" t="str">
            <v>turb</v>
          </cell>
          <cell r="B1498" t="str">
            <v>Turbidity</v>
          </cell>
        </row>
        <row r="1499">
          <cell r="A1499" t="str">
            <v>turbidity</v>
          </cell>
          <cell r="B1499" t="str">
            <v>Turburdity class</v>
          </cell>
        </row>
        <row r="1500">
          <cell r="A1500" t="str">
            <v>turbidityUnitSet</v>
          </cell>
          <cell r="B1500" t="str">
            <v>Turbidity unit set</v>
          </cell>
        </row>
        <row r="1501">
          <cell r="A1501" t="str">
            <v>tVaginalis</v>
          </cell>
          <cell r="B1501" t="str">
            <v>Trichomonas vaginalis</v>
          </cell>
        </row>
        <row r="1502">
          <cell r="A1502" t="str">
            <v>tWeighE</v>
          </cell>
          <cell r="B1502" t="str">
            <v>Tube weight empty</v>
          </cell>
        </row>
        <row r="1503">
          <cell r="A1503" t="str">
            <v>tWeighF</v>
          </cell>
          <cell r="B1503" t="str">
            <v>Tube weight full</v>
          </cell>
        </row>
        <row r="1504">
          <cell r="A1504" t="str">
            <v>tyOtDep</v>
          </cell>
          <cell r="B1504" t="str">
            <v>Type other depreciate</v>
          </cell>
        </row>
        <row r="1505">
          <cell r="A1505" t="str">
            <v>tyOtDep2</v>
          </cell>
          <cell r="B1505" t="str">
            <v>Type other depreciate2</v>
          </cell>
        </row>
        <row r="1506">
          <cell r="A1506" t="str">
            <v>uCampus</v>
          </cell>
          <cell r="B1506" t="str">
            <v>University campus</v>
          </cell>
        </row>
        <row r="1507">
          <cell r="A1507" t="str">
            <v>ugG</v>
          </cell>
          <cell r="B1507" t="str">
            <v>Micrograms per gram</v>
          </cell>
        </row>
        <row r="1508">
          <cell r="A1508" t="str">
            <v>ugL</v>
          </cell>
          <cell r="B1508" t="str">
            <v>Micrograms per litre</v>
          </cell>
        </row>
        <row r="1509">
          <cell r="A1509" t="str">
            <v>ugmg</v>
          </cell>
          <cell r="B1509" t="str">
            <v>Micrograms per milligram</v>
          </cell>
        </row>
        <row r="1510">
          <cell r="A1510" t="str">
            <v>uL</v>
          </cell>
          <cell r="B1510" t="str">
            <v>Micro-litres</v>
          </cell>
        </row>
        <row r="1511">
          <cell r="A1511" t="str">
            <v>umhocm</v>
          </cell>
          <cell r="B1511" t="str">
            <v>Micromho per centimeter</v>
          </cell>
        </row>
        <row r="1512">
          <cell r="A1512" t="str">
            <v>undisc</v>
          </cell>
          <cell r="B1512" t="str">
            <v>Undisclosed</v>
          </cell>
        </row>
        <row r="1513">
          <cell r="A1513" t="str">
            <v>unique</v>
          </cell>
          <cell r="B1513" t="str">
            <v>Unique sample</v>
          </cell>
        </row>
        <row r="1514">
          <cell r="A1514" t="str">
            <v>unit</v>
          </cell>
          <cell r="B1514" t="str">
            <v>Unit</v>
          </cell>
        </row>
        <row r="1515">
          <cell r="A1515" t="str">
            <v>unitInput</v>
          </cell>
          <cell r="B1515" t="str">
            <v>Unit input (wide table)</v>
          </cell>
        </row>
        <row r="1516">
          <cell r="A1516" t="str">
            <v>unitless</v>
          </cell>
          <cell r="B1516" t="str">
            <v>Unitless measure</v>
          </cell>
        </row>
        <row r="1517">
          <cell r="A1517" t="str">
            <v>unitlessUnitSet</v>
          </cell>
          <cell r="B1517" t="str">
            <v>Unitless unit set</v>
          </cell>
        </row>
        <row r="1518">
          <cell r="A1518" t="str">
            <v>unitName</v>
          </cell>
          <cell r="B1518" t="str">
            <v>Unit name (wide table)</v>
          </cell>
        </row>
        <row r="1519">
          <cell r="A1519" t="str">
            <v>units</v>
          </cell>
          <cell r="B1519" t="str">
            <v>Units</v>
          </cell>
        </row>
        <row r="1520">
          <cell r="A1520" t="str">
            <v>unitSet</v>
          </cell>
          <cell r="B1520" t="str">
            <v>Unit set</v>
          </cell>
        </row>
        <row r="1521">
          <cell r="A1521" t="str">
            <v>unitSets</v>
          </cell>
          <cell r="B1521" t="str">
            <v>Unit sets</v>
          </cell>
        </row>
        <row r="1522">
          <cell r="A1522" t="str">
            <v>unlicense</v>
          </cell>
          <cell r="B1522" t="str">
            <v>The Unlicense</v>
          </cell>
        </row>
        <row r="1523">
          <cell r="A1523" t="str">
            <v>untracent</v>
          </cell>
          <cell r="B1523" t="str">
            <v>Ultracentrifugation</v>
          </cell>
        </row>
        <row r="1524">
          <cell r="A1524" t="str">
            <v>upperCI95</v>
          </cell>
          <cell r="B1524" t="str">
            <v>Upper limit of a 95% confidence interval</v>
          </cell>
        </row>
        <row r="1525">
          <cell r="A1525" t="str">
            <v>upstream</v>
          </cell>
          <cell r="B1525" t="str">
            <v>Upstream sites</v>
          </cell>
        </row>
        <row r="1526">
          <cell r="A1526" t="str">
            <v>urban</v>
          </cell>
          <cell r="B1526" t="str">
            <v>Urban</v>
          </cell>
        </row>
        <row r="1527">
          <cell r="A1527" t="str">
            <v>ureaplasma</v>
          </cell>
          <cell r="B1527" t="str">
            <v>Ureaplasma</v>
          </cell>
        </row>
        <row r="1528">
          <cell r="A1528" t="str">
            <v>ureaplasmaGrp</v>
          </cell>
          <cell r="B1528" t="str">
            <v>Ureaplasma Group</v>
          </cell>
        </row>
        <row r="1529">
          <cell r="A1529" t="str">
            <v>urobilin</v>
          </cell>
          <cell r="B1529" t="str">
            <v>Urobilin or urochrome</v>
          </cell>
        </row>
        <row r="1530">
          <cell r="A1530" t="str">
            <v>uSCm</v>
          </cell>
          <cell r="B1530" t="str">
            <v>Micro-Siemens per centimetre</v>
          </cell>
        </row>
        <row r="1531">
          <cell r="A1531" t="str">
            <v>uSiteMeasureID</v>
          </cell>
          <cell r="B1531" t="str">
            <v>U site measure ID</v>
          </cell>
        </row>
        <row r="1532">
          <cell r="A1532" t="str">
            <v>utc</v>
          </cell>
          <cell r="B1532" t="str">
            <v>Coordinated universal time (UTC) zone</v>
          </cell>
        </row>
        <row r="1533">
          <cell r="A1533" t="str">
            <v>utcDST</v>
          </cell>
          <cell r="B1533" t="str">
            <v>Coordinated universal time (UTC) zone in daylight savings</v>
          </cell>
        </row>
        <row r="1534">
          <cell r="A1534" t="str">
            <v>utilities</v>
          </cell>
          <cell r="B1534" t="str">
            <v>Utilities sector or organization</v>
          </cell>
        </row>
        <row r="1535">
          <cell r="A1535" t="str">
            <v>v1104l</v>
          </cell>
          <cell r="B1535" t="str">
            <v>V1104L Mutation</v>
          </cell>
        </row>
        <row r="1536">
          <cell r="A1536" t="str">
            <v>v2930l</v>
          </cell>
          <cell r="B1536" t="str">
            <v>v2930l delta-variant gene target</v>
          </cell>
        </row>
        <row r="1537">
          <cell r="A1537" t="str">
            <v>validationStudy</v>
          </cell>
          <cell r="B1537" t="str">
            <v>Validation study</v>
          </cell>
        </row>
        <row r="1538">
          <cell r="A1538" t="str">
            <v>value</v>
          </cell>
          <cell r="B1538" t="str">
            <v>Value</v>
          </cell>
        </row>
        <row r="1539">
          <cell r="A1539" t="str">
            <v>vanAA</v>
          </cell>
          <cell r="B1539" t="str">
            <v>VanA-A Vancomycin-resistance gene target</v>
          </cell>
        </row>
        <row r="1540">
          <cell r="A1540" t="str">
            <v>vanAMRGrp</v>
          </cell>
          <cell r="B1540" t="str">
            <v>Vancomycin Anti-microbial resistance Group</v>
          </cell>
        </row>
        <row r="1541">
          <cell r="A1541" t="str">
            <v>vanc</v>
          </cell>
          <cell r="B1541" t="str">
            <v>Vancomycin resistance</v>
          </cell>
        </row>
        <row r="1542">
          <cell r="A1542" t="str">
            <v>varchar</v>
          </cell>
          <cell r="B1542" t="str">
            <v>Variable character data type</v>
          </cell>
        </row>
        <row r="1543">
          <cell r="A1543" t="str">
            <v>varFreq</v>
          </cell>
          <cell r="B1543" t="str">
            <v>Frequency of variants detected</v>
          </cell>
        </row>
        <row r="1544">
          <cell r="A1544" t="str">
            <v>variant</v>
          </cell>
          <cell r="B1544" t="str">
            <v>Variants class</v>
          </cell>
        </row>
        <row r="1545">
          <cell r="A1545" t="str">
            <v>varicella</v>
          </cell>
          <cell r="B1545" t="str">
            <v>Varicella</v>
          </cell>
        </row>
        <row r="1546">
          <cell r="A1546" t="str">
            <v>varicellaGrp</v>
          </cell>
          <cell r="B1546" t="str">
            <v>Varicella Group</v>
          </cell>
        </row>
        <row r="1547">
          <cell r="A1547" t="str">
            <v>vax1</v>
          </cell>
          <cell r="B1547" t="str">
            <v>Population with 1 dose of vaccine</v>
          </cell>
        </row>
        <row r="1548">
          <cell r="A1548" t="str">
            <v>vax1p</v>
          </cell>
          <cell r="B1548" t="str">
            <v>Proportion of population with 1+ vaccine dose(s)</v>
          </cell>
        </row>
        <row r="1549">
          <cell r="A1549" t="str">
            <v>vax1plus</v>
          </cell>
          <cell r="B1549" t="str">
            <v>Population with 1+ dose(s) of vaccine</v>
          </cell>
        </row>
        <row r="1550">
          <cell r="A1550" t="str">
            <v>vax2</v>
          </cell>
          <cell r="B1550" t="str">
            <v>Population with 2 or more doses of vaccine</v>
          </cell>
        </row>
        <row r="1551">
          <cell r="A1551" t="str">
            <v>vax2p</v>
          </cell>
          <cell r="B1551" t="str">
            <v>Proportion of population with 2+ vaccine doses</v>
          </cell>
        </row>
        <row r="1552">
          <cell r="A1552" t="str">
            <v>vax2plus</v>
          </cell>
          <cell r="B1552" t="str">
            <v>Population with 2+ or more doses of vaccine</v>
          </cell>
        </row>
        <row r="1553">
          <cell r="A1553" t="str">
            <v>vax3</v>
          </cell>
          <cell r="B1553" t="str">
            <v>Population with 3 or more doses of vaccine</v>
          </cell>
        </row>
        <row r="1554">
          <cell r="A1554" t="str">
            <v>vax3p</v>
          </cell>
          <cell r="B1554" t="str">
            <v>Proportion of population with 3+ vaccine doses</v>
          </cell>
        </row>
        <row r="1555">
          <cell r="A1555" t="str">
            <v>vax3plus</v>
          </cell>
          <cell r="B1555" t="str">
            <v>Population with 3+ or more doses of vaccine</v>
          </cell>
        </row>
        <row r="1556">
          <cell r="A1556" t="str">
            <v>vax4</v>
          </cell>
          <cell r="B1556" t="str">
            <v>Population with 4 or more doses of vaccine</v>
          </cell>
        </row>
        <row r="1557">
          <cell r="A1557" t="str">
            <v>vax4p</v>
          </cell>
          <cell r="B1557" t="str">
            <v>Proportion of population with 4+ vaccine doses</v>
          </cell>
        </row>
        <row r="1558">
          <cell r="A1558" t="str">
            <v>vax4plus</v>
          </cell>
          <cell r="B1558" t="str">
            <v>Population with 4+ or more doses of vaccine</v>
          </cell>
        </row>
        <row r="1559">
          <cell r="A1559" t="str">
            <v>version1Category</v>
          </cell>
          <cell r="B1559" t="str">
            <v>ODM V1 category</v>
          </cell>
        </row>
        <row r="1560">
          <cell r="A1560" t="str">
            <v>version1Location</v>
          </cell>
          <cell r="B1560" t="str">
            <v>ODM V1 location</v>
          </cell>
        </row>
        <row r="1561">
          <cell r="A1561" t="str">
            <v>version1Table</v>
          </cell>
          <cell r="B1561" t="str">
            <v>ODM V1 table</v>
          </cell>
        </row>
        <row r="1562">
          <cell r="A1562" t="str">
            <v>version1to2Changes</v>
          </cell>
          <cell r="B1562" t="str">
            <v>ODM version 1 to 2 changes</v>
          </cell>
        </row>
        <row r="1563">
          <cell r="A1563" t="str">
            <v>version1Variable</v>
          </cell>
          <cell r="B1563" t="str">
            <v>ODM V1 variable</v>
          </cell>
        </row>
        <row r="1564">
          <cell r="A1564" t="str">
            <v>vibrio</v>
          </cell>
          <cell r="B1564" t="str">
            <v>Vibrio</v>
          </cell>
        </row>
        <row r="1565">
          <cell r="A1565" t="str">
            <v>vibrioGrp</v>
          </cell>
          <cell r="B1565" t="str">
            <v>Vibrio Group</v>
          </cell>
        </row>
        <row r="1566">
          <cell r="A1566" t="str">
            <v>viralPass</v>
          </cell>
          <cell r="B1566" t="str">
            <v>Viral passage experiment</v>
          </cell>
        </row>
        <row r="1567">
          <cell r="A1567" t="str">
            <v>virusMisc</v>
          </cell>
          <cell r="B1567" t="str">
            <v>Miscellaneous viruses group</v>
          </cell>
        </row>
        <row r="1568">
          <cell r="A1568" t="str">
            <v>vol</v>
          </cell>
          <cell r="B1568" t="str">
            <v>Size in volume</v>
          </cell>
        </row>
        <row r="1569">
          <cell r="A1569" t="str">
            <v>volPr</v>
          </cell>
          <cell r="B1569" t="str">
            <v>Volume proportional sample</v>
          </cell>
        </row>
        <row r="1570">
          <cell r="A1570" t="str">
            <v>volumeUnitSet</v>
          </cell>
          <cell r="B1570" t="str">
            <v>Volume unit set</v>
          </cell>
        </row>
        <row r="1571">
          <cell r="A1571" t="str">
            <v>vss</v>
          </cell>
          <cell r="B1571" t="str">
            <v>Volatile suspended solids</v>
          </cell>
        </row>
        <row r="1572">
          <cell r="A1572" t="str">
            <v>vssIg</v>
          </cell>
          <cell r="B1572" t="str">
            <v>Volatile suspended solids - ignition</v>
          </cell>
        </row>
        <row r="1573">
          <cell r="A1573" t="str">
            <v>vsv</v>
          </cell>
          <cell r="B1573" t="str">
            <v>Vesicular stomatitis virus (VSV) target</v>
          </cell>
        </row>
        <row r="1574">
          <cell r="A1574" t="str">
            <v>vsvABIFor</v>
          </cell>
          <cell r="B1574" t="str">
            <v>VSV forward primer (ABI)</v>
          </cell>
        </row>
        <row r="1575">
          <cell r="A1575" t="str">
            <v>vsvABIProbe</v>
          </cell>
          <cell r="B1575" t="str">
            <v>VSV probe (ABI)</v>
          </cell>
        </row>
        <row r="1576">
          <cell r="A1576" t="str">
            <v>vsvABIRev</v>
          </cell>
          <cell r="B1576" t="str">
            <v>VSV reverse primer (ABI)</v>
          </cell>
        </row>
        <row r="1577">
          <cell r="A1577" t="str">
            <v>vsvGrp</v>
          </cell>
          <cell r="B1577" t="str">
            <v>Vesicular Stomatitis Virus (VSV) Group</v>
          </cell>
        </row>
        <row r="1578">
          <cell r="A1578" t="str">
            <v>vtec</v>
          </cell>
          <cell r="B1578" t="str">
            <v>Verotoxin-producing Escherichia coli (VTEC)</v>
          </cell>
        </row>
        <row r="1579">
          <cell r="A1579" t="str">
            <v>wat</v>
          </cell>
          <cell r="B1579" t="str">
            <v>Water compartment</v>
          </cell>
        </row>
        <row r="1580">
          <cell r="A1580" t="str">
            <v>watConcBuff</v>
          </cell>
          <cell r="B1580" t="str">
            <v>water concentrating buffer (R2042-1)</v>
          </cell>
        </row>
        <row r="1581">
          <cell r="A1581" t="str">
            <v>water</v>
          </cell>
          <cell r="B1581" t="str">
            <v>Water depreciated</v>
          </cell>
        </row>
        <row r="1582">
          <cell r="A1582" t="str">
            <v>waterCompartmentSet</v>
          </cell>
          <cell r="B1582" t="str">
            <v>Water compartment set</v>
          </cell>
        </row>
        <row r="1583">
          <cell r="A1583" t="str">
            <v>waterQualityGrp</v>
          </cell>
          <cell r="B1583" t="str">
            <v>Water Quality Group</v>
          </cell>
        </row>
        <row r="1584">
          <cell r="A1584" t="str">
            <v>watTemp</v>
          </cell>
          <cell r="B1584" t="str">
            <v>Wastewater temperature</v>
          </cell>
        </row>
        <row r="1585">
          <cell r="A1585" t="str">
            <v>weath</v>
          </cell>
          <cell r="B1585" t="str">
            <v>Weather (time of sampling)</v>
          </cell>
        </row>
        <row r="1586">
          <cell r="A1586" t="str">
            <v>weather</v>
          </cell>
          <cell r="B1586" t="str">
            <v>Weather class</v>
          </cell>
        </row>
        <row r="1587">
          <cell r="A1587" t="str">
            <v>weathSet</v>
          </cell>
          <cell r="B1587" t="str">
            <v>Weather set</v>
          </cell>
        </row>
        <row r="1588">
          <cell r="A1588" t="str">
            <v>weeks</v>
          </cell>
          <cell r="B1588" t="str">
            <v>Weeks</v>
          </cell>
        </row>
        <row r="1589">
          <cell r="A1589" t="str">
            <v>westNile</v>
          </cell>
          <cell r="B1589" t="str">
            <v>West Nile</v>
          </cell>
        </row>
        <row r="1590">
          <cell r="A1590" t="str">
            <v>wgs</v>
          </cell>
          <cell r="B1590" t="str">
            <v>Whole genome sequencing</v>
          </cell>
        </row>
        <row r="1591">
          <cell r="A1591" t="str">
            <v>who</v>
          </cell>
          <cell r="B1591" t="str">
            <v>WHO nomenclature</v>
          </cell>
        </row>
        <row r="1592">
          <cell r="A1592" t="str">
            <v>wI</v>
          </cell>
          <cell r="B1592" t="str">
            <v>Wide 95% interval</v>
          </cell>
        </row>
        <row r="1593">
          <cell r="A1593" t="str">
            <v>wideAttribute</v>
          </cell>
          <cell r="B1593" t="str">
            <v>Specified attribute (wide table)</v>
          </cell>
        </row>
        <row r="1594">
          <cell r="A1594" t="str">
            <v>wideCompartmentSet</v>
          </cell>
          <cell r="B1594" t="str">
            <v>Compartment set for wide names</v>
          </cell>
        </row>
        <row r="1595">
          <cell r="A1595" t="str">
            <v>wideFractionSet</v>
          </cell>
          <cell r="B1595" t="str">
            <v>Fraction set for wide names</v>
          </cell>
        </row>
        <row r="1596">
          <cell r="A1596" t="str">
            <v>wideMeasure</v>
          </cell>
          <cell r="B1596" t="str">
            <v>Measure identification (wide table)</v>
          </cell>
        </row>
        <row r="1597">
          <cell r="A1597" t="str">
            <v>wideName</v>
          </cell>
          <cell r="B1597" t="str">
            <v>Wide Name</v>
          </cell>
        </row>
        <row r="1598">
          <cell r="A1598" t="str">
            <v>wideNames</v>
          </cell>
          <cell r="B1598" t="str">
            <v>Wide name table</v>
          </cell>
        </row>
        <row r="1599">
          <cell r="A1599" t="str">
            <v>wideNamesOrder</v>
          </cell>
          <cell r="B1599" t="str">
            <v>Wide name table order</v>
          </cell>
        </row>
        <row r="1600">
          <cell r="A1600" t="str">
            <v>wideNamesRequired</v>
          </cell>
          <cell r="B1600" t="str">
            <v>Wide name table required</v>
          </cell>
        </row>
        <row r="1601">
          <cell r="A1601" t="str">
            <v>wideNameType</v>
          </cell>
          <cell r="B1601" t="str">
            <v>Wide name type</v>
          </cell>
        </row>
        <row r="1602">
          <cell r="A1602" t="str">
            <v>wideProtocol</v>
          </cell>
          <cell r="B1602" t="str">
            <v>Specified protocol (wide table)</v>
          </cell>
        </row>
        <row r="1603">
          <cell r="A1603" t="str">
            <v>wideSpecimenSet</v>
          </cell>
          <cell r="B1603" t="str">
            <v>Speciment set for wide names</v>
          </cell>
        </row>
        <row r="1604">
          <cell r="A1604" t="str">
            <v>wind</v>
          </cell>
          <cell r="B1604" t="str">
            <v>Wind Speed</v>
          </cell>
        </row>
        <row r="1605">
          <cell r="A1605" t="str">
            <v>windSpeedUnitSet</v>
          </cell>
          <cell r="B1605" t="str">
            <v>Wind speed unit set</v>
          </cell>
        </row>
        <row r="1606">
          <cell r="A1606" t="str">
            <v>wn</v>
          </cell>
          <cell r="B1606" t="str">
            <v>Wide name table Shorthand</v>
          </cell>
        </row>
        <row r="1607">
          <cell r="A1607" t="str">
            <v>wrongStorage</v>
          </cell>
          <cell r="B1607" t="str">
            <v>Sample stored incorrectly</v>
          </cell>
        </row>
        <row r="1608">
          <cell r="A1608" t="str">
            <v>wrongTemp</v>
          </cell>
          <cell r="B1608" t="str">
            <v>Sample stored at wrong temperature</v>
          </cell>
        </row>
        <row r="1609">
          <cell r="A1609" t="str">
            <v>wSphere</v>
          </cell>
          <cell r="B1609" t="str">
            <v>World Sphere (W-SPHERE)</v>
          </cell>
        </row>
        <row r="1610">
          <cell r="A1610" t="str">
            <v>wSphereNotes</v>
          </cell>
          <cell r="B1610" t="str">
            <v>World Sphere (W-SPHERE) notes</v>
          </cell>
        </row>
        <row r="1611">
          <cell r="A1611" t="str">
            <v>wt214</v>
          </cell>
          <cell r="B1611" t="str">
            <v>Delta Variant wt214 gene target</v>
          </cell>
        </row>
        <row r="1612">
          <cell r="A1612" t="str">
            <v>wta</v>
          </cell>
          <cell r="B1612" t="str">
            <v>Wastewater Treatment Agency</v>
          </cell>
        </row>
        <row r="1613">
          <cell r="A1613" t="str">
            <v>wtfpl</v>
          </cell>
          <cell r="B1613" t="str">
            <v>Do What The F*ck You Want To Public License</v>
          </cell>
        </row>
        <row r="1614">
          <cell r="A1614" t="str">
            <v>wtpo</v>
          </cell>
          <cell r="B1614" t="str">
            <v>Wastewater Treatment Plant Operator</v>
          </cell>
        </row>
        <row r="1615">
          <cell r="A1615" t="str">
            <v>ww</v>
          </cell>
          <cell r="B1615" t="str">
            <v>Weight for weight</v>
          </cell>
        </row>
        <row r="1616">
          <cell r="A1616" t="str">
            <v>wwtp</v>
          </cell>
          <cell r="B1616" t="str">
            <v>Wastewater treatment plant</v>
          </cell>
        </row>
        <row r="1617">
          <cell r="A1617" t="str">
            <v>wwtpAssess</v>
          </cell>
          <cell r="B1617" t="str">
            <v>Wastewater treatment efficiency assessment</v>
          </cell>
        </row>
        <row r="1618">
          <cell r="A1618" t="str">
            <v>wwtpBack</v>
          </cell>
          <cell r="B1618" t="str">
            <v>Back-up wastewater treatment site</v>
          </cell>
        </row>
        <row r="1619">
          <cell r="A1619" t="str">
            <v>wwtpCap</v>
          </cell>
          <cell r="B1619" t="str">
            <v>Wastewater treatment plant designed capacity</v>
          </cell>
        </row>
        <row r="1620">
          <cell r="A1620" t="str">
            <v>wwtpInd</v>
          </cell>
          <cell r="B1620" t="str">
            <v>Industrial wastewater treatment plant</v>
          </cell>
        </row>
        <row r="1621">
          <cell r="A1621" t="str">
            <v>wwtpMuC</v>
          </cell>
          <cell r="B1621" t="str">
            <v>Municipal wastewater treatment plant for combined sewage</v>
          </cell>
        </row>
        <row r="1622">
          <cell r="A1622" t="str">
            <v>wwtpMuS</v>
          </cell>
          <cell r="B1622" t="str">
            <v>Municipal wastewater treatment plant for sanitary sewage only</v>
          </cell>
        </row>
        <row r="1623">
          <cell r="A1623" t="str">
            <v>xg</v>
          </cell>
          <cell r="B1623" t="str">
            <v>Relative Centrifugal Force (RCF) or x g units</v>
          </cell>
        </row>
        <row r="1624">
          <cell r="A1624" t="str">
            <v>y505h</v>
          </cell>
          <cell r="B1624" t="str">
            <v>y505h omicron-variant gene target</v>
          </cell>
        </row>
        <row r="1625">
          <cell r="A1625" t="str">
            <v>years</v>
          </cell>
          <cell r="B1625" t="str">
            <v>Years</v>
          </cell>
        </row>
        <row r="1626">
          <cell r="A1626" t="str">
            <v>yEnterocolitica</v>
          </cell>
          <cell r="B1626" t="str">
            <v>Yersinia enterocolitica</v>
          </cell>
        </row>
        <row r="1627">
          <cell r="A1627" t="str">
            <v>yersiniaGrp</v>
          </cell>
          <cell r="B1627" t="str">
            <v>Yersinia Group</v>
          </cell>
        </row>
        <row r="1628">
          <cell r="A1628" t="str">
            <v>zenodo</v>
          </cell>
          <cell r="B1628" t="str">
            <v>Zenodo</v>
          </cell>
        </row>
        <row r="1629">
          <cell r="A1629" t="str">
            <v>zika</v>
          </cell>
          <cell r="B1629" t="str">
            <v>Zika</v>
          </cell>
        </row>
        <row r="1630">
          <cell r="A1630" t="str">
            <v>zlib</v>
          </cell>
          <cell r="B1630" t="str">
            <v>zLib License</v>
          </cell>
        </row>
        <row r="1631">
          <cell r="A1631" t="str">
            <v>zo</v>
          </cell>
          <cell r="B1631" t="str">
            <v>Zones look-up table Shorthand</v>
          </cell>
        </row>
        <row r="1632">
          <cell r="A1632" t="str">
            <v>zoneName</v>
          </cell>
          <cell r="B1632" t="str">
            <v>English name of country sub-domains</v>
          </cell>
        </row>
        <row r="1633">
          <cell r="A1633" t="str">
            <v>zones</v>
          </cell>
          <cell r="B1633" t="str">
            <v>Zones look-up table</v>
          </cell>
        </row>
        <row r="1634">
          <cell r="A1634" t="str">
            <v>zonesOrder</v>
          </cell>
          <cell r="B1634" t="str">
            <v>Zones table column order</v>
          </cell>
        </row>
        <row r="1635">
          <cell r="A1635" t="str">
            <v>zonesRequired</v>
          </cell>
          <cell r="B1635" t="str">
            <v>Zones table required headers</v>
          </cell>
        </row>
        <row r="1636">
          <cell r="A1636" t="str">
            <v>zymo1035</v>
          </cell>
          <cell r="B1636" t="str">
            <v>zymo quick-rna viral kit #r1035</v>
          </cell>
        </row>
        <row r="1637">
          <cell r="A1637" t="str">
            <v>zymo1041</v>
          </cell>
          <cell r="B1637" t="str">
            <v>zymo quick-rna viral 96 kit #r1041</v>
          </cell>
        </row>
        <row r="1638">
          <cell r="A1638" t="str">
            <v>zymoEnv</v>
          </cell>
          <cell r="B1638" t="str">
            <v>zymo environ water rna kit/ zymo environ water rna kit (cat. r2042)</v>
          </cell>
        </row>
        <row r="1639">
          <cell r="A1639" t="str">
            <v>zymoQuick</v>
          </cell>
          <cell r="B1639" t="str">
            <v>zymo quick-rna fungal/bacterial miniprep #r2014</v>
          </cell>
        </row>
        <row r="1640">
          <cell r="A1640" t="str">
            <v>zymoWatRNA</v>
          </cell>
          <cell r="B1640" t="str">
            <v>zymo environ water rna kit/ zymo environ water rna kit (cat. r2042)</v>
          </cell>
        </row>
        <row r="1641">
          <cell r="A1641" t="b">
            <v>0</v>
          </cell>
          <cell r="B1641" t="b">
            <v>0</v>
          </cell>
        </row>
        <row r="1642">
          <cell r="A1642" t="b">
            <v>1</v>
          </cell>
          <cell r="B1642" t="b">
            <v>1</v>
          </cell>
        </row>
        <row r="1643">
          <cell r="A1643" t="str">
            <v>ac</v>
          </cell>
          <cell r="B1643" t="str">
            <v>Accessions report table Shorthand</v>
          </cell>
        </row>
        <row r="1644">
          <cell r="A1644" t="str">
            <v>popAs</v>
          </cell>
          <cell r="B1644" t="str">
            <v>Population assessment method</v>
          </cell>
        </row>
        <row r="1645">
          <cell r="A1645" t="str">
            <v>census</v>
          </cell>
          <cell r="B1645" t="str">
            <v>Population census</v>
          </cell>
        </row>
        <row r="1646">
          <cell r="A1646" t="str">
            <v>count</v>
          </cell>
          <cell r="B1646" t="str">
            <v>Population count</v>
          </cell>
        </row>
        <row r="1647">
          <cell r="A1647" t="str">
            <v>rev</v>
          </cell>
          <cell r="B1647" t="str">
            <v>Review of records</v>
          </cell>
        </row>
        <row r="1648">
          <cell r="A1648" t="str">
            <v>popMetSet</v>
          </cell>
          <cell r="B1648" t="str">
            <v>Population assessment method set</v>
          </cell>
        </row>
        <row r="1649">
          <cell r="A1649" t="str">
            <v>bactMeth</v>
          </cell>
          <cell r="B1649" t="str">
            <v>Bacterial testing method</v>
          </cell>
        </row>
        <row r="1650">
          <cell r="A1650" t="str">
            <v>bactMethSet</v>
          </cell>
          <cell r="B1650" t="str">
            <v>Bacterial testing method set</v>
          </cell>
        </row>
        <row r="1651">
          <cell r="A1651" t="str">
            <v>bacCul</v>
          </cell>
          <cell r="B1651" t="str">
            <v>Bacterial culture</v>
          </cell>
        </row>
        <row r="1652">
          <cell r="A1652" t="str">
            <v>agt</v>
          </cell>
          <cell r="B1652" t="str">
            <v>Antimicrobial gradient test</v>
          </cell>
        </row>
        <row r="1653">
          <cell r="A1653" t="str">
            <v>gramSt</v>
          </cell>
          <cell r="B1653" t="str">
            <v>Gram stain</v>
          </cell>
        </row>
        <row r="1654">
          <cell r="A1654" t="str">
            <v>sludgeNS</v>
          </cell>
          <cell r="B1654" t="str">
            <v>Wastewater Sludge - non-specified</v>
          </cell>
        </row>
        <row r="1655">
          <cell r="A1655" t="str">
            <v>effluNS</v>
          </cell>
          <cell r="B1655" t="str">
            <v>Wastewater Effluent - non-specified</v>
          </cell>
        </row>
        <row r="1656">
          <cell r="A1656" t="str">
            <v>poLic</v>
          </cell>
          <cell r="B1656" t="str">
            <v>Polygon License</v>
          </cell>
        </row>
        <row r="1657">
          <cell r="A1657" t="str">
            <v>gte</v>
          </cell>
          <cell r="B1657" t="str">
            <v>Genomic Target Enrichment</v>
          </cell>
        </row>
        <row r="1658">
          <cell r="A1658" t="str">
            <v>hySel</v>
          </cell>
          <cell r="B1658" t="str">
            <v>Hybrid Selection Method</v>
          </cell>
        </row>
        <row r="1659">
          <cell r="A1659" t="str">
            <v>rnaDepl</v>
          </cell>
          <cell r="B1659" t="str">
            <v>rRNA Depletion Method</v>
          </cell>
        </row>
        <row r="1660">
          <cell r="A1660" t="str">
            <v>gteSet</v>
          </cell>
          <cell r="B1660" t="str">
            <v>Genomic Target Enrichment Methods Set</v>
          </cell>
        </row>
        <row r="1661">
          <cell r="A1661" t="str">
            <v>core</v>
          </cell>
          <cell r="B1661" t="str">
            <v xml:space="preserve">Core sampling </v>
          </cell>
        </row>
        <row r="1662">
          <cell r="A1662" t="str">
            <v>vac</v>
          </cell>
          <cell r="B1662" t="str">
            <v>Vacuum sludge sampling</v>
          </cell>
        </row>
        <row r="1663">
          <cell r="A1663" t="str">
            <v>cone</v>
          </cell>
          <cell r="B1663" t="str">
            <v>Cone-shaped sampling</v>
          </cell>
        </row>
        <row r="1664">
          <cell r="A1664" t="str">
            <v>horGrb</v>
          </cell>
          <cell r="B1664" t="str">
            <v>Horizontal grab sampling</v>
          </cell>
        </row>
        <row r="1665">
          <cell r="A1665" t="str">
            <v>vertGrb</v>
          </cell>
          <cell r="B1665" t="str">
            <v>Vertical grab sampling</v>
          </cell>
        </row>
        <row r="1666">
          <cell r="A1666" t="str">
            <v>trap</v>
          </cell>
          <cell r="B1666" t="str">
            <v>Passive (trap) sampling</v>
          </cell>
        </row>
        <row r="1667">
          <cell r="A1667" t="str">
            <v>autoComp</v>
          </cell>
          <cell r="B1667" t="str">
            <v>Automatic composite sampling</v>
          </cell>
        </row>
        <row r="1668">
          <cell r="A1668" t="str">
            <v>autoSeq</v>
          </cell>
          <cell r="B1668" t="str">
            <v>Automatic sequential sampling</v>
          </cell>
        </row>
        <row r="1669">
          <cell r="A1669" t="str">
            <v>bow</v>
          </cell>
          <cell r="B1669" t="str">
            <v>Body of water</v>
          </cell>
        </row>
        <row r="1670">
          <cell r="A1670" t="str">
            <v>opWa</v>
          </cell>
          <cell r="B1670" t="str">
            <v>Surface water</v>
          </cell>
        </row>
        <row r="1671">
          <cell r="A1671" t="str">
            <v>str</v>
          </cell>
          <cell r="B1671" t="str">
            <v>Stream</v>
          </cell>
        </row>
        <row r="1672">
          <cell r="A1672" t="str">
            <v>canal</v>
          </cell>
          <cell r="B1672" t="str">
            <v>Canal</v>
          </cell>
        </row>
        <row r="1673">
          <cell r="A1673" t="str">
            <v>res</v>
          </cell>
          <cell r="B1673" t="str">
            <v>Reservoir</v>
          </cell>
        </row>
        <row r="1674">
          <cell r="A1674" t="str">
            <v>grWa</v>
          </cell>
          <cell r="B1674" t="str">
            <v>Ground water</v>
          </cell>
        </row>
        <row r="1675">
          <cell r="A1675" t="str">
            <v>well</v>
          </cell>
          <cell r="B1675" t="str">
            <v>Well</v>
          </cell>
        </row>
        <row r="1676">
          <cell r="A1676" t="str">
            <v>spr</v>
          </cell>
          <cell r="B1676" t="str">
            <v>Spring</v>
          </cell>
        </row>
        <row r="1677">
          <cell r="A1677" t="str">
            <v>pluDra</v>
          </cell>
          <cell r="B1677" t="str">
            <v>Plumbing drain</v>
          </cell>
        </row>
        <row r="1678">
          <cell r="A1678" t="str">
            <v>hcf</v>
          </cell>
          <cell r="B1678" t="str">
            <v>Healthcare facility</v>
          </cell>
        </row>
        <row r="1679">
          <cell r="A1679" t="str">
            <v>clinic</v>
          </cell>
          <cell r="B1679" t="str">
            <v>Clinic</v>
          </cell>
        </row>
        <row r="1680">
          <cell r="A1680" t="str">
            <v>edFac</v>
          </cell>
          <cell r="B1680" t="str">
            <v>Educational facility</v>
          </cell>
        </row>
        <row r="1681">
          <cell r="A1681" t="str">
            <v>tHub</v>
          </cell>
          <cell r="B1681" t="str">
            <v>Transport hub</v>
          </cell>
        </row>
        <row r="1682">
          <cell r="A1682" t="str">
            <v>farm</v>
          </cell>
          <cell r="B1682" t="str">
            <v>Farm</v>
          </cell>
        </row>
        <row r="1683">
          <cell r="A1683" t="str">
            <v>refCamp</v>
          </cell>
          <cell r="B1683" t="str">
            <v>Refugee camp</v>
          </cell>
        </row>
        <row r="1684">
          <cell r="A1684" t="str">
            <v>indPl</v>
          </cell>
          <cell r="B1684" t="str">
            <v>Industrial plant</v>
          </cell>
        </row>
        <row r="1685">
          <cell r="A1685" t="str">
            <v>meatPl</v>
          </cell>
          <cell r="B1685" t="str">
            <v>Meat processing plant</v>
          </cell>
        </row>
        <row r="1686">
          <cell r="A1686" t="str">
            <v>pharmPl</v>
          </cell>
          <cell r="B1686" t="str">
            <v>Pharmaceutical manufacturing plant</v>
          </cell>
        </row>
        <row r="1687">
          <cell r="A1687" t="str">
            <v>transp</v>
          </cell>
          <cell r="B1687" t="str">
            <v>Transportation vehicle</v>
          </cell>
        </row>
        <row r="1688">
          <cell r="A1688" t="str">
            <v>stag</v>
          </cell>
          <cell r="B1688" t="str">
            <v>Stagnant</v>
          </cell>
        </row>
        <row r="1689">
          <cell r="A1689" t="str">
            <v>slFlow</v>
          </cell>
          <cell r="B1689" t="str">
            <v>Slow-flowing</v>
          </cell>
        </row>
        <row r="1690">
          <cell r="A1690" t="str">
            <v>faFlow</v>
          </cell>
          <cell r="B1690" t="str">
            <v>Fast-flowing</v>
          </cell>
        </row>
        <row r="1691">
          <cell r="A1691" t="str">
            <v>liquidMat</v>
          </cell>
          <cell r="B1691" t="str">
            <v>Liquid</v>
          </cell>
        </row>
        <row r="1692">
          <cell r="A1692" t="str">
            <v>slur</v>
          </cell>
          <cell r="B1692" t="str">
            <v>Slurry</v>
          </cell>
        </row>
        <row r="1693">
          <cell r="A1693" t="str">
            <v>contam</v>
          </cell>
          <cell r="B1693" t="str">
            <v>Contamination</v>
          </cell>
        </row>
        <row r="1694">
          <cell r="A1694" t="str">
            <v>fecContam</v>
          </cell>
          <cell r="B1694" t="str">
            <v>Fecal-contamination</v>
          </cell>
        </row>
        <row r="1695">
          <cell r="A1695" t="str">
            <v>semSol</v>
          </cell>
          <cell r="B1695" t="str">
            <v>Semi-solid</v>
          </cell>
        </row>
        <row r="1696">
          <cell r="A1696" t="str">
            <v>solidMat</v>
          </cell>
          <cell r="B1696" t="str">
            <v>Solid</v>
          </cell>
        </row>
        <row r="1697">
          <cell r="A1697" t="str">
            <v>treat</v>
          </cell>
          <cell r="B1697" t="str">
            <v>Treated</v>
          </cell>
        </row>
        <row r="1698">
          <cell r="A1698" t="str">
            <v>untreat</v>
          </cell>
          <cell r="B1698" t="str">
            <v>Untreated</v>
          </cell>
        </row>
        <row r="1699">
          <cell r="A1699" t="str">
            <v>matCharSet</v>
          </cell>
          <cell r="B1699" t="str">
            <v>Sample Material Characteristics Set</v>
          </cell>
        </row>
        <row r="1700">
          <cell r="A1700" t="str">
            <v>matChar</v>
          </cell>
          <cell r="B1700" t="str">
            <v>Sample Material Characteristics</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738BB-55BF-8748-8C35-72338C2A6B88}">
  <dimension ref="A1:O9"/>
  <sheetViews>
    <sheetView workbookViewId="0">
      <selection activeCell="F9" sqref="F9"/>
    </sheetView>
  </sheetViews>
  <sheetFormatPr baseColWidth="10" defaultColWidth="10.6640625" defaultRowHeight="16" x14ac:dyDescent="0.2"/>
  <cols>
    <col min="1" max="1" width="9.33203125" customWidth="1"/>
    <col min="2" max="2" width="15" customWidth="1"/>
    <col min="3" max="3" width="10.5" customWidth="1"/>
    <col min="4" max="4" width="38.1640625" customWidth="1"/>
    <col min="5" max="5" width="13" customWidth="1"/>
    <col min="6" max="6" width="49" customWidth="1"/>
    <col min="7" max="7" width="29" customWidth="1"/>
    <col min="8" max="8" width="50.1640625" customWidth="1"/>
    <col min="9" max="9" width="10.1640625" customWidth="1"/>
    <col min="10" max="10" width="10.5" customWidth="1"/>
    <col min="11" max="11" width="12.1640625" customWidth="1"/>
    <col min="12" max="12" width="7.5" customWidth="1"/>
    <col min="13" max="13" width="12.6640625" customWidth="1"/>
    <col min="14" max="14" width="50.1640625" customWidth="1"/>
    <col min="15" max="15" width="18" customWidth="1"/>
  </cols>
  <sheetData>
    <row r="1" spans="1:15" ht="20" thickBot="1" x14ac:dyDescent="0.3">
      <c r="A1" s="18" t="s">
        <v>1443</v>
      </c>
      <c r="B1" s="19" t="s">
        <v>1772</v>
      </c>
      <c r="C1" s="12" t="s">
        <v>0</v>
      </c>
      <c r="D1" s="11" t="s">
        <v>10</v>
      </c>
      <c r="E1" s="7" t="s">
        <v>1</v>
      </c>
      <c r="F1" s="7" t="s">
        <v>2</v>
      </c>
      <c r="G1" s="7" t="s">
        <v>3</v>
      </c>
      <c r="H1" s="7" t="s">
        <v>4</v>
      </c>
      <c r="I1" s="7" t="s">
        <v>1801</v>
      </c>
      <c r="J1" s="7" t="s">
        <v>5</v>
      </c>
      <c r="K1" s="7" t="s">
        <v>6</v>
      </c>
      <c r="L1" s="7" t="s">
        <v>1779</v>
      </c>
      <c r="M1" s="7" t="s">
        <v>8</v>
      </c>
      <c r="N1" s="8" t="s">
        <v>9</v>
      </c>
      <c r="O1" s="12" t="s">
        <v>1770</v>
      </c>
    </row>
    <row r="2" spans="1:15" ht="19" x14ac:dyDescent="0.25">
      <c r="A2" s="18" t="s">
        <v>1877</v>
      </c>
      <c r="B2" s="19"/>
      <c r="C2" s="12"/>
      <c r="D2" s="12"/>
      <c r="E2" s="12"/>
      <c r="F2" s="12"/>
      <c r="G2" s="12"/>
      <c r="H2" s="12"/>
      <c r="I2" s="12"/>
      <c r="J2" s="12"/>
      <c r="K2" s="12"/>
      <c r="L2" s="12"/>
      <c r="M2" s="12"/>
      <c r="N2" s="12"/>
      <c r="O2" s="12"/>
    </row>
    <row r="3" spans="1:15" x14ac:dyDescent="0.2">
      <c r="A3" s="22">
        <v>216</v>
      </c>
      <c r="B3" s="25" t="b">
        <v>1</v>
      </c>
      <c r="C3" s="22"/>
      <c r="D3" s="22" t="s">
        <v>24</v>
      </c>
      <c r="E3" s="22" t="s">
        <v>1869</v>
      </c>
      <c r="F3" s="22" t="s">
        <v>1908</v>
      </c>
      <c r="G3" s="22"/>
      <c r="H3" s="26"/>
      <c r="I3" s="26" t="s">
        <v>1061</v>
      </c>
      <c r="J3" s="22"/>
      <c r="K3" s="22"/>
      <c r="L3" s="22"/>
      <c r="M3" s="22"/>
      <c r="N3" s="10"/>
      <c r="O3" s="18"/>
    </row>
    <row r="4" spans="1:15" x14ac:dyDescent="0.2">
      <c r="A4" s="22">
        <v>229</v>
      </c>
      <c r="B4" s="22" t="b">
        <v>1</v>
      </c>
      <c r="C4" s="22"/>
      <c r="D4" s="22" t="s">
        <v>458</v>
      </c>
      <c r="E4" s="22" t="s">
        <v>1869</v>
      </c>
      <c r="F4" s="22" t="s">
        <v>452</v>
      </c>
      <c r="G4" s="22" t="s">
        <v>453</v>
      </c>
      <c r="H4" s="22" t="s">
        <v>458</v>
      </c>
      <c r="I4" s="22"/>
      <c r="J4" s="22" t="s">
        <v>458</v>
      </c>
      <c r="K4" s="22" t="s">
        <v>458</v>
      </c>
      <c r="L4" s="22"/>
      <c r="M4" s="22"/>
      <c r="N4" s="21" t="s">
        <v>1083</v>
      </c>
      <c r="O4" s="18"/>
    </row>
    <row r="5" spans="1:15" x14ac:dyDescent="0.2">
      <c r="A5" s="22">
        <v>230</v>
      </c>
      <c r="B5" s="22" t="b">
        <v>1</v>
      </c>
      <c r="C5" s="22"/>
      <c r="D5" s="22" t="s">
        <v>458</v>
      </c>
      <c r="E5" s="22" t="s">
        <v>1869</v>
      </c>
      <c r="F5" s="22" t="s">
        <v>452</v>
      </c>
      <c r="G5" s="22" t="s">
        <v>454</v>
      </c>
      <c r="H5" s="22" t="s">
        <v>458</v>
      </c>
      <c r="I5" s="22"/>
      <c r="J5" s="22" t="s">
        <v>458</v>
      </c>
      <c r="K5" s="22" t="s">
        <v>458</v>
      </c>
      <c r="L5" s="22"/>
      <c r="M5" s="22"/>
      <c r="N5" s="21" t="s">
        <v>1083</v>
      </c>
      <c r="O5" s="18"/>
    </row>
    <row r="6" spans="1:15" x14ac:dyDescent="0.2">
      <c r="A6" s="22">
        <v>231</v>
      </c>
      <c r="B6" s="22" t="b">
        <v>1</v>
      </c>
      <c r="C6" s="22"/>
      <c r="D6" s="22" t="s">
        <v>458</v>
      </c>
      <c r="E6" s="22" t="s">
        <v>1869</v>
      </c>
      <c r="F6" s="22" t="s">
        <v>452</v>
      </c>
      <c r="G6" s="22" t="s">
        <v>455</v>
      </c>
      <c r="H6" s="22" t="s">
        <v>458</v>
      </c>
      <c r="I6" s="22"/>
      <c r="J6" s="22" t="s">
        <v>458</v>
      </c>
      <c r="K6" s="22" t="s">
        <v>1081</v>
      </c>
      <c r="L6" s="22"/>
      <c r="M6" s="22"/>
      <c r="N6" s="10"/>
      <c r="O6" s="18"/>
    </row>
    <row r="7" spans="1:15" x14ac:dyDescent="0.2">
      <c r="A7" s="22">
        <v>232</v>
      </c>
      <c r="B7" s="22" t="b">
        <v>1</v>
      </c>
      <c r="C7" s="22"/>
      <c r="D7" s="22" t="s">
        <v>458</v>
      </c>
      <c r="E7" s="22" t="s">
        <v>1869</v>
      </c>
      <c r="F7" s="22" t="s">
        <v>452</v>
      </c>
      <c r="G7" s="22" t="s">
        <v>456</v>
      </c>
      <c r="H7" s="22" t="s">
        <v>458</v>
      </c>
      <c r="I7" s="22"/>
      <c r="J7" s="22" t="s">
        <v>458</v>
      </c>
      <c r="K7" s="22" t="s">
        <v>1080</v>
      </c>
      <c r="L7" s="22"/>
      <c r="M7" s="22"/>
      <c r="N7" s="10"/>
      <c r="O7" s="18"/>
    </row>
    <row r="8" spans="1:15" x14ac:dyDescent="0.2">
      <c r="A8" s="22">
        <v>233</v>
      </c>
      <c r="B8" s="22" t="b">
        <v>1</v>
      </c>
      <c r="C8" s="22"/>
      <c r="D8" s="22" t="s">
        <v>458</v>
      </c>
      <c r="E8" s="22" t="s">
        <v>1869</v>
      </c>
      <c r="F8" s="22" t="s">
        <v>452</v>
      </c>
      <c r="G8" s="22" t="s">
        <v>457</v>
      </c>
      <c r="H8" s="22" t="s">
        <v>458</v>
      </c>
      <c r="I8" s="22"/>
      <c r="J8" s="22" t="s">
        <v>458</v>
      </c>
      <c r="K8" s="22" t="s">
        <v>1082</v>
      </c>
      <c r="L8" s="22"/>
      <c r="M8" s="22"/>
      <c r="N8" s="10"/>
      <c r="O8" s="18"/>
    </row>
    <row r="9" spans="1:15" x14ac:dyDescent="0.2">
      <c r="A9" s="22">
        <v>676</v>
      </c>
      <c r="B9" s="22"/>
      <c r="C9" s="22"/>
      <c r="D9" s="22" t="s">
        <v>108</v>
      </c>
      <c r="E9" s="22" t="s">
        <v>1869</v>
      </c>
      <c r="F9" s="22" t="s">
        <v>128</v>
      </c>
      <c r="G9" s="22" t="s">
        <v>1153</v>
      </c>
      <c r="H9" s="26" t="s">
        <v>1721</v>
      </c>
      <c r="I9" s="26"/>
      <c r="J9" s="22"/>
      <c r="K9" s="22"/>
      <c r="L9" s="22"/>
      <c r="M9" s="22"/>
      <c r="N9" s="21" t="s">
        <v>1721</v>
      </c>
      <c r="O9" s="18" t="s">
        <v>1773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C5693-7744-414E-A1CB-7D8D34C0B793}">
  <dimension ref="A1:P52"/>
  <sheetViews>
    <sheetView workbookViewId="0">
      <pane ySplit="1" topLeftCell="A2" activePane="bottomLeft" state="frozen"/>
      <selection pane="bottomLeft" activeCell="G4" sqref="G4"/>
    </sheetView>
  </sheetViews>
  <sheetFormatPr baseColWidth="10" defaultRowHeight="16" x14ac:dyDescent="0.2"/>
  <cols>
    <col min="1" max="1" width="9.33203125" customWidth="1"/>
    <col min="2" max="2" width="15" customWidth="1"/>
    <col min="3" max="3" width="10.5" customWidth="1"/>
    <col min="4" max="5" width="28.5" customWidth="1"/>
    <col min="6" max="6" width="13" customWidth="1"/>
    <col min="7" max="7" width="20.6640625" customWidth="1"/>
    <col min="8" max="8" width="33.1640625" customWidth="1"/>
    <col min="9" max="9" width="12" customWidth="1"/>
    <col min="10" max="10" width="6.6640625" customWidth="1"/>
    <col min="11" max="11" width="11" customWidth="1"/>
    <col min="12" max="12" width="19" customWidth="1"/>
    <col min="13" max="13" width="7.5" customWidth="1"/>
    <col min="14" max="14" width="12.6640625" customWidth="1"/>
    <col min="15" max="15" width="49.5" customWidth="1"/>
    <col min="16" max="16" width="114.6640625" customWidth="1"/>
  </cols>
  <sheetData>
    <row r="1" spans="1:16" s="30" customFormat="1" x14ac:dyDescent="0.2">
      <c r="A1" s="29" t="s">
        <v>1443</v>
      </c>
      <c r="B1" s="29" t="s">
        <v>1772</v>
      </c>
      <c r="C1" s="29" t="s">
        <v>0</v>
      </c>
      <c r="D1" s="29" t="s">
        <v>10</v>
      </c>
      <c r="E1" s="29" t="s">
        <v>1883</v>
      </c>
      <c r="F1" s="29" t="s">
        <v>1</v>
      </c>
      <c r="G1" s="29" t="s">
        <v>2</v>
      </c>
      <c r="H1" s="29" t="s">
        <v>3</v>
      </c>
      <c r="I1" s="29" t="s">
        <v>4</v>
      </c>
      <c r="J1" s="29" t="s">
        <v>1801</v>
      </c>
      <c r="K1" s="29" t="s">
        <v>5</v>
      </c>
      <c r="L1" s="29" t="s">
        <v>6</v>
      </c>
      <c r="M1" s="29" t="s">
        <v>1779</v>
      </c>
      <c r="N1" s="29" t="s">
        <v>8</v>
      </c>
      <c r="O1" s="29" t="s">
        <v>9</v>
      </c>
      <c r="P1" s="29" t="s">
        <v>1770</v>
      </c>
    </row>
    <row r="2" spans="1:16" x14ac:dyDescent="0.2">
      <c r="A2" s="28">
        <v>61</v>
      </c>
      <c r="B2" s="28" t="b">
        <v>1</v>
      </c>
      <c r="C2" s="28" t="b">
        <v>1</v>
      </c>
      <c r="D2" s="28" t="s">
        <v>66</v>
      </c>
      <c r="E2" t="str">
        <f>IF(G2&lt;&gt;"",VLOOKUP(G2,PHA4GEVars!$A$7:$B$241,2,FALSE),"")</f>
        <v>Database identifiers</v>
      </c>
      <c r="F2" s="28" t="s">
        <v>1869</v>
      </c>
      <c r="G2" s="28" t="s">
        <v>144</v>
      </c>
      <c r="H2" s="28"/>
      <c r="I2" s="41" t="s">
        <v>1219</v>
      </c>
      <c r="J2" s="41"/>
      <c r="K2" s="28" t="s">
        <v>1220</v>
      </c>
      <c r="L2" s="28" t="s">
        <v>1221</v>
      </c>
      <c r="M2" s="28"/>
      <c r="N2" s="28"/>
      <c r="O2" s="28"/>
      <c r="P2" s="28"/>
    </row>
    <row r="3" spans="1:16" x14ac:dyDescent="0.2">
      <c r="A3" s="28"/>
      <c r="B3" s="28"/>
      <c r="C3" s="28"/>
      <c r="D3" s="28"/>
      <c r="E3" t="str">
        <f>IF(G3&lt;&gt;"",VLOOKUP(G3,PHA4GEVars!$A$7:$B$241,2,FALSE),"")</f>
        <v/>
      </c>
      <c r="F3" s="28"/>
      <c r="G3" s="28"/>
      <c r="H3" s="28"/>
      <c r="I3" s="41"/>
      <c r="J3" s="41"/>
      <c r="K3" s="28"/>
      <c r="L3" s="28"/>
      <c r="M3" s="28"/>
      <c r="N3" s="28"/>
      <c r="O3" s="28"/>
      <c r="P3" s="28"/>
    </row>
    <row r="4" spans="1:16" x14ac:dyDescent="0.2">
      <c r="A4" s="28">
        <v>287</v>
      </c>
      <c r="B4" s="28" t="b">
        <v>1</v>
      </c>
      <c r="C4" s="28" t="b">
        <v>1</v>
      </c>
      <c r="D4" s="28" t="s">
        <v>108</v>
      </c>
      <c r="E4" t="str">
        <f>IF(G4&lt;&gt;"",VLOOKUP(G4,PHA4GEVars!$A$7:$B$241,2,FALSE),"")</f>
        <v>Sample collection and processing</v>
      </c>
      <c r="F4" s="28" t="s">
        <v>1869</v>
      </c>
      <c r="G4" s="28" t="s">
        <v>1902</v>
      </c>
      <c r="H4" s="28" t="s">
        <v>210</v>
      </c>
      <c r="I4" s="28" t="s">
        <v>1219</v>
      </c>
      <c r="J4" s="28"/>
      <c r="K4" s="28" t="s">
        <v>1271</v>
      </c>
      <c r="L4" s="28" t="s">
        <v>1802</v>
      </c>
      <c r="M4" s="28"/>
      <c r="N4" s="28"/>
      <c r="O4" s="28"/>
      <c r="P4" s="28" t="s">
        <v>1878</v>
      </c>
    </row>
    <row r="5" spans="1:16" x14ac:dyDescent="0.2">
      <c r="A5" s="28">
        <v>288</v>
      </c>
      <c r="B5" s="28" t="b">
        <v>1</v>
      </c>
      <c r="C5" s="28" t="b">
        <v>1</v>
      </c>
      <c r="D5" s="28" t="s">
        <v>108</v>
      </c>
      <c r="E5" t="str">
        <f>IF(G5&lt;&gt;"",VLOOKUP(G5,PHA4GEVars!$A$7:$B$241,2,FALSE),"")</f>
        <v>Sample collection and processing</v>
      </c>
      <c r="F5" s="28" t="s">
        <v>1869</v>
      </c>
      <c r="G5" s="28" t="s">
        <v>1902</v>
      </c>
      <c r="H5" s="28" t="s">
        <v>211</v>
      </c>
      <c r="I5" s="28" t="s">
        <v>1219</v>
      </c>
      <c r="J5" s="28"/>
      <c r="K5" s="28" t="s">
        <v>1271</v>
      </c>
      <c r="L5" s="28" t="s">
        <v>1803</v>
      </c>
      <c r="M5" s="28"/>
      <c r="N5" s="28"/>
      <c r="O5" s="28"/>
      <c r="P5" s="28" t="s">
        <v>1878</v>
      </c>
    </row>
    <row r="6" spans="1:16" x14ac:dyDescent="0.2">
      <c r="A6" s="28">
        <v>289</v>
      </c>
      <c r="B6" s="28" t="b">
        <v>1</v>
      </c>
      <c r="C6" s="28" t="b">
        <v>1</v>
      </c>
      <c r="D6" s="28" t="s">
        <v>108</v>
      </c>
      <c r="E6" t="str">
        <f>IF(G6&lt;&gt;"",VLOOKUP(G6,PHA4GEVars!$A$7:$B$241,2,FALSE),"")</f>
        <v>Sample collection and processing</v>
      </c>
      <c r="F6" s="28" t="s">
        <v>1869</v>
      </c>
      <c r="G6" s="28" t="s">
        <v>1902</v>
      </c>
      <c r="H6" s="28" t="s">
        <v>212</v>
      </c>
      <c r="I6" s="28" t="s">
        <v>1219</v>
      </c>
      <c r="J6" s="28"/>
      <c r="K6" s="28" t="s">
        <v>1271</v>
      </c>
      <c r="L6" s="28" t="s">
        <v>1804</v>
      </c>
      <c r="M6" s="28"/>
      <c r="N6" s="28"/>
      <c r="O6" s="28"/>
      <c r="P6" s="28" t="s">
        <v>1878</v>
      </c>
    </row>
    <row r="7" spans="1:16" x14ac:dyDescent="0.2">
      <c r="A7" s="28">
        <v>290</v>
      </c>
      <c r="B7" s="28" t="b">
        <v>1</v>
      </c>
      <c r="C7" s="28" t="b">
        <v>1</v>
      </c>
      <c r="D7" s="28" t="s">
        <v>108</v>
      </c>
      <c r="E7" t="str">
        <f>IF(G7&lt;&gt;"",VLOOKUP(G7,PHA4GEVars!$A$7:$B$241,2,FALSE),"")</f>
        <v>Sample collection and processing</v>
      </c>
      <c r="F7" s="28" t="s">
        <v>1869</v>
      </c>
      <c r="G7" s="28" t="s">
        <v>1902</v>
      </c>
      <c r="H7" s="28" t="s">
        <v>213</v>
      </c>
      <c r="I7" s="28" t="s">
        <v>1219</v>
      </c>
      <c r="J7" s="28"/>
      <c r="K7" s="28" t="s">
        <v>1271</v>
      </c>
      <c r="L7" s="28" t="s">
        <v>1805</v>
      </c>
      <c r="M7" s="28"/>
      <c r="N7" s="28"/>
      <c r="O7" s="28"/>
      <c r="P7" s="28" t="s">
        <v>1878</v>
      </c>
    </row>
    <row r="8" spans="1:16" x14ac:dyDescent="0.2">
      <c r="A8" s="28">
        <v>291</v>
      </c>
      <c r="B8" s="28" t="b">
        <v>1</v>
      </c>
      <c r="C8" s="28" t="b">
        <v>1</v>
      </c>
      <c r="D8" s="28" t="s">
        <v>108</v>
      </c>
      <c r="E8" t="str">
        <f>IF(G8&lt;&gt;"",VLOOKUP(G8,PHA4GEVars!$A$7:$B$241,2,FALSE),"")</f>
        <v>Sample collection and processing</v>
      </c>
      <c r="F8" s="28" t="s">
        <v>1869</v>
      </c>
      <c r="G8" s="28" t="s">
        <v>1902</v>
      </c>
      <c r="H8" s="28" t="s">
        <v>214</v>
      </c>
      <c r="I8" s="28" t="s">
        <v>1219</v>
      </c>
      <c r="J8" s="28"/>
      <c r="K8" s="28" t="s">
        <v>1271</v>
      </c>
      <c r="L8" s="28" t="s">
        <v>1806</v>
      </c>
      <c r="M8" s="28"/>
      <c r="N8" s="28"/>
      <c r="O8" s="28"/>
      <c r="P8" s="28" t="s">
        <v>1878</v>
      </c>
    </row>
    <row r="9" spans="1:16" x14ac:dyDescent="0.2">
      <c r="A9" s="28">
        <v>292</v>
      </c>
      <c r="B9" s="28" t="b">
        <v>1</v>
      </c>
      <c r="C9" s="28" t="b">
        <v>1</v>
      </c>
      <c r="D9" s="28" t="s">
        <v>108</v>
      </c>
      <c r="E9" t="str">
        <f>IF(G9&lt;&gt;"",VLOOKUP(G9,PHA4GEVars!$A$7:$B$241,2,FALSE),"")</f>
        <v>Sample collection and processing</v>
      </c>
      <c r="F9" s="28" t="s">
        <v>1869</v>
      </c>
      <c r="G9" s="28" t="s">
        <v>1902</v>
      </c>
      <c r="H9" s="28" t="s">
        <v>215</v>
      </c>
      <c r="I9" s="28" t="s">
        <v>1219</v>
      </c>
      <c r="J9" s="28"/>
      <c r="K9" s="28" t="s">
        <v>1271</v>
      </c>
      <c r="L9" s="28" t="s">
        <v>1807</v>
      </c>
      <c r="M9" s="28"/>
      <c r="N9" s="28"/>
      <c r="O9" s="28"/>
      <c r="P9" s="28" t="s">
        <v>1878</v>
      </c>
    </row>
    <row r="10" spans="1:16" x14ac:dyDescent="0.2">
      <c r="A10" s="28">
        <v>293</v>
      </c>
      <c r="B10" s="28" t="b">
        <v>1</v>
      </c>
      <c r="C10" s="28" t="b">
        <v>1</v>
      </c>
      <c r="D10" s="28" t="s">
        <v>108</v>
      </c>
      <c r="E10" t="str">
        <f>IF(G10&lt;&gt;"",VLOOKUP(G10,PHA4GEVars!$A$7:$B$241,2,FALSE),"")</f>
        <v>Sample collection and processing</v>
      </c>
      <c r="F10" s="28" t="s">
        <v>1869</v>
      </c>
      <c r="G10" s="28" t="s">
        <v>1902</v>
      </c>
      <c r="H10" s="28" t="s">
        <v>216</v>
      </c>
      <c r="I10" s="28" t="s">
        <v>1219</v>
      </c>
      <c r="J10" s="28"/>
      <c r="K10" s="28" t="s">
        <v>1271</v>
      </c>
      <c r="L10" s="28" t="s">
        <v>1808</v>
      </c>
      <c r="M10" s="28"/>
      <c r="N10" s="28"/>
      <c r="O10" s="28"/>
      <c r="P10" s="28" t="s">
        <v>1878</v>
      </c>
    </row>
    <row r="11" spans="1:16" x14ac:dyDescent="0.2">
      <c r="A11" s="28">
        <v>294</v>
      </c>
      <c r="B11" s="28" t="b">
        <v>1</v>
      </c>
      <c r="C11" s="28" t="b">
        <v>1</v>
      </c>
      <c r="D11" s="28" t="s">
        <v>108</v>
      </c>
      <c r="E11" t="str">
        <f>IF(G11&lt;&gt;"",VLOOKUP(G11,PHA4GEVars!$A$7:$B$241,2,FALSE),"")</f>
        <v>Sample collection and processing</v>
      </c>
      <c r="F11" s="28" t="s">
        <v>1869</v>
      </c>
      <c r="G11" s="28" t="s">
        <v>1902</v>
      </c>
      <c r="H11" s="28" t="s">
        <v>217</v>
      </c>
      <c r="I11" s="28" t="s">
        <v>1219</v>
      </c>
      <c r="J11" s="28"/>
      <c r="K11" s="28" t="s">
        <v>1271</v>
      </c>
      <c r="L11" s="28" t="s">
        <v>1809</v>
      </c>
      <c r="M11" s="28"/>
      <c r="N11" s="28"/>
      <c r="O11" s="28"/>
      <c r="P11" s="28" t="s">
        <v>1878</v>
      </c>
    </row>
    <row r="12" spans="1:16" x14ac:dyDescent="0.2">
      <c r="A12" s="28">
        <v>295</v>
      </c>
      <c r="B12" s="28" t="b">
        <v>1</v>
      </c>
      <c r="C12" s="28" t="b">
        <v>1</v>
      </c>
      <c r="D12" s="28" t="s">
        <v>108</v>
      </c>
      <c r="E12" t="str">
        <f>IF(G12&lt;&gt;"",VLOOKUP(G12,PHA4GEVars!$A$7:$B$241,2,FALSE),"")</f>
        <v>Sample collection and processing</v>
      </c>
      <c r="F12" s="28" t="s">
        <v>1869</v>
      </c>
      <c r="G12" s="28" t="s">
        <v>1902</v>
      </c>
      <c r="H12" s="28" t="s">
        <v>218</v>
      </c>
      <c r="I12" s="28" t="s">
        <v>1219</v>
      </c>
      <c r="J12" s="28"/>
      <c r="K12" s="28" t="s">
        <v>1271</v>
      </c>
      <c r="L12" s="28" t="s">
        <v>1810</v>
      </c>
      <c r="M12" s="28"/>
      <c r="N12" s="28"/>
      <c r="O12" s="28"/>
      <c r="P12" s="28" t="s">
        <v>1878</v>
      </c>
    </row>
    <row r="13" spans="1:16" x14ac:dyDescent="0.2">
      <c r="A13" s="28">
        <v>296</v>
      </c>
      <c r="B13" s="28" t="b">
        <v>1</v>
      </c>
      <c r="C13" s="28" t="b">
        <v>1</v>
      </c>
      <c r="D13" s="28" t="s">
        <v>108</v>
      </c>
      <c r="E13" t="str">
        <f>IF(G13&lt;&gt;"",VLOOKUP(G13,PHA4GEVars!$A$7:$B$241,2,FALSE),"")</f>
        <v>Sample collection and processing</v>
      </c>
      <c r="F13" s="28" t="s">
        <v>1869</v>
      </c>
      <c r="G13" s="28" t="s">
        <v>1902</v>
      </c>
      <c r="H13" s="28" t="s">
        <v>219</v>
      </c>
      <c r="I13" s="28" t="s">
        <v>1219</v>
      </c>
      <c r="J13" s="28"/>
      <c r="K13" s="28" t="s">
        <v>1271</v>
      </c>
      <c r="L13" s="28" t="s">
        <v>1811</v>
      </c>
      <c r="M13" s="28"/>
      <c r="N13" s="28"/>
      <c r="O13" s="28"/>
      <c r="P13" s="28" t="s">
        <v>1878</v>
      </c>
    </row>
    <row r="14" spans="1:16" x14ac:dyDescent="0.2">
      <c r="A14" s="28">
        <v>297</v>
      </c>
      <c r="B14" s="28" t="b">
        <v>1</v>
      </c>
      <c r="C14" s="28" t="b">
        <v>1</v>
      </c>
      <c r="D14" s="28" t="s">
        <v>108</v>
      </c>
      <c r="E14" t="str">
        <f>IF(G14&lt;&gt;"",VLOOKUP(G14,PHA4GEVars!$A$7:$B$241,2,FALSE),"")</f>
        <v>Sample collection and processing</v>
      </c>
      <c r="F14" s="28" t="s">
        <v>1869</v>
      </c>
      <c r="G14" s="28" t="s">
        <v>1902</v>
      </c>
      <c r="H14" s="28" t="s">
        <v>220</v>
      </c>
      <c r="I14" s="28" t="s">
        <v>1219</v>
      </c>
      <c r="J14" s="28"/>
      <c r="K14" s="28" t="s">
        <v>1271</v>
      </c>
      <c r="L14" s="28" t="s">
        <v>1812</v>
      </c>
      <c r="M14" s="28"/>
      <c r="N14" s="28"/>
      <c r="O14" s="28"/>
      <c r="P14" s="28" t="s">
        <v>1878</v>
      </c>
    </row>
    <row r="15" spans="1:16" x14ac:dyDescent="0.2">
      <c r="A15" s="28">
        <v>298</v>
      </c>
      <c r="B15" s="28" t="b">
        <v>1</v>
      </c>
      <c r="C15" s="28" t="b">
        <v>1</v>
      </c>
      <c r="D15" s="28" t="s">
        <v>108</v>
      </c>
      <c r="E15" t="str">
        <f>IF(G15&lt;&gt;"",VLOOKUP(G15,PHA4GEVars!$A$7:$B$241,2,FALSE),"")</f>
        <v>Sample collection and processing</v>
      </c>
      <c r="F15" s="28" t="s">
        <v>1869</v>
      </c>
      <c r="G15" s="28" t="s">
        <v>1902</v>
      </c>
      <c r="H15" s="28" t="s">
        <v>221</v>
      </c>
      <c r="I15" s="28" t="s">
        <v>1219</v>
      </c>
      <c r="J15" s="28"/>
      <c r="K15" s="28" t="s">
        <v>1271</v>
      </c>
      <c r="L15" s="28" t="s">
        <v>1813</v>
      </c>
      <c r="M15" s="28"/>
      <c r="N15" s="28"/>
      <c r="O15" s="28"/>
      <c r="P15" s="28" t="s">
        <v>1878</v>
      </c>
    </row>
    <row r="16" spans="1:16" x14ac:dyDescent="0.2">
      <c r="A16" s="28">
        <v>299</v>
      </c>
      <c r="B16" s="28" t="b">
        <v>1</v>
      </c>
      <c r="C16" s="28" t="b">
        <v>1</v>
      </c>
      <c r="D16" s="28" t="s">
        <v>108</v>
      </c>
      <c r="E16" t="str">
        <f>IF(G16&lt;&gt;"",VLOOKUP(G16,PHA4GEVars!$A$7:$B$241,2,FALSE),"")</f>
        <v>Sample collection and processing</v>
      </c>
      <c r="F16" s="28" t="s">
        <v>1869</v>
      </c>
      <c r="G16" s="28" t="s">
        <v>1902</v>
      </c>
      <c r="H16" s="28" t="s">
        <v>222</v>
      </c>
      <c r="I16" s="28" t="s">
        <v>1219</v>
      </c>
      <c r="J16" s="28"/>
      <c r="K16" s="28" t="s">
        <v>1271</v>
      </c>
      <c r="L16" s="28" t="s">
        <v>1814</v>
      </c>
      <c r="M16" s="28"/>
      <c r="N16" s="28"/>
      <c r="O16" s="28"/>
      <c r="P16" s="28" t="s">
        <v>1878</v>
      </c>
    </row>
    <row r="17" spans="1:16" x14ac:dyDescent="0.2">
      <c r="A17" s="28">
        <v>300</v>
      </c>
      <c r="B17" s="28" t="b">
        <v>1</v>
      </c>
      <c r="C17" s="28" t="b">
        <v>1</v>
      </c>
      <c r="D17" s="28" t="s">
        <v>108</v>
      </c>
      <c r="E17" t="str">
        <f>IF(G17&lt;&gt;"",VLOOKUP(G17,PHA4GEVars!$A$7:$B$241,2,FALSE),"")</f>
        <v>Sample collection and processing</v>
      </c>
      <c r="F17" s="28" t="s">
        <v>1869</v>
      </c>
      <c r="G17" s="28" t="s">
        <v>1902</v>
      </c>
      <c r="H17" s="28" t="s">
        <v>223</v>
      </c>
      <c r="I17" s="28" t="s">
        <v>1219</v>
      </c>
      <c r="J17" s="28"/>
      <c r="K17" s="28" t="s">
        <v>1271</v>
      </c>
      <c r="L17" s="28" t="s">
        <v>1815</v>
      </c>
      <c r="M17" s="28"/>
      <c r="N17" s="28"/>
      <c r="O17" s="28"/>
      <c r="P17" s="28" t="s">
        <v>1878</v>
      </c>
    </row>
    <row r="18" spans="1:16" x14ac:dyDescent="0.2">
      <c r="A18" s="28">
        <v>301</v>
      </c>
      <c r="B18" s="28" t="b">
        <v>1</v>
      </c>
      <c r="C18" s="28" t="b">
        <v>1</v>
      </c>
      <c r="D18" s="28" t="s">
        <v>108</v>
      </c>
      <c r="E18" t="str">
        <f>IF(G18&lt;&gt;"",VLOOKUP(G18,PHA4GEVars!$A$7:$B$241,2,FALSE),"")</f>
        <v>Sample collection and processing</v>
      </c>
      <c r="F18" s="28" t="s">
        <v>1869</v>
      </c>
      <c r="G18" s="28" t="s">
        <v>1902</v>
      </c>
      <c r="H18" s="28" t="s">
        <v>224</v>
      </c>
      <c r="I18" s="28" t="s">
        <v>1219</v>
      </c>
      <c r="J18" s="28"/>
      <c r="K18" s="28" t="s">
        <v>1271</v>
      </c>
      <c r="L18" s="28" t="s">
        <v>1816</v>
      </c>
      <c r="M18" s="28"/>
      <c r="N18" s="28"/>
      <c r="O18" s="28"/>
      <c r="P18" s="28" t="s">
        <v>1878</v>
      </c>
    </row>
    <row r="19" spans="1:16" x14ac:dyDescent="0.2">
      <c r="A19" s="28">
        <v>302</v>
      </c>
      <c r="B19" s="28" t="b">
        <v>1</v>
      </c>
      <c r="C19" s="28" t="b">
        <v>1</v>
      </c>
      <c r="D19" s="28" t="s">
        <v>108</v>
      </c>
      <c r="E19" t="str">
        <f>IF(G19&lt;&gt;"",VLOOKUP(G19,PHA4GEVars!$A$7:$B$241,2,FALSE),"")</f>
        <v>Sample collection and processing</v>
      </c>
      <c r="F19" s="28" t="s">
        <v>1869</v>
      </c>
      <c r="G19" s="28" t="s">
        <v>1902</v>
      </c>
      <c r="H19" s="28" t="s">
        <v>225</v>
      </c>
      <c r="I19" s="28" t="s">
        <v>1219</v>
      </c>
      <c r="J19" s="28"/>
      <c r="K19" s="28" t="s">
        <v>1271</v>
      </c>
      <c r="L19" s="28" t="s">
        <v>1817</v>
      </c>
      <c r="M19" s="28"/>
      <c r="N19" s="28"/>
      <c r="O19" s="28"/>
      <c r="P19" s="28" t="s">
        <v>1878</v>
      </c>
    </row>
    <row r="20" spans="1:16" x14ac:dyDescent="0.2">
      <c r="A20" s="28">
        <v>303</v>
      </c>
      <c r="B20" s="28" t="b">
        <v>1</v>
      </c>
      <c r="C20" s="28" t="b">
        <v>1</v>
      </c>
      <c r="D20" s="28" t="s">
        <v>108</v>
      </c>
      <c r="E20" t="str">
        <f>IF(G20&lt;&gt;"",VLOOKUP(G20,PHA4GEVars!$A$7:$B$241,2,FALSE),"")</f>
        <v>Sample collection and processing</v>
      </c>
      <c r="F20" s="28" t="s">
        <v>1869</v>
      </c>
      <c r="G20" s="28" t="s">
        <v>1902</v>
      </c>
      <c r="H20" s="28" t="s">
        <v>226</v>
      </c>
      <c r="I20" s="28" t="s">
        <v>1219</v>
      </c>
      <c r="J20" s="28"/>
      <c r="K20" s="28" t="s">
        <v>1271</v>
      </c>
      <c r="L20" s="28" t="s">
        <v>1818</v>
      </c>
      <c r="M20" s="28"/>
      <c r="N20" s="28"/>
      <c r="O20" s="28"/>
      <c r="P20" s="28" t="s">
        <v>1878</v>
      </c>
    </row>
    <row r="21" spans="1:16" x14ac:dyDescent="0.2">
      <c r="A21" s="28">
        <v>304</v>
      </c>
      <c r="B21" s="28" t="b">
        <v>1</v>
      </c>
      <c r="C21" s="28" t="b">
        <v>1</v>
      </c>
      <c r="D21" s="28" t="s">
        <v>108</v>
      </c>
      <c r="E21" t="str">
        <f>IF(G21&lt;&gt;"",VLOOKUP(G21,PHA4GEVars!$A$7:$B$241,2,FALSE),"")</f>
        <v>Sample collection and processing</v>
      </c>
      <c r="F21" s="28" t="s">
        <v>1869</v>
      </c>
      <c r="G21" s="28" t="s">
        <v>1902</v>
      </c>
      <c r="H21" s="28" t="s">
        <v>227</v>
      </c>
      <c r="I21" s="28" t="s">
        <v>1219</v>
      </c>
      <c r="J21" s="28"/>
      <c r="K21" s="28" t="s">
        <v>1271</v>
      </c>
      <c r="L21" s="28" t="s">
        <v>1819</v>
      </c>
      <c r="M21" s="28"/>
      <c r="N21" s="28"/>
      <c r="O21" s="28"/>
      <c r="P21" s="28" t="s">
        <v>1878</v>
      </c>
    </row>
    <row r="22" spans="1:16" x14ac:dyDescent="0.2">
      <c r="A22" s="28">
        <v>305</v>
      </c>
      <c r="B22" s="28" t="b">
        <v>1</v>
      </c>
      <c r="C22" s="28" t="b">
        <v>1</v>
      </c>
      <c r="D22" s="28" t="s">
        <v>108</v>
      </c>
      <c r="E22" t="str">
        <f>IF(G22&lt;&gt;"",VLOOKUP(G22,PHA4GEVars!$A$7:$B$241,2,FALSE),"")</f>
        <v>Sample collection and processing</v>
      </c>
      <c r="F22" s="28" t="s">
        <v>1869</v>
      </c>
      <c r="G22" s="28" t="s">
        <v>1902</v>
      </c>
      <c r="H22" s="28" t="s">
        <v>228</v>
      </c>
      <c r="I22" s="28" t="s">
        <v>1219</v>
      </c>
      <c r="J22" s="28"/>
      <c r="K22" s="28" t="s">
        <v>1271</v>
      </c>
      <c r="L22" s="28" t="s">
        <v>1820</v>
      </c>
      <c r="M22" s="28"/>
      <c r="N22" s="28"/>
      <c r="O22" s="28"/>
      <c r="P22" s="28" t="s">
        <v>1878</v>
      </c>
    </row>
    <row r="23" spans="1:16" x14ac:dyDescent="0.2">
      <c r="A23" s="28">
        <v>306</v>
      </c>
      <c r="B23" s="28" t="b">
        <v>1</v>
      </c>
      <c r="C23" s="28" t="b">
        <v>1</v>
      </c>
      <c r="D23" s="28" t="s">
        <v>108</v>
      </c>
      <c r="E23" t="str">
        <f>IF(G23&lt;&gt;"",VLOOKUP(G23,PHA4GEVars!$A$7:$B$241,2,FALSE),"")</f>
        <v>Sample collection and processing</v>
      </c>
      <c r="F23" s="28" t="s">
        <v>1869</v>
      </c>
      <c r="G23" s="28" t="s">
        <v>1902</v>
      </c>
      <c r="H23" s="28" t="s">
        <v>229</v>
      </c>
      <c r="I23" s="28" t="s">
        <v>1219</v>
      </c>
      <c r="J23" s="28"/>
      <c r="K23" s="28" t="s">
        <v>1271</v>
      </c>
      <c r="L23" s="28" t="s">
        <v>1821</v>
      </c>
      <c r="M23" s="28"/>
      <c r="N23" s="28"/>
      <c r="O23" s="28"/>
      <c r="P23" s="28" t="s">
        <v>1878</v>
      </c>
    </row>
    <row r="24" spans="1:16" x14ac:dyDescent="0.2">
      <c r="A24" s="28">
        <v>307</v>
      </c>
      <c r="B24" s="28" t="b">
        <v>1</v>
      </c>
      <c r="C24" s="28" t="b">
        <v>1</v>
      </c>
      <c r="D24" s="28" t="s">
        <v>108</v>
      </c>
      <c r="E24" t="str">
        <f>IF(G24&lt;&gt;"",VLOOKUP(G24,PHA4GEVars!$A$7:$B$241,2,FALSE),"")</f>
        <v>Sample collection and processing</v>
      </c>
      <c r="F24" s="28" t="s">
        <v>1869</v>
      </c>
      <c r="G24" s="28" t="s">
        <v>1902</v>
      </c>
      <c r="H24" s="28" t="s">
        <v>230</v>
      </c>
      <c r="I24" s="28" t="s">
        <v>1219</v>
      </c>
      <c r="J24" s="28"/>
      <c r="K24" s="28" t="s">
        <v>1271</v>
      </c>
      <c r="L24" s="28" t="s">
        <v>1822</v>
      </c>
      <c r="M24" s="28"/>
      <c r="N24" s="28"/>
      <c r="O24" s="28"/>
      <c r="P24" s="28" t="s">
        <v>1878</v>
      </c>
    </row>
    <row r="25" spans="1:16" x14ac:dyDescent="0.2">
      <c r="A25" s="28">
        <v>308</v>
      </c>
      <c r="B25" s="28" t="b">
        <v>1</v>
      </c>
      <c r="C25" s="28" t="b">
        <v>1</v>
      </c>
      <c r="D25" s="28" t="s">
        <v>108</v>
      </c>
      <c r="E25" t="str">
        <f>IF(G25&lt;&gt;"",VLOOKUP(G25,PHA4GEVars!$A$7:$B$241,2,FALSE),"")</f>
        <v>Sample collection and processing</v>
      </c>
      <c r="F25" s="28" t="s">
        <v>1869</v>
      </c>
      <c r="G25" s="28" t="s">
        <v>1902</v>
      </c>
      <c r="H25" s="28" t="s">
        <v>231</v>
      </c>
      <c r="I25" s="28" t="s">
        <v>1219</v>
      </c>
      <c r="J25" s="28"/>
      <c r="K25" s="28" t="s">
        <v>1271</v>
      </c>
      <c r="L25" s="28" t="s">
        <v>1823</v>
      </c>
      <c r="M25" s="28"/>
      <c r="N25" s="28"/>
      <c r="O25" s="28"/>
      <c r="P25" s="28" t="s">
        <v>1878</v>
      </c>
    </row>
    <row r="26" spans="1:16" x14ac:dyDescent="0.2">
      <c r="A26" s="28">
        <v>309</v>
      </c>
      <c r="B26" s="28" t="b">
        <v>1</v>
      </c>
      <c r="C26" s="28" t="b">
        <v>1</v>
      </c>
      <c r="D26" s="28" t="s">
        <v>108</v>
      </c>
      <c r="E26" t="str">
        <f>IF(G26&lt;&gt;"",VLOOKUP(G26,PHA4GEVars!$A$7:$B$241,2,FALSE),"")</f>
        <v>Sample collection and processing</v>
      </c>
      <c r="F26" s="28" t="s">
        <v>1869</v>
      </c>
      <c r="G26" s="28" t="s">
        <v>1902</v>
      </c>
      <c r="H26" s="28" t="s">
        <v>232</v>
      </c>
      <c r="I26" s="28" t="s">
        <v>1219</v>
      </c>
      <c r="J26" s="28"/>
      <c r="K26" s="28" t="s">
        <v>1271</v>
      </c>
      <c r="L26" s="28" t="s">
        <v>1824</v>
      </c>
      <c r="M26" s="28"/>
      <c r="N26" s="28"/>
      <c r="O26" s="28"/>
      <c r="P26" s="28" t="s">
        <v>1878</v>
      </c>
    </row>
    <row r="27" spans="1:16" x14ac:dyDescent="0.2">
      <c r="A27" s="28">
        <v>310</v>
      </c>
      <c r="B27" s="28" t="b">
        <v>1</v>
      </c>
      <c r="C27" s="28" t="b">
        <v>1</v>
      </c>
      <c r="D27" s="28" t="s">
        <v>108</v>
      </c>
      <c r="E27" t="str">
        <f>IF(G27&lt;&gt;"",VLOOKUP(G27,PHA4GEVars!$A$7:$B$241,2,FALSE),"")</f>
        <v>Sample collection and processing</v>
      </c>
      <c r="F27" s="28" t="s">
        <v>1869</v>
      </c>
      <c r="G27" s="28" t="s">
        <v>1902</v>
      </c>
      <c r="H27" s="28" t="s">
        <v>233</v>
      </c>
      <c r="I27" s="28" t="s">
        <v>1219</v>
      </c>
      <c r="J27" s="28"/>
      <c r="K27" s="28" t="s">
        <v>1271</v>
      </c>
      <c r="L27" s="28" t="s">
        <v>1825</v>
      </c>
      <c r="M27" s="28"/>
      <c r="N27" s="28"/>
      <c r="O27" s="28"/>
      <c r="P27" s="28" t="s">
        <v>1878</v>
      </c>
    </row>
    <row r="28" spans="1:16" x14ac:dyDescent="0.2">
      <c r="A28" s="28">
        <v>311</v>
      </c>
      <c r="B28" s="28" t="b">
        <v>1</v>
      </c>
      <c r="C28" s="28" t="b">
        <v>1</v>
      </c>
      <c r="D28" s="28" t="s">
        <v>108</v>
      </c>
      <c r="E28" t="str">
        <f>IF(G28&lt;&gt;"",VLOOKUP(G28,PHA4GEVars!$A$7:$B$241,2,FALSE),"")</f>
        <v>Sample collection and processing</v>
      </c>
      <c r="F28" s="28" t="s">
        <v>1869</v>
      </c>
      <c r="G28" s="28" t="s">
        <v>1902</v>
      </c>
      <c r="H28" s="28" t="s">
        <v>234</v>
      </c>
      <c r="I28" s="28" t="s">
        <v>1219</v>
      </c>
      <c r="J28" s="28"/>
      <c r="K28" s="28" t="s">
        <v>1271</v>
      </c>
      <c r="L28" s="28" t="s">
        <v>1826</v>
      </c>
      <c r="M28" s="28"/>
      <c r="N28" s="28"/>
      <c r="O28" s="28"/>
      <c r="P28" s="28" t="s">
        <v>1878</v>
      </c>
    </row>
    <row r="29" spans="1:16" x14ac:dyDescent="0.2">
      <c r="A29" s="28">
        <v>312</v>
      </c>
      <c r="B29" s="28" t="b">
        <v>1</v>
      </c>
      <c r="C29" s="28" t="b">
        <v>1</v>
      </c>
      <c r="D29" s="28" t="s">
        <v>108</v>
      </c>
      <c r="E29" t="str">
        <f>IF(G29&lt;&gt;"",VLOOKUP(G29,PHA4GEVars!$A$7:$B$241,2,FALSE),"")</f>
        <v>Sample collection and processing</v>
      </c>
      <c r="F29" s="28" t="s">
        <v>1869</v>
      </c>
      <c r="G29" s="28" t="s">
        <v>1902</v>
      </c>
      <c r="H29" s="28" t="s">
        <v>235</v>
      </c>
      <c r="I29" s="28" t="s">
        <v>1219</v>
      </c>
      <c r="J29" s="28"/>
      <c r="K29" s="28" t="s">
        <v>1271</v>
      </c>
      <c r="L29" s="28" t="s">
        <v>1827</v>
      </c>
      <c r="M29" s="28"/>
      <c r="N29" s="28"/>
      <c r="O29" s="28"/>
      <c r="P29" s="28" t="s">
        <v>1878</v>
      </c>
    </row>
    <row r="30" spans="1:16" x14ac:dyDescent="0.2">
      <c r="A30" s="28">
        <v>313</v>
      </c>
      <c r="B30" s="28" t="b">
        <v>1</v>
      </c>
      <c r="C30" s="28" t="b">
        <v>1</v>
      </c>
      <c r="D30" s="28" t="s">
        <v>108</v>
      </c>
      <c r="E30" t="str">
        <f>IF(G30&lt;&gt;"",VLOOKUP(G30,PHA4GEVars!$A$7:$B$241,2,FALSE),"")</f>
        <v>Sample collection and processing</v>
      </c>
      <c r="F30" s="28" t="s">
        <v>1869</v>
      </c>
      <c r="G30" s="28" t="s">
        <v>1902</v>
      </c>
      <c r="H30" s="28" t="s">
        <v>236</v>
      </c>
      <c r="I30" s="28" t="s">
        <v>1219</v>
      </c>
      <c r="J30" s="28"/>
      <c r="K30" s="28" t="s">
        <v>1271</v>
      </c>
      <c r="L30" s="28" t="s">
        <v>1828</v>
      </c>
      <c r="M30" s="28"/>
      <c r="N30" s="28"/>
      <c r="O30" s="28"/>
      <c r="P30" s="28" t="s">
        <v>1878</v>
      </c>
    </row>
    <row r="31" spans="1:16" x14ac:dyDescent="0.2">
      <c r="A31" s="28">
        <v>314</v>
      </c>
      <c r="B31" s="28" t="b">
        <v>1</v>
      </c>
      <c r="C31" s="28" t="b">
        <v>1</v>
      </c>
      <c r="D31" s="28" t="s">
        <v>108</v>
      </c>
      <c r="E31" t="str">
        <f>IF(G31&lt;&gt;"",VLOOKUP(G31,PHA4GEVars!$A$7:$B$241,2,FALSE),"")</f>
        <v>Sample collection and processing</v>
      </c>
      <c r="F31" s="28" t="s">
        <v>1869</v>
      </c>
      <c r="G31" s="28" t="s">
        <v>1902</v>
      </c>
      <c r="H31" s="28" t="s">
        <v>237</v>
      </c>
      <c r="I31" s="28" t="s">
        <v>1219</v>
      </c>
      <c r="J31" s="28"/>
      <c r="K31" s="28" t="s">
        <v>1271</v>
      </c>
      <c r="L31" s="28" t="s">
        <v>1829</v>
      </c>
      <c r="M31" s="28"/>
      <c r="N31" s="28"/>
      <c r="O31" s="28"/>
      <c r="P31" s="28" t="s">
        <v>1878</v>
      </c>
    </row>
    <row r="32" spans="1:16" x14ac:dyDescent="0.2">
      <c r="A32" s="28">
        <v>315</v>
      </c>
      <c r="B32" s="28" t="b">
        <v>1</v>
      </c>
      <c r="C32" s="28" t="b">
        <v>1</v>
      </c>
      <c r="D32" s="28" t="s">
        <v>108</v>
      </c>
      <c r="E32" t="str">
        <f>IF(G32&lt;&gt;"",VLOOKUP(G32,PHA4GEVars!$A$7:$B$241,2,FALSE),"")</f>
        <v>Sample collection and processing</v>
      </c>
      <c r="F32" s="28" t="s">
        <v>1869</v>
      </c>
      <c r="G32" s="28" t="s">
        <v>1902</v>
      </c>
      <c r="H32" s="28" t="s">
        <v>238</v>
      </c>
      <c r="I32" s="28" t="s">
        <v>1219</v>
      </c>
      <c r="J32" s="28"/>
      <c r="K32" s="28" t="s">
        <v>1271</v>
      </c>
      <c r="L32" s="28" t="s">
        <v>1830</v>
      </c>
      <c r="M32" s="28"/>
      <c r="N32" s="28"/>
      <c r="O32" s="28"/>
      <c r="P32" s="28" t="s">
        <v>1878</v>
      </c>
    </row>
    <row r="33" spans="1:16" x14ac:dyDescent="0.2">
      <c r="A33" s="28">
        <v>316</v>
      </c>
      <c r="B33" s="28" t="b">
        <v>1</v>
      </c>
      <c r="C33" s="28" t="b">
        <v>1</v>
      </c>
      <c r="D33" s="28" t="s">
        <v>108</v>
      </c>
      <c r="E33" t="str">
        <f>IF(G33&lt;&gt;"",VLOOKUP(G33,PHA4GEVars!$A$7:$B$241,2,FALSE),"")</f>
        <v>Sample collection and processing</v>
      </c>
      <c r="F33" s="28" t="s">
        <v>1869</v>
      </c>
      <c r="G33" s="28" t="s">
        <v>1902</v>
      </c>
      <c r="H33" s="28" t="s">
        <v>239</v>
      </c>
      <c r="I33" s="28" t="s">
        <v>1219</v>
      </c>
      <c r="J33" s="28"/>
      <c r="K33" s="28" t="s">
        <v>1271</v>
      </c>
      <c r="L33" s="28" t="s">
        <v>1831</v>
      </c>
      <c r="M33" s="28"/>
      <c r="N33" s="28"/>
      <c r="O33" s="28"/>
      <c r="P33" s="28" t="s">
        <v>1878</v>
      </c>
    </row>
    <row r="34" spans="1:16" x14ac:dyDescent="0.2">
      <c r="A34" s="28">
        <v>317</v>
      </c>
      <c r="B34" s="28" t="b">
        <v>1</v>
      </c>
      <c r="C34" s="28" t="b">
        <v>1</v>
      </c>
      <c r="D34" s="28" t="s">
        <v>108</v>
      </c>
      <c r="E34" t="str">
        <f>IF(G34&lt;&gt;"",VLOOKUP(G34,PHA4GEVars!$A$7:$B$241,2,FALSE),"")</f>
        <v>Sample collection and processing</v>
      </c>
      <c r="F34" s="28" t="s">
        <v>1869</v>
      </c>
      <c r="G34" s="28" t="s">
        <v>1902</v>
      </c>
      <c r="H34" s="28" t="s">
        <v>1156</v>
      </c>
      <c r="I34" s="28" t="s">
        <v>1219</v>
      </c>
      <c r="J34" s="28"/>
      <c r="K34" s="28" t="s">
        <v>1271</v>
      </c>
      <c r="L34" s="28" t="s">
        <v>1832</v>
      </c>
      <c r="M34" s="28"/>
      <c r="N34" s="28"/>
      <c r="O34" s="28"/>
      <c r="P34" s="28" t="s">
        <v>1878</v>
      </c>
    </row>
    <row r="35" spans="1:16" x14ac:dyDescent="0.2">
      <c r="A35" s="28">
        <v>318</v>
      </c>
      <c r="B35" s="28" t="b">
        <v>1</v>
      </c>
      <c r="C35" s="28" t="b">
        <v>1</v>
      </c>
      <c r="D35" s="28" t="s">
        <v>108</v>
      </c>
      <c r="E35" t="str">
        <f>IF(G35&lt;&gt;"",VLOOKUP(G35,PHA4GEVars!$A$7:$B$241,2,FALSE),"")</f>
        <v>Sample collection and processing</v>
      </c>
      <c r="F35" s="28" t="s">
        <v>1869</v>
      </c>
      <c r="G35" s="28" t="s">
        <v>1902</v>
      </c>
      <c r="H35" s="28" t="s">
        <v>1157</v>
      </c>
      <c r="I35" s="28" t="s">
        <v>1219</v>
      </c>
      <c r="J35" s="28"/>
      <c r="K35" s="28" t="s">
        <v>1271</v>
      </c>
      <c r="L35" s="28" t="s">
        <v>1833</v>
      </c>
      <c r="M35" s="28"/>
      <c r="N35" s="28"/>
      <c r="O35" s="28"/>
      <c r="P35" s="28" t="s">
        <v>1878</v>
      </c>
    </row>
    <row r="36" spans="1:16" x14ac:dyDescent="0.2">
      <c r="A36" s="28">
        <v>319</v>
      </c>
      <c r="B36" s="28" t="b">
        <v>1</v>
      </c>
      <c r="C36" s="28" t="b">
        <v>1</v>
      </c>
      <c r="D36" s="28" t="s">
        <v>108</v>
      </c>
      <c r="E36" t="str">
        <f>IF(G36&lt;&gt;"",VLOOKUP(G36,PHA4GEVars!$A$7:$B$241,2,FALSE),"")</f>
        <v>Sample collection and processing</v>
      </c>
      <c r="F36" s="28" t="s">
        <v>1869</v>
      </c>
      <c r="G36" s="28" t="s">
        <v>1902</v>
      </c>
      <c r="H36" s="28" t="s">
        <v>240</v>
      </c>
      <c r="I36" s="28" t="s">
        <v>1219</v>
      </c>
      <c r="J36" s="28"/>
      <c r="K36" s="28" t="s">
        <v>1271</v>
      </c>
      <c r="L36" s="28" t="s">
        <v>1834</v>
      </c>
      <c r="M36" s="28"/>
      <c r="N36" s="28"/>
      <c r="O36" s="28"/>
      <c r="P36" s="28" t="s">
        <v>1878</v>
      </c>
    </row>
    <row r="37" spans="1:16" x14ac:dyDescent="0.2">
      <c r="A37" s="28">
        <v>320</v>
      </c>
      <c r="B37" s="28" t="b">
        <v>1</v>
      </c>
      <c r="C37" s="28" t="b">
        <v>1</v>
      </c>
      <c r="D37" s="28" t="s">
        <v>108</v>
      </c>
      <c r="E37" t="str">
        <f>IF(G37&lt;&gt;"",VLOOKUP(G37,PHA4GEVars!$A$7:$B$241,2,FALSE),"")</f>
        <v>Sample collection and processing</v>
      </c>
      <c r="F37" s="28" t="s">
        <v>1869</v>
      </c>
      <c r="G37" s="28" t="s">
        <v>1902</v>
      </c>
      <c r="H37" s="28" t="s">
        <v>241</v>
      </c>
      <c r="I37" s="28" t="s">
        <v>1219</v>
      </c>
      <c r="J37" s="28"/>
      <c r="K37" s="28" t="s">
        <v>1271</v>
      </c>
      <c r="L37" s="28" t="s">
        <v>1835</v>
      </c>
      <c r="M37" s="28"/>
      <c r="N37" s="28"/>
      <c r="O37" s="28"/>
      <c r="P37" s="28" t="s">
        <v>1878</v>
      </c>
    </row>
    <row r="38" spans="1:16" x14ac:dyDescent="0.2">
      <c r="A38" s="28">
        <v>321</v>
      </c>
      <c r="B38" s="28" t="b">
        <v>1</v>
      </c>
      <c r="C38" s="28" t="b">
        <v>1</v>
      </c>
      <c r="D38" s="28" t="s">
        <v>108</v>
      </c>
      <c r="E38" t="str">
        <f>IF(G38&lt;&gt;"",VLOOKUP(G38,PHA4GEVars!$A$7:$B$241,2,FALSE),"")</f>
        <v>Sample collection and processing</v>
      </c>
      <c r="F38" s="28" t="s">
        <v>1869</v>
      </c>
      <c r="G38" s="28" t="s">
        <v>1902</v>
      </c>
      <c r="H38" s="28" t="s">
        <v>242</v>
      </c>
      <c r="I38" s="28" t="s">
        <v>1219</v>
      </c>
      <c r="J38" s="28"/>
      <c r="K38" s="28" t="s">
        <v>1271</v>
      </c>
      <c r="L38" s="28" t="s">
        <v>1836</v>
      </c>
      <c r="M38" s="28"/>
      <c r="N38" s="28"/>
      <c r="O38" s="28"/>
      <c r="P38" s="28" t="s">
        <v>1878</v>
      </c>
    </row>
    <row r="39" spans="1:16" x14ac:dyDescent="0.2">
      <c r="A39" s="28">
        <v>322</v>
      </c>
      <c r="B39" s="28" t="b">
        <v>1</v>
      </c>
      <c r="C39" s="28" t="b">
        <v>1</v>
      </c>
      <c r="D39" s="28" t="s">
        <v>108</v>
      </c>
      <c r="E39" t="str">
        <f>IF(G39&lt;&gt;"",VLOOKUP(G39,PHA4GEVars!$A$7:$B$241,2,FALSE),"")</f>
        <v>Sample collection and processing</v>
      </c>
      <c r="F39" s="28" t="s">
        <v>1869</v>
      </c>
      <c r="G39" s="28" t="s">
        <v>1902</v>
      </c>
      <c r="H39" s="28" t="s">
        <v>243</v>
      </c>
      <c r="I39" s="28" t="s">
        <v>1219</v>
      </c>
      <c r="J39" s="28"/>
      <c r="K39" s="28" t="s">
        <v>1271</v>
      </c>
      <c r="L39" s="28" t="s">
        <v>1837</v>
      </c>
      <c r="M39" s="28"/>
      <c r="N39" s="28"/>
      <c r="O39" s="28"/>
      <c r="P39" s="28" t="s">
        <v>1878</v>
      </c>
    </row>
    <row r="40" spans="1:16" x14ac:dyDescent="0.2">
      <c r="A40" s="28"/>
      <c r="B40" s="28"/>
      <c r="C40" s="28"/>
      <c r="D40" s="28"/>
      <c r="E40" t="str">
        <f>IF(G40&lt;&gt;"",VLOOKUP(G40,PHA4GEVars!$A$7:$B$241,2,FALSE),"")</f>
        <v/>
      </c>
      <c r="F40" s="28"/>
      <c r="G40" s="28"/>
      <c r="H40" s="28"/>
      <c r="I40" s="28"/>
      <c r="J40" s="28"/>
      <c r="K40" s="28"/>
      <c r="L40" s="28"/>
      <c r="M40" s="28"/>
      <c r="N40" s="28"/>
      <c r="O40" s="28"/>
      <c r="P40" s="28"/>
    </row>
    <row r="41" spans="1:16" x14ac:dyDescent="0.2">
      <c r="A41" s="28">
        <v>333</v>
      </c>
      <c r="B41" s="28" t="b">
        <v>1</v>
      </c>
      <c r="C41" s="28" t="b">
        <v>1</v>
      </c>
      <c r="D41" s="28" t="s">
        <v>108</v>
      </c>
      <c r="E41" t="str">
        <f>IF(G41&lt;&gt;"",VLOOKUP(G41,PHA4GEVars!$A$7:$B$241,2,FALSE),"")</f>
        <v>Sample collection and processing</v>
      </c>
      <c r="F41" s="28" t="s">
        <v>1869</v>
      </c>
      <c r="G41" s="28" t="s">
        <v>1104</v>
      </c>
      <c r="H41" s="28" t="s">
        <v>458</v>
      </c>
      <c r="I41" s="28" t="s">
        <v>1219</v>
      </c>
      <c r="J41" s="28"/>
      <c r="K41" s="28" t="s">
        <v>1322</v>
      </c>
      <c r="L41" s="28" t="s">
        <v>1324</v>
      </c>
      <c r="M41" s="28"/>
      <c r="N41" s="28"/>
      <c r="O41" s="28"/>
      <c r="P41" s="28"/>
    </row>
    <row r="42" spans="1:16" x14ac:dyDescent="0.2">
      <c r="A42" s="28">
        <v>334</v>
      </c>
      <c r="B42" s="28" t="b">
        <v>1</v>
      </c>
      <c r="C42" s="28" t="b">
        <v>1</v>
      </c>
      <c r="D42" s="28" t="s">
        <v>108</v>
      </c>
      <c r="E42" t="str">
        <f>IF(G42&lt;&gt;"",VLOOKUP(G42,PHA4GEVars!$A$7:$B$241,2,FALSE),"")</f>
        <v>Sample collection and processing</v>
      </c>
      <c r="F42" s="28" t="s">
        <v>1869</v>
      </c>
      <c r="G42" s="28" t="s">
        <v>1105</v>
      </c>
      <c r="H42" s="28" t="s">
        <v>458</v>
      </c>
      <c r="I42" s="28" t="s">
        <v>1219</v>
      </c>
      <c r="J42" s="28"/>
      <c r="K42" s="28" t="s">
        <v>1323</v>
      </c>
      <c r="L42" s="28" t="s">
        <v>1325</v>
      </c>
      <c r="M42" s="28"/>
      <c r="N42" s="28"/>
      <c r="O42" s="28"/>
      <c r="P42" s="28"/>
    </row>
    <row r="43" spans="1:16" x14ac:dyDescent="0.2">
      <c r="A43" s="28">
        <v>336</v>
      </c>
      <c r="B43" s="28" t="b">
        <v>1</v>
      </c>
      <c r="C43" s="28" t="b">
        <v>1</v>
      </c>
      <c r="D43" s="28" t="s">
        <v>108</v>
      </c>
      <c r="E43" t="str">
        <f>IF(G43&lt;&gt;"",VLOOKUP(G43,PHA4GEVars!$A$7:$B$241,2,FALSE),"")</f>
        <v>Sample collection and processing</v>
      </c>
      <c r="F43" s="28" t="s">
        <v>1869</v>
      </c>
      <c r="G43" s="28" t="s">
        <v>1897</v>
      </c>
      <c r="H43" s="28" t="s">
        <v>458</v>
      </c>
      <c r="I43" s="28" t="s">
        <v>1219</v>
      </c>
      <c r="J43" s="28"/>
      <c r="K43" s="28" t="s">
        <v>1189</v>
      </c>
      <c r="L43" s="28" t="s">
        <v>1240</v>
      </c>
      <c r="M43" s="28"/>
      <c r="N43" s="28"/>
      <c r="O43" s="28"/>
      <c r="P43" s="28"/>
    </row>
    <row r="44" spans="1:16" x14ac:dyDescent="0.2">
      <c r="A44" s="28"/>
      <c r="B44" s="28"/>
      <c r="C44" s="28"/>
      <c r="D44" s="28"/>
      <c r="E44" t="str">
        <f>IF(G44&lt;&gt;"",VLOOKUP(G44,PHA4GEVars!$A$7:$B$241,2,FALSE),"")</f>
        <v/>
      </c>
      <c r="F44" s="28"/>
      <c r="G44" s="28"/>
      <c r="H44" s="28"/>
      <c r="I44" s="28"/>
      <c r="J44" s="28"/>
      <c r="K44" s="28"/>
      <c r="L44" s="28"/>
      <c r="M44" s="28"/>
      <c r="N44" s="28"/>
      <c r="O44" s="28"/>
      <c r="P44" s="28"/>
    </row>
    <row r="45" spans="1:16" s="30" customFormat="1" x14ac:dyDescent="0.2">
      <c r="A45" s="29">
        <v>680</v>
      </c>
      <c r="B45" s="29"/>
      <c r="C45" s="29"/>
      <c r="D45" s="29" t="s">
        <v>108</v>
      </c>
      <c r="E45" s="30" t="str">
        <f>IF(G45&lt;&gt;"",VLOOKUP(G45,PHA4GEVars!$A$7:$B$241,2,FALSE),"")</f>
        <v>Sample collection and processing</v>
      </c>
      <c r="F45" s="29" t="s">
        <v>1869</v>
      </c>
      <c r="G45" s="29" t="s">
        <v>145</v>
      </c>
      <c r="H45" s="29" t="s">
        <v>1584</v>
      </c>
      <c r="I45" s="29" t="s">
        <v>1219</v>
      </c>
      <c r="J45" s="29"/>
      <c r="K45" s="29" t="s">
        <v>1272</v>
      </c>
      <c r="L45" s="29" t="s">
        <v>1273</v>
      </c>
      <c r="M45" s="29"/>
      <c r="N45" s="29"/>
      <c r="O45" s="35" t="s">
        <v>1594</v>
      </c>
      <c r="P45" s="29" t="s">
        <v>1798</v>
      </c>
    </row>
    <row r="46" spans="1:16" s="30" customFormat="1" x14ac:dyDescent="0.2">
      <c r="A46" s="29">
        <v>681</v>
      </c>
      <c r="B46" s="29"/>
      <c r="C46" s="29"/>
      <c r="D46" s="29" t="s">
        <v>108</v>
      </c>
      <c r="E46" s="30" t="str">
        <f>IF(G46&lt;&gt;"",VLOOKUP(G46,PHA4GEVars!$A$7:$B$241,2,FALSE),"")</f>
        <v>Sample collection and processing</v>
      </c>
      <c r="F46" s="29" t="s">
        <v>1869</v>
      </c>
      <c r="G46" s="29" t="s">
        <v>145</v>
      </c>
      <c r="H46" s="29" t="s">
        <v>1585</v>
      </c>
      <c r="I46" s="29" t="s">
        <v>1219</v>
      </c>
      <c r="J46" s="29"/>
      <c r="K46" s="29" t="s">
        <v>1272</v>
      </c>
      <c r="L46" s="29" t="s">
        <v>1274</v>
      </c>
      <c r="M46" s="29"/>
      <c r="N46" s="29"/>
      <c r="O46" s="35" t="s">
        <v>1594</v>
      </c>
      <c r="P46" s="29" t="s">
        <v>1798</v>
      </c>
    </row>
    <row r="47" spans="1:16" s="30" customFormat="1" x14ac:dyDescent="0.2">
      <c r="A47" s="29">
        <v>682</v>
      </c>
      <c r="B47" s="29"/>
      <c r="C47" s="29"/>
      <c r="D47" s="29" t="s">
        <v>108</v>
      </c>
      <c r="E47" s="30" t="str">
        <f>IF(G47&lt;&gt;"",VLOOKUP(G47,PHA4GEVars!$A$7:$B$241,2,FALSE),"")</f>
        <v>Sample collection and processing</v>
      </c>
      <c r="F47" s="29" t="s">
        <v>1869</v>
      </c>
      <c r="G47" s="29" t="s">
        <v>145</v>
      </c>
      <c r="H47" s="29" t="s">
        <v>1161</v>
      </c>
      <c r="I47" s="29" t="s">
        <v>1219</v>
      </c>
      <c r="J47" s="29"/>
      <c r="K47" s="29" t="s">
        <v>1272</v>
      </c>
      <c r="L47" s="29" t="s">
        <v>1590</v>
      </c>
      <c r="M47" s="29"/>
      <c r="N47" s="29"/>
      <c r="O47" s="35" t="s">
        <v>1594</v>
      </c>
      <c r="P47" s="29" t="s">
        <v>1798</v>
      </c>
    </row>
    <row r="48" spans="1:16" s="30" customFormat="1" x14ac:dyDescent="0.2">
      <c r="A48" s="29">
        <v>683</v>
      </c>
      <c r="B48" s="29"/>
      <c r="C48" s="29"/>
      <c r="D48" s="29" t="s">
        <v>108</v>
      </c>
      <c r="E48" s="30" t="str">
        <f>IF(G48&lt;&gt;"",VLOOKUP(G48,PHA4GEVars!$A$7:$B$241,2,FALSE),"")</f>
        <v>Sample collection and processing</v>
      </c>
      <c r="F48" s="29" t="s">
        <v>1869</v>
      </c>
      <c r="G48" s="29" t="s">
        <v>145</v>
      </c>
      <c r="H48" s="29" t="s">
        <v>1156</v>
      </c>
      <c r="I48" s="29" t="s">
        <v>1219</v>
      </c>
      <c r="J48" s="29"/>
      <c r="K48" s="29" t="s">
        <v>1272</v>
      </c>
      <c r="L48" s="29" t="s">
        <v>1270</v>
      </c>
      <c r="M48" s="29"/>
      <c r="N48" s="29"/>
      <c r="O48" s="35" t="s">
        <v>1594</v>
      </c>
      <c r="P48" s="29" t="s">
        <v>1798</v>
      </c>
    </row>
    <row r="49" spans="1:16" s="30" customFormat="1" x14ac:dyDescent="0.2">
      <c r="A49" s="29">
        <v>684</v>
      </c>
      <c r="B49" s="29"/>
      <c r="C49" s="29"/>
      <c r="D49" s="29" t="s">
        <v>108</v>
      </c>
      <c r="E49" s="30" t="str">
        <f>IF(G49&lt;&gt;"",VLOOKUP(G49,PHA4GEVars!$A$7:$B$241,2,FALSE),"")</f>
        <v>Sample collection and processing</v>
      </c>
      <c r="F49" s="29" t="s">
        <v>1869</v>
      </c>
      <c r="G49" s="29" t="s">
        <v>145</v>
      </c>
      <c r="H49" s="29" t="s">
        <v>1586</v>
      </c>
      <c r="I49" s="29" t="s">
        <v>1219</v>
      </c>
      <c r="J49" s="29"/>
      <c r="K49" s="29" t="s">
        <v>1272</v>
      </c>
      <c r="L49" s="29" t="s">
        <v>1591</v>
      </c>
      <c r="M49" s="29"/>
      <c r="N49" s="29"/>
      <c r="O49" s="35" t="s">
        <v>1594</v>
      </c>
      <c r="P49" s="29" t="s">
        <v>1798</v>
      </c>
    </row>
    <row r="50" spans="1:16" s="30" customFormat="1" x14ac:dyDescent="0.2">
      <c r="A50" s="29">
        <v>685</v>
      </c>
      <c r="B50" s="29"/>
      <c r="C50" s="29"/>
      <c r="D50" s="29" t="s">
        <v>108</v>
      </c>
      <c r="E50" s="30" t="str">
        <f>IF(G50&lt;&gt;"",VLOOKUP(G50,PHA4GEVars!$A$7:$B$241,2,FALSE),"")</f>
        <v>Sample collection and processing</v>
      </c>
      <c r="F50" s="29" t="s">
        <v>1869</v>
      </c>
      <c r="G50" s="29" t="s">
        <v>145</v>
      </c>
      <c r="H50" s="29" t="s">
        <v>1587</v>
      </c>
      <c r="I50" s="29" t="s">
        <v>1219</v>
      </c>
      <c r="J50" s="29"/>
      <c r="K50" s="29" t="s">
        <v>1272</v>
      </c>
      <c r="L50" s="29" t="s">
        <v>1275</v>
      </c>
      <c r="M50" s="29"/>
      <c r="N50" s="29"/>
      <c r="O50" s="35" t="s">
        <v>1594</v>
      </c>
      <c r="P50" s="29" t="s">
        <v>1798</v>
      </c>
    </row>
    <row r="51" spans="1:16" s="30" customFormat="1" x14ac:dyDescent="0.2">
      <c r="A51" s="29">
        <v>686</v>
      </c>
      <c r="B51" s="29"/>
      <c r="C51" s="29"/>
      <c r="D51" s="29" t="s">
        <v>108</v>
      </c>
      <c r="E51" s="30" t="str">
        <f>IF(G51&lt;&gt;"",VLOOKUP(G51,PHA4GEVars!$A$7:$B$241,2,FALSE),"")</f>
        <v>Sample collection and processing</v>
      </c>
      <c r="F51" s="29" t="s">
        <v>1869</v>
      </c>
      <c r="G51" s="29" t="s">
        <v>145</v>
      </c>
      <c r="H51" s="29" t="s">
        <v>1588</v>
      </c>
      <c r="I51" s="29" t="s">
        <v>1219</v>
      </c>
      <c r="J51" s="29"/>
      <c r="K51" s="29" t="s">
        <v>1272</v>
      </c>
      <c r="L51" s="29" t="s">
        <v>1592</v>
      </c>
      <c r="M51" s="29"/>
      <c r="N51" s="29"/>
      <c r="O51" s="35" t="s">
        <v>1594</v>
      </c>
      <c r="P51" s="29" t="s">
        <v>1798</v>
      </c>
    </row>
    <row r="52" spans="1:16" s="30" customFormat="1" x14ac:dyDescent="0.2">
      <c r="A52" s="29">
        <v>687</v>
      </c>
      <c r="B52" s="29"/>
      <c r="C52" s="29"/>
      <c r="D52" s="29" t="s">
        <v>108</v>
      </c>
      <c r="E52" s="30" t="str">
        <f>IF(G52&lt;&gt;"",VLOOKUP(G52,PHA4GEVars!$A$7:$B$241,2,FALSE),"")</f>
        <v>Sample collection and processing</v>
      </c>
      <c r="F52" s="29" t="s">
        <v>1869</v>
      </c>
      <c r="G52" s="29" t="s">
        <v>145</v>
      </c>
      <c r="H52" s="29" t="s">
        <v>1589</v>
      </c>
      <c r="I52" s="29" t="s">
        <v>1219</v>
      </c>
      <c r="J52" s="29"/>
      <c r="K52" s="29" t="s">
        <v>1272</v>
      </c>
      <c r="L52" s="29" t="s">
        <v>1593</v>
      </c>
      <c r="M52" s="29"/>
      <c r="N52" s="29"/>
      <c r="O52" s="35" t="s">
        <v>1594</v>
      </c>
      <c r="P52" s="29" t="s">
        <v>1798</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9206-1F1B-2D4B-82A5-94676E67F7A4}">
  <dimension ref="A1:R23"/>
  <sheetViews>
    <sheetView topLeftCell="D1" workbookViewId="0">
      <pane ySplit="1" topLeftCell="A2" activePane="bottomLeft" state="frozen"/>
      <selection pane="bottomLeft" activeCell="I15" sqref="I15"/>
    </sheetView>
  </sheetViews>
  <sheetFormatPr baseColWidth="10" defaultRowHeight="16" x14ac:dyDescent="0.2"/>
  <cols>
    <col min="1" max="1" width="9.33203125" customWidth="1"/>
    <col min="2" max="2" width="15" customWidth="1"/>
    <col min="3" max="3" width="10.5" customWidth="1"/>
    <col min="4" max="4" width="29.1640625" customWidth="1"/>
    <col min="5" max="5" width="28.5" customWidth="1"/>
    <col min="6" max="6" width="13" customWidth="1"/>
    <col min="7" max="7" width="32" customWidth="1"/>
    <col min="8" max="8" width="38.33203125" customWidth="1"/>
    <col min="9" max="9" width="12" customWidth="1"/>
    <col min="10" max="10" width="13.1640625" customWidth="1"/>
    <col min="11" max="12" width="56" customWidth="1"/>
    <col min="13" max="13" width="7.5" customWidth="1"/>
    <col min="14" max="14" width="12.6640625" customWidth="1"/>
    <col min="15" max="15" width="37.6640625" customWidth="1"/>
    <col min="16" max="16" width="60" customWidth="1"/>
  </cols>
  <sheetData>
    <row r="1" spans="1:18" s="30" customFormat="1" x14ac:dyDescent="0.2">
      <c r="A1" s="29" t="s">
        <v>1443</v>
      </c>
      <c r="B1" s="29" t="s">
        <v>1772</v>
      </c>
      <c r="C1" s="29" t="s">
        <v>0</v>
      </c>
      <c r="D1" s="29" t="s">
        <v>10</v>
      </c>
      <c r="E1" s="29" t="s">
        <v>1883</v>
      </c>
      <c r="F1" s="29" t="s">
        <v>1</v>
      </c>
      <c r="G1" s="29" t="s">
        <v>2</v>
      </c>
      <c r="H1" s="29" t="s">
        <v>3</v>
      </c>
      <c r="I1" s="29" t="s">
        <v>4</v>
      </c>
      <c r="J1" s="29" t="s">
        <v>5</v>
      </c>
      <c r="K1" s="29" t="s">
        <v>6</v>
      </c>
      <c r="L1" s="29" t="s">
        <v>1839</v>
      </c>
      <c r="M1" s="29" t="s">
        <v>1779</v>
      </c>
      <c r="N1" s="29" t="s">
        <v>8</v>
      </c>
      <c r="O1" s="29" t="s">
        <v>9</v>
      </c>
      <c r="P1" s="29" t="s">
        <v>1770</v>
      </c>
    </row>
    <row r="2" spans="1:18" ht="102" x14ac:dyDescent="0.2">
      <c r="A2" s="28"/>
      <c r="B2" s="28" t="b">
        <v>1</v>
      </c>
      <c r="C2" s="28" t="b">
        <v>1</v>
      </c>
      <c r="D2" s="28" t="s">
        <v>108</v>
      </c>
      <c r="E2" t="str">
        <f>IF(G2&lt;&gt;"",VLOOKUP(G2,PHA4GEVars!$A$7:$B$241,2,FALSE),"")</f>
        <v>Sample collection and processing</v>
      </c>
      <c r="F2" s="28" t="s">
        <v>1869</v>
      </c>
      <c r="G2" s="28" t="s">
        <v>117</v>
      </c>
      <c r="H2" s="28"/>
      <c r="I2" s="28" t="s">
        <v>1214</v>
      </c>
      <c r="J2" s="28" t="s">
        <v>1265</v>
      </c>
      <c r="K2" s="28"/>
      <c r="L2" s="84" t="s">
        <v>1986</v>
      </c>
      <c r="M2" s="28"/>
      <c r="N2" s="28"/>
      <c r="O2" s="31" t="s">
        <v>1530</v>
      </c>
      <c r="R2" s="28" t="s">
        <v>1952</v>
      </c>
    </row>
    <row r="3" spans="1:18" x14ac:dyDescent="0.2">
      <c r="A3" s="28">
        <v>261</v>
      </c>
      <c r="B3" s="28" t="b">
        <v>1</v>
      </c>
      <c r="C3" s="28" t="b">
        <v>0</v>
      </c>
      <c r="D3" s="28" t="s">
        <v>108</v>
      </c>
      <c r="E3" t="str">
        <f>IF(G3&lt;&gt;"",VLOOKUP(G3,PHA4GEVars!$A$7:$B$241,2,FALSE),"")</f>
        <v>Sample collection and processing</v>
      </c>
      <c r="F3" s="28" t="s">
        <v>1869</v>
      </c>
      <c r="G3" s="28" t="s">
        <v>1903</v>
      </c>
      <c r="H3" s="28"/>
      <c r="I3" s="28" t="s">
        <v>1214</v>
      </c>
      <c r="J3" s="28" t="s">
        <v>1265</v>
      </c>
      <c r="K3" s="28"/>
      <c r="L3" s="28"/>
      <c r="M3" s="28"/>
      <c r="N3" s="28"/>
      <c r="O3" s="31" t="s">
        <v>1534</v>
      </c>
      <c r="P3" s="28"/>
    </row>
    <row r="4" spans="1:18" x14ac:dyDescent="0.2">
      <c r="A4" s="28">
        <v>267</v>
      </c>
      <c r="B4" s="28" t="b">
        <v>1</v>
      </c>
      <c r="C4" s="28" t="b">
        <v>1</v>
      </c>
      <c r="D4" s="28" t="s">
        <v>108</v>
      </c>
      <c r="E4" t="str">
        <f>IF(G4&lt;&gt;"",VLOOKUP(G4,PHA4GEVars!$A$7:$B$241,2,FALSE),"")</f>
        <v>Sample collection and processing</v>
      </c>
      <c r="F4" s="28" t="s">
        <v>1869</v>
      </c>
      <c r="G4" s="28" t="s">
        <v>150</v>
      </c>
      <c r="H4" s="28"/>
      <c r="I4" s="28" t="s">
        <v>1214</v>
      </c>
      <c r="J4" s="28" t="s">
        <v>1484</v>
      </c>
      <c r="K4" s="28"/>
      <c r="L4" s="28"/>
      <c r="M4" s="28"/>
      <c r="N4" s="28"/>
      <c r="O4" s="31" t="s">
        <v>1304</v>
      </c>
      <c r="P4" s="28" t="s">
        <v>1785</v>
      </c>
    </row>
    <row r="5" spans="1:18" x14ac:dyDescent="0.2">
      <c r="A5" s="28">
        <v>325</v>
      </c>
      <c r="B5" s="28" t="b">
        <v>1</v>
      </c>
      <c r="C5" s="28" t="b">
        <v>1</v>
      </c>
      <c r="D5" s="28" t="s">
        <v>108</v>
      </c>
      <c r="E5" t="str">
        <f>IF(G5&lt;&gt;"",VLOOKUP(G5,PHA4GEVars!$A$7:$B$241,2,FALSE),"")</f>
        <v>Sample collection and processing</v>
      </c>
      <c r="F5" s="28" t="s">
        <v>1869</v>
      </c>
      <c r="G5" s="28" t="s">
        <v>1113</v>
      </c>
      <c r="H5" s="28"/>
      <c r="I5" s="28" t="s">
        <v>1214</v>
      </c>
      <c r="J5" s="28" t="s">
        <v>1551</v>
      </c>
      <c r="K5" s="28"/>
      <c r="L5" s="28"/>
      <c r="M5" s="28"/>
      <c r="N5" s="28"/>
      <c r="O5" s="36"/>
      <c r="P5" s="28"/>
    </row>
    <row r="6" spans="1:18" x14ac:dyDescent="0.2">
      <c r="A6" s="28">
        <v>622</v>
      </c>
      <c r="B6" s="28"/>
      <c r="C6" s="28"/>
      <c r="D6" s="28" t="s">
        <v>108</v>
      </c>
      <c r="E6" t="str">
        <f>IF(G6&lt;&gt;"",VLOOKUP(G6,PHA4GEVars!$A$7:$B$241,2,FALSE),"")</f>
        <v>Sample collection and processing</v>
      </c>
      <c r="F6" s="28" t="s">
        <v>1869</v>
      </c>
      <c r="G6" s="28" t="s">
        <v>148</v>
      </c>
      <c r="H6" s="28"/>
      <c r="I6" s="28" t="s">
        <v>1214</v>
      </c>
      <c r="J6" s="28" t="s">
        <v>1303</v>
      </c>
      <c r="K6" s="28"/>
      <c r="L6" s="28"/>
      <c r="M6" s="28"/>
      <c r="N6" s="28"/>
      <c r="O6" s="31" t="s">
        <v>1875</v>
      </c>
      <c r="P6" s="38" t="s">
        <v>1937</v>
      </c>
    </row>
    <row r="7" spans="1:18" x14ac:dyDescent="0.2">
      <c r="A7" s="28"/>
      <c r="B7" s="28"/>
      <c r="C7" s="28"/>
      <c r="D7" s="28"/>
      <c r="E7" t="str">
        <f>IF(G7&lt;&gt;"",VLOOKUP(G7,PHA4GEVars!$A$7:$B$241,2,FALSE),"")</f>
        <v/>
      </c>
      <c r="F7" s="28"/>
      <c r="G7" s="28"/>
      <c r="H7" s="28"/>
      <c r="I7" s="28"/>
      <c r="J7" s="28"/>
      <c r="K7" s="28"/>
      <c r="L7" s="28"/>
      <c r="M7" s="28"/>
      <c r="N7" s="28"/>
      <c r="O7" s="31"/>
      <c r="P7" s="38"/>
    </row>
    <row r="8" spans="1:18" x14ac:dyDescent="0.2">
      <c r="A8" s="28">
        <v>629</v>
      </c>
      <c r="B8" s="28" t="b">
        <v>1</v>
      </c>
      <c r="C8" s="28" t="b">
        <v>1</v>
      </c>
      <c r="D8" s="28" t="s">
        <v>108</v>
      </c>
      <c r="E8" t="str">
        <f>IF(G8&lt;&gt;"",VLOOKUP(G8,PHA4GEVars!$A$7:$B$241,2,FALSE),"")</f>
        <v>Sample collection and processing</v>
      </c>
      <c r="F8" s="28" t="s">
        <v>1869</v>
      </c>
      <c r="G8" s="28" t="s">
        <v>127</v>
      </c>
      <c r="H8" s="28"/>
      <c r="I8" s="28" t="s">
        <v>1214</v>
      </c>
      <c r="J8" s="28" t="s">
        <v>1268</v>
      </c>
      <c r="K8" s="28" t="s">
        <v>1269</v>
      </c>
      <c r="L8" s="28"/>
      <c r="M8" s="28"/>
      <c r="N8" s="28"/>
      <c r="O8" s="31" t="s">
        <v>1870</v>
      </c>
      <c r="P8" s="28"/>
    </row>
    <row r="9" spans="1:18" x14ac:dyDescent="0.2">
      <c r="A9" s="28">
        <v>631</v>
      </c>
      <c r="B9" s="28" t="b">
        <v>1</v>
      </c>
      <c r="C9" s="28" t="b">
        <v>1</v>
      </c>
      <c r="D9" s="28" t="s">
        <v>108</v>
      </c>
      <c r="E9" t="str">
        <f>IF(G9&lt;&gt;"",VLOOKUP(G9,PHA4GEVars!$A$7:$B$241,2,FALSE),"")</f>
        <v>Sample collection and processing</v>
      </c>
      <c r="F9" s="28" t="s">
        <v>1869</v>
      </c>
      <c r="G9" s="28" t="s">
        <v>146</v>
      </c>
      <c r="H9" s="28"/>
      <c r="I9" s="28" t="s">
        <v>1214</v>
      </c>
      <c r="J9" s="28" t="s">
        <v>1276</v>
      </c>
      <c r="K9" s="28"/>
      <c r="L9" s="28" t="s">
        <v>1943</v>
      </c>
      <c r="M9" s="28"/>
      <c r="N9" s="28"/>
      <c r="O9" s="31" t="s">
        <v>1734</v>
      </c>
      <c r="P9" s="36" t="s">
        <v>1942</v>
      </c>
    </row>
    <row r="10" spans="1:18" x14ac:dyDescent="0.2">
      <c r="A10" s="28">
        <v>632</v>
      </c>
      <c r="B10" s="28" t="b">
        <v>1</v>
      </c>
      <c r="C10" s="28" t="b">
        <v>1</v>
      </c>
      <c r="D10" s="28" t="s">
        <v>108</v>
      </c>
      <c r="E10" t="str">
        <f>IF(G10&lt;&gt;"",VLOOKUP(G10,PHA4GEVars!$A$7:$B$241,2,FALSE),"")</f>
        <v>Sample collection and processing</v>
      </c>
      <c r="F10" s="28" t="s">
        <v>1869</v>
      </c>
      <c r="G10" s="28" t="s">
        <v>1109</v>
      </c>
      <c r="H10" s="28"/>
      <c r="I10" s="28" t="s">
        <v>1214</v>
      </c>
      <c r="J10" s="28" t="s">
        <v>1277</v>
      </c>
      <c r="K10" s="28"/>
      <c r="L10" s="28" t="s">
        <v>1879</v>
      </c>
      <c r="M10" s="28"/>
      <c r="N10" s="28"/>
      <c r="O10" s="31" t="s">
        <v>1278</v>
      </c>
      <c r="P10" s="36" t="s">
        <v>1795</v>
      </c>
    </row>
    <row r="11" spans="1:18" x14ac:dyDescent="0.2">
      <c r="A11" s="28">
        <v>634</v>
      </c>
      <c r="B11" s="28" t="b">
        <v>1</v>
      </c>
      <c r="C11" s="28" t="b">
        <v>1</v>
      </c>
      <c r="D11" s="28" t="s">
        <v>108</v>
      </c>
      <c r="E11" t="str">
        <f>IF(G11&lt;&gt;"",VLOOKUP(G11,PHA4GEVars!$A$7:$B$241,2,FALSE),"")</f>
        <v>Sample collection and processing</v>
      </c>
      <c r="F11" s="28" t="s">
        <v>1869</v>
      </c>
      <c r="G11" s="28" t="s">
        <v>1110</v>
      </c>
      <c r="H11" s="28"/>
      <c r="I11" s="28" t="s">
        <v>1214</v>
      </c>
      <c r="J11" s="28" t="s">
        <v>1794</v>
      </c>
      <c r="K11" s="28"/>
      <c r="L11" s="28" t="s">
        <v>1943</v>
      </c>
      <c r="M11" s="28"/>
      <c r="N11" s="28"/>
      <c r="O11" s="31"/>
      <c r="P11" s="36"/>
    </row>
    <row r="12" spans="1:18" x14ac:dyDescent="0.2">
      <c r="A12" s="28"/>
      <c r="B12" s="28"/>
      <c r="C12" s="28"/>
      <c r="D12" s="28"/>
      <c r="E12" t="str">
        <f>IF(G12&lt;&gt;"",VLOOKUP(G12,PHA4GEVars!$A$7:$B$241,2,FALSE),"")</f>
        <v/>
      </c>
      <c r="F12" s="28"/>
      <c r="G12" s="28"/>
      <c r="H12" s="28"/>
      <c r="I12" s="28"/>
      <c r="J12" s="28"/>
      <c r="K12" s="28"/>
      <c r="L12" s="28"/>
      <c r="M12" s="28"/>
      <c r="N12" s="28"/>
      <c r="O12" s="31"/>
      <c r="P12" s="36"/>
    </row>
    <row r="13" spans="1:18" s="30" customFormat="1" x14ac:dyDescent="0.2">
      <c r="A13" s="29">
        <v>643</v>
      </c>
      <c r="B13" s="29"/>
      <c r="C13" s="29"/>
      <c r="D13" s="29" t="s">
        <v>108</v>
      </c>
      <c r="E13" s="30" t="str">
        <f>IF(G13&lt;&gt;"",VLOOKUP(G13,PHA4GEVars!$A$7:$B$241,2,FALSE),"")</f>
        <v>Sample collection and processing</v>
      </c>
      <c r="F13" s="29" t="s">
        <v>1869</v>
      </c>
      <c r="G13" s="29" t="s">
        <v>123</v>
      </c>
      <c r="H13" s="29" t="s">
        <v>178</v>
      </c>
      <c r="I13" s="29" t="s">
        <v>1214</v>
      </c>
      <c r="J13" s="29" t="s">
        <v>1733</v>
      </c>
      <c r="K13" s="29" t="s">
        <v>1639</v>
      </c>
      <c r="L13" s="29"/>
      <c r="M13" s="29"/>
      <c r="N13" s="29"/>
      <c r="O13" s="35" t="s">
        <v>1643</v>
      </c>
      <c r="P13" s="37" t="s">
        <v>1774</v>
      </c>
    </row>
    <row r="14" spans="1:18" s="30" customFormat="1" x14ac:dyDescent="0.2">
      <c r="A14" s="29">
        <v>644</v>
      </c>
      <c r="B14" s="29"/>
      <c r="C14" s="29"/>
      <c r="D14" s="29" t="s">
        <v>108</v>
      </c>
      <c r="E14" s="30" t="str">
        <f>IF(G14&lt;&gt;"",VLOOKUP(G14,PHA4GEVars!$A$7:$B$241,2,FALSE),"")</f>
        <v>Sample collection and processing</v>
      </c>
      <c r="F14" s="29" t="s">
        <v>1869</v>
      </c>
      <c r="G14" s="29" t="s">
        <v>123</v>
      </c>
      <c r="H14" s="29" t="s">
        <v>179</v>
      </c>
      <c r="I14" s="29" t="s">
        <v>1214</v>
      </c>
      <c r="J14" s="29" t="s">
        <v>1733</v>
      </c>
      <c r="K14" s="29" t="s">
        <v>1640</v>
      </c>
      <c r="L14" s="29"/>
      <c r="M14" s="29"/>
      <c r="N14" s="29"/>
      <c r="O14" s="35" t="s">
        <v>1643</v>
      </c>
      <c r="P14" s="37" t="s">
        <v>1774</v>
      </c>
    </row>
    <row r="15" spans="1:18" s="30" customFormat="1" x14ac:dyDescent="0.2">
      <c r="A15" s="29">
        <v>645</v>
      </c>
      <c r="B15" s="29"/>
      <c r="C15" s="29"/>
      <c r="D15" s="29" t="s">
        <v>108</v>
      </c>
      <c r="E15" s="30" t="str">
        <f>IF(G15&lt;&gt;"",VLOOKUP(G15,PHA4GEVars!$A$7:$B$241,2,FALSE),"")</f>
        <v>Sample collection and processing</v>
      </c>
      <c r="F15" s="29" t="s">
        <v>1869</v>
      </c>
      <c r="G15" s="29" t="s">
        <v>123</v>
      </c>
      <c r="H15" s="29" t="s">
        <v>180</v>
      </c>
      <c r="I15" s="29" t="s">
        <v>1214</v>
      </c>
      <c r="J15" s="29" t="s">
        <v>1733</v>
      </c>
      <c r="K15" s="29" t="s">
        <v>1641</v>
      </c>
      <c r="L15" s="29"/>
      <c r="M15" s="29"/>
      <c r="N15" s="29"/>
      <c r="O15" s="35" t="s">
        <v>1643</v>
      </c>
      <c r="P15" s="37" t="s">
        <v>1774</v>
      </c>
    </row>
    <row r="16" spans="1:18" s="30" customFormat="1" x14ac:dyDescent="0.2">
      <c r="A16" s="29">
        <v>646</v>
      </c>
      <c r="B16" s="29"/>
      <c r="C16" s="29"/>
      <c r="D16" s="29" t="s">
        <v>108</v>
      </c>
      <c r="E16" s="30" t="str">
        <f>IF(G16&lt;&gt;"",VLOOKUP(G16,PHA4GEVars!$A$7:$B$241,2,FALSE),"")</f>
        <v>Sample collection and processing</v>
      </c>
      <c r="F16" s="29" t="s">
        <v>1869</v>
      </c>
      <c r="G16" s="29" t="s">
        <v>123</v>
      </c>
      <c r="H16" s="29" t="s">
        <v>181</v>
      </c>
      <c r="I16" s="29" t="s">
        <v>1214</v>
      </c>
      <c r="J16" s="29" t="s">
        <v>1733</v>
      </c>
      <c r="K16" s="29" t="s">
        <v>1642</v>
      </c>
      <c r="L16" s="29"/>
      <c r="M16" s="29"/>
      <c r="N16" s="29"/>
      <c r="O16" s="35" t="s">
        <v>1643</v>
      </c>
      <c r="P16" s="37" t="s">
        <v>1774</v>
      </c>
    </row>
    <row r="17" spans="1:16" s="30" customFormat="1" x14ac:dyDescent="0.2">
      <c r="A17" s="29"/>
      <c r="B17" s="29"/>
      <c r="C17" s="29"/>
      <c r="D17" s="29"/>
      <c r="E17" s="30" t="str">
        <f>IF(G17&lt;&gt;"",VLOOKUP(G17,PHA4GEVars!$A$7:$B$241,2,FALSE),"")</f>
        <v/>
      </c>
      <c r="F17" s="29"/>
      <c r="G17" s="29"/>
      <c r="H17" s="29"/>
      <c r="I17" s="29"/>
      <c r="J17" s="29"/>
      <c r="K17" s="29"/>
      <c r="L17" s="29"/>
      <c r="M17" s="29"/>
      <c r="N17" s="29"/>
      <c r="O17" s="35"/>
      <c r="P17" s="37"/>
    </row>
    <row r="18" spans="1:16" s="30" customFormat="1" x14ac:dyDescent="0.2">
      <c r="A18" s="29">
        <v>649</v>
      </c>
      <c r="B18" s="29" t="b">
        <v>1</v>
      </c>
      <c r="C18" s="29" t="b">
        <v>1</v>
      </c>
      <c r="D18" s="29" t="s">
        <v>108</v>
      </c>
      <c r="E18" s="30" t="str">
        <f>IF(G18&lt;&gt;"",VLOOKUP(G18,PHA4GEVars!$A$7:$B$241,2,FALSE),"")</f>
        <v>Sample collection and processing</v>
      </c>
      <c r="F18" s="29" t="s">
        <v>1869</v>
      </c>
      <c r="G18" s="29" t="s">
        <v>149</v>
      </c>
      <c r="H18" s="29"/>
      <c r="I18" s="29" t="s">
        <v>1214</v>
      </c>
      <c r="J18" s="29" t="s">
        <v>1337</v>
      </c>
      <c r="K18" s="29" t="s">
        <v>1338</v>
      </c>
      <c r="L18" s="29"/>
      <c r="M18" s="29"/>
      <c r="N18" s="29"/>
      <c r="O18" s="34"/>
      <c r="P18" s="29"/>
    </row>
    <row r="19" spans="1:16" s="30" customFormat="1" x14ac:dyDescent="0.2">
      <c r="A19" s="29"/>
      <c r="B19" s="29"/>
      <c r="C19" s="29"/>
      <c r="D19" s="29"/>
      <c r="E19" s="30" t="str">
        <f>IF(G19&lt;&gt;"",VLOOKUP(G19,PHA4GEVars!$A$7:$B$241,2,FALSE),"")</f>
        <v/>
      </c>
      <c r="F19" s="29"/>
      <c r="G19" s="29"/>
      <c r="H19" s="29"/>
      <c r="I19" s="29"/>
      <c r="J19" s="29"/>
      <c r="K19" s="29"/>
      <c r="L19" s="29"/>
      <c r="M19" s="29"/>
      <c r="N19" s="29"/>
      <c r="O19" s="34"/>
      <c r="P19" s="29"/>
    </row>
    <row r="20" spans="1:16" s="30" customFormat="1" x14ac:dyDescent="0.2">
      <c r="A20" s="29">
        <v>677</v>
      </c>
      <c r="B20" s="29"/>
      <c r="C20" s="29"/>
      <c r="D20" s="29" t="s">
        <v>108</v>
      </c>
      <c r="E20" s="30" t="str">
        <f>IF(G20&lt;&gt;"",VLOOKUP(G20,PHA4GEVars!$A$7:$B$241,2,FALSE),"")</f>
        <v>Sample collection and processing</v>
      </c>
      <c r="F20" s="29" t="s">
        <v>1869</v>
      </c>
      <c r="G20" s="29" t="s">
        <v>128</v>
      </c>
      <c r="H20" s="29" t="s">
        <v>1154</v>
      </c>
      <c r="I20" s="29" t="s">
        <v>1214</v>
      </c>
      <c r="J20" s="29" t="s">
        <v>1215</v>
      </c>
      <c r="K20" s="29" t="s">
        <v>1722</v>
      </c>
      <c r="L20" s="29"/>
      <c r="M20" s="29"/>
      <c r="N20" s="29"/>
      <c r="O20" s="35" t="s">
        <v>1724</v>
      </c>
      <c r="P20" s="37" t="s">
        <v>1872</v>
      </c>
    </row>
    <row r="21" spans="1:16" s="30" customFormat="1" x14ac:dyDescent="0.2">
      <c r="A21" s="29">
        <v>678</v>
      </c>
      <c r="B21" s="29"/>
      <c r="C21" s="29"/>
      <c r="D21" s="29" t="s">
        <v>108</v>
      </c>
      <c r="E21" s="30" t="str">
        <f>IF(G21&lt;&gt;"",VLOOKUP(G21,PHA4GEVars!$A$7:$B$241,2,FALSE),"")</f>
        <v>Sample collection and processing</v>
      </c>
      <c r="F21" s="29" t="s">
        <v>1869</v>
      </c>
      <c r="G21" s="29" t="s">
        <v>128</v>
      </c>
      <c r="H21" s="29" t="s">
        <v>1155</v>
      </c>
      <c r="I21" s="29" t="s">
        <v>1214</v>
      </c>
      <c r="J21" s="29" t="s">
        <v>1215</v>
      </c>
      <c r="K21" s="29" t="s">
        <v>1723</v>
      </c>
      <c r="L21" s="29"/>
      <c r="M21" s="29"/>
      <c r="N21" s="29"/>
      <c r="O21" s="35" t="s">
        <v>1725</v>
      </c>
      <c r="P21" s="37" t="s">
        <v>1872</v>
      </c>
    </row>
    <row r="22" spans="1:16" s="30" customFormat="1" x14ac:dyDescent="0.2">
      <c r="A22" s="29"/>
      <c r="B22" s="29"/>
      <c r="C22" s="29"/>
      <c r="D22" s="29"/>
      <c r="E22" t="str">
        <f>IF(G22&lt;&gt;"",VLOOKUP(G22,PHA4GEVars!$A$7:$B$241,2,FALSE),"")</f>
        <v/>
      </c>
      <c r="F22" s="29"/>
      <c r="G22" s="29"/>
      <c r="H22" s="29"/>
      <c r="I22" s="29"/>
      <c r="J22" s="29"/>
      <c r="K22" s="29"/>
      <c r="L22" s="29"/>
      <c r="M22" s="29"/>
      <c r="N22" s="29"/>
      <c r="O22" s="35"/>
      <c r="P22" s="37"/>
    </row>
    <row r="23" spans="1:16" x14ac:dyDescent="0.2">
      <c r="A23" s="28">
        <v>832</v>
      </c>
      <c r="B23" s="28" t="b">
        <v>0</v>
      </c>
      <c r="C23" s="28" t="b">
        <v>0</v>
      </c>
      <c r="D23" s="28" t="s">
        <v>1117</v>
      </c>
      <c r="E23" t="str">
        <f>IF(G23&lt;&gt;"",VLOOKUP(G23,PHA4GEVars!$A$7:$B$241,2,FALSE),"")</f>
        <v>Strain and isolation information</v>
      </c>
      <c r="F23" s="28" t="s">
        <v>1869</v>
      </c>
      <c r="G23" s="28" t="s">
        <v>1127</v>
      </c>
      <c r="H23" s="28"/>
      <c r="I23" s="28" t="s">
        <v>1214</v>
      </c>
      <c r="J23" s="28" t="s">
        <v>1337</v>
      </c>
      <c r="K23" s="28" t="s">
        <v>1687</v>
      </c>
      <c r="L23" s="28"/>
      <c r="M23" s="28"/>
      <c r="N23" s="28"/>
      <c r="O23" s="31" t="s">
        <v>1688</v>
      </c>
      <c r="P23" s="36" t="s">
        <v>1955</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7112-B69B-A74D-BFDE-EC48A4DC4CBE}">
  <dimension ref="A1:M8"/>
  <sheetViews>
    <sheetView workbookViewId="0">
      <pane ySplit="1" topLeftCell="A2" activePane="bottomLeft" state="frozen"/>
      <selection pane="bottomLeft" activeCell="H2" sqref="H2"/>
    </sheetView>
  </sheetViews>
  <sheetFormatPr baseColWidth="10" defaultRowHeight="16" x14ac:dyDescent="0.2"/>
  <cols>
    <col min="1" max="1" width="9.1640625" customWidth="1"/>
    <col min="2" max="2" width="27.6640625" bestFit="1" customWidth="1"/>
    <col min="3" max="3" width="15.5" customWidth="1"/>
    <col min="4" max="4" width="28.5" bestFit="1" customWidth="1"/>
    <col min="5" max="5" width="15.33203125" customWidth="1"/>
    <col min="6" max="6" width="15" customWidth="1"/>
    <col min="7" max="11" width="36.5" customWidth="1"/>
    <col min="12" max="13" width="30.33203125" customWidth="1"/>
  </cols>
  <sheetData>
    <row r="1" spans="1:13" s="30" customFormat="1" x14ac:dyDescent="0.2">
      <c r="A1" s="30" t="s">
        <v>0</v>
      </c>
      <c r="B1" s="30" t="s">
        <v>1883</v>
      </c>
      <c r="C1" s="29" t="s">
        <v>1</v>
      </c>
      <c r="D1" s="29" t="s">
        <v>2</v>
      </c>
      <c r="E1" s="29" t="s">
        <v>3</v>
      </c>
      <c r="F1" s="29" t="s">
        <v>4</v>
      </c>
      <c r="G1" s="29" t="s">
        <v>1042</v>
      </c>
      <c r="H1" s="29" t="s">
        <v>1989</v>
      </c>
      <c r="I1" s="29" t="s">
        <v>1862</v>
      </c>
      <c r="J1" s="29" t="s">
        <v>1859</v>
      </c>
      <c r="K1" s="29" t="s">
        <v>1858</v>
      </c>
      <c r="L1" s="29" t="s">
        <v>1838</v>
      </c>
      <c r="M1" s="29" t="s">
        <v>9</v>
      </c>
    </row>
    <row r="2" spans="1:13" x14ac:dyDescent="0.2">
      <c r="A2" t="b">
        <v>1</v>
      </c>
      <c r="B2" t="str">
        <f>IF(D2&lt;&gt;"",VLOOKUP(D2,PHA4GEVars!$A$7:$B$241,2,FALSE),"")</f>
        <v>Database identifiers</v>
      </c>
      <c r="C2" t="s">
        <v>1869</v>
      </c>
      <c r="D2" t="s">
        <v>1101</v>
      </c>
      <c r="F2" t="s">
        <v>1214</v>
      </c>
      <c r="G2" t="s">
        <v>1868</v>
      </c>
      <c r="H2" t="s">
        <v>1101</v>
      </c>
      <c r="L2" t="s">
        <v>1716</v>
      </c>
      <c r="M2" t="s">
        <v>1720</v>
      </c>
    </row>
    <row r="3" spans="1:13" x14ac:dyDescent="0.2">
      <c r="A3" t="b">
        <v>1</v>
      </c>
      <c r="B3" t="str">
        <f>IF(D3&lt;&gt;"",VLOOKUP(D3,PHA4GEVars!$A$7:$B$241,2,FALSE),"")</f>
        <v>Database identifiers</v>
      </c>
      <c r="C3" t="s">
        <v>1869</v>
      </c>
      <c r="D3" t="s">
        <v>112</v>
      </c>
      <c r="F3" t="s">
        <v>1214</v>
      </c>
      <c r="H3" t="s">
        <v>112</v>
      </c>
      <c r="J3" t="s">
        <v>1860</v>
      </c>
      <c r="L3" t="s">
        <v>1717</v>
      </c>
      <c r="M3" t="s">
        <v>1718</v>
      </c>
    </row>
    <row r="4" spans="1:13" ht="367" customHeight="1" x14ac:dyDescent="0.2">
      <c r="A4" t="b">
        <v>1</v>
      </c>
      <c r="B4" t="str">
        <f>IF(D4&lt;&gt;"",VLOOKUP(D4,PHA4GEVars!$A$7:$B$241,2,FALSE),"")</f>
        <v>Database identifiers</v>
      </c>
      <c r="C4" t="s">
        <v>1869</v>
      </c>
      <c r="D4" t="s">
        <v>151</v>
      </c>
      <c r="F4" t="s">
        <v>1214</v>
      </c>
      <c r="G4" s="42" t="s">
        <v>1985</v>
      </c>
      <c r="H4" t="s">
        <v>151</v>
      </c>
      <c r="I4" s="42" t="s">
        <v>1338</v>
      </c>
      <c r="J4" s="42"/>
      <c r="K4" s="42" t="s">
        <v>1980</v>
      </c>
      <c r="L4" t="s">
        <v>1216</v>
      </c>
      <c r="M4" s="42" t="s">
        <v>1938</v>
      </c>
    </row>
    <row r="5" spans="1:13" ht="17" x14ac:dyDescent="0.2">
      <c r="A5" t="b">
        <v>1</v>
      </c>
      <c r="B5" t="str">
        <f>IF(D5&lt;&gt;"",VLOOKUP(D5,PHA4GEVars!$A$7:$B$241,2,FALSE),"")</f>
        <v>Database identifiers</v>
      </c>
      <c r="C5" t="s">
        <v>1869</v>
      </c>
      <c r="D5" t="s">
        <v>141</v>
      </c>
      <c r="F5" t="s">
        <v>1214</v>
      </c>
      <c r="G5" s="42"/>
      <c r="H5" t="s">
        <v>141</v>
      </c>
      <c r="I5" s="42"/>
      <c r="J5" s="42" t="s">
        <v>1861</v>
      </c>
      <c r="K5" s="42"/>
      <c r="L5" t="s">
        <v>1715</v>
      </c>
      <c r="M5" t="s">
        <v>1719</v>
      </c>
    </row>
    <row r="6" spans="1:13" x14ac:dyDescent="0.2">
      <c r="A6" t="b">
        <v>1</v>
      </c>
      <c r="B6" t="str">
        <f>IF(D6&lt;&gt;"",VLOOKUP(D6,PHA4GEVars!$A$7:$B$241,2,FALSE),"")</f>
        <v>Strain and isolation information</v>
      </c>
      <c r="C6" t="s">
        <v>1869</v>
      </c>
      <c r="D6" t="s">
        <v>1121</v>
      </c>
      <c r="F6" t="s">
        <v>1214</v>
      </c>
      <c r="H6" t="s">
        <v>1121</v>
      </c>
      <c r="L6" t="s">
        <v>1685</v>
      </c>
      <c r="M6" s="31" t="s">
        <v>1688</v>
      </c>
    </row>
    <row r="7" spans="1:13" ht="17" x14ac:dyDescent="0.2">
      <c r="A7" t="b">
        <v>1</v>
      </c>
      <c r="B7" t="str">
        <f>IF(D7&lt;&gt;"",VLOOKUP(D7,PHA4GEVars!$A$7:$B$241,2,FALSE),"")</f>
        <v>Strain and isolation information</v>
      </c>
      <c r="C7" t="s">
        <v>1869</v>
      </c>
      <c r="D7" t="s">
        <v>1120</v>
      </c>
      <c r="F7" t="s">
        <v>1214</v>
      </c>
      <c r="G7" s="42" t="s">
        <v>1924</v>
      </c>
      <c r="H7" t="s">
        <v>1120</v>
      </c>
      <c r="I7" s="42" t="s">
        <v>1687</v>
      </c>
      <c r="J7" s="42"/>
      <c r="K7" s="42"/>
      <c r="L7" t="s">
        <v>1686</v>
      </c>
      <c r="M7" s="31" t="s">
        <v>1688</v>
      </c>
    </row>
    <row r="8" spans="1:13" x14ac:dyDescent="0.2">
      <c r="A8" t="b">
        <v>1</v>
      </c>
      <c r="B8" t="str">
        <f>IF(D8&lt;&gt;"",VLOOKUP(D8,PHA4GEVars!$A$7:$B$241,2,FALSE),"")</f>
        <v>Strain and isolation information</v>
      </c>
      <c r="C8" t="s">
        <v>1869</v>
      </c>
      <c r="D8" t="s">
        <v>1122</v>
      </c>
      <c r="F8" t="s">
        <v>1214</v>
      </c>
      <c r="H8" t="s">
        <v>1122</v>
      </c>
      <c r="L8" t="s">
        <v>1693</v>
      </c>
      <c r="M8" s="31" t="s">
        <v>1694</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10218-B628-454F-9157-D1743325AF42}">
  <dimension ref="A1:R37"/>
  <sheetViews>
    <sheetView topLeftCell="H1" workbookViewId="0">
      <pane ySplit="1" topLeftCell="A2" activePane="bottomLeft" state="frozen"/>
      <selection pane="bottomLeft" activeCell="N38" sqref="N38"/>
    </sheetView>
  </sheetViews>
  <sheetFormatPr baseColWidth="10" defaultRowHeight="16" x14ac:dyDescent="0.2"/>
  <cols>
    <col min="1" max="1" width="9.33203125" customWidth="1"/>
    <col min="2" max="2" width="15" customWidth="1"/>
    <col min="3" max="4" width="10.5" customWidth="1"/>
    <col min="5" max="6" width="38.1640625" customWidth="1"/>
    <col min="7" max="7" width="13" customWidth="1"/>
    <col min="8" max="8" width="62" customWidth="1"/>
    <col min="9" max="9" width="53.33203125" customWidth="1"/>
    <col min="10" max="10" width="12" customWidth="1"/>
    <col min="11" max="11" width="10.1640625" customWidth="1"/>
    <col min="12" max="12" width="13" customWidth="1"/>
    <col min="13" max="14" width="28" customWidth="1"/>
    <col min="15" max="15" width="18.6640625" customWidth="1"/>
    <col min="16" max="16" width="12.6640625" customWidth="1"/>
    <col min="17" max="17" width="40" customWidth="1"/>
    <col min="18" max="18" width="163.6640625" customWidth="1"/>
  </cols>
  <sheetData>
    <row r="1" spans="1:18" s="30" customFormat="1" x14ac:dyDescent="0.2">
      <c r="A1" s="29" t="s">
        <v>1443</v>
      </c>
      <c r="B1" s="29" t="s">
        <v>1772</v>
      </c>
      <c r="C1" s="29" t="s">
        <v>0</v>
      </c>
      <c r="D1" s="29" t="s">
        <v>1982</v>
      </c>
      <c r="E1" s="29" t="s">
        <v>10</v>
      </c>
      <c r="F1" s="29" t="s">
        <v>1883</v>
      </c>
      <c r="G1" s="29" t="s">
        <v>1</v>
      </c>
      <c r="H1" s="29" t="s">
        <v>2</v>
      </c>
      <c r="I1" s="29" t="s">
        <v>3</v>
      </c>
      <c r="J1" s="29" t="s">
        <v>4</v>
      </c>
      <c r="K1" s="29" t="s">
        <v>1801</v>
      </c>
      <c r="L1" s="29" t="s">
        <v>5</v>
      </c>
      <c r="M1" s="29" t="s">
        <v>6</v>
      </c>
      <c r="N1" s="29" t="s">
        <v>1839</v>
      </c>
      <c r="O1" s="29" t="s">
        <v>1779</v>
      </c>
      <c r="P1" s="29" t="s">
        <v>8</v>
      </c>
      <c r="Q1" s="29" t="s">
        <v>9</v>
      </c>
      <c r="R1" s="29" t="s">
        <v>1770</v>
      </c>
    </row>
    <row r="2" spans="1:18" s="30" customFormat="1" x14ac:dyDescent="0.2">
      <c r="A2" s="29">
        <v>1</v>
      </c>
      <c r="B2" s="29" t="b">
        <v>1</v>
      </c>
      <c r="C2" s="29" t="b">
        <v>1</v>
      </c>
      <c r="D2" s="29" t="s">
        <v>1981</v>
      </c>
      <c r="E2" s="29" t="s">
        <v>1137</v>
      </c>
      <c r="F2" s="30" t="str">
        <f>IF(H2&lt;&gt;"",VLOOKUP(H2,PHA4GEVars!$A$7:$B$241,2,FALSE),"")</f>
        <v>AMR detection information</v>
      </c>
      <c r="G2" s="29" t="s">
        <v>1869</v>
      </c>
      <c r="H2" s="29" t="s">
        <v>1142</v>
      </c>
      <c r="I2" s="29" t="s">
        <v>458</v>
      </c>
      <c r="J2" s="29" t="s">
        <v>974</v>
      </c>
      <c r="K2" s="29"/>
      <c r="L2" s="29" t="s">
        <v>9</v>
      </c>
      <c r="M2" s="29" t="s">
        <v>1711</v>
      </c>
      <c r="N2" s="29"/>
      <c r="O2" s="29"/>
      <c r="P2" s="29"/>
      <c r="Q2" s="35" t="s">
        <v>1712</v>
      </c>
      <c r="R2" s="34" t="s">
        <v>1956</v>
      </c>
    </row>
    <row r="3" spans="1:18" s="30" customFormat="1" x14ac:dyDescent="0.2">
      <c r="A3" s="29"/>
      <c r="B3" s="29"/>
      <c r="C3" s="29"/>
      <c r="D3" s="29"/>
      <c r="E3" s="29"/>
      <c r="F3" s="30" t="str">
        <f>IF(H3&lt;&gt;"",VLOOKUP(H3,PHA4GEVars!$A$7:$B$241,2,FALSE),"")</f>
        <v/>
      </c>
      <c r="G3" s="29"/>
      <c r="H3" s="29"/>
      <c r="I3" s="29"/>
      <c r="J3" s="29"/>
      <c r="K3" s="29"/>
      <c r="L3" s="29"/>
      <c r="M3" s="29"/>
      <c r="N3" s="29"/>
      <c r="O3" s="29"/>
      <c r="P3" s="29"/>
      <c r="Q3" s="35"/>
      <c r="R3" s="34"/>
    </row>
    <row r="4" spans="1:18" s="30" customFormat="1" x14ac:dyDescent="0.2">
      <c r="A4" s="29">
        <v>26</v>
      </c>
      <c r="B4" s="29"/>
      <c r="C4" s="29"/>
      <c r="D4" s="29"/>
      <c r="E4" s="29" t="s">
        <v>11</v>
      </c>
      <c r="F4" s="30" t="str">
        <f>IF(H4&lt;&gt;"",VLOOKUP(H4,PHA4GEVars!$A$7:$B$241,2,FALSE),"")</f>
        <v>Bioinformatics and QC metrics</v>
      </c>
      <c r="G4" s="29" t="s">
        <v>1869</v>
      </c>
      <c r="H4" s="29" t="s">
        <v>105</v>
      </c>
      <c r="I4" s="19" t="s">
        <v>438</v>
      </c>
      <c r="J4" s="29" t="s">
        <v>974</v>
      </c>
      <c r="K4" s="29"/>
      <c r="L4" s="29" t="s">
        <v>1297</v>
      </c>
      <c r="M4" s="29" t="b">
        <v>1</v>
      </c>
      <c r="N4" s="29"/>
      <c r="O4" s="29"/>
      <c r="P4" s="29"/>
      <c r="Q4" s="35"/>
      <c r="R4" s="34"/>
    </row>
    <row r="5" spans="1:18" s="30" customFormat="1" x14ac:dyDescent="0.2">
      <c r="A5" s="29">
        <v>27</v>
      </c>
      <c r="B5" s="29"/>
      <c r="C5" s="29"/>
      <c r="D5" s="29"/>
      <c r="E5" s="29" t="s">
        <v>11</v>
      </c>
      <c r="F5" s="30" t="str">
        <f>IF(H5&lt;&gt;"",VLOOKUP(H5,PHA4GEVars!$A$7:$B$241,2,FALSE),"")</f>
        <v>Bioinformatics and QC metrics</v>
      </c>
      <c r="G5" s="29" t="s">
        <v>1869</v>
      </c>
      <c r="H5" s="29" t="s">
        <v>105</v>
      </c>
      <c r="I5" s="29" t="s">
        <v>439</v>
      </c>
      <c r="J5" s="29" t="s">
        <v>974</v>
      </c>
      <c r="K5" s="29"/>
      <c r="L5" s="29" t="s">
        <v>1297</v>
      </c>
      <c r="M5" s="29" t="b">
        <v>1</v>
      </c>
      <c r="N5" s="29"/>
      <c r="O5" s="29"/>
      <c r="P5" s="29"/>
      <c r="Q5" s="35" t="s">
        <v>1298</v>
      </c>
      <c r="R5" s="29" t="s">
        <v>1774</v>
      </c>
    </row>
    <row r="6" spans="1:18" s="30" customFormat="1" x14ac:dyDescent="0.2">
      <c r="A6" s="29">
        <v>28</v>
      </c>
      <c r="B6" s="29"/>
      <c r="C6" s="29"/>
      <c r="D6" s="29"/>
      <c r="E6" s="29" t="s">
        <v>11</v>
      </c>
      <c r="F6" s="30" t="str">
        <f>IF(H6&lt;&gt;"",VLOOKUP(H6,PHA4GEVars!$A$7:$B$241,2,FALSE),"")</f>
        <v>Bioinformatics and QC metrics</v>
      </c>
      <c r="G6" s="29" t="s">
        <v>1869</v>
      </c>
      <c r="H6" s="29" t="s">
        <v>105</v>
      </c>
      <c r="I6" s="29" t="s">
        <v>440</v>
      </c>
      <c r="J6" s="29" t="s">
        <v>974</v>
      </c>
      <c r="K6" s="29"/>
      <c r="L6" s="29" t="s">
        <v>1297</v>
      </c>
      <c r="M6" s="29" t="b">
        <v>0</v>
      </c>
      <c r="N6" s="29"/>
      <c r="O6" s="29"/>
      <c r="P6" s="29"/>
      <c r="Q6" s="35" t="s">
        <v>1298</v>
      </c>
      <c r="R6" s="29" t="s">
        <v>1774</v>
      </c>
    </row>
    <row r="7" spans="1:18" s="30" customFormat="1" x14ac:dyDescent="0.2">
      <c r="A7" s="29">
        <v>29</v>
      </c>
      <c r="B7" s="29"/>
      <c r="C7" s="29"/>
      <c r="D7" s="29"/>
      <c r="E7" s="29" t="s">
        <v>11</v>
      </c>
      <c r="F7" s="30" t="str">
        <f>IF(H7&lt;&gt;"",VLOOKUP(H7,PHA4GEVars!$A$7:$B$241,2,FALSE),"")</f>
        <v>Bioinformatics and QC metrics</v>
      </c>
      <c r="G7" s="29" t="s">
        <v>1869</v>
      </c>
      <c r="H7" s="29" t="s">
        <v>105</v>
      </c>
      <c r="I7" s="29" t="s">
        <v>441</v>
      </c>
      <c r="J7" s="29" t="s">
        <v>974</v>
      </c>
      <c r="K7" s="29"/>
      <c r="L7" s="29" t="s">
        <v>1297</v>
      </c>
      <c r="M7" s="29" t="b">
        <v>1</v>
      </c>
      <c r="N7" s="29"/>
      <c r="O7" s="29"/>
      <c r="P7" s="29"/>
      <c r="Q7" s="35" t="s">
        <v>1299</v>
      </c>
      <c r="R7" s="29" t="s">
        <v>1774</v>
      </c>
    </row>
    <row r="8" spans="1:18" s="30" customFormat="1" x14ac:dyDescent="0.2">
      <c r="A8" s="29">
        <v>30</v>
      </c>
      <c r="B8" s="29"/>
      <c r="C8" s="29"/>
      <c r="D8" s="29"/>
      <c r="E8" s="29" t="s">
        <v>11</v>
      </c>
      <c r="F8" s="30" t="str">
        <f>IF(H8&lt;&gt;"",VLOOKUP(H8,PHA4GEVars!$A$7:$B$241,2,FALSE),"")</f>
        <v>Bioinformatics and QC metrics</v>
      </c>
      <c r="G8" s="29" t="s">
        <v>1869</v>
      </c>
      <c r="H8" s="29" t="s">
        <v>105</v>
      </c>
      <c r="I8" s="29" t="s">
        <v>442</v>
      </c>
      <c r="J8" s="29" t="s">
        <v>974</v>
      </c>
      <c r="K8" s="29"/>
      <c r="L8" s="29" t="s">
        <v>1297</v>
      </c>
      <c r="M8" s="29" t="b">
        <v>1</v>
      </c>
      <c r="N8" s="29"/>
      <c r="O8" s="29"/>
      <c r="P8" s="29"/>
      <c r="Q8" s="35" t="s">
        <v>1299</v>
      </c>
      <c r="R8" s="29" t="s">
        <v>1774</v>
      </c>
    </row>
    <row r="9" spans="1:18" s="30" customFormat="1" x14ac:dyDescent="0.2">
      <c r="A9" s="29">
        <v>31</v>
      </c>
      <c r="B9" s="29"/>
      <c r="C9" s="29"/>
      <c r="D9" s="29"/>
      <c r="E9" s="29" t="s">
        <v>11</v>
      </c>
      <c r="F9" s="30" t="str">
        <f>IF(H9&lt;&gt;"",VLOOKUP(H9,PHA4GEVars!$A$7:$B$241,2,FALSE),"")</f>
        <v>Bioinformatics and QC metrics</v>
      </c>
      <c r="G9" s="29" t="s">
        <v>1869</v>
      </c>
      <c r="H9" s="29" t="s">
        <v>105</v>
      </c>
      <c r="I9" s="29" t="s">
        <v>443</v>
      </c>
      <c r="J9" s="29" t="s">
        <v>974</v>
      </c>
      <c r="K9" s="29"/>
      <c r="L9" s="29" t="s">
        <v>1297</v>
      </c>
      <c r="M9" s="29" t="s">
        <v>1080</v>
      </c>
      <c r="N9" s="29"/>
      <c r="O9" s="29"/>
      <c r="P9" s="29"/>
      <c r="Q9" s="35" t="s">
        <v>1298</v>
      </c>
      <c r="R9" s="29" t="s">
        <v>1774</v>
      </c>
    </row>
    <row r="10" spans="1:18" s="30" customFormat="1" x14ac:dyDescent="0.2">
      <c r="A10" s="29"/>
      <c r="B10" s="29"/>
      <c r="C10" s="29"/>
      <c r="D10" s="29"/>
      <c r="E10" s="29"/>
      <c r="F10" s="30" t="str">
        <f>IF(H10&lt;&gt;"",VLOOKUP(H10,PHA4GEVars!$A$7:$B$241,2,FALSE),"")</f>
        <v/>
      </c>
      <c r="G10" s="29"/>
      <c r="H10" s="29"/>
      <c r="I10" s="29"/>
      <c r="J10" s="29"/>
      <c r="K10" s="29"/>
      <c r="L10" s="29"/>
      <c r="M10" s="29"/>
      <c r="N10" s="29"/>
      <c r="O10" s="29"/>
      <c r="P10" s="29"/>
      <c r="Q10" s="35"/>
      <c r="R10" s="29"/>
    </row>
    <row r="11" spans="1:18" s="30" customFormat="1" x14ac:dyDescent="0.2">
      <c r="A11" s="29">
        <v>247</v>
      </c>
      <c r="B11" s="29"/>
      <c r="C11" s="29"/>
      <c r="D11" s="29"/>
      <c r="E11" s="29" t="s">
        <v>134</v>
      </c>
      <c r="F11" s="30" t="str">
        <f>IF(H11&lt;&gt;"",VLOOKUP(H11,PHA4GEVars!$A$7:$B$241,2,FALSE),"")</f>
        <v>Pathogen diagnostic testing</v>
      </c>
      <c r="G11" s="29" t="s">
        <v>1869</v>
      </c>
      <c r="H11" s="29" t="s">
        <v>139</v>
      </c>
      <c r="I11" s="29"/>
      <c r="J11" s="29" t="s">
        <v>974</v>
      </c>
      <c r="K11" s="29"/>
      <c r="L11" s="29" t="s">
        <v>1043</v>
      </c>
      <c r="M11" s="29" t="s">
        <v>1424</v>
      </c>
      <c r="N11" s="29"/>
      <c r="O11" s="29"/>
      <c r="P11" s="29"/>
      <c r="Q11" s="35" t="s">
        <v>1423</v>
      </c>
      <c r="R11" s="37" t="s">
        <v>1783</v>
      </c>
    </row>
    <row r="12" spans="1:18" s="30" customFormat="1" x14ac:dyDescent="0.2">
      <c r="A12" s="29">
        <v>248</v>
      </c>
      <c r="B12" s="29" t="b">
        <v>1</v>
      </c>
      <c r="C12" s="29" t="b">
        <v>1</v>
      </c>
      <c r="D12" s="29"/>
      <c r="E12" s="29" t="s">
        <v>134</v>
      </c>
      <c r="F12" s="30" t="str">
        <f>IF(H12&lt;&gt;"",VLOOKUP(H12,PHA4GEVars!$A$7:$B$241,2,FALSE),"")</f>
        <v>Sample collection and processing</v>
      </c>
      <c r="G12" s="29" t="s">
        <v>1869</v>
      </c>
      <c r="H12" s="29" t="s">
        <v>113</v>
      </c>
      <c r="I12" s="29" t="s">
        <v>458</v>
      </c>
      <c r="J12" s="29" t="s">
        <v>974</v>
      </c>
      <c r="K12" s="29"/>
      <c r="L12" s="29" t="s">
        <v>1229</v>
      </c>
      <c r="M12" s="29" t="s">
        <v>1334</v>
      </c>
      <c r="N12" s="29"/>
      <c r="O12" s="29"/>
      <c r="P12" s="29"/>
      <c r="Q12" s="35" t="s">
        <v>1423</v>
      </c>
      <c r="R12" s="34" t="s">
        <v>1792</v>
      </c>
    </row>
    <row r="13" spans="1:18" s="30" customFormat="1" x14ac:dyDescent="0.2">
      <c r="A13" s="29">
        <v>266</v>
      </c>
      <c r="B13" s="29"/>
      <c r="C13" s="29"/>
      <c r="D13" s="29"/>
      <c r="E13" s="29" t="s">
        <v>108</v>
      </c>
      <c r="F13" s="30" t="str">
        <f>IF(H13&lt;&gt;"",VLOOKUP(H13,PHA4GEVars!$A$7:$B$241,2,FALSE),"")</f>
        <v>Sample collection and processing</v>
      </c>
      <c r="G13" s="29" t="s">
        <v>1869</v>
      </c>
      <c r="H13" s="29" t="s">
        <v>1114</v>
      </c>
      <c r="I13" s="29" t="s">
        <v>458</v>
      </c>
      <c r="J13" s="40" t="s">
        <v>974</v>
      </c>
      <c r="K13" s="40" t="s">
        <v>1061</v>
      </c>
      <c r="L13" s="29"/>
      <c r="M13" s="29"/>
      <c r="N13" s="29"/>
      <c r="O13" s="29"/>
      <c r="P13" s="29"/>
      <c r="Q13" s="35" t="s">
        <v>1624</v>
      </c>
      <c r="R13" s="29" t="s">
        <v>1784</v>
      </c>
    </row>
    <row r="14" spans="1:18" s="30" customFormat="1" x14ac:dyDescent="0.2">
      <c r="A14" s="29">
        <v>610</v>
      </c>
      <c r="B14" s="29"/>
      <c r="C14" s="29"/>
      <c r="D14" s="29"/>
      <c r="E14" s="29" t="s">
        <v>108</v>
      </c>
      <c r="F14" s="30" t="str">
        <f>IF(H14&lt;&gt;"",VLOOKUP(H14,PHA4GEVars!$A$7:$B$241,2,FALSE),"")</f>
        <v>Sample collection and processing</v>
      </c>
      <c r="G14" s="29" t="s">
        <v>1869</v>
      </c>
      <c r="H14" s="29" t="s">
        <v>113</v>
      </c>
      <c r="I14" s="48" t="s">
        <v>458</v>
      </c>
      <c r="J14" s="29" t="s">
        <v>974</v>
      </c>
      <c r="K14" s="29"/>
      <c r="L14" s="29" t="s">
        <v>1229</v>
      </c>
      <c r="M14" s="29" t="s">
        <v>1334</v>
      </c>
      <c r="N14" s="29"/>
      <c r="O14" s="29"/>
      <c r="P14" s="29"/>
      <c r="Q14" s="35" t="s">
        <v>1336</v>
      </c>
      <c r="R14" s="34" t="s">
        <v>1793</v>
      </c>
    </row>
    <row r="15" spans="1:18" s="30" customFormat="1" x14ac:dyDescent="0.2">
      <c r="A15" s="29"/>
      <c r="B15" s="29"/>
      <c r="C15" s="29"/>
      <c r="D15" s="29"/>
      <c r="E15" s="29"/>
      <c r="F15" s="30" t="str">
        <f>IF(H15&lt;&gt;"",VLOOKUP(H15,PHA4GEVars!$A$7:$B$241,2,FALSE),"")</f>
        <v/>
      </c>
      <c r="G15" s="29"/>
      <c r="H15" s="29"/>
      <c r="I15" s="48"/>
      <c r="J15" s="29"/>
      <c r="K15" s="29"/>
      <c r="L15" s="29"/>
      <c r="M15" s="29"/>
      <c r="N15" s="29"/>
      <c r="O15" s="29"/>
      <c r="P15" s="29"/>
      <c r="Q15" s="39"/>
      <c r="R15" s="29"/>
    </row>
    <row r="16" spans="1:18" s="30" customFormat="1" x14ac:dyDescent="0.2">
      <c r="A16" s="29">
        <v>720</v>
      </c>
      <c r="B16" s="29"/>
      <c r="C16" s="29"/>
      <c r="D16" s="29"/>
      <c r="E16" s="29" t="s">
        <v>16</v>
      </c>
      <c r="F16" s="30" t="str">
        <f>IF(H16&lt;&gt;"",VLOOKUP(H16,PHA4GEVars!$A$7:$B$241,2,FALSE),"")</f>
        <v>Sequence information</v>
      </c>
      <c r="G16" s="29" t="s">
        <v>1869</v>
      </c>
      <c r="H16" s="29" t="s">
        <v>1913</v>
      </c>
      <c r="I16" s="29" t="s">
        <v>335</v>
      </c>
      <c r="J16" s="29" t="s">
        <v>974</v>
      </c>
      <c r="K16" s="29"/>
      <c r="L16" s="29" t="s">
        <v>1303</v>
      </c>
      <c r="M16" s="29" t="s">
        <v>1314</v>
      </c>
      <c r="N16" s="29"/>
      <c r="O16" s="29"/>
      <c r="P16" s="29"/>
      <c r="Q16" s="35" t="s">
        <v>1305</v>
      </c>
      <c r="R16" s="37" t="s">
        <v>1936</v>
      </c>
    </row>
    <row r="17" spans="1:18" s="30" customFormat="1" x14ac:dyDescent="0.2">
      <c r="A17" s="29">
        <v>721</v>
      </c>
      <c r="B17" s="29"/>
      <c r="C17" s="29"/>
      <c r="D17" s="29"/>
      <c r="E17" s="29" t="s">
        <v>16</v>
      </c>
      <c r="F17" s="30" t="str">
        <f>IF(H17&lt;&gt;"",VLOOKUP(H17,PHA4GEVars!$A$7:$B$241,2,FALSE),"")</f>
        <v>Sequence information</v>
      </c>
      <c r="G17" s="29" t="s">
        <v>1869</v>
      </c>
      <c r="H17" s="29" t="s">
        <v>1913</v>
      </c>
      <c r="I17" s="29" t="s">
        <v>336</v>
      </c>
      <c r="J17" s="29" t="s">
        <v>974</v>
      </c>
      <c r="K17" s="29"/>
      <c r="L17" s="29" t="s">
        <v>1303</v>
      </c>
      <c r="M17" s="29" t="s">
        <v>1315</v>
      </c>
      <c r="N17" s="29"/>
      <c r="O17" s="29"/>
      <c r="P17" s="29"/>
      <c r="Q17" s="35" t="s">
        <v>1305</v>
      </c>
      <c r="R17" s="37" t="s">
        <v>1936</v>
      </c>
    </row>
    <row r="18" spans="1:18" s="30" customFormat="1" x14ac:dyDescent="0.2">
      <c r="A18" s="29">
        <v>722</v>
      </c>
      <c r="B18" s="29"/>
      <c r="C18" s="29"/>
      <c r="D18" s="29"/>
      <c r="E18" s="29" t="s">
        <v>16</v>
      </c>
      <c r="F18" s="30" t="str">
        <f>IF(H18&lt;&gt;"",VLOOKUP(H18,PHA4GEVars!$A$7:$B$241,2,FALSE),"")</f>
        <v>Sequence information</v>
      </c>
      <c r="G18" s="29" t="s">
        <v>1869</v>
      </c>
      <c r="H18" s="29" t="s">
        <v>1913</v>
      </c>
      <c r="I18" s="29" t="s">
        <v>337</v>
      </c>
      <c r="J18" s="29" t="s">
        <v>974</v>
      </c>
      <c r="K18" s="29"/>
      <c r="L18" s="29" t="s">
        <v>1303</v>
      </c>
      <c r="M18" s="29" t="s">
        <v>1316</v>
      </c>
      <c r="N18" s="29"/>
      <c r="O18" s="29"/>
      <c r="P18" s="29"/>
      <c r="Q18" s="35" t="s">
        <v>1305</v>
      </c>
      <c r="R18" s="37" t="s">
        <v>1936</v>
      </c>
    </row>
    <row r="19" spans="1:18" s="30" customFormat="1" x14ac:dyDescent="0.2">
      <c r="A19" s="29">
        <v>723</v>
      </c>
      <c r="B19" s="29"/>
      <c r="C19" s="29"/>
      <c r="D19" s="29"/>
      <c r="E19" s="29" t="s">
        <v>16</v>
      </c>
      <c r="F19" s="30" t="str">
        <f>IF(H19&lt;&gt;"",VLOOKUP(H19,PHA4GEVars!$A$7:$B$241,2,FALSE),"")</f>
        <v>Sequence information</v>
      </c>
      <c r="G19" s="29" t="s">
        <v>1869</v>
      </c>
      <c r="H19" s="29" t="s">
        <v>1913</v>
      </c>
      <c r="I19" s="29" t="s">
        <v>338</v>
      </c>
      <c r="J19" s="29" t="s">
        <v>974</v>
      </c>
      <c r="K19" s="29"/>
      <c r="L19" s="29" t="s">
        <v>1303</v>
      </c>
      <c r="M19" s="29" t="s">
        <v>1317</v>
      </c>
      <c r="N19" s="29"/>
      <c r="O19" s="29"/>
      <c r="P19" s="29"/>
      <c r="Q19" s="35" t="s">
        <v>1305</v>
      </c>
      <c r="R19" s="37" t="s">
        <v>1936</v>
      </c>
    </row>
    <row r="20" spans="1:18" s="30" customFormat="1" x14ac:dyDescent="0.2">
      <c r="A20" s="29">
        <v>724</v>
      </c>
      <c r="B20" s="29"/>
      <c r="C20" s="29"/>
      <c r="D20" s="29"/>
      <c r="E20" s="29" t="s">
        <v>16</v>
      </c>
      <c r="F20" s="30" t="str">
        <f>IF(H20&lt;&gt;"",VLOOKUP(H20,PHA4GEVars!$A$7:$B$241,2,FALSE),"")</f>
        <v>Sequence information</v>
      </c>
      <c r="G20" s="29" t="s">
        <v>1869</v>
      </c>
      <c r="H20" s="29" t="s">
        <v>1913</v>
      </c>
      <c r="I20" s="29" t="s">
        <v>339</v>
      </c>
      <c r="J20" s="29" t="s">
        <v>974</v>
      </c>
      <c r="K20" s="29"/>
      <c r="L20" s="29" t="s">
        <v>1303</v>
      </c>
      <c r="M20" s="29" t="s">
        <v>1318</v>
      </c>
      <c r="N20" s="29"/>
      <c r="O20" s="29"/>
      <c r="P20" s="29"/>
      <c r="Q20" s="35" t="s">
        <v>1305</v>
      </c>
      <c r="R20" s="37" t="s">
        <v>1936</v>
      </c>
    </row>
    <row r="21" spans="1:18" s="30" customFormat="1" x14ac:dyDescent="0.2">
      <c r="A21" s="29">
        <v>725</v>
      </c>
      <c r="B21" s="29"/>
      <c r="C21" s="29"/>
      <c r="D21" s="29"/>
      <c r="E21" s="29" t="s">
        <v>16</v>
      </c>
      <c r="F21" s="30" t="str">
        <f>IF(H21&lt;&gt;"",VLOOKUP(H21,PHA4GEVars!$A$7:$B$241,2,FALSE),"")</f>
        <v>Sequence information</v>
      </c>
      <c r="G21" s="29" t="s">
        <v>1869</v>
      </c>
      <c r="H21" s="29" t="s">
        <v>1913</v>
      </c>
      <c r="I21" s="29" t="s">
        <v>340</v>
      </c>
      <c r="J21" s="29" t="s">
        <v>974</v>
      </c>
      <c r="K21" s="29"/>
      <c r="L21" s="29" t="s">
        <v>1303</v>
      </c>
      <c r="M21" s="29" t="s">
        <v>1319</v>
      </c>
      <c r="N21" s="29"/>
      <c r="O21" s="29"/>
      <c r="P21" s="29"/>
      <c r="Q21" s="35" t="s">
        <v>1305</v>
      </c>
      <c r="R21" s="37" t="s">
        <v>1936</v>
      </c>
    </row>
    <row r="22" spans="1:18" s="30" customFormat="1" x14ac:dyDescent="0.2">
      <c r="A22" s="29">
        <v>726</v>
      </c>
      <c r="B22" s="29"/>
      <c r="C22" s="29"/>
      <c r="D22" s="29"/>
      <c r="E22" s="29" t="s">
        <v>16</v>
      </c>
      <c r="F22" s="30" t="str">
        <f>IF(H22&lt;&gt;"",VLOOKUP(H22,PHA4GEVars!$A$7:$B$241,2,FALSE),"")</f>
        <v>Sequence information</v>
      </c>
      <c r="G22" s="29" t="s">
        <v>1869</v>
      </c>
      <c r="H22" s="29" t="s">
        <v>1913</v>
      </c>
      <c r="I22" s="29" t="s">
        <v>341</v>
      </c>
      <c r="J22" s="29" t="s">
        <v>974</v>
      </c>
      <c r="K22" s="29"/>
      <c r="L22" s="29" t="s">
        <v>1303</v>
      </c>
      <c r="M22" s="29" t="s">
        <v>1320</v>
      </c>
      <c r="N22" s="29"/>
      <c r="O22" s="29"/>
      <c r="P22" s="29"/>
      <c r="Q22" s="35" t="s">
        <v>1305</v>
      </c>
      <c r="R22" s="37" t="s">
        <v>1936</v>
      </c>
    </row>
    <row r="23" spans="1:18" s="30" customFormat="1" x14ac:dyDescent="0.2">
      <c r="A23" s="29">
        <v>727</v>
      </c>
      <c r="B23" s="29"/>
      <c r="C23" s="29"/>
      <c r="D23" s="29"/>
      <c r="E23" s="29" t="s">
        <v>16</v>
      </c>
      <c r="F23" s="30" t="str">
        <f>IF(H23&lt;&gt;"",VLOOKUP(H23,PHA4GEVars!$A$7:$B$241,2,FALSE),"")</f>
        <v>Sequence information</v>
      </c>
      <c r="G23" s="29" t="s">
        <v>1869</v>
      </c>
      <c r="H23" s="29" t="s">
        <v>1913</v>
      </c>
      <c r="I23" s="29" t="s">
        <v>172</v>
      </c>
      <c r="J23" s="29" t="s">
        <v>974</v>
      </c>
      <c r="K23" s="29"/>
      <c r="L23" s="29" t="s">
        <v>1303</v>
      </c>
      <c r="M23" s="29" t="s">
        <v>1312</v>
      </c>
      <c r="N23" s="29"/>
      <c r="O23" s="29"/>
      <c r="P23" s="29"/>
      <c r="Q23" s="35" t="s">
        <v>1305</v>
      </c>
      <c r="R23" s="37" t="s">
        <v>1936</v>
      </c>
    </row>
    <row r="24" spans="1:18" s="30" customFormat="1" x14ac:dyDescent="0.2">
      <c r="A24" s="29">
        <v>728</v>
      </c>
      <c r="B24" s="29"/>
      <c r="C24" s="29"/>
      <c r="D24" s="29"/>
      <c r="E24" s="29" t="s">
        <v>16</v>
      </c>
      <c r="F24" s="30" t="str">
        <f>IF(H24&lt;&gt;"",VLOOKUP(H24,PHA4GEVars!$A$7:$B$241,2,FALSE),"")</f>
        <v>Sequence information</v>
      </c>
      <c r="G24" s="29" t="s">
        <v>1869</v>
      </c>
      <c r="H24" s="29" t="s">
        <v>1913</v>
      </c>
      <c r="I24" s="29" t="s">
        <v>342</v>
      </c>
      <c r="J24" s="29" t="s">
        <v>974</v>
      </c>
      <c r="K24" s="29"/>
      <c r="L24" s="29" t="s">
        <v>1303</v>
      </c>
      <c r="M24" s="29" t="s">
        <v>1321</v>
      </c>
      <c r="N24" s="29"/>
      <c r="O24" s="29"/>
      <c r="P24" s="29"/>
      <c r="Q24" s="35" t="s">
        <v>1305</v>
      </c>
      <c r="R24" s="37" t="s">
        <v>1936</v>
      </c>
    </row>
    <row r="25" spans="1:18" s="30" customFormat="1" x14ac:dyDescent="0.2">
      <c r="A25" s="29">
        <v>729</v>
      </c>
      <c r="B25" s="29"/>
      <c r="C25" s="29"/>
      <c r="D25" s="29"/>
      <c r="E25" s="29" t="s">
        <v>16</v>
      </c>
      <c r="F25" s="30" t="str">
        <f>IF(H25&lt;&gt;"",VLOOKUP(H25,PHA4GEVars!$A$7:$B$241,2,FALSE),"")</f>
        <v>Sequence information</v>
      </c>
      <c r="G25" s="29" t="s">
        <v>1869</v>
      </c>
      <c r="H25" s="29" t="s">
        <v>1913</v>
      </c>
      <c r="I25" s="29" t="s">
        <v>343</v>
      </c>
      <c r="J25" s="29" t="s">
        <v>974</v>
      </c>
      <c r="K25" s="29"/>
      <c r="L25" s="29" t="s">
        <v>1303</v>
      </c>
      <c r="M25" s="29" t="s">
        <v>1308</v>
      </c>
      <c r="N25" s="29"/>
      <c r="O25" s="29"/>
      <c r="P25" s="29"/>
      <c r="Q25" s="35" t="s">
        <v>1305</v>
      </c>
      <c r="R25" s="37" t="s">
        <v>1936</v>
      </c>
    </row>
    <row r="26" spans="1:18" s="30" customFormat="1" x14ac:dyDescent="0.2">
      <c r="A26" s="29"/>
      <c r="B26" s="29"/>
      <c r="C26" s="29"/>
      <c r="D26" s="29"/>
      <c r="E26" s="29"/>
      <c r="F26" s="30" t="str">
        <f>IF(H26&lt;&gt;"",VLOOKUP(H26,PHA4GEVars!$A$7:$B$241,2,FALSE),"")</f>
        <v/>
      </c>
      <c r="G26" s="29"/>
      <c r="H26" s="29"/>
      <c r="I26" s="29"/>
      <c r="J26" s="29"/>
      <c r="K26" s="29"/>
      <c r="L26" s="29"/>
      <c r="M26" s="29"/>
      <c r="N26" s="29"/>
      <c r="O26" s="29"/>
      <c r="P26" s="29"/>
      <c r="Q26" s="35"/>
      <c r="R26" s="37"/>
    </row>
    <row r="27" spans="1:18" s="30" customFormat="1" x14ac:dyDescent="0.2">
      <c r="A27" s="29">
        <v>730</v>
      </c>
      <c r="B27" s="29"/>
      <c r="C27" s="29"/>
      <c r="D27" s="29"/>
      <c r="E27" s="29" t="s">
        <v>16</v>
      </c>
      <c r="F27" s="30" t="str">
        <f>IF(H27&lt;&gt;"",VLOOKUP(H27,PHA4GEVars!$A$7:$B$241,2,FALSE),"")</f>
        <v>Sequence information</v>
      </c>
      <c r="G27" s="29" t="s">
        <v>1869</v>
      </c>
      <c r="H27" s="29" t="s">
        <v>104</v>
      </c>
      <c r="I27" s="29"/>
      <c r="J27" s="29" t="s">
        <v>974</v>
      </c>
      <c r="K27" s="29"/>
      <c r="L27" s="29" t="s">
        <v>9</v>
      </c>
      <c r="M27" s="29" t="s">
        <v>1301</v>
      </c>
      <c r="N27" s="29"/>
      <c r="O27" s="29"/>
      <c r="P27" s="29"/>
      <c r="Q27" s="35" t="s">
        <v>1302</v>
      </c>
      <c r="R27" s="37" t="s">
        <v>1774</v>
      </c>
    </row>
    <row r="28" spans="1:18" s="30" customFormat="1" x14ac:dyDescent="0.2">
      <c r="A28" s="29">
        <v>848</v>
      </c>
      <c r="B28" s="29"/>
      <c r="C28" s="29"/>
      <c r="D28" s="29"/>
      <c r="E28" s="29" t="s">
        <v>1134</v>
      </c>
      <c r="F28" s="30" t="str">
        <f>IF(H28&lt;&gt;"",VLOOKUP(H28,PHA4GEVars!$A$7:$B$241,2,FALSE),"")</f>
        <v>Taxonomic identification information</v>
      </c>
      <c r="G28" s="29" t="s">
        <v>1869</v>
      </c>
      <c r="H28" s="29" t="s">
        <v>1135</v>
      </c>
      <c r="I28" s="29" t="s">
        <v>458</v>
      </c>
      <c r="J28" s="29" t="s">
        <v>974</v>
      </c>
      <c r="K28" s="29"/>
      <c r="L28" s="29" t="s">
        <v>9</v>
      </c>
      <c r="M28" s="29" t="s">
        <v>1713</v>
      </c>
      <c r="N28" s="29"/>
      <c r="O28" s="29"/>
      <c r="P28" s="29"/>
      <c r="Q28" s="35" t="s">
        <v>1714</v>
      </c>
      <c r="R28" s="29"/>
    </row>
    <row r="29" spans="1:18" s="30" customFormat="1" x14ac:dyDescent="0.2">
      <c r="F29" s="30" t="str">
        <f>IF(H29&lt;&gt;"",VLOOKUP(H29,PHA4GEVars!$A$7:$B$241,2,FALSE),"")</f>
        <v/>
      </c>
    </row>
    <row r="30" spans="1:18" s="30" customFormat="1" x14ac:dyDescent="0.2">
      <c r="F30" s="30" t="str">
        <f>IF(H30&lt;&gt;"",VLOOKUP(H30,PHA4GEVars!$A$7:$B$241,2,FALSE),"")</f>
        <v>Database identifiers</v>
      </c>
      <c r="G30" s="29" t="s">
        <v>1869</v>
      </c>
      <c r="H30" s="30" t="s">
        <v>144</v>
      </c>
      <c r="J30" s="29" t="s">
        <v>974</v>
      </c>
      <c r="L30" s="29" t="s">
        <v>1220</v>
      </c>
      <c r="M30" s="29" t="s">
        <v>1221</v>
      </c>
      <c r="N30" s="29"/>
    </row>
    <row r="32" spans="1:18" s="30" customFormat="1" x14ac:dyDescent="0.2">
      <c r="A32" s="29">
        <v>648</v>
      </c>
      <c r="B32" s="29"/>
      <c r="C32" s="29"/>
      <c r="D32" s="29"/>
      <c r="E32" s="29" t="s">
        <v>108</v>
      </c>
      <c r="F32" s="30" t="str">
        <f>IF(H32&lt;&gt;"",VLOOKUP(H32,PHA4GEVars!$A$7:$B$241,2,FALSE),"")</f>
        <v>Sample collection and processing</v>
      </c>
      <c r="G32" s="29" t="s">
        <v>1869</v>
      </c>
      <c r="H32" s="29" t="s">
        <v>111</v>
      </c>
      <c r="I32" s="48" t="s">
        <v>458</v>
      </c>
      <c r="J32" s="29" t="s">
        <v>974</v>
      </c>
      <c r="K32" s="29"/>
      <c r="L32" s="29" t="s">
        <v>1511</v>
      </c>
      <c r="M32" s="29" t="s">
        <v>1333</v>
      </c>
      <c r="N32" s="29"/>
      <c r="O32" s="29"/>
      <c r="P32" s="29"/>
      <c r="Q32" s="39" t="s">
        <v>1644</v>
      </c>
      <c r="R32" s="29"/>
    </row>
    <row r="33" spans="1:18" s="30" customFormat="1" x14ac:dyDescent="0.2">
      <c r="A33" s="29">
        <v>741</v>
      </c>
      <c r="B33" s="29"/>
      <c r="C33" s="29"/>
      <c r="D33" s="29"/>
      <c r="E33" s="29" t="s">
        <v>16</v>
      </c>
      <c r="F33" s="30" t="str">
        <f>IF(H33&lt;&gt;"",VLOOKUP(H33,PHA4GEVars!$A$7:$B$241,2,FALSE),"")</f>
        <v>Sequence information</v>
      </c>
      <c r="G33" s="29" t="s">
        <v>1869</v>
      </c>
      <c r="H33" s="29" t="s">
        <v>21</v>
      </c>
      <c r="I33" s="29" t="s">
        <v>458</v>
      </c>
      <c r="J33" s="29" t="s">
        <v>974</v>
      </c>
      <c r="K33" s="29"/>
      <c r="L33" s="29" t="s">
        <v>1511</v>
      </c>
      <c r="M33" s="29" t="s">
        <v>1512</v>
      </c>
      <c r="N33" s="29"/>
      <c r="O33" s="29"/>
      <c r="P33" s="29"/>
      <c r="Q33" s="35" t="s">
        <v>1514</v>
      </c>
      <c r="R33" s="34" t="s">
        <v>1774</v>
      </c>
    </row>
    <row r="34" spans="1:18" s="30" customFormat="1" x14ac:dyDescent="0.2">
      <c r="A34" s="29">
        <v>847</v>
      </c>
      <c r="B34" s="29"/>
      <c r="C34" s="29"/>
      <c r="D34" s="29"/>
      <c r="E34" s="29" t="s">
        <v>1134</v>
      </c>
      <c r="F34" s="30" t="str">
        <f>IF(H34&lt;&gt;"",VLOOKUP(H34,PHA4GEVars!$A$7:$B$241,2,FALSE),"")</f>
        <v>Taxonomic identification information</v>
      </c>
      <c r="G34" s="29" t="s">
        <v>1869</v>
      </c>
      <c r="H34" s="29" t="s">
        <v>1136</v>
      </c>
      <c r="I34" s="29" t="s">
        <v>458</v>
      </c>
      <c r="J34" s="43" t="s">
        <v>974</v>
      </c>
      <c r="K34" s="40"/>
      <c r="L34" s="29" t="s">
        <v>1511</v>
      </c>
      <c r="M34" s="29" t="s">
        <v>1698</v>
      </c>
      <c r="N34" s="29"/>
      <c r="O34" s="29"/>
      <c r="P34" s="29"/>
      <c r="Q34" s="29"/>
      <c r="R34" s="29"/>
    </row>
    <row r="36" spans="1:18" x14ac:dyDescent="0.2">
      <c r="C36" t="b">
        <v>1</v>
      </c>
      <c r="G36" s="29" t="s">
        <v>1869</v>
      </c>
      <c r="J36" t="s">
        <v>974</v>
      </c>
      <c r="L36" s="30" t="s">
        <v>1988</v>
      </c>
      <c r="N36" t="s">
        <v>1991</v>
      </c>
    </row>
    <row r="37" spans="1:18" x14ac:dyDescent="0.2">
      <c r="C37" t="b">
        <v>1</v>
      </c>
      <c r="G37" s="29" t="s">
        <v>1869</v>
      </c>
      <c r="J37" t="s">
        <v>974</v>
      </c>
      <c r="L37" s="29" t="s">
        <v>1989</v>
      </c>
      <c r="N37" t="s">
        <v>1993</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F7F3-EB33-C64C-8956-945FAC941EB4}">
  <dimension ref="A1:V125"/>
  <sheetViews>
    <sheetView workbookViewId="0">
      <pane ySplit="1" topLeftCell="A95" activePane="bottomLeft" state="frozen"/>
      <selection pane="bottomLeft" activeCell="J121" sqref="J121"/>
    </sheetView>
  </sheetViews>
  <sheetFormatPr baseColWidth="10" defaultRowHeight="16" x14ac:dyDescent="0.2"/>
  <cols>
    <col min="3" max="3" width="39" bestFit="1" customWidth="1"/>
    <col min="5" max="5" width="60.1640625" customWidth="1"/>
    <col min="6" max="6" width="19" customWidth="1"/>
    <col min="7" max="7" width="18.83203125" customWidth="1"/>
    <col min="8" max="8" width="17.33203125" customWidth="1"/>
    <col min="9" max="13" width="26" customWidth="1"/>
    <col min="14" max="14" width="51" customWidth="1"/>
    <col min="16" max="17" width="29.1640625" customWidth="1"/>
    <col min="18" max="18" width="62.1640625" customWidth="1"/>
    <col min="19" max="19" width="61" customWidth="1"/>
  </cols>
  <sheetData>
    <row r="1" spans="1:22" s="30" customFormat="1" x14ac:dyDescent="0.2">
      <c r="A1" s="30" t="s">
        <v>1772</v>
      </c>
      <c r="B1" s="30" t="s">
        <v>0</v>
      </c>
      <c r="C1" s="30" t="s">
        <v>1883</v>
      </c>
      <c r="D1" s="29" t="s">
        <v>1</v>
      </c>
      <c r="E1" s="29" t="s">
        <v>2</v>
      </c>
      <c r="F1" s="29" t="s">
        <v>3</v>
      </c>
      <c r="G1" s="29" t="s">
        <v>4</v>
      </c>
      <c r="H1" s="30" t="s">
        <v>6</v>
      </c>
      <c r="I1" s="30" t="s">
        <v>1042</v>
      </c>
      <c r="J1" s="30" t="s">
        <v>1989</v>
      </c>
      <c r="K1" s="30" t="s">
        <v>1988</v>
      </c>
      <c r="L1" s="30" t="s">
        <v>1918</v>
      </c>
      <c r="M1" s="30" t="s">
        <v>1866</v>
      </c>
      <c r="N1" s="30" t="s">
        <v>1849</v>
      </c>
      <c r="O1" s="29" t="s">
        <v>1753</v>
      </c>
      <c r="P1" s="29" t="s">
        <v>1752</v>
      </c>
      <c r="Q1" s="29" t="s">
        <v>1939</v>
      </c>
      <c r="R1" s="29" t="s">
        <v>1749</v>
      </c>
      <c r="S1" s="29" t="s">
        <v>1750</v>
      </c>
      <c r="T1" s="29" t="s">
        <v>1751</v>
      </c>
      <c r="U1" s="29" t="s">
        <v>9</v>
      </c>
      <c r="V1" s="29" t="s">
        <v>1786</v>
      </c>
    </row>
    <row r="2" spans="1:22" x14ac:dyDescent="0.2">
      <c r="A2" t="b">
        <v>1</v>
      </c>
      <c r="B2" t="b">
        <v>1</v>
      </c>
      <c r="C2" t="str">
        <f>IF(E2&lt;&gt;"",VLOOKUP(E2,PHA4GEVars!$A$7:$B$241,2,FALSE),"")</f>
        <v>Environmental conditions and measurements</v>
      </c>
      <c r="D2" t="s">
        <v>1869</v>
      </c>
      <c r="E2" t="s">
        <v>64</v>
      </c>
      <c r="G2" t="s">
        <v>974</v>
      </c>
      <c r="N2" t="s">
        <v>976</v>
      </c>
      <c r="O2" t="s">
        <v>1052</v>
      </c>
      <c r="P2" t="s">
        <v>1054</v>
      </c>
      <c r="R2" t="s">
        <v>1044</v>
      </c>
      <c r="S2" t="s">
        <v>1048</v>
      </c>
      <c r="T2" t="s">
        <v>1059</v>
      </c>
      <c r="U2" t="s">
        <v>1060</v>
      </c>
    </row>
    <row r="3" spans="1:22" x14ac:dyDescent="0.2">
      <c r="A3" t="b">
        <v>1</v>
      </c>
      <c r="B3" t="b">
        <v>1</v>
      </c>
      <c r="C3" t="str">
        <f>IF(E3&lt;&gt;"",VLOOKUP(E3,PHA4GEVars!$A$7:$B$241,2,FALSE),"")</f>
        <v>Environmental conditions and measurements</v>
      </c>
      <c r="D3" t="s">
        <v>1869</v>
      </c>
      <c r="E3" t="s">
        <v>76</v>
      </c>
      <c r="G3" t="s">
        <v>974</v>
      </c>
      <c r="N3" t="s">
        <v>980</v>
      </c>
      <c r="O3" t="s">
        <v>1052</v>
      </c>
      <c r="P3" t="s">
        <v>1055</v>
      </c>
      <c r="R3" t="s">
        <v>1045</v>
      </c>
      <c r="S3" t="s">
        <v>1049</v>
      </c>
      <c r="T3" t="s">
        <v>1059</v>
      </c>
      <c r="U3" t="s">
        <v>1060</v>
      </c>
    </row>
    <row r="4" spans="1:22" x14ac:dyDescent="0.2">
      <c r="A4" t="b">
        <v>1</v>
      </c>
      <c r="B4" t="b">
        <v>1</v>
      </c>
      <c r="C4" t="str">
        <f>IF(E4&lt;&gt;"",VLOOKUP(E4,PHA4GEVars!$A$7:$B$241,2,FALSE),"")</f>
        <v>Environmental conditions and measurements</v>
      </c>
      <c r="D4" t="s">
        <v>1869</v>
      </c>
      <c r="E4" t="s">
        <v>81</v>
      </c>
      <c r="G4" t="s">
        <v>974</v>
      </c>
      <c r="N4" t="s">
        <v>981</v>
      </c>
      <c r="O4" t="s">
        <v>1053</v>
      </c>
      <c r="P4" t="s">
        <v>1056</v>
      </c>
      <c r="R4" t="s">
        <v>1046</v>
      </c>
      <c r="S4" t="s">
        <v>1050</v>
      </c>
      <c r="T4" t="s">
        <v>1059</v>
      </c>
      <c r="U4" t="s">
        <v>1060</v>
      </c>
    </row>
    <row r="5" spans="1:22" x14ac:dyDescent="0.2">
      <c r="A5" t="b">
        <v>1</v>
      </c>
      <c r="B5" t="b">
        <v>1</v>
      </c>
      <c r="C5" t="str">
        <f>IF(E5&lt;&gt;"",VLOOKUP(E5,PHA4GEVars!$A$7:$B$241,2,FALSE),"")</f>
        <v>Environmental conditions and measurements</v>
      </c>
      <c r="D5" t="s">
        <v>1869</v>
      </c>
      <c r="E5" t="s">
        <v>98</v>
      </c>
      <c r="G5" t="s">
        <v>974</v>
      </c>
      <c r="N5" t="s">
        <v>983</v>
      </c>
      <c r="O5" t="s">
        <v>1052</v>
      </c>
      <c r="P5" t="s">
        <v>1057</v>
      </c>
      <c r="R5" t="s">
        <v>1047</v>
      </c>
      <c r="S5" t="s">
        <v>1051</v>
      </c>
      <c r="T5" t="s">
        <v>1059</v>
      </c>
      <c r="U5" t="s">
        <v>1060</v>
      </c>
    </row>
    <row r="6" spans="1:22" x14ac:dyDescent="0.2">
      <c r="C6" t="str">
        <f>IF(E6&lt;&gt;"",VLOOKUP(E6,PHA4GEVars!$A$7:$B$241,2,FALSE),"")</f>
        <v/>
      </c>
    </row>
    <row r="7" spans="1:22" x14ac:dyDescent="0.2">
      <c r="A7" t="b">
        <v>1</v>
      </c>
      <c r="B7" t="b">
        <v>1</v>
      </c>
      <c r="C7" t="str">
        <f>IF(E7&lt;&gt;"",VLOOKUP(E7,PHA4GEVars!$A$7:$B$241,2,FALSE),"")</f>
        <v>Environmental conditions and measurements</v>
      </c>
      <c r="D7" t="s">
        <v>1869</v>
      </c>
      <c r="E7" t="s">
        <v>101</v>
      </c>
      <c r="F7" t="s">
        <v>1976</v>
      </c>
      <c r="G7" t="s">
        <v>974</v>
      </c>
      <c r="H7" t="s">
        <v>273</v>
      </c>
      <c r="O7" t="s">
        <v>1052</v>
      </c>
      <c r="P7" t="s">
        <v>1062</v>
      </c>
      <c r="R7" t="s">
        <v>1756</v>
      </c>
      <c r="S7" t="s">
        <v>1063</v>
      </c>
      <c r="T7" t="s">
        <v>1058</v>
      </c>
    </row>
    <row r="8" spans="1:22" x14ac:dyDescent="0.2">
      <c r="A8" t="b">
        <v>1</v>
      </c>
      <c r="B8" t="b">
        <v>1</v>
      </c>
      <c r="C8" t="str">
        <f>IF(E8&lt;&gt;"",VLOOKUP(E8,PHA4GEVars!$A$7:$B$241,2,FALSE),"")</f>
        <v>Environmental conditions and measurements</v>
      </c>
      <c r="D8" t="s">
        <v>1869</v>
      </c>
      <c r="E8" t="s">
        <v>101</v>
      </c>
      <c r="F8" t="s">
        <v>1977</v>
      </c>
      <c r="G8" t="s">
        <v>974</v>
      </c>
      <c r="H8" t="s">
        <v>274</v>
      </c>
      <c r="O8" t="s">
        <v>1052</v>
      </c>
      <c r="P8" t="s">
        <v>1062</v>
      </c>
      <c r="R8" t="s">
        <v>1756</v>
      </c>
      <c r="S8" t="s">
        <v>1063</v>
      </c>
      <c r="T8" t="s">
        <v>1058</v>
      </c>
    </row>
    <row r="9" spans="1:22" x14ac:dyDescent="0.2">
      <c r="A9" t="b">
        <v>1</v>
      </c>
      <c r="B9" t="b">
        <v>1</v>
      </c>
      <c r="C9" t="str">
        <f>IF(E9&lt;&gt;"",VLOOKUP(E9,PHA4GEVars!$A$7:$B$241,2,FALSE),"")</f>
        <v>Environmental conditions and measurements</v>
      </c>
      <c r="D9" t="s">
        <v>1869</v>
      </c>
      <c r="E9" t="s">
        <v>101</v>
      </c>
      <c r="F9" t="s">
        <v>1978</v>
      </c>
      <c r="G9" t="s">
        <v>974</v>
      </c>
      <c r="H9" t="s">
        <v>275</v>
      </c>
      <c r="O9" t="s">
        <v>1052</v>
      </c>
      <c r="P9" t="s">
        <v>1062</v>
      </c>
      <c r="R9" t="s">
        <v>1756</v>
      </c>
      <c r="S9" t="s">
        <v>1063</v>
      </c>
      <c r="T9" t="s">
        <v>1058</v>
      </c>
    </row>
    <row r="10" spans="1:22" x14ac:dyDescent="0.2">
      <c r="C10" t="str">
        <f>IF(E10&lt;&gt;"",VLOOKUP(E10,PHA4GEVars!$A$7:$B$241,2,FALSE),"")</f>
        <v/>
      </c>
    </row>
    <row r="11" spans="1:22" x14ac:dyDescent="0.2">
      <c r="A11" t="b">
        <v>1</v>
      </c>
      <c r="B11" t="b">
        <v>1</v>
      </c>
      <c r="C11" t="str">
        <f>IF(E11&lt;&gt;"",VLOOKUP(E11,PHA4GEVars!$A$7:$B$241,2,FALSE),"")</f>
        <v>Environmental conditions and measurements</v>
      </c>
      <c r="D11" t="s">
        <v>1869</v>
      </c>
      <c r="E11" t="s">
        <v>110</v>
      </c>
      <c r="G11" t="s">
        <v>974</v>
      </c>
      <c r="N11" t="s">
        <v>985</v>
      </c>
      <c r="O11" t="s">
        <v>1052</v>
      </c>
      <c r="P11" t="s">
        <v>1064</v>
      </c>
      <c r="R11" t="s">
        <v>1079</v>
      </c>
      <c r="S11" t="s">
        <v>1075</v>
      </c>
      <c r="T11" t="s">
        <v>1059</v>
      </c>
    </row>
    <row r="13" spans="1:22" x14ac:dyDescent="0.2">
      <c r="A13" t="b">
        <v>1</v>
      </c>
      <c r="B13" t="b">
        <v>1</v>
      </c>
      <c r="C13" t="str">
        <f>IF(E13&lt;&gt;"",VLOOKUP(E13,PHA4GEVars!$A$7:$B$241,2,FALSE),"")</f>
        <v>Environmental conditions and measurements</v>
      </c>
      <c r="D13" t="s">
        <v>1869</v>
      </c>
      <c r="E13" t="s">
        <v>118</v>
      </c>
      <c r="G13" t="s">
        <v>974</v>
      </c>
      <c r="N13" t="s">
        <v>986</v>
      </c>
      <c r="O13" t="s">
        <v>1052</v>
      </c>
      <c r="P13" t="s">
        <v>1065</v>
      </c>
      <c r="R13" t="s">
        <v>1078</v>
      </c>
      <c r="S13" t="s">
        <v>1076</v>
      </c>
      <c r="T13" t="s">
        <v>1059</v>
      </c>
    </row>
    <row r="14" spans="1:22" x14ac:dyDescent="0.2">
      <c r="C14" t="str">
        <f>IF(E14&lt;&gt;"",VLOOKUP(E14,PHA4GEVars!$A$7:$B$241,2,FALSE),"")</f>
        <v/>
      </c>
    </row>
    <row r="15" spans="1:22" x14ac:dyDescent="0.2">
      <c r="A15" t="b">
        <v>1</v>
      </c>
      <c r="B15" t="b">
        <v>1</v>
      </c>
      <c r="C15" t="e">
        <f>IF(E15&lt;&gt;"",VLOOKUP(E15,PHA4GEVars!$A$7:$B$241,2,FALSE),"")</f>
        <v>#N/A</v>
      </c>
      <c r="D15" t="s">
        <v>1869</v>
      </c>
      <c r="E15" t="s">
        <v>1950</v>
      </c>
      <c r="F15" t="s">
        <v>267</v>
      </c>
      <c r="G15" t="s">
        <v>974</v>
      </c>
      <c r="H15" t="s">
        <v>1067</v>
      </c>
      <c r="O15" t="s">
        <v>1052</v>
      </c>
      <c r="P15" t="s">
        <v>1066</v>
      </c>
      <c r="R15" t="s">
        <v>1951</v>
      </c>
      <c r="S15" t="s">
        <v>1077</v>
      </c>
      <c r="T15" t="s">
        <v>1059</v>
      </c>
      <c r="V15" t="s">
        <v>1927</v>
      </c>
    </row>
    <row r="16" spans="1:22" x14ac:dyDescent="0.2">
      <c r="A16" t="b">
        <v>1</v>
      </c>
      <c r="B16" t="b">
        <v>1</v>
      </c>
      <c r="C16" t="e">
        <f>IF(E16&lt;&gt;"",VLOOKUP(E16,PHA4GEVars!$A$7:$B$241,2,FALSE),"")</f>
        <v>#N/A</v>
      </c>
      <c r="D16" t="s">
        <v>1869</v>
      </c>
      <c r="E16" t="s">
        <v>1950</v>
      </c>
      <c r="F16" t="s">
        <v>268</v>
      </c>
      <c r="G16" t="s">
        <v>974</v>
      </c>
      <c r="H16" t="s">
        <v>1068</v>
      </c>
      <c r="O16" t="s">
        <v>1052</v>
      </c>
      <c r="P16" t="s">
        <v>1066</v>
      </c>
      <c r="R16" t="s">
        <v>1951</v>
      </c>
      <c r="S16" t="s">
        <v>1077</v>
      </c>
      <c r="T16" t="s">
        <v>1059</v>
      </c>
      <c r="V16" t="s">
        <v>1927</v>
      </c>
    </row>
    <row r="17" spans="1:22" x14ac:dyDescent="0.2">
      <c r="A17" t="b">
        <v>1</v>
      </c>
      <c r="B17" t="b">
        <v>1</v>
      </c>
      <c r="C17" t="e">
        <f>IF(E17&lt;&gt;"",VLOOKUP(E17,PHA4GEVars!$A$7:$B$241,2,FALSE),"")</f>
        <v>#N/A</v>
      </c>
      <c r="D17" t="s">
        <v>1869</v>
      </c>
      <c r="E17" t="s">
        <v>1950</v>
      </c>
      <c r="F17" t="s">
        <v>269</v>
      </c>
      <c r="G17" t="s">
        <v>974</v>
      </c>
      <c r="H17" t="s">
        <v>1069</v>
      </c>
      <c r="O17" t="s">
        <v>1052</v>
      </c>
      <c r="P17" t="s">
        <v>1066</v>
      </c>
      <c r="R17" t="s">
        <v>1951</v>
      </c>
      <c r="S17" t="s">
        <v>1077</v>
      </c>
      <c r="T17" t="s">
        <v>1059</v>
      </c>
      <c r="V17" t="s">
        <v>1927</v>
      </c>
    </row>
    <row r="18" spans="1:22" x14ac:dyDescent="0.2">
      <c r="A18" t="b">
        <v>1</v>
      </c>
      <c r="B18" t="b">
        <v>1</v>
      </c>
      <c r="C18" t="e">
        <f>IF(E18&lt;&gt;"",VLOOKUP(E18,PHA4GEVars!$A$7:$B$241,2,FALSE),"")</f>
        <v>#N/A</v>
      </c>
      <c r="D18" t="s">
        <v>1869</v>
      </c>
      <c r="E18" t="s">
        <v>1950</v>
      </c>
      <c r="F18" t="s">
        <v>270</v>
      </c>
      <c r="G18" t="s">
        <v>974</v>
      </c>
      <c r="H18" t="s">
        <v>1070</v>
      </c>
      <c r="O18" t="s">
        <v>1052</v>
      </c>
      <c r="P18" t="s">
        <v>1066</v>
      </c>
      <c r="R18" t="s">
        <v>1951</v>
      </c>
      <c r="S18" t="s">
        <v>1077</v>
      </c>
      <c r="T18" t="s">
        <v>1059</v>
      </c>
      <c r="V18" t="s">
        <v>1927</v>
      </c>
    </row>
    <row r="19" spans="1:22" x14ac:dyDescent="0.2">
      <c r="A19" t="b">
        <v>1</v>
      </c>
      <c r="B19" t="b">
        <v>1</v>
      </c>
      <c r="C19" t="e">
        <f>IF(E19&lt;&gt;"",VLOOKUP(E19,PHA4GEVars!$A$7:$B$241,2,FALSE),"")</f>
        <v>#N/A</v>
      </c>
      <c r="D19" t="s">
        <v>1869</v>
      </c>
      <c r="E19" t="s">
        <v>1950</v>
      </c>
      <c r="F19" t="s">
        <v>271</v>
      </c>
      <c r="G19" t="s">
        <v>974</v>
      </c>
      <c r="H19" t="s">
        <v>1071</v>
      </c>
      <c r="O19" t="s">
        <v>1052</v>
      </c>
      <c r="P19" t="s">
        <v>1066</v>
      </c>
      <c r="R19" t="s">
        <v>1951</v>
      </c>
      <c r="S19" t="s">
        <v>1077</v>
      </c>
      <c r="T19" t="s">
        <v>1059</v>
      </c>
      <c r="V19" t="s">
        <v>1927</v>
      </c>
    </row>
    <row r="20" spans="1:22" x14ac:dyDescent="0.2">
      <c r="A20" t="b">
        <v>1</v>
      </c>
      <c r="B20" t="b">
        <v>1</v>
      </c>
      <c r="C20" t="e">
        <f>IF(E20&lt;&gt;"",VLOOKUP(E20,PHA4GEVars!$A$7:$B$241,2,FALSE),"")</f>
        <v>#N/A</v>
      </c>
      <c r="D20" t="s">
        <v>1869</v>
      </c>
      <c r="E20" t="s">
        <v>1950</v>
      </c>
      <c r="F20" t="s">
        <v>1979</v>
      </c>
      <c r="G20" t="s">
        <v>974</v>
      </c>
      <c r="H20" t="s">
        <v>1072</v>
      </c>
      <c r="O20" t="s">
        <v>1052</v>
      </c>
      <c r="P20" t="s">
        <v>1066</v>
      </c>
      <c r="R20" t="s">
        <v>1951</v>
      </c>
      <c r="S20" t="s">
        <v>1077</v>
      </c>
      <c r="T20" t="s">
        <v>1059</v>
      </c>
      <c r="V20" t="s">
        <v>1975</v>
      </c>
    </row>
    <row r="21" spans="1:22" x14ac:dyDescent="0.2">
      <c r="A21" t="b">
        <v>1</v>
      </c>
      <c r="B21" t="b">
        <v>1</v>
      </c>
      <c r="C21" t="e">
        <f>IF(E21&lt;&gt;"",VLOOKUP(E21,PHA4GEVars!$A$7:$B$241,2,FALSE),"")</f>
        <v>#N/A</v>
      </c>
      <c r="D21" t="s">
        <v>1869</v>
      </c>
      <c r="E21" t="s">
        <v>1950</v>
      </c>
      <c r="F21" t="s">
        <v>272</v>
      </c>
      <c r="G21" t="s">
        <v>974</v>
      </c>
      <c r="H21" t="s">
        <v>1073</v>
      </c>
      <c r="O21" t="s">
        <v>1052</v>
      </c>
      <c r="P21" t="s">
        <v>1066</v>
      </c>
      <c r="R21" t="s">
        <v>1951</v>
      </c>
      <c r="S21" t="s">
        <v>1077</v>
      </c>
      <c r="T21" t="s">
        <v>1059</v>
      </c>
      <c r="V21" t="s">
        <v>1927</v>
      </c>
    </row>
    <row r="22" spans="1:22" x14ac:dyDescent="0.2">
      <c r="C22" t="str">
        <f>IF(E22&lt;&gt;"",VLOOKUP(E22,PHA4GEVars!$A$7:$B$241,2,FALSE),"")</f>
        <v/>
      </c>
    </row>
    <row r="23" spans="1:22" x14ac:dyDescent="0.2">
      <c r="A23" t="b">
        <v>1</v>
      </c>
      <c r="B23" t="b">
        <v>1</v>
      </c>
      <c r="C23" t="str">
        <f>IF(E23&lt;&gt;"",VLOOKUP(E23,PHA4GEVars!$A$7:$B$241,2,FALSE),"")</f>
        <v>Environmental conditions and measurements</v>
      </c>
      <c r="D23" t="s">
        <v>1869</v>
      </c>
      <c r="E23" t="s">
        <v>1906</v>
      </c>
      <c r="G23" t="s">
        <v>974</v>
      </c>
      <c r="N23" t="s">
        <v>1928</v>
      </c>
      <c r="O23" t="s">
        <v>1052</v>
      </c>
      <c r="P23" t="s">
        <v>1074</v>
      </c>
      <c r="R23" t="s">
        <v>1920</v>
      </c>
      <c r="S23" t="s">
        <v>1077</v>
      </c>
      <c r="T23" t="s">
        <v>1059</v>
      </c>
      <c r="V23" t="s">
        <v>1919</v>
      </c>
    </row>
    <row r="24" spans="1:22" x14ac:dyDescent="0.2">
      <c r="C24" t="str">
        <f>IF(E24&lt;&gt;"",VLOOKUP(E24,PHA4GEVars!$A$7:$B$241,2,FALSE),"")</f>
        <v/>
      </c>
    </row>
    <row r="25" spans="1:22" x14ac:dyDescent="0.2">
      <c r="A25" t="b">
        <v>1</v>
      </c>
      <c r="B25" t="b">
        <v>1</v>
      </c>
      <c r="C25" t="str">
        <f>IF(E25&lt;&gt;"",VLOOKUP(E25,PHA4GEVars!$A$7:$B$241,2,FALSE),"")</f>
        <v>Environmental conditions and measurements</v>
      </c>
      <c r="D25" t="s">
        <v>1869</v>
      </c>
      <c r="E25" t="s">
        <v>140</v>
      </c>
      <c r="F25" t="s">
        <v>276</v>
      </c>
      <c r="G25" t="s">
        <v>974</v>
      </c>
      <c r="H25" t="s">
        <v>1085</v>
      </c>
      <c r="O25" t="s">
        <v>1052</v>
      </c>
      <c r="P25" t="s">
        <v>1084</v>
      </c>
      <c r="R25" t="s">
        <v>1757</v>
      </c>
      <c r="S25" t="s">
        <v>1063</v>
      </c>
      <c r="T25" t="s">
        <v>1058</v>
      </c>
    </row>
    <row r="26" spans="1:22" x14ac:dyDescent="0.2">
      <c r="A26" t="b">
        <v>1</v>
      </c>
      <c r="B26" t="b">
        <v>1</v>
      </c>
      <c r="C26" t="str">
        <f>IF(E26&lt;&gt;"",VLOOKUP(E26,PHA4GEVars!$A$7:$B$241,2,FALSE),"")</f>
        <v>Environmental conditions and measurements</v>
      </c>
      <c r="D26" t="s">
        <v>1869</v>
      </c>
      <c r="E26" t="s">
        <v>140</v>
      </c>
      <c r="F26" t="s">
        <v>277</v>
      </c>
      <c r="G26" t="s">
        <v>974</v>
      </c>
      <c r="H26" t="s">
        <v>1085</v>
      </c>
      <c r="O26" t="s">
        <v>1052</v>
      </c>
      <c r="P26" t="s">
        <v>1084</v>
      </c>
      <c r="R26" t="s">
        <v>1757</v>
      </c>
      <c r="S26" t="s">
        <v>1063</v>
      </c>
      <c r="T26" t="s">
        <v>1058</v>
      </c>
    </row>
    <row r="27" spans="1:22" x14ac:dyDescent="0.2">
      <c r="A27" t="b">
        <v>1</v>
      </c>
      <c r="B27" t="b">
        <v>1</v>
      </c>
      <c r="C27" t="str">
        <f>IF(E27&lt;&gt;"",VLOOKUP(E27,PHA4GEVars!$A$7:$B$241,2,FALSE),"")</f>
        <v>Environmental conditions and measurements</v>
      </c>
      <c r="D27" t="s">
        <v>1869</v>
      </c>
      <c r="E27" t="s">
        <v>140</v>
      </c>
      <c r="F27" t="s">
        <v>278</v>
      </c>
      <c r="G27" t="s">
        <v>974</v>
      </c>
      <c r="H27" t="s">
        <v>1087</v>
      </c>
      <c r="O27" t="s">
        <v>1052</v>
      </c>
      <c r="P27" t="s">
        <v>1084</v>
      </c>
      <c r="R27" t="s">
        <v>1757</v>
      </c>
      <c r="S27" t="s">
        <v>1063</v>
      </c>
      <c r="T27" t="s">
        <v>1058</v>
      </c>
    </row>
    <row r="28" spans="1:22" x14ac:dyDescent="0.2">
      <c r="A28" t="b">
        <v>1</v>
      </c>
      <c r="B28" t="b">
        <v>1</v>
      </c>
      <c r="C28" t="str">
        <f>IF(E28&lt;&gt;"",VLOOKUP(E28,PHA4GEVars!$A$7:$B$241,2,FALSE),"")</f>
        <v>Environmental conditions and measurements</v>
      </c>
      <c r="D28" t="s">
        <v>1869</v>
      </c>
      <c r="E28" t="s">
        <v>140</v>
      </c>
      <c r="F28" t="s">
        <v>279</v>
      </c>
      <c r="G28" t="s">
        <v>974</v>
      </c>
      <c r="H28" t="s">
        <v>1086</v>
      </c>
      <c r="O28" t="s">
        <v>1052</v>
      </c>
      <c r="P28" t="s">
        <v>1084</v>
      </c>
      <c r="R28" t="s">
        <v>1757</v>
      </c>
      <c r="S28" t="s">
        <v>1063</v>
      </c>
      <c r="T28" t="s">
        <v>1058</v>
      </c>
    </row>
    <row r="29" spans="1:22" x14ac:dyDescent="0.2">
      <c r="A29" t="b">
        <v>1</v>
      </c>
      <c r="B29" t="b">
        <v>1</v>
      </c>
      <c r="C29" t="str">
        <f>IF(E29&lt;&gt;"",VLOOKUP(E29,PHA4GEVars!$A$7:$B$241,2,FALSE),"")</f>
        <v>Environmental conditions and measurements</v>
      </c>
      <c r="D29" t="s">
        <v>1869</v>
      </c>
      <c r="E29" t="s">
        <v>140</v>
      </c>
      <c r="F29" t="s">
        <v>280</v>
      </c>
      <c r="G29" t="s">
        <v>974</v>
      </c>
      <c r="H29" t="s">
        <v>1087</v>
      </c>
      <c r="O29" t="s">
        <v>1052</v>
      </c>
      <c r="P29" t="s">
        <v>1084</v>
      </c>
      <c r="R29" t="s">
        <v>1757</v>
      </c>
      <c r="S29" t="s">
        <v>1063</v>
      </c>
      <c r="T29" t="s">
        <v>1058</v>
      </c>
    </row>
    <row r="30" spans="1:22" x14ac:dyDescent="0.2">
      <c r="A30" t="b">
        <v>1</v>
      </c>
      <c r="B30" t="b">
        <v>1</v>
      </c>
      <c r="C30" t="str">
        <f>IF(E30&lt;&gt;"",VLOOKUP(E30,PHA4GEVars!$A$7:$B$241,2,FALSE),"")</f>
        <v>Environmental conditions and measurements</v>
      </c>
      <c r="D30" t="s">
        <v>1869</v>
      </c>
      <c r="E30" t="s">
        <v>140</v>
      </c>
      <c r="F30" t="s">
        <v>281</v>
      </c>
      <c r="G30" t="s">
        <v>974</v>
      </c>
      <c r="H30" t="s">
        <v>1088</v>
      </c>
      <c r="O30" t="s">
        <v>1052</v>
      </c>
      <c r="P30" t="s">
        <v>1084</v>
      </c>
      <c r="R30" t="s">
        <v>1757</v>
      </c>
      <c r="S30" t="s">
        <v>1063</v>
      </c>
      <c r="T30" t="s">
        <v>1058</v>
      </c>
    </row>
    <row r="31" spans="1:22" x14ac:dyDescent="0.2">
      <c r="A31" t="b">
        <v>1</v>
      </c>
      <c r="B31" t="b">
        <v>1</v>
      </c>
      <c r="C31" t="str">
        <f>IF(E31&lt;&gt;"",VLOOKUP(E31,PHA4GEVars!$A$7:$B$241,2,FALSE),"")</f>
        <v>Environmental conditions and measurements</v>
      </c>
      <c r="D31" t="s">
        <v>1869</v>
      </c>
      <c r="E31" t="s">
        <v>140</v>
      </c>
      <c r="F31" t="s">
        <v>282</v>
      </c>
      <c r="G31" t="s">
        <v>974</v>
      </c>
      <c r="H31" t="s">
        <v>1090</v>
      </c>
      <c r="O31" t="s">
        <v>1052</v>
      </c>
      <c r="P31" t="s">
        <v>1084</v>
      </c>
      <c r="R31" t="s">
        <v>1757</v>
      </c>
      <c r="S31" t="s">
        <v>1063</v>
      </c>
      <c r="T31" t="s">
        <v>1058</v>
      </c>
    </row>
    <row r="32" spans="1:22" x14ac:dyDescent="0.2">
      <c r="A32" t="b">
        <v>1</v>
      </c>
      <c r="B32" t="b">
        <v>1</v>
      </c>
      <c r="C32" t="str">
        <f>IF(E32&lt;&gt;"",VLOOKUP(E32,PHA4GEVars!$A$7:$B$241,2,FALSE),"")</f>
        <v>Environmental conditions and measurements</v>
      </c>
      <c r="D32" t="s">
        <v>1869</v>
      </c>
      <c r="E32" t="s">
        <v>140</v>
      </c>
      <c r="F32" t="s">
        <v>283</v>
      </c>
      <c r="G32" t="s">
        <v>974</v>
      </c>
      <c r="H32" t="s">
        <v>1089</v>
      </c>
      <c r="O32" t="s">
        <v>1052</v>
      </c>
      <c r="P32" t="s">
        <v>1084</v>
      </c>
      <c r="R32" t="s">
        <v>1757</v>
      </c>
      <c r="S32" t="s">
        <v>1063</v>
      </c>
      <c r="T32" t="s">
        <v>1058</v>
      </c>
    </row>
    <row r="33" spans="1:22" x14ac:dyDescent="0.2">
      <c r="C33" t="str">
        <f>IF(E33&lt;&gt;"",VLOOKUP(E33,PHA4GEVars!$A$7:$B$241,2,FALSE),"")</f>
        <v/>
      </c>
    </row>
    <row r="34" spans="1:22" x14ac:dyDescent="0.2">
      <c r="A34" t="b">
        <v>1</v>
      </c>
      <c r="B34" t="b">
        <v>1</v>
      </c>
      <c r="C34" t="str">
        <f>IF(E34&lt;&gt;"",VLOOKUP(E34,PHA4GEVars!$A$7:$B$241,2,FALSE),"")</f>
        <v>Environmental conditions and measurements</v>
      </c>
      <c r="D34" t="s">
        <v>1869</v>
      </c>
      <c r="E34" t="s">
        <v>159</v>
      </c>
      <c r="F34" t="s">
        <v>276</v>
      </c>
      <c r="G34" t="s">
        <v>974</v>
      </c>
      <c r="H34" t="s">
        <v>1085</v>
      </c>
      <c r="O34" t="s">
        <v>1052</v>
      </c>
      <c r="P34" t="s">
        <v>1091</v>
      </c>
      <c r="R34" t="s">
        <v>1758</v>
      </c>
      <c r="S34" t="s">
        <v>1063</v>
      </c>
      <c r="T34" t="s">
        <v>1058</v>
      </c>
    </row>
    <row r="35" spans="1:22" x14ac:dyDescent="0.2">
      <c r="A35" t="b">
        <v>1</v>
      </c>
      <c r="B35" t="b">
        <v>1</v>
      </c>
      <c r="C35" t="str">
        <f>IF(E35&lt;&gt;"",VLOOKUP(E35,PHA4GEVars!$A$7:$B$241,2,FALSE),"")</f>
        <v>Environmental conditions and measurements</v>
      </c>
      <c r="D35" t="s">
        <v>1869</v>
      </c>
      <c r="E35" t="s">
        <v>159</v>
      </c>
      <c r="F35" t="s">
        <v>277</v>
      </c>
      <c r="G35" t="s">
        <v>974</v>
      </c>
      <c r="H35" t="s">
        <v>1085</v>
      </c>
      <c r="O35" t="s">
        <v>1052</v>
      </c>
      <c r="P35" t="s">
        <v>1091</v>
      </c>
      <c r="R35" t="s">
        <v>1758</v>
      </c>
      <c r="S35" t="s">
        <v>1063</v>
      </c>
      <c r="T35" t="s">
        <v>1058</v>
      </c>
    </row>
    <row r="36" spans="1:22" x14ac:dyDescent="0.2">
      <c r="A36" t="b">
        <v>1</v>
      </c>
      <c r="B36" t="b">
        <v>1</v>
      </c>
      <c r="C36" t="str">
        <f>IF(E36&lt;&gt;"",VLOOKUP(E36,PHA4GEVars!$A$7:$B$241,2,FALSE),"")</f>
        <v>Environmental conditions and measurements</v>
      </c>
      <c r="D36" t="s">
        <v>1869</v>
      </c>
      <c r="E36" t="s">
        <v>159</v>
      </c>
      <c r="F36" t="s">
        <v>278</v>
      </c>
      <c r="G36" t="s">
        <v>974</v>
      </c>
      <c r="H36" t="s">
        <v>1087</v>
      </c>
      <c r="O36" t="s">
        <v>1052</v>
      </c>
      <c r="P36" t="s">
        <v>1091</v>
      </c>
      <c r="R36" t="s">
        <v>1758</v>
      </c>
      <c r="S36" t="s">
        <v>1063</v>
      </c>
      <c r="T36" t="s">
        <v>1058</v>
      </c>
    </row>
    <row r="37" spans="1:22" x14ac:dyDescent="0.2">
      <c r="A37" t="b">
        <v>1</v>
      </c>
      <c r="B37" t="b">
        <v>1</v>
      </c>
      <c r="C37" t="str">
        <f>IF(E37&lt;&gt;"",VLOOKUP(E37,PHA4GEVars!$A$7:$B$241,2,FALSE),"")</f>
        <v>Environmental conditions and measurements</v>
      </c>
      <c r="D37" t="s">
        <v>1869</v>
      </c>
      <c r="E37" t="s">
        <v>159</v>
      </c>
      <c r="F37" t="s">
        <v>279</v>
      </c>
      <c r="G37" t="s">
        <v>974</v>
      </c>
      <c r="H37" t="s">
        <v>1086</v>
      </c>
      <c r="O37" t="s">
        <v>1052</v>
      </c>
      <c r="P37" t="s">
        <v>1091</v>
      </c>
      <c r="R37" t="s">
        <v>1758</v>
      </c>
      <c r="S37" t="s">
        <v>1063</v>
      </c>
      <c r="T37" t="s">
        <v>1058</v>
      </c>
    </row>
    <row r="38" spans="1:22" x14ac:dyDescent="0.2">
      <c r="A38" t="b">
        <v>1</v>
      </c>
      <c r="B38" t="b">
        <v>1</v>
      </c>
      <c r="C38" t="str">
        <f>IF(E38&lt;&gt;"",VLOOKUP(E38,PHA4GEVars!$A$7:$B$241,2,FALSE),"")</f>
        <v>Environmental conditions and measurements</v>
      </c>
      <c r="D38" t="s">
        <v>1869</v>
      </c>
      <c r="E38" t="s">
        <v>159</v>
      </c>
      <c r="F38" t="s">
        <v>280</v>
      </c>
      <c r="G38" t="s">
        <v>974</v>
      </c>
      <c r="H38" t="s">
        <v>1087</v>
      </c>
      <c r="O38" t="s">
        <v>1052</v>
      </c>
      <c r="P38" t="s">
        <v>1091</v>
      </c>
      <c r="R38" t="s">
        <v>1758</v>
      </c>
      <c r="S38" t="s">
        <v>1063</v>
      </c>
      <c r="T38" t="s">
        <v>1058</v>
      </c>
    </row>
    <row r="39" spans="1:22" x14ac:dyDescent="0.2">
      <c r="A39" t="b">
        <v>1</v>
      </c>
      <c r="B39" t="b">
        <v>1</v>
      </c>
      <c r="C39" t="str">
        <f>IF(E39&lt;&gt;"",VLOOKUP(E39,PHA4GEVars!$A$7:$B$241,2,FALSE),"")</f>
        <v>Environmental conditions and measurements</v>
      </c>
      <c r="D39" t="s">
        <v>1869</v>
      </c>
      <c r="E39" t="s">
        <v>159</v>
      </c>
      <c r="F39" t="s">
        <v>281</v>
      </c>
      <c r="G39" t="s">
        <v>974</v>
      </c>
      <c r="H39" t="s">
        <v>1088</v>
      </c>
      <c r="O39" t="s">
        <v>1052</v>
      </c>
      <c r="P39" t="s">
        <v>1091</v>
      </c>
      <c r="R39" t="s">
        <v>1758</v>
      </c>
      <c r="S39" t="s">
        <v>1063</v>
      </c>
      <c r="T39" t="s">
        <v>1058</v>
      </c>
    </row>
    <row r="40" spans="1:22" x14ac:dyDescent="0.2">
      <c r="A40" t="b">
        <v>1</v>
      </c>
      <c r="B40" t="b">
        <v>1</v>
      </c>
      <c r="C40" t="str">
        <f>IF(E40&lt;&gt;"",VLOOKUP(E40,PHA4GEVars!$A$7:$B$241,2,FALSE),"")</f>
        <v>Environmental conditions and measurements</v>
      </c>
      <c r="D40" t="s">
        <v>1869</v>
      </c>
      <c r="E40" t="s">
        <v>159</v>
      </c>
      <c r="F40" t="s">
        <v>282</v>
      </c>
      <c r="G40" t="s">
        <v>974</v>
      </c>
      <c r="H40" t="s">
        <v>1090</v>
      </c>
      <c r="O40" t="s">
        <v>1052</v>
      </c>
      <c r="P40" t="s">
        <v>1091</v>
      </c>
      <c r="R40" t="s">
        <v>1758</v>
      </c>
      <c r="S40" t="s">
        <v>1063</v>
      </c>
      <c r="T40" t="s">
        <v>1058</v>
      </c>
    </row>
    <row r="41" spans="1:22" x14ac:dyDescent="0.2">
      <c r="A41" t="b">
        <v>1</v>
      </c>
      <c r="B41" t="b">
        <v>1</v>
      </c>
      <c r="C41" t="str">
        <f>IF(E41&lt;&gt;"",VLOOKUP(E41,PHA4GEVars!$A$7:$B$241,2,FALSE),"")</f>
        <v>Environmental conditions and measurements</v>
      </c>
      <c r="D41" t="s">
        <v>1869</v>
      </c>
      <c r="E41" t="s">
        <v>159</v>
      </c>
      <c r="F41" t="s">
        <v>283</v>
      </c>
      <c r="G41" t="s">
        <v>974</v>
      </c>
      <c r="H41" t="s">
        <v>1089</v>
      </c>
      <c r="O41" t="s">
        <v>1052</v>
      </c>
      <c r="P41" t="s">
        <v>1091</v>
      </c>
      <c r="R41" t="s">
        <v>1758</v>
      </c>
      <c r="S41" t="s">
        <v>1063</v>
      </c>
      <c r="T41" t="s">
        <v>1058</v>
      </c>
    </row>
    <row r="42" spans="1:22" x14ac:dyDescent="0.2">
      <c r="C42" t="str">
        <f>IF(E42&lt;&gt;"",VLOOKUP(E42,PHA4GEVars!$A$7:$B$241,2,FALSE),"")</f>
        <v/>
      </c>
    </row>
    <row r="43" spans="1:22" x14ac:dyDescent="0.2">
      <c r="A43" t="b">
        <v>1</v>
      </c>
      <c r="B43" t="b">
        <v>1</v>
      </c>
      <c r="C43" t="str">
        <f>IF(E43&lt;&gt;"",VLOOKUP(E43,PHA4GEVars!$A$7:$B$241,2,FALSE),"")</f>
        <v>Bioinformatics and QC metrics</v>
      </c>
      <c r="D43" t="s">
        <v>1869</v>
      </c>
      <c r="E43" t="s">
        <v>12</v>
      </c>
      <c r="G43" t="s">
        <v>974</v>
      </c>
      <c r="N43" t="s">
        <v>1513</v>
      </c>
      <c r="O43" t="s">
        <v>1053</v>
      </c>
      <c r="P43" t="s">
        <v>1346</v>
      </c>
      <c r="R43" t="s">
        <v>1350</v>
      </c>
      <c r="S43" t="s">
        <v>1063</v>
      </c>
      <c r="T43" t="s">
        <v>1059</v>
      </c>
    </row>
    <row r="44" spans="1:22" x14ac:dyDescent="0.2">
      <c r="A44" t="b">
        <v>1</v>
      </c>
      <c r="B44" t="b">
        <v>1</v>
      </c>
      <c r="C44" t="str">
        <f>IF(E44&lt;&gt;"",VLOOKUP(E44,PHA4GEVars!$A$7:$B$241,2,FALSE),"")</f>
        <v>Bioinformatics and QC metrics</v>
      </c>
      <c r="D44" t="s">
        <v>1869</v>
      </c>
      <c r="E44" t="s">
        <v>20</v>
      </c>
      <c r="G44" t="s">
        <v>974</v>
      </c>
      <c r="N44" t="s">
        <v>1513</v>
      </c>
      <c r="O44" t="s">
        <v>1053</v>
      </c>
      <c r="P44" t="s">
        <v>1347</v>
      </c>
      <c r="R44" t="s">
        <v>1351</v>
      </c>
      <c r="S44" t="s">
        <v>1063</v>
      </c>
      <c r="T44" t="s">
        <v>1059</v>
      </c>
    </row>
    <row r="45" spans="1:22" x14ac:dyDescent="0.2">
      <c r="A45" t="b">
        <v>1</v>
      </c>
      <c r="B45" t="b">
        <v>1</v>
      </c>
      <c r="C45" t="str">
        <f>IF(E45&lt;&gt;"",VLOOKUP(E45,PHA4GEVars!$A$7:$B$241,2,FALSE),"")</f>
        <v>Bioinformatics and QC metrics</v>
      </c>
      <c r="D45" t="s">
        <v>1869</v>
      </c>
      <c r="E45" t="s">
        <v>22</v>
      </c>
      <c r="G45" t="s">
        <v>974</v>
      </c>
      <c r="N45" t="s">
        <v>1513</v>
      </c>
      <c r="O45" t="s">
        <v>1053</v>
      </c>
      <c r="P45" t="s">
        <v>1348</v>
      </c>
      <c r="R45" t="s">
        <v>1352</v>
      </c>
      <c r="S45" t="s">
        <v>1005</v>
      </c>
      <c r="T45" t="s">
        <v>1059</v>
      </c>
    </row>
    <row r="46" spans="1:22" x14ac:dyDescent="0.2">
      <c r="A46" t="b">
        <v>1</v>
      </c>
      <c r="B46" t="b">
        <v>1</v>
      </c>
      <c r="C46" t="e">
        <f>IF(E46&lt;&gt;"",VLOOKUP(E46,PHA4GEVars!$A$7:$B$241,2,FALSE),"")</f>
        <v>#N/A</v>
      </c>
      <c r="D46" t="s">
        <v>1869</v>
      </c>
      <c r="E46" t="s">
        <v>1929</v>
      </c>
      <c r="G46" t="s">
        <v>974</v>
      </c>
      <c r="N46" t="s">
        <v>1513</v>
      </c>
      <c r="O46" t="s">
        <v>1053</v>
      </c>
      <c r="P46" t="s">
        <v>1349</v>
      </c>
      <c r="R46" t="s">
        <v>1930</v>
      </c>
      <c r="S46" t="s">
        <v>1063</v>
      </c>
      <c r="T46" t="s">
        <v>1059</v>
      </c>
    </row>
    <row r="47" spans="1:22" x14ac:dyDescent="0.2">
      <c r="A47" t="b">
        <v>1</v>
      </c>
      <c r="B47" t="b">
        <v>1</v>
      </c>
      <c r="C47" t="e">
        <f>IF(E47&lt;&gt;"",VLOOKUP(E47,PHA4GEVars!$A$7:$B$241,2,FALSE),"")</f>
        <v>#N/A</v>
      </c>
      <c r="D47" t="s">
        <v>1869</v>
      </c>
      <c r="E47" t="s">
        <v>1931</v>
      </c>
      <c r="G47" t="s">
        <v>974</v>
      </c>
      <c r="N47" t="s">
        <v>1513</v>
      </c>
      <c r="O47" t="s">
        <v>1053</v>
      </c>
      <c r="P47" t="s">
        <v>1931</v>
      </c>
      <c r="R47" t="s">
        <v>1932</v>
      </c>
      <c r="S47" t="s">
        <v>1361</v>
      </c>
      <c r="T47" t="s">
        <v>1059</v>
      </c>
      <c r="V47" t="s">
        <v>1933</v>
      </c>
    </row>
    <row r="48" spans="1:22" x14ac:dyDescent="0.2">
      <c r="A48" t="b">
        <v>1</v>
      </c>
      <c r="B48" t="b">
        <v>1</v>
      </c>
      <c r="C48" t="str">
        <f>IF(E48&lt;&gt;"",VLOOKUP(E48,PHA4GEVars!$A$7:$B$241,2,FALSE),"")</f>
        <v>Bioinformatics and QC metrics</v>
      </c>
      <c r="D48" t="s">
        <v>1869</v>
      </c>
      <c r="E48" t="s">
        <v>56</v>
      </c>
      <c r="G48" t="s">
        <v>974</v>
      </c>
      <c r="N48" t="s">
        <v>1513</v>
      </c>
      <c r="O48" t="s">
        <v>1053</v>
      </c>
      <c r="P48" t="s">
        <v>1362</v>
      </c>
      <c r="R48" t="s">
        <v>1353</v>
      </c>
      <c r="S48" t="s">
        <v>1363</v>
      </c>
      <c r="T48" t="s">
        <v>1059</v>
      </c>
    </row>
    <row r="49" spans="1:22" x14ac:dyDescent="0.2">
      <c r="A49" t="b">
        <v>1</v>
      </c>
      <c r="B49" t="b">
        <v>1</v>
      </c>
      <c r="C49" t="str">
        <f>IF(E49&lt;&gt;"",VLOOKUP(E49,PHA4GEVars!$A$7:$B$241,2,FALSE),"")</f>
        <v>Bioinformatics and QC metrics</v>
      </c>
      <c r="D49" t="s">
        <v>1869</v>
      </c>
      <c r="E49" t="s">
        <v>69</v>
      </c>
      <c r="G49" t="s">
        <v>974</v>
      </c>
      <c r="N49" t="s">
        <v>1513</v>
      </c>
      <c r="O49" t="s">
        <v>1053</v>
      </c>
      <c r="P49" t="s">
        <v>1339</v>
      </c>
      <c r="R49" t="s">
        <v>1354</v>
      </c>
      <c r="S49" t="s">
        <v>1364</v>
      </c>
      <c r="T49" t="s">
        <v>1059</v>
      </c>
    </row>
    <row r="50" spans="1:22" x14ac:dyDescent="0.2">
      <c r="A50" t="b">
        <v>1</v>
      </c>
      <c r="B50" t="b">
        <v>1</v>
      </c>
      <c r="C50" t="str">
        <f>IF(E50&lt;&gt;"",VLOOKUP(E50,PHA4GEVars!$A$7:$B$241,2,FALSE),"")</f>
        <v>Bioinformatics and QC metrics</v>
      </c>
      <c r="D50" t="s">
        <v>1869</v>
      </c>
      <c r="E50" t="s">
        <v>70</v>
      </c>
      <c r="G50" t="s">
        <v>974</v>
      </c>
      <c r="N50" t="s">
        <v>1513</v>
      </c>
      <c r="O50" t="s">
        <v>1053</v>
      </c>
      <c r="P50" t="s">
        <v>1340</v>
      </c>
      <c r="R50" t="s">
        <v>1355</v>
      </c>
      <c r="S50" t="s">
        <v>1063</v>
      </c>
      <c r="T50" t="s">
        <v>1059</v>
      </c>
    </row>
    <row r="51" spans="1:22" x14ac:dyDescent="0.2">
      <c r="A51" t="b">
        <v>1</v>
      </c>
      <c r="B51" t="b">
        <v>1</v>
      </c>
      <c r="C51" t="str">
        <f>IF(E51&lt;&gt;"",VLOOKUP(E51,PHA4GEVars!$A$7:$B$241,2,FALSE),"")</f>
        <v>Bioinformatics and QC metrics</v>
      </c>
      <c r="D51" t="s">
        <v>1869</v>
      </c>
      <c r="E51" t="s">
        <v>71</v>
      </c>
      <c r="G51" t="s">
        <v>974</v>
      </c>
      <c r="N51" t="s">
        <v>1513</v>
      </c>
      <c r="O51" t="s">
        <v>1053</v>
      </c>
      <c r="P51" t="s">
        <v>1341</v>
      </c>
      <c r="R51" t="s">
        <v>1356</v>
      </c>
      <c r="S51" t="s">
        <v>1063</v>
      </c>
      <c r="T51" t="s">
        <v>1059</v>
      </c>
    </row>
    <row r="52" spans="1:22" x14ac:dyDescent="0.2">
      <c r="A52" t="b">
        <v>1</v>
      </c>
      <c r="B52" t="b">
        <v>1</v>
      </c>
      <c r="C52" t="str">
        <f>IF(E52&lt;&gt;"",VLOOKUP(E52,PHA4GEVars!$A$7:$B$241,2,FALSE),"")</f>
        <v>Bioinformatics and QC metrics</v>
      </c>
      <c r="D52" t="s">
        <v>1869</v>
      </c>
      <c r="E52" t="s">
        <v>72</v>
      </c>
      <c r="G52" t="s">
        <v>974</v>
      </c>
      <c r="N52" t="s">
        <v>1513</v>
      </c>
      <c r="O52" t="s">
        <v>1053</v>
      </c>
      <c r="P52" t="s">
        <v>1342</v>
      </c>
      <c r="R52" t="s">
        <v>1357</v>
      </c>
      <c r="S52" t="s">
        <v>1063</v>
      </c>
      <c r="T52" t="s">
        <v>1059</v>
      </c>
    </row>
    <row r="53" spans="1:22" x14ac:dyDescent="0.2">
      <c r="A53" t="b">
        <v>1</v>
      </c>
      <c r="B53" t="b">
        <v>1</v>
      </c>
      <c r="C53" t="str">
        <f>IF(E53&lt;&gt;"",VLOOKUP(E53,PHA4GEVars!$A$7:$B$241,2,FALSE),"")</f>
        <v>Bioinformatics and QC metrics</v>
      </c>
      <c r="D53" t="s">
        <v>1869</v>
      </c>
      <c r="E53" t="s">
        <v>74</v>
      </c>
      <c r="G53" t="s">
        <v>974</v>
      </c>
      <c r="N53" t="s">
        <v>1513</v>
      </c>
      <c r="O53" t="s">
        <v>1053</v>
      </c>
      <c r="P53" t="s">
        <v>1343</v>
      </c>
      <c r="R53" t="s">
        <v>1358</v>
      </c>
      <c r="S53" t="s">
        <v>1005</v>
      </c>
      <c r="T53" t="s">
        <v>1059</v>
      </c>
    </row>
    <row r="54" spans="1:22" x14ac:dyDescent="0.2">
      <c r="A54" t="b">
        <v>1</v>
      </c>
      <c r="B54" t="b">
        <v>1</v>
      </c>
      <c r="C54" t="str">
        <f>IF(E54&lt;&gt;"",VLOOKUP(E54,PHA4GEVars!$A$7:$B$241,2,FALSE),"")</f>
        <v>Bioinformatics and QC metrics</v>
      </c>
      <c r="D54" t="s">
        <v>1869</v>
      </c>
      <c r="E54" t="s">
        <v>1917</v>
      </c>
      <c r="G54" t="s">
        <v>974</v>
      </c>
      <c r="N54" t="s">
        <v>1513</v>
      </c>
      <c r="O54" t="s">
        <v>1053</v>
      </c>
      <c r="P54" t="s">
        <v>1344</v>
      </c>
      <c r="R54" t="s">
        <v>1359</v>
      </c>
      <c r="S54" t="s">
        <v>1005</v>
      </c>
      <c r="T54" t="s">
        <v>1059</v>
      </c>
    </row>
    <row r="55" spans="1:22" x14ac:dyDescent="0.2">
      <c r="A55" t="b">
        <v>1</v>
      </c>
      <c r="B55" t="b">
        <v>1</v>
      </c>
      <c r="C55" t="str">
        <f>IF(E55&lt;&gt;"",VLOOKUP(E55,PHA4GEVars!$A$7:$B$241,2,FALSE),"")</f>
        <v>Bioinformatics and QC metrics</v>
      </c>
      <c r="D55" t="s">
        <v>1869</v>
      </c>
      <c r="E55" t="s">
        <v>94</v>
      </c>
      <c r="G55" t="s">
        <v>974</v>
      </c>
      <c r="N55" t="s">
        <v>1513</v>
      </c>
      <c r="O55" t="s">
        <v>1053</v>
      </c>
      <c r="P55" t="s">
        <v>1345</v>
      </c>
      <c r="R55" t="s">
        <v>1360</v>
      </c>
      <c r="S55" t="s">
        <v>1063</v>
      </c>
      <c r="T55" t="s">
        <v>1059</v>
      </c>
    </row>
    <row r="56" spans="1:22" x14ac:dyDescent="0.2">
      <c r="A56" t="b">
        <v>0</v>
      </c>
      <c r="B56" t="b">
        <v>0</v>
      </c>
      <c r="C56" t="str">
        <f>IF(E56&lt;&gt;"",VLOOKUP(E56,PHA4GEVars!$A$7:$B$241,2,FALSE),"")</f>
        <v>Bioinformatics and QC metrics</v>
      </c>
      <c r="D56" t="s">
        <v>1869</v>
      </c>
      <c r="E56" t="s">
        <v>106</v>
      </c>
      <c r="G56" t="s">
        <v>974</v>
      </c>
      <c r="N56" t="s">
        <v>1513</v>
      </c>
      <c r="O56" t="s">
        <v>1053</v>
      </c>
      <c r="P56" t="s">
        <v>1424</v>
      </c>
      <c r="Q56" t="s">
        <v>1940</v>
      </c>
      <c r="R56" t="s">
        <v>1365</v>
      </c>
      <c r="S56" t="s">
        <v>1610</v>
      </c>
      <c r="T56" t="s">
        <v>1059</v>
      </c>
      <c r="U56" s="5" t="s">
        <v>1612</v>
      </c>
      <c r="V56" s="6" t="s">
        <v>1848</v>
      </c>
    </row>
    <row r="57" spans="1:22" x14ac:dyDescent="0.2">
      <c r="A57" t="b">
        <v>0</v>
      </c>
      <c r="B57" t="b">
        <v>0</v>
      </c>
      <c r="C57" t="str">
        <f>IF(E57&lt;&gt;"",VLOOKUP(E57,PHA4GEVars!$A$7:$B$241,2,FALSE),"")</f>
        <v>Bioinformatics and QC metrics</v>
      </c>
      <c r="D57" t="s">
        <v>1869</v>
      </c>
      <c r="E57" t="s">
        <v>107</v>
      </c>
      <c r="G57" t="s">
        <v>974</v>
      </c>
      <c r="N57" t="s">
        <v>1513</v>
      </c>
      <c r="O57" t="s">
        <v>1053</v>
      </c>
      <c r="P57" t="s">
        <v>1424</v>
      </c>
      <c r="Q57" t="s">
        <v>1940</v>
      </c>
      <c r="R57" t="s">
        <v>1366</v>
      </c>
      <c r="S57" t="s">
        <v>1611</v>
      </c>
      <c r="T57" t="s">
        <v>1059</v>
      </c>
      <c r="U57" s="5" t="s">
        <v>1612</v>
      </c>
      <c r="V57" s="6" t="s">
        <v>1848</v>
      </c>
    </row>
    <row r="58" spans="1:22" x14ac:dyDescent="0.2">
      <c r="A58" t="b">
        <v>1</v>
      </c>
      <c r="B58" t="b">
        <v>1</v>
      </c>
      <c r="C58" t="str">
        <f>IF(E58&lt;&gt;"",VLOOKUP(E58,PHA4GEVars!$A$7:$B$241,2,FALSE),"")</f>
        <v>Environmental conditions and measurements</v>
      </c>
      <c r="D58" t="s">
        <v>1869</v>
      </c>
      <c r="E58" t="s">
        <v>138</v>
      </c>
      <c r="G58" t="s">
        <v>974</v>
      </c>
      <c r="N58" t="s">
        <v>982</v>
      </c>
      <c r="O58" t="s">
        <v>1053</v>
      </c>
      <c r="P58" t="s">
        <v>1373</v>
      </c>
      <c r="R58" t="s">
        <v>1768</v>
      </c>
      <c r="S58" t="s">
        <v>1374</v>
      </c>
      <c r="T58" t="s">
        <v>1059</v>
      </c>
    </row>
    <row r="59" spans="1:22" x14ac:dyDescent="0.2">
      <c r="A59" t="b">
        <v>1</v>
      </c>
      <c r="B59" t="b">
        <v>1</v>
      </c>
      <c r="C59" t="str">
        <f>IF(E59&lt;&gt;"",VLOOKUP(E59,PHA4GEVars!$A$7:$B$241,2,FALSE),"")</f>
        <v>Environmental conditions and measurements</v>
      </c>
      <c r="D59" t="s">
        <v>1869</v>
      </c>
      <c r="E59" t="s">
        <v>143</v>
      </c>
      <c r="G59" t="s">
        <v>974</v>
      </c>
      <c r="N59" t="s">
        <v>991</v>
      </c>
      <c r="O59" t="s">
        <v>1053</v>
      </c>
      <c r="P59" t="s">
        <v>1375</v>
      </c>
      <c r="R59" t="s">
        <v>1376</v>
      </c>
      <c r="S59" t="s">
        <v>1377</v>
      </c>
      <c r="T59" t="s">
        <v>1059</v>
      </c>
    </row>
    <row r="60" spans="1:22" x14ac:dyDescent="0.2">
      <c r="A60" t="b">
        <v>1</v>
      </c>
      <c r="B60" t="b">
        <v>1</v>
      </c>
      <c r="C60" t="str">
        <f>IF(E60&lt;&gt;"",VLOOKUP(E60,PHA4GEVars!$A$7:$B$241,2,FALSE),"")</f>
        <v>Environmental conditions and measurements</v>
      </c>
      <c r="D60" t="s">
        <v>1869</v>
      </c>
      <c r="E60" t="s">
        <v>1909</v>
      </c>
      <c r="G60" t="s">
        <v>974</v>
      </c>
      <c r="O60" t="s">
        <v>1052</v>
      </c>
      <c r="P60" t="s">
        <v>1407</v>
      </c>
      <c r="R60" t="s">
        <v>1921</v>
      </c>
      <c r="S60" t="s">
        <v>1934</v>
      </c>
      <c r="T60" t="s">
        <v>1059</v>
      </c>
      <c r="V60" t="s">
        <v>1922</v>
      </c>
    </row>
    <row r="61" spans="1:22" x14ac:dyDescent="0.2">
      <c r="A61" t="b">
        <v>1</v>
      </c>
      <c r="B61" t="b">
        <v>1</v>
      </c>
      <c r="C61" t="str">
        <f>IF(E61&lt;&gt;"",VLOOKUP(E61,PHA4GEVars!$A$7:$B$241,2,FALSE),"")</f>
        <v>Environmental conditions and measurements</v>
      </c>
      <c r="D61" t="s">
        <v>1869</v>
      </c>
      <c r="E61" t="s">
        <v>152</v>
      </c>
      <c r="G61" t="s">
        <v>974</v>
      </c>
      <c r="N61" t="s">
        <v>993</v>
      </c>
      <c r="O61" t="s">
        <v>1053</v>
      </c>
      <c r="P61" t="s">
        <v>1408</v>
      </c>
      <c r="R61" t="s">
        <v>1378</v>
      </c>
      <c r="S61" t="s">
        <v>1063</v>
      </c>
      <c r="T61" t="s">
        <v>1059</v>
      </c>
    </row>
    <row r="62" spans="1:22" x14ac:dyDescent="0.2">
      <c r="A62" t="b">
        <v>1</v>
      </c>
      <c r="B62" t="b">
        <v>1</v>
      </c>
      <c r="C62" t="str">
        <f>IF(E62&lt;&gt;"",VLOOKUP(E62,PHA4GEVars!$A$7:$B$241,2,FALSE),"")</f>
        <v>Environmental conditions and measurements</v>
      </c>
      <c r="D62" t="s">
        <v>1869</v>
      </c>
      <c r="E62" t="s">
        <v>153</v>
      </c>
      <c r="G62" t="s">
        <v>974</v>
      </c>
      <c r="O62" t="s">
        <v>1053</v>
      </c>
      <c r="P62" t="s">
        <v>1410</v>
      </c>
      <c r="R62" t="s">
        <v>1379</v>
      </c>
      <c r="S62" t="s">
        <v>1394</v>
      </c>
      <c r="T62" t="s">
        <v>1059</v>
      </c>
    </row>
    <row r="63" spans="1:22" x14ac:dyDescent="0.2">
      <c r="A63" t="b">
        <v>1</v>
      </c>
      <c r="B63" t="b">
        <v>1</v>
      </c>
      <c r="C63" t="str">
        <f>IF(E63&lt;&gt;"",VLOOKUP(E63,PHA4GEVars!$A$7:$B$241,2,FALSE),"")</f>
        <v>Environmental conditions and measurements</v>
      </c>
      <c r="D63" t="s">
        <v>1869</v>
      </c>
      <c r="E63" t="s">
        <v>156</v>
      </c>
      <c r="G63" t="s">
        <v>974</v>
      </c>
      <c r="O63" t="s">
        <v>1053</v>
      </c>
      <c r="P63" t="s">
        <v>1409</v>
      </c>
      <c r="R63" t="s">
        <v>1380</v>
      </c>
      <c r="S63" t="s">
        <v>1393</v>
      </c>
      <c r="T63" t="s">
        <v>1059</v>
      </c>
    </row>
    <row r="64" spans="1:22" x14ac:dyDescent="0.2">
      <c r="A64" t="b">
        <v>1</v>
      </c>
      <c r="B64" t="b">
        <v>1</v>
      </c>
      <c r="C64" t="str">
        <f>IF(E64&lt;&gt;"",VLOOKUP(E64,PHA4GEVars!$A$7:$B$241,2,FALSE),"")</f>
        <v>Environmental conditions and measurements</v>
      </c>
      <c r="D64" t="s">
        <v>1869</v>
      </c>
      <c r="E64" t="s">
        <v>157</v>
      </c>
      <c r="G64" t="s">
        <v>974</v>
      </c>
      <c r="O64" t="s">
        <v>1052</v>
      </c>
      <c r="P64" t="s">
        <v>1411</v>
      </c>
      <c r="R64" t="s">
        <v>1381</v>
      </c>
      <c r="S64" t="s">
        <v>1395</v>
      </c>
      <c r="T64" t="s">
        <v>1059</v>
      </c>
    </row>
    <row r="65" spans="1:22" x14ac:dyDescent="0.2">
      <c r="A65" t="b">
        <v>1</v>
      </c>
      <c r="B65" t="b">
        <v>1</v>
      </c>
      <c r="C65" t="str">
        <f>IF(E65&lt;&gt;"",VLOOKUP(E65,PHA4GEVars!$A$7:$B$241,2,FALSE),"")</f>
        <v>Environmental conditions and measurements</v>
      </c>
      <c r="D65" t="s">
        <v>1869</v>
      </c>
      <c r="E65" t="s">
        <v>158</v>
      </c>
      <c r="G65" t="s">
        <v>974</v>
      </c>
      <c r="N65" t="s">
        <v>984</v>
      </c>
      <c r="O65" t="s">
        <v>1052</v>
      </c>
      <c r="P65" t="s">
        <v>1412</v>
      </c>
      <c r="R65" t="s">
        <v>1382</v>
      </c>
      <c r="S65" t="s">
        <v>1396</v>
      </c>
      <c r="T65" t="s">
        <v>1059</v>
      </c>
    </row>
    <row r="66" spans="1:22" x14ac:dyDescent="0.2">
      <c r="A66" t="b">
        <v>1</v>
      </c>
      <c r="B66" t="b">
        <v>1</v>
      </c>
      <c r="C66" t="str">
        <f>IF(E66&lt;&gt;"",VLOOKUP(E66,PHA4GEVars!$A$7:$B$241,2,FALSE),"")</f>
        <v>Environmental conditions and measurements</v>
      </c>
      <c r="D66" t="s">
        <v>1869</v>
      </c>
      <c r="E66" t="s">
        <v>160</v>
      </c>
      <c r="G66" t="s">
        <v>974</v>
      </c>
      <c r="N66" t="s">
        <v>977</v>
      </c>
      <c r="O66" t="s">
        <v>1053</v>
      </c>
      <c r="P66" t="s">
        <v>1414</v>
      </c>
      <c r="R66" t="s">
        <v>1383</v>
      </c>
      <c r="S66" t="s">
        <v>1397</v>
      </c>
      <c r="T66" t="s">
        <v>1059</v>
      </c>
    </row>
    <row r="67" spans="1:22" x14ac:dyDescent="0.2">
      <c r="A67" t="b">
        <v>1</v>
      </c>
      <c r="B67" t="b">
        <v>1</v>
      </c>
      <c r="C67" t="str">
        <f>IF(E67&lt;&gt;"",VLOOKUP(E67,PHA4GEVars!$A$7:$B$241,2,FALSE),"")</f>
        <v>Environmental conditions and measurements</v>
      </c>
      <c r="D67" t="s">
        <v>1869</v>
      </c>
      <c r="E67" t="s">
        <v>161</v>
      </c>
      <c r="G67" t="s">
        <v>974</v>
      </c>
      <c r="N67" t="s">
        <v>978</v>
      </c>
      <c r="O67" t="s">
        <v>1053</v>
      </c>
      <c r="P67" t="s">
        <v>1413</v>
      </c>
      <c r="R67" t="s">
        <v>1384</v>
      </c>
      <c r="S67" t="s">
        <v>1398</v>
      </c>
      <c r="T67" t="s">
        <v>1059</v>
      </c>
    </row>
    <row r="68" spans="1:22" x14ac:dyDescent="0.2">
      <c r="A68" t="b">
        <v>1</v>
      </c>
      <c r="B68" t="b">
        <v>1</v>
      </c>
      <c r="C68" t="str">
        <f>IF(E68&lt;&gt;"",VLOOKUP(E68,PHA4GEVars!$A$7:$B$241,2,FALSE),"")</f>
        <v>Environmental conditions and measurements</v>
      </c>
      <c r="D68" t="s">
        <v>1869</v>
      </c>
      <c r="E68" t="s">
        <v>162</v>
      </c>
      <c r="G68" t="s">
        <v>974</v>
      </c>
      <c r="N68" t="s">
        <v>979</v>
      </c>
      <c r="O68" t="s">
        <v>1053</v>
      </c>
      <c r="P68" t="s">
        <v>1415</v>
      </c>
      <c r="R68" t="s">
        <v>1385</v>
      </c>
      <c r="S68" t="s">
        <v>1399</v>
      </c>
      <c r="T68" t="s">
        <v>1059</v>
      </c>
    </row>
    <row r="69" spans="1:22" x14ac:dyDescent="0.2">
      <c r="A69" t="b">
        <v>1</v>
      </c>
      <c r="B69" t="b">
        <v>1</v>
      </c>
      <c r="C69" t="str">
        <f>IF(E69&lt;&gt;"",VLOOKUP(E69,PHA4GEVars!$A$7:$B$241,2,FALSE),"")</f>
        <v>Environmental conditions and measurements</v>
      </c>
      <c r="D69" t="s">
        <v>1869</v>
      </c>
      <c r="E69" t="s">
        <v>1095</v>
      </c>
      <c r="G69" t="s">
        <v>974</v>
      </c>
      <c r="N69" t="s">
        <v>1851</v>
      </c>
      <c r="O69" t="s">
        <v>1052</v>
      </c>
      <c r="P69" t="s">
        <v>1421</v>
      </c>
      <c r="R69" t="s">
        <v>1386</v>
      </c>
      <c r="S69" t="s">
        <v>1400</v>
      </c>
      <c r="T69" t="s">
        <v>1058</v>
      </c>
      <c r="U69" s="5" t="s">
        <v>1422</v>
      </c>
    </row>
    <row r="70" spans="1:22" x14ac:dyDescent="0.2">
      <c r="A70" t="b">
        <v>1</v>
      </c>
      <c r="B70" t="b">
        <v>1</v>
      </c>
      <c r="C70" t="str">
        <f>IF(E70&lt;&gt;"",VLOOKUP(E70,PHA4GEVars!$A$7:$B$241,2,FALSE),"")</f>
        <v>Environmental conditions and measurements</v>
      </c>
      <c r="D70" t="s">
        <v>1869</v>
      </c>
      <c r="E70" t="s">
        <v>1092</v>
      </c>
      <c r="G70" t="s">
        <v>974</v>
      </c>
      <c r="N70" t="s">
        <v>1852</v>
      </c>
      <c r="O70" t="s">
        <v>1052</v>
      </c>
      <c r="P70" t="s">
        <v>1421</v>
      </c>
      <c r="R70" t="s">
        <v>1387</v>
      </c>
      <c r="S70" t="s">
        <v>1401</v>
      </c>
      <c r="T70" t="s">
        <v>1059</v>
      </c>
      <c r="U70" s="5" t="s">
        <v>1422</v>
      </c>
    </row>
    <row r="71" spans="1:22" x14ac:dyDescent="0.2">
      <c r="A71" t="b">
        <v>1</v>
      </c>
      <c r="B71" t="b">
        <v>1</v>
      </c>
      <c r="C71" t="str">
        <f>IF(E71&lt;&gt;"",VLOOKUP(E71,PHA4GEVars!$A$7:$B$241,2,FALSE),"")</f>
        <v>Environmental conditions and measurements</v>
      </c>
      <c r="D71" t="s">
        <v>1869</v>
      </c>
      <c r="E71" t="s">
        <v>163</v>
      </c>
      <c r="G71" t="s">
        <v>974</v>
      </c>
      <c r="N71" t="s">
        <v>988</v>
      </c>
      <c r="O71" t="s">
        <v>1053</v>
      </c>
      <c r="P71" t="s">
        <v>1416</v>
      </c>
      <c r="R71" t="s">
        <v>1388</v>
      </c>
      <c r="S71" t="s">
        <v>1402</v>
      </c>
      <c r="T71" t="s">
        <v>1059</v>
      </c>
    </row>
    <row r="72" spans="1:22" x14ac:dyDescent="0.2">
      <c r="A72" t="b">
        <v>1</v>
      </c>
      <c r="B72" t="b">
        <v>1</v>
      </c>
      <c r="C72" t="str">
        <f>IF(E72&lt;&gt;"",VLOOKUP(E72,PHA4GEVars!$A$7:$B$241,2,FALSE),"")</f>
        <v>Environmental conditions and measurements</v>
      </c>
      <c r="D72" t="s">
        <v>1869</v>
      </c>
      <c r="E72" t="s">
        <v>164</v>
      </c>
      <c r="G72" t="s">
        <v>974</v>
      </c>
      <c r="N72" t="s">
        <v>987</v>
      </c>
      <c r="O72" t="s">
        <v>1053</v>
      </c>
      <c r="P72" t="s">
        <v>1417</v>
      </c>
      <c r="R72" t="s">
        <v>1389</v>
      </c>
      <c r="S72" t="s">
        <v>1403</v>
      </c>
      <c r="T72" t="s">
        <v>1059</v>
      </c>
    </row>
    <row r="73" spans="1:22" x14ac:dyDescent="0.2">
      <c r="A73" t="b">
        <v>1</v>
      </c>
      <c r="B73" t="b">
        <v>1</v>
      </c>
      <c r="C73" t="str">
        <f>IF(E73&lt;&gt;"",VLOOKUP(E73,PHA4GEVars!$A$7:$B$241,2,FALSE),"")</f>
        <v>Environmental conditions and measurements</v>
      </c>
      <c r="D73" t="s">
        <v>1869</v>
      </c>
      <c r="E73" t="s">
        <v>165</v>
      </c>
      <c r="G73" t="s">
        <v>974</v>
      </c>
      <c r="N73" t="s">
        <v>989</v>
      </c>
      <c r="O73" t="s">
        <v>1053</v>
      </c>
      <c r="P73" t="s">
        <v>1418</v>
      </c>
      <c r="R73" t="s">
        <v>1390</v>
      </c>
      <c r="S73" t="s">
        <v>1404</v>
      </c>
      <c r="T73" t="s">
        <v>1059</v>
      </c>
    </row>
    <row r="74" spans="1:22" x14ac:dyDescent="0.2">
      <c r="A74" t="b">
        <v>1</v>
      </c>
      <c r="B74" t="b">
        <v>1</v>
      </c>
      <c r="C74" t="str">
        <f>IF(E74&lt;&gt;"",VLOOKUP(E74,PHA4GEVars!$A$7:$B$241,2,FALSE),"")</f>
        <v>Environmental conditions and measurements</v>
      </c>
      <c r="D74" t="s">
        <v>1869</v>
      </c>
      <c r="E74" t="s">
        <v>166</v>
      </c>
      <c r="G74" t="s">
        <v>974</v>
      </c>
      <c r="N74" t="s">
        <v>1853</v>
      </c>
      <c r="O74" t="s">
        <v>1053</v>
      </c>
      <c r="P74" t="s">
        <v>1419</v>
      </c>
      <c r="R74" t="s">
        <v>1391</v>
      </c>
      <c r="S74" t="s">
        <v>1405</v>
      </c>
      <c r="T74" t="s">
        <v>1059</v>
      </c>
    </row>
    <row r="75" spans="1:22" x14ac:dyDescent="0.2">
      <c r="A75" t="b">
        <v>1</v>
      </c>
      <c r="B75" t="b">
        <v>1</v>
      </c>
      <c r="C75" t="str">
        <f>IF(E75&lt;&gt;"",VLOOKUP(E75,PHA4GEVars!$A$7:$B$241,2,FALSE),"")</f>
        <v>Environmental conditions and measurements</v>
      </c>
      <c r="D75" t="s">
        <v>1869</v>
      </c>
      <c r="E75" t="s">
        <v>167</v>
      </c>
      <c r="G75" t="s">
        <v>974</v>
      </c>
      <c r="N75" t="s">
        <v>990</v>
      </c>
      <c r="O75" t="s">
        <v>1053</v>
      </c>
      <c r="P75" t="s">
        <v>1420</v>
      </c>
      <c r="R75" t="s">
        <v>1392</v>
      </c>
      <c r="S75" t="s">
        <v>1406</v>
      </c>
      <c r="T75" t="s">
        <v>1059</v>
      </c>
    </row>
    <row r="76" spans="1:22" x14ac:dyDescent="0.2">
      <c r="C76" t="str">
        <f>IF(E76&lt;&gt;"",VLOOKUP(E76,PHA4GEVars!$A$7:$B$241,2,FALSE),"")</f>
        <v/>
      </c>
    </row>
    <row r="77" spans="1:22" x14ac:dyDescent="0.2">
      <c r="A77" t="b">
        <v>0</v>
      </c>
      <c r="B77" t="b">
        <v>0</v>
      </c>
      <c r="C77" t="str">
        <f>IF(E77&lt;&gt;"",VLOOKUP(E77,PHA4GEVars!$A$7:$B$241,2,FALSE),"")</f>
        <v>Pathogen diagnostic testing</v>
      </c>
      <c r="D77" t="s">
        <v>1869</v>
      </c>
      <c r="E77" t="s">
        <v>1148</v>
      </c>
      <c r="F77" t="s">
        <v>1183</v>
      </c>
      <c r="G77" t="s">
        <v>974</v>
      </c>
      <c r="H77" t="b">
        <v>1</v>
      </c>
      <c r="I77" t="s">
        <v>1925</v>
      </c>
      <c r="O77" t="s">
        <v>1053</v>
      </c>
      <c r="P77" t="s">
        <v>1424</v>
      </c>
      <c r="Q77" t="s">
        <v>1940</v>
      </c>
      <c r="R77" t="s">
        <v>1782</v>
      </c>
      <c r="S77" t="s">
        <v>1425</v>
      </c>
      <c r="T77" t="s">
        <v>1059</v>
      </c>
      <c r="U77" s="5" t="s">
        <v>1430</v>
      </c>
    </row>
    <row r="78" spans="1:22" x14ac:dyDescent="0.2">
      <c r="A78" t="b">
        <v>0</v>
      </c>
      <c r="B78" t="b">
        <v>0</v>
      </c>
      <c r="C78" t="str">
        <f>IF(E78&lt;&gt;"",VLOOKUP(E78,PHA4GEVars!$A$7:$B$241,2,FALSE),"")</f>
        <v>Pathogen diagnostic testing</v>
      </c>
      <c r="D78" t="s">
        <v>1869</v>
      </c>
      <c r="E78" t="s">
        <v>1148</v>
      </c>
      <c r="F78" t="s">
        <v>1184</v>
      </c>
      <c r="G78" t="s">
        <v>974</v>
      </c>
      <c r="H78" t="b">
        <v>0</v>
      </c>
      <c r="I78" t="s">
        <v>1925</v>
      </c>
      <c r="O78" t="s">
        <v>1053</v>
      </c>
      <c r="P78" t="s">
        <v>1424</v>
      </c>
      <c r="Q78" t="s">
        <v>1940</v>
      </c>
      <c r="R78" t="s">
        <v>1782</v>
      </c>
      <c r="S78" t="s">
        <v>1425</v>
      </c>
      <c r="T78" t="s">
        <v>1059</v>
      </c>
      <c r="U78" s="5" t="s">
        <v>1430</v>
      </c>
    </row>
    <row r="79" spans="1:22" x14ac:dyDescent="0.2">
      <c r="C79" t="str">
        <f>IF(E79&lt;&gt;"",VLOOKUP(E79,PHA4GEVars!$A$7:$B$241,2,FALSE),"")</f>
        <v/>
      </c>
      <c r="U79" s="5"/>
    </row>
    <row r="80" spans="1:22" x14ac:dyDescent="0.2">
      <c r="A80" t="b">
        <v>0</v>
      </c>
      <c r="B80" t="b">
        <v>0</v>
      </c>
      <c r="C80" t="str">
        <f>IF(E80&lt;&gt;"",VLOOKUP(E80,PHA4GEVars!$A$7:$B$241,2,FALSE),"")</f>
        <v>Pathogen diagnostic testing</v>
      </c>
      <c r="D80" t="s">
        <v>1869</v>
      </c>
      <c r="E80" t="s">
        <v>137</v>
      </c>
      <c r="G80" t="s">
        <v>974</v>
      </c>
      <c r="I80" t="s">
        <v>1925</v>
      </c>
      <c r="O80" t="s">
        <v>1053</v>
      </c>
      <c r="P80" t="s">
        <v>1424</v>
      </c>
      <c r="Q80" t="s">
        <v>1940</v>
      </c>
      <c r="R80" t="s">
        <v>1427</v>
      </c>
      <c r="S80" t="s">
        <v>1426</v>
      </c>
      <c r="T80" t="s">
        <v>1059</v>
      </c>
      <c r="U80" s="5" t="s">
        <v>1431</v>
      </c>
      <c r="V80" t="s">
        <v>1953</v>
      </c>
    </row>
    <row r="81" spans="1:21" x14ac:dyDescent="0.2">
      <c r="C81" t="str">
        <f>IF(E81&lt;&gt;"",VLOOKUP(E81,PHA4GEVars!$A$7:$B$241,2,FALSE),"")</f>
        <v/>
      </c>
    </row>
    <row r="82" spans="1:21" x14ac:dyDescent="0.2">
      <c r="A82" t="b">
        <v>1</v>
      </c>
      <c r="B82" t="b">
        <v>1</v>
      </c>
      <c r="C82" t="str">
        <f>IF(E82&lt;&gt;"",VLOOKUP(E82,PHA4GEVars!$A$7:$B$241,2,FALSE),"")</f>
        <v>Sample collection and processing</v>
      </c>
      <c r="D82" t="s">
        <v>1869</v>
      </c>
      <c r="E82" t="s">
        <v>154</v>
      </c>
      <c r="G82" t="s">
        <v>974</v>
      </c>
      <c r="L82" t="s">
        <v>1333</v>
      </c>
      <c r="O82" t="s">
        <v>1053</v>
      </c>
      <c r="P82" t="s">
        <v>1496</v>
      </c>
      <c r="R82" t="s">
        <v>1501</v>
      </c>
      <c r="S82" t="s">
        <v>1502</v>
      </c>
      <c r="T82" t="s">
        <v>1058</v>
      </c>
      <c r="U82" s="5" t="s">
        <v>1500</v>
      </c>
    </row>
    <row r="83" spans="1:21" x14ac:dyDescent="0.2">
      <c r="U83" s="5"/>
    </row>
    <row r="84" spans="1:21" x14ac:dyDescent="0.2">
      <c r="A84" t="b">
        <v>1</v>
      </c>
      <c r="B84" t="b">
        <v>1</v>
      </c>
      <c r="C84" t="str">
        <f>IF(E84&lt;&gt;"",VLOOKUP(E84,PHA4GEVars!$A$7:$B$241,2,FALSE),"")</f>
        <v>Sample collection and processing</v>
      </c>
      <c r="D84" t="s">
        <v>1869</v>
      </c>
      <c r="E84" t="s">
        <v>155</v>
      </c>
      <c r="G84" t="s">
        <v>974</v>
      </c>
      <c r="L84" s="30" t="s">
        <v>1333</v>
      </c>
      <c r="M84" s="30"/>
      <c r="O84" t="s">
        <v>1053</v>
      </c>
      <c r="P84" t="s">
        <v>1497</v>
      </c>
      <c r="R84" t="s">
        <v>1499</v>
      </c>
      <c r="S84" t="s">
        <v>1498</v>
      </c>
      <c r="T84" t="s">
        <v>1058</v>
      </c>
      <c r="U84" s="5" t="s">
        <v>1500</v>
      </c>
    </row>
    <row r="85" spans="1:21" x14ac:dyDescent="0.2">
      <c r="C85" t="str">
        <f>IF(E85&lt;&gt;"",VLOOKUP(E85,PHA4GEVars!$A$7:$B$241,2,FALSE),"")</f>
        <v/>
      </c>
    </row>
    <row r="86" spans="1:21" x14ac:dyDescent="0.2">
      <c r="A86" t="b">
        <v>1</v>
      </c>
      <c r="B86" t="b">
        <v>1</v>
      </c>
      <c r="C86" t="str">
        <f>IF(E86&lt;&gt;"",VLOOKUP(E86,PHA4GEVars!$A$7:$B$241,2,FALSE),"")</f>
        <v>Sample collection and processing</v>
      </c>
      <c r="D86" t="s">
        <v>1869</v>
      </c>
      <c r="E86" t="s">
        <v>119</v>
      </c>
      <c r="F86" t="s">
        <v>1969</v>
      </c>
      <c r="G86" t="s">
        <v>974</v>
      </c>
      <c r="H86" t="s">
        <v>1539</v>
      </c>
      <c r="L86" t="s">
        <v>1333</v>
      </c>
      <c r="O86" t="s">
        <v>1052</v>
      </c>
      <c r="P86" t="s">
        <v>1550</v>
      </c>
      <c r="R86" t="s">
        <v>1759</v>
      </c>
      <c r="S86" t="s">
        <v>1063</v>
      </c>
      <c r="T86" t="s">
        <v>1058</v>
      </c>
    </row>
    <row r="87" spans="1:21" x14ac:dyDescent="0.2">
      <c r="A87" t="b">
        <v>1</v>
      </c>
      <c r="B87" t="b">
        <v>1</v>
      </c>
      <c r="C87" t="str">
        <f>IF(E87&lt;&gt;"",VLOOKUP(E87,PHA4GEVars!$A$7:$B$241,2,FALSE),"")</f>
        <v>Sample collection and processing</v>
      </c>
      <c r="D87" t="s">
        <v>1869</v>
      </c>
      <c r="E87" t="s">
        <v>119</v>
      </c>
      <c r="F87" t="s">
        <v>1970</v>
      </c>
      <c r="G87" t="s">
        <v>974</v>
      </c>
      <c r="H87" t="s">
        <v>1540</v>
      </c>
      <c r="L87" t="s">
        <v>1333</v>
      </c>
      <c r="O87" t="s">
        <v>1052</v>
      </c>
      <c r="P87" t="s">
        <v>1550</v>
      </c>
      <c r="R87" t="s">
        <v>1759</v>
      </c>
      <c r="S87" t="s">
        <v>1063</v>
      </c>
      <c r="T87" t="s">
        <v>1058</v>
      </c>
    </row>
    <row r="88" spans="1:21" x14ac:dyDescent="0.2">
      <c r="A88" t="b">
        <v>1</v>
      </c>
      <c r="B88" t="b">
        <v>1</v>
      </c>
      <c r="C88" t="str">
        <f>IF(E88&lt;&gt;"",VLOOKUP(E88,PHA4GEVars!$A$7:$B$241,2,FALSE),"")</f>
        <v>Sample collection and processing</v>
      </c>
      <c r="D88" t="s">
        <v>1869</v>
      </c>
      <c r="E88" t="s">
        <v>119</v>
      </c>
      <c r="F88" t="s">
        <v>1971</v>
      </c>
      <c r="G88" t="s">
        <v>974</v>
      </c>
      <c r="H88" t="s">
        <v>1541</v>
      </c>
      <c r="L88" t="s">
        <v>1333</v>
      </c>
      <c r="O88" t="s">
        <v>1052</v>
      </c>
      <c r="P88" t="s">
        <v>1550</v>
      </c>
      <c r="R88" t="s">
        <v>1759</v>
      </c>
      <c r="S88" t="s">
        <v>1063</v>
      </c>
      <c r="T88" t="s">
        <v>1058</v>
      </c>
    </row>
    <row r="89" spans="1:21" x14ac:dyDescent="0.2">
      <c r="A89" t="b">
        <v>1</v>
      </c>
      <c r="B89" t="b">
        <v>1</v>
      </c>
      <c r="C89" t="str">
        <f>IF(E89&lt;&gt;"",VLOOKUP(E89,PHA4GEVars!$A$7:$B$241,2,FALSE),"")</f>
        <v>Sample collection and processing</v>
      </c>
      <c r="D89" t="s">
        <v>1869</v>
      </c>
      <c r="E89" t="s">
        <v>119</v>
      </c>
      <c r="F89" t="s">
        <v>249</v>
      </c>
      <c r="G89" t="s">
        <v>974</v>
      </c>
      <c r="H89" t="s">
        <v>1542</v>
      </c>
      <c r="L89" t="s">
        <v>1333</v>
      </c>
      <c r="O89" t="s">
        <v>1052</v>
      </c>
      <c r="P89" t="s">
        <v>1550</v>
      </c>
      <c r="R89" t="s">
        <v>1759</v>
      </c>
      <c r="S89" t="s">
        <v>1063</v>
      </c>
      <c r="T89" t="s">
        <v>1058</v>
      </c>
    </row>
    <row r="90" spans="1:21" x14ac:dyDescent="0.2">
      <c r="A90" t="b">
        <v>1</v>
      </c>
      <c r="B90" t="b">
        <v>1</v>
      </c>
      <c r="C90" t="str">
        <f>IF(E90&lt;&gt;"",VLOOKUP(E90,PHA4GEVars!$A$7:$B$241,2,FALSE),"")</f>
        <v>Sample collection and processing</v>
      </c>
      <c r="D90" t="s">
        <v>1869</v>
      </c>
      <c r="E90" t="s">
        <v>119</v>
      </c>
      <c r="F90" t="s">
        <v>1972</v>
      </c>
      <c r="G90" t="s">
        <v>974</v>
      </c>
      <c r="H90" t="s">
        <v>1543</v>
      </c>
      <c r="L90" t="s">
        <v>1333</v>
      </c>
      <c r="O90" t="s">
        <v>1052</v>
      </c>
      <c r="P90" t="s">
        <v>1550</v>
      </c>
      <c r="R90" t="s">
        <v>1759</v>
      </c>
      <c r="S90" t="s">
        <v>1063</v>
      </c>
      <c r="T90" t="s">
        <v>1058</v>
      </c>
    </row>
    <row r="91" spans="1:21" x14ac:dyDescent="0.2">
      <c r="A91" t="b">
        <v>1</v>
      </c>
      <c r="B91" t="b">
        <v>1</v>
      </c>
      <c r="C91" t="str">
        <f>IF(E91&lt;&gt;"",VLOOKUP(E91,PHA4GEVars!$A$7:$B$241,2,FALSE),"")</f>
        <v>Sample collection and processing</v>
      </c>
      <c r="D91" t="s">
        <v>1869</v>
      </c>
      <c r="E91" t="s">
        <v>119</v>
      </c>
      <c r="F91" t="s">
        <v>1158</v>
      </c>
      <c r="G91" t="s">
        <v>974</v>
      </c>
      <c r="H91" t="s">
        <v>1544</v>
      </c>
      <c r="L91" t="s">
        <v>1333</v>
      </c>
      <c r="O91" t="s">
        <v>1052</v>
      </c>
      <c r="P91" t="s">
        <v>1550</v>
      </c>
      <c r="R91" t="s">
        <v>1759</v>
      </c>
      <c r="S91" t="s">
        <v>1063</v>
      </c>
      <c r="T91" t="s">
        <v>1058</v>
      </c>
    </row>
    <row r="92" spans="1:21" x14ac:dyDescent="0.2">
      <c r="A92" t="b">
        <v>1</v>
      </c>
      <c r="B92" t="b">
        <v>1</v>
      </c>
      <c r="C92" t="str">
        <f>IF(E92&lt;&gt;"",VLOOKUP(E92,PHA4GEVars!$A$7:$B$241,2,FALSE),"")</f>
        <v>Sample collection and processing</v>
      </c>
      <c r="D92" t="s">
        <v>1869</v>
      </c>
      <c r="E92" t="s">
        <v>119</v>
      </c>
      <c r="F92" t="s">
        <v>1973</v>
      </c>
      <c r="G92" t="s">
        <v>974</v>
      </c>
      <c r="H92" t="s">
        <v>1545</v>
      </c>
      <c r="L92" t="s">
        <v>1333</v>
      </c>
      <c r="O92" t="s">
        <v>1052</v>
      </c>
      <c r="P92" t="s">
        <v>1550</v>
      </c>
      <c r="R92" t="s">
        <v>1759</v>
      </c>
      <c r="S92" t="s">
        <v>1063</v>
      </c>
      <c r="T92" t="s">
        <v>1058</v>
      </c>
    </row>
    <row r="93" spans="1:21" x14ac:dyDescent="0.2">
      <c r="A93" t="b">
        <v>1</v>
      </c>
      <c r="B93" t="b">
        <v>1</v>
      </c>
      <c r="C93" t="str">
        <f>IF(E93&lt;&gt;"",VLOOKUP(E93,PHA4GEVars!$A$7:$B$241,2,FALSE),"")</f>
        <v>Sample collection and processing</v>
      </c>
      <c r="D93" t="s">
        <v>1869</v>
      </c>
      <c r="E93" t="s">
        <v>119</v>
      </c>
      <c r="F93" t="s">
        <v>250</v>
      </c>
      <c r="G93" t="s">
        <v>974</v>
      </c>
      <c r="H93" t="s">
        <v>1546</v>
      </c>
      <c r="L93" t="s">
        <v>1333</v>
      </c>
      <c r="O93" t="s">
        <v>1052</v>
      </c>
      <c r="P93" t="s">
        <v>1550</v>
      </c>
      <c r="R93" t="s">
        <v>1759</v>
      </c>
      <c r="S93" t="s">
        <v>1063</v>
      </c>
      <c r="T93" t="s">
        <v>1058</v>
      </c>
    </row>
    <row r="94" spans="1:21" x14ac:dyDescent="0.2">
      <c r="A94" t="b">
        <v>1</v>
      </c>
      <c r="B94" t="b">
        <v>1</v>
      </c>
      <c r="C94" t="str">
        <f>IF(E94&lt;&gt;"",VLOOKUP(E94,PHA4GEVars!$A$7:$B$241,2,FALSE),"")</f>
        <v>Sample collection and processing</v>
      </c>
      <c r="D94" t="s">
        <v>1869</v>
      </c>
      <c r="E94" t="s">
        <v>119</v>
      </c>
      <c r="F94" t="s">
        <v>251</v>
      </c>
      <c r="G94" t="s">
        <v>974</v>
      </c>
      <c r="H94" t="s">
        <v>1547</v>
      </c>
      <c r="L94" t="s">
        <v>1333</v>
      </c>
      <c r="O94" t="s">
        <v>1052</v>
      </c>
      <c r="P94" t="s">
        <v>1550</v>
      </c>
      <c r="R94" t="s">
        <v>1759</v>
      </c>
      <c r="S94" t="s">
        <v>1063</v>
      </c>
      <c r="T94" t="s">
        <v>1058</v>
      </c>
    </row>
    <row r="95" spans="1:21" x14ac:dyDescent="0.2">
      <c r="A95" t="b">
        <v>1</v>
      </c>
      <c r="B95" t="b">
        <v>1</v>
      </c>
      <c r="C95" t="str">
        <f>IF(E95&lt;&gt;"",VLOOKUP(E95,PHA4GEVars!$A$7:$B$241,2,FALSE),"")</f>
        <v>Sample collection and processing</v>
      </c>
      <c r="D95" t="s">
        <v>1869</v>
      </c>
      <c r="E95" t="s">
        <v>119</v>
      </c>
      <c r="F95" t="s">
        <v>1159</v>
      </c>
      <c r="G95" t="s">
        <v>974</v>
      </c>
      <c r="H95" t="s">
        <v>1548</v>
      </c>
      <c r="L95" t="s">
        <v>1333</v>
      </c>
      <c r="O95" t="s">
        <v>1052</v>
      </c>
      <c r="P95" t="s">
        <v>1550</v>
      </c>
      <c r="R95" t="s">
        <v>1759</v>
      </c>
      <c r="S95" t="s">
        <v>1063</v>
      </c>
      <c r="T95" t="s">
        <v>1058</v>
      </c>
    </row>
    <row r="96" spans="1:21" x14ac:dyDescent="0.2">
      <c r="A96" t="b">
        <v>1</v>
      </c>
      <c r="B96" t="b">
        <v>1</v>
      </c>
      <c r="C96" t="str">
        <f>IF(E96&lt;&gt;"",VLOOKUP(E96,PHA4GEVars!$A$7:$B$241,2,FALSE),"")</f>
        <v>Sample collection and processing</v>
      </c>
      <c r="D96" t="s">
        <v>1869</v>
      </c>
      <c r="E96" t="s">
        <v>119</v>
      </c>
      <c r="F96" t="s">
        <v>1160</v>
      </c>
      <c r="G96" t="s">
        <v>974</v>
      </c>
      <c r="H96" t="s">
        <v>1549</v>
      </c>
      <c r="L96" t="s">
        <v>1333</v>
      </c>
      <c r="O96" t="s">
        <v>1052</v>
      </c>
      <c r="P96" t="s">
        <v>1550</v>
      </c>
      <c r="R96" t="s">
        <v>1759</v>
      </c>
      <c r="S96" t="s">
        <v>1063</v>
      </c>
      <c r="T96" t="s">
        <v>1058</v>
      </c>
    </row>
    <row r="97" spans="1:21" x14ac:dyDescent="0.2">
      <c r="C97" t="str">
        <f>IF(E97&lt;&gt;"",VLOOKUP(E97,PHA4GEVars!$A$7:$B$241,2,FALSE),"")</f>
        <v/>
      </c>
    </row>
    <row r="98" spans="1:21" x14ac:dyDescent="0.2">
      <c r="A98" t="b">
        <v>1</v>
      </c>
      <c r="B98" t="b">
        <v>1</v>
      </c>
      <c r="C98" t="str">
        <f>IF(E98&lt;&gt;"",VLOOKUP(E98,PHA4GEVars!$A$7:$B$241,2,FALSE),"")</f>
        <v>Sample collection and processing</v>
      </c>
      <c r="D98" t="s">
        <v>1869</v>
      </c>
      <c r="E98" t="s">
        <v>122</v>
      </c>
      <c r="F98" t="s">
        <v>189</v>
      </c>
      <c r="G98" t="s">
        <v>974</v>
      </c>
      <c r="H98" t="s">
        <v>1557</v>
      </c>
      <c r="I98" t="s">
        <v>1882</v>
      </c>
      <c r="L98" t="s">
        <v>1333</v>
      </c>
      <c r="O98" t="s">
        <v>1052</v>
      </c>
      <c r="P98" t="s">
        <v>1556</v>
      </c>
      <c r="R98" t="s">
        <v>1760</v>
      </c>
      <c r="S98" t="s">
        <v>1063</v>
      </c>
      <c r="T98" t="s">
        <v>1058</v>
      </c>
      <c r="U98" s="5" t="s">
        <v>1567</v>
      </c>
    </row>
    <row r="99" spans="1:21" x14ac:dyDescent="0.2">
      <c r="A99" t="b">
        <v>1</v>
      </c>
      <c r="B99" t="b">
        <v>1</v>
      </c>
      <c r="C99" t="str">
        <f>IF(E99&lt;&gt;"",VLOOKUP(E99,PHA4GEVars!$A$7:$B$241,2,FALSE),"")</f>
        <v>Sample collection and processing</v>
      </c>
      <c r="D99" t="s">
        <v>1869</v>
      </c>
      <c r="E99" t="s">
        <v>122</v>
      </c>
      <c r="F99" t="s">
        <v>190</v>
      </c>
      <c r="G99" t="s">
        <v>974</v>
      </c>
      <c r="H99" t="s">
        <v>1558</v>
      </c>
      <c r="I99" t="s">
        <v>1882</v>
      </c>
      <c r="L99" t="s">
        <v>1333</v>
      </c>
      <c r="O99" t="s">
        <v>1052</v>
      </c>
      <c r="P99" t="s">
        <v>1556</v>
      </c>
      <c r="R99" t="s">
        <v>1760</v>
      </c>
      <c r="S99" t="s">
        <v>1063</v>
      </c>
      <c r="T99" t="s">
        <v>1058</v>
      </c>
      <c r="U99" s="5" t="s">
        <v>1567</v>
      </c>
    </row>
    <row r="100" spans="1:21" x14ac:dyDescent="0.2">
      <c r="A100" t="b">
        <v>1</v>
      </c>
      <c r="B100" t="b">
        <v>1</v>
      </c>
      <c r="C100" t="str">
        <f>IF(E100&lt;&gt;"",VLOOKUP(E100,PHA4GEVars!$A$7:$B$241,2,FALSE),"")</f>
        <v>Sample collection and processing</v>
      </c>
      <c r="D100" t="s">
        <v>1869</v>
      </c>
      <c r="E100" t="s">
        <v>122</v>
      </c>
      <c r="F100" t="s">
        <v>191</v>
      </c>
      <c r="G100" t="s">
        <v>974</v>
      </c>
      <c r="H100" t="s">
        <v>1559</v>
      </c>
      <c r="I100" t="s">
        <v>1882</v>
      </c>
      <c r="L100" t="s">
        <v>1333</v>
      </c>
      <c r="O100" t="s">
        <v>1052</v>
      </c>
      <c r="P100" t="s">
        <v>1556</v>
      </c>
      <c r="R100" t="s">
        <v>1760</v>
      </c>
      <c r="S100" t="s">
        <v>1063</v>
      </c>
      <c r="T100" t="s">
        <v>1058</v>
      </c>
      <c r="U100" s="5" t="s">
        <v>1567</v>
      </c>
    </row>
    <row r="101" spans="1:21" x14ac:dyDescent="0.2">
      <c r="A101" t="b">
        <v>1</v>
      </c>
      <c r="B101" t="b">
        <v>1</v>
      </c>
      <c r="C101" t="str">
        <f>IF(E101&lt;&gt;"",VLOOKUP(E101,PHA4GEVars!$A$7:$B$241,2,FALSE),"")</f>
        <v>Sample collection and processing</v>
      </c>
      <c r="D101" t="s">
        <v>1869</v>
      </c>
      <c r="E101" t="s">
        <v>122</v>
      </c>
      <c r="F101" t="s">
        <v>192</v>
      </c>
      <c r="G101" t="s">
        <v>974</v>
      </c>
      <c r="H101" t="s">
        <v>1560</v>
      </c>
      <c r="I101" t="s">
        <v>1882</v>
      </c>
      <c r="L101" t="s">
        <v>1333</v>
      </c>
      <c r="O101" t="s">
        <v>1052</v>
      </c>
      <c r="P101" t="s">
        <v>1556</v>
      </c>
      <c r="R101" t="s">
        <v>1760</v>
      </c>
      <c r="S101" t="s">
        <v>1063</v>
      </c>
      <c r="T101" t="s">
        <v>1058</v>
      </c>
      <c r="U101" s="5" t="s">
        <v>1567</v>
      </c>
    </row>
    <row r="102" spans="1:21" x14ac:dyDescent="0.2">
      <c r="A102" t="b">
        <v>1</v>
      </c>
      <c r="B102" t="b">
        <v>1</v>
      </c>
      <c r="C102" t="str">
        <f>IF(E102&lt;&gt;"",VLOOKUP(E102,PHA4GEVars!$A$7:$B$241,2,FALSE),"")</f>
        <v>Sample collection and processing</v>
      </c>
      <c r="D102" t="s">
        <v>1869</v>
      </c>
      <c r="E102" t="s">
        <v>122</v>
      </c>
      <c r="F102" t="s">
        <v>193</v>
      </c>
      <c r="G102" t="s">
        <v>974</v>
      </c>
      <c r="H102" t="s">
        <v>1561</v>
      </c>
      <c r="I102" t="s">
        <v>1882</v>
      </c>
      <c r="L102" t="s">
        <v>1333</v>
      </c>
      <c r="O102" t="s">
        <v>1052</v>
      </c>
      <c r="P102" t="s">
        <v>1556</v>
      </c>
      <c r="R102" t="s">
        <v>1760</v>
      </c>
      <c r="S102" t="s">
        <v>1063</v>
      </c>
      <c r="T102" t="s">
        <v>1058</v>
      </c>
      <c r="U102" s="5" t="s">
        <v>1567</v>
      </c>
    </row>
    <row r="103" spans="1:21" x14ac:dyDescent="0.2">
      <c r="A103" t="b">
        <v>1</v>
      </c>
      <c r="B103" t="b">
        <v>1</v>
      </c>
      <c r="C103" t="str">
        <f>IF(E103&lt;&gt;"",VLOOKUP(E103,PHA4GEVars!$A$7:$B$241,2,FALSE),"")</f>
        <v>Sample collection and processing</v>
      </c>
      <c r="D103" t="s">
        <v>1869</v>
      </c>
      <c r="E103" t="s">
        <v>122</v>
      </c>
      <c r="F103" t="s">
        <v>194</v>
      </c>
      <c r="G103" t="s">
        <v>974</v>
      </c>
      <c r="H103" t="s">
        <v>1562</v>
      </c>
      <c r="I103" t="s">
        <v>1882</v>
      </c>
      <c r="L103" t="s">
        <v>1333</v>
      </c>
      <c r="O103" t="s">
        <v>1052</v>
      </c>
      <c r="P103" t="s">
        <v>1556</v>
      </c>
      <c r="R103" t="s">
        <v>1760</v>
      </c>
      <c r="S103" t="s">
        <v>1063</v>
      </c>
      <c r="T103" t="s">
        <v>1058</v>
      </c>
      <c r="U103" s="5" t="s">
        <v>1567</v>
      </c>
    </row>
    <row r="104" spans="1:21" x14ac:dyDescent="0.2">
      <c r="A104" t="b">
        <v>1</v>
      </c>
      <c r="B104" t="b">
        <v>1</v>
      </c>
      <c r="C104" t="str">
        <f>IF(E104&lt;&gt;"",VLOOKUP(E104,PHA4GEVars!$A$7:$B$241,2,FALSE),"")</f>
        <v>Sample collection and processing</v>
      </c>
      <c r="D104" t="s">
        <v>1869</v>
      </c>
      <c r="E104" t="s">
        <v>122</v>
      </c>
      <c r="F104" t="s">
        <v>195</v>
      </c>
      <c r="G104" t="s">
        <v>974</v>
      </c>
      <c r="H104" t="s">
        <v>1563</v>
      </c>
      <c r="I104" t="s">
        <v>1882</v>
      </c>
      <c r="L104" t="s">
        <v>1333</v>
      </c>
      <c r="O104" t="s">
        <v>1052</v>
      </c>
      <c r="P104" t="s">
        <v>1556</v>
      </c>
      <c r="R104" t="s">
        <v>1760</v>
      </c>
      <c r="S104" t="s">
        <v>1063</v>
      </c>
      <c r="T104" t="s">
        <v>1058</v>
      </c>
      <c r="U104" s="5" t="s">
        <v>1567</v>
      </c>
    </row>
    <row r="105" spans="1:21" x14ac:dyDescent="0.2">
      <c r="A105" t="b">
        <v>1</v>
      </c>
      <c r="B105" t="b">
        <v>1</v>
      </c>
      <c r="C105" t="str">
        <f>IF(E105&lt;&gt;"",VLOOKUP(E105,PHA4GEVars!$A$7:$B$241,2,FALSE),"")</f>
        <v>Sample collection and processing</v>
      </c>
      <c r="D105" t="s">
        <v>1869</v>
      </c>
      <c r="E105" t="s">
        <v>122</v>
      </c>
      <c r="F105" t="s">
        <v>1151</v>
      </c>
      <c r="G105" t="s">
        <v>974</v>
      </c>
      <c r="H105" t="s">
        <v>1564</v>
      </c>
      <c r="I105" t="s">
        <v>1882</v>
      </c>
      <c r="L105" t="s">
        <v>1333</v>
      </c>
      <c r="O105" t="s">
        <v>1052</v>
      </c>
      <c r="P105" t="s">
        <v>1556</v>
      </c>
      <c r="R105" t="s">
        <v>1760</v>
      </c>
      <c r="S105" t="s">
        <v>1063</v>
      </c>
      <c r="T105" t="s">
        <v>1058</v>
      </c>
      <c r="U105" s="5" t="s">
        <v>1567</v>
      </c>
    </row>
    <row r="106" spans="1:21" x14ac:dyDescent="0.2">
      <c r="A106" t="b">
        <v>1</v>
      </c>
      <c r="B106" t="b">
        <v>1</v>
      </c>
      <c r="C106" t="str">
        <f>IF(E106&lt;&gt;"",VLOOKUP(E106,PHA4GEVars!$A$7:$B$241,2,FALSE),"")</f>
        <v>Sample collection and processing</v>
      </c>
      <c r="D106" t="s">
        <v>1869</v>
      </c>
      <c r="E106" t="s">
        <v>122</v>
      </c>
      <c r="F106" t="s">
        <v>1974</v>
      </c>
      <c r="G106" t="s">
        <v>974</v>
      </c>
      <c r="H106" t="s">
        <v>1565</v>
      </c>
      <c r="I106" t="s">
        <v>1882</v>
      </c>
      <c r="L106" t="s">
        <v>1333</v>
      </c>
      <c r="O106" t="s">
        <v>1052</v>
      </c>
      <c r="P106" t="s">
        <v>1556</v>
      </c>
      <c r="R106" t="s">
        <v>1760</v>
      </c>
      <c r="S106" t="s">
        <v>1063</v>
      </c>
      <c r="T106" t="s">
        <v>1058</v>
      </c>
      <c r="U106" s="5" t="s">
        <v>1567</v>
      </c>
    </row>
    <row r="107" spans="1:21" x14ac:dyDescent="0.2">
      <c r="A107" t="b">
        <v>1</v>
      </c>
      <c r="B107" t="b">
        <v>1</v>
      </c>
      <c r="C107" t="str">
        <f>IF(E107&lt;&gt;"",VLOOKUP(E107,PHA4GEVars!$A$7:$B$241,2,FALSE),"")</f>
        <v>Sample collection and processing</v>
      </c>
      <c r="D107" t="s">
        <v>1869</v>
      </c>
      <c r="E107" t="s">
        <v>122</v>
      </c>
      <c r="F107" t="s">
        <v>196</v>
      </c>
      <c r="G107" t="s">
        <v>974</v>
      </c>
      <c r="H107" t="s">
        <v>1566</v>
      </c>
      <c r="I107" t="s">
        <v>1882</v>
      </c>
      <c r="L107" t="s">
        <v>1333</v>
      </c>
      <c r="O107" t="s">
        <v>1052</v>
      </c>
      <c r="P107" t="s">
        <v>1556</v>
      </c>
      <c r="R107" t="s">
        <v>1760</v>
      </c>
      <c r="S107" t="s">
        <v>1063</v>
      </c>
      <c r="T107" t="s">
        <v>1058</v>
      </c>
      <c r="U107" s="5" t="s">
        <v>1567</v>
      </c>
    </row>
    <row r="108" spans="1:21" x14ac:dyDescent="0.2">
      <c r="C108" t="str">
        <f>IF(E108&lt;&gt;"",VLOOKUP(E108,PHA4GEVars!$A$7:$B$241,2,FALSE),"")</f>
        <v/>
      </c>
    </row>
    <row r="109" spans="1:21" s="30" customFormat="1" x14ac:dyDescent="0.2">
      <c r="C109" s="30" t="str">
        <f>IF(E109&lt;&gt;"",VLOOKUP(E109,PHA4GEVars!$A$7:$B$241,2,FALSE),"")</f>
        <v>Sample collection and processing</v>
      </c>
      <c r="D109" s="30" t="s">
        <v>1869</v>
      </c>
      <c r="E109" s="30" t="s">
        <v>1114</v>
      </c>
      <c r="F109" s="30" t="s">
        <v>1625</v>
      </c>
      <c r="G109" s="30" t="s">
        <v>974</v>
      </c>
      <c r="I109" s="30" t="s">
        <v>1762</v>
      </c>
      <c r="J109"/>
      <c r="K109"/>
      <c r="L109" t="s">
        <v>1333</v>
      </c>
      <c r="M109"/>
      <c r="O109" s="30" t="s">
        <v>1053</v>
      </c>
      <c r="P109" s="30" t="s">
        <v>1625</v>
      </c>
      <c r="R109" s="30" t="b">
        <v>1</v>
      </c>
      <c r="S109" s="30" t="s">
        <v>1425</v>
      </c>
      <c r="T109" s="30" t="s">
        <v>1059</v>
      </c>
      <c r="U109" s="32" t="s">
        <v>1626</v>
      </c>
    </row>
    <row r="110" spans="1:21" s="30" customFormat="1" x14ac:dyDescent="0.2">
      <c r="C110" s="30" t="str">
        <f>IF(E110&lt;&gt;"",VLOOKUP(E110,PHA4GEVars!$A$7:$B$241,2,FALSE),"")</f>
        <v>Sample collection and processing</v>
      </c>
      <c r="D110" s="30" t="s">
        <v>1869</v>
      </c>
      <c r="E110" s="30" t="s">
        <v>1114</v>
      </c>
      <c r="F110" s="30" t="s">
        <v>1625</v>
      </c>
      <c r="G110" s="30" t="s">
        <v>974</v>
      </c>
      <c r="I110" s="30" t="s">
        <v>1762</v>
      </c>
      <c r="J110"/>
      <c r="K110"/>
      <c r="L110" t="s">
        <v>1333</v>
      </c>
      <c r="M110"/>
      <c r="O110" s="30" t="s">
        <v>1053</v>
      </c>
      <c r="P110" s="30" t="s">
        <v>1625</v>
      </c>
      <c r="R110" s="30" t="b">
        <v>0</v>
      </c>
      <c r="S110" s="30" t="s">
        <v>1425</v>
      </c>
      <c r="T110" s="30" t="s">
        <v>1059</v>
      </c>
      <c r="U110" s="32" t="s">
        <v>1626</v>
      </c>
    </row>
    <row r="111" spans="1:21" x14ac:dyDescent="0.2">
      <c r="C111" t="str">
        <f>IF(E111&lt;&gt;"",VLOOKUP(E111,PHA4GEVars!$A$7:$B$241,2,FALSE),"")</f>
        <v/>
      </c>
    </row>
    <row r="112" spans="1:21" x14ac:dyDescent="0.2">
      <c r="A112" t="b">
        <v>1</v>
      </c>
      <c r="B112" t="b">
        <v>1</v>
      </c>
      <c r="C112" t="str">
        <f>IF(E112&lt;&gt;"",VLOOKUP(E112,PHA4GEVars!$A$7:$B$241,2,FALSE),"")</f>
        <v>Sample collection and processing</v>
      </c>
      <c r="D112" t="s">
        <v>1869</v>
      </c>
      <c r="E112" t="s">
        <v>1115</v>
      </c>
      <c r="G112" t="s">
        <v>974</v>
      </c>
      <c r="L112" t="s">
        <v>1333</v>
      </c>
      <c r="N112" t="s">
        <v>1636</v>
      </c>
      <c r="O112" t="s">
        <v>1053</v>
      </c>
      <c r="P112" s="33" t="s">
        <v>1726</v>
      </c>
      <c r="Q112" s="33"/>
      <c r="R112" t="s">
        <v>1638</v>
      </c>
      <c r="S112" t="s">
        <v>1005</v>
      </c>
      <c r="T112" t="s">
        <v>1058</v>
      </c>
      <c r="U112" s="5" t="s">
        <v>1727</v>
      </c>
    </row>
    <row r="113" spans="1:22" x14ac:dyDescent="0.2">
      <c r="C113" t="str">
        <f>IF(E113&lt;&gt;"",VLOOKUP(E113,PHA4GEVars!$A$7:$B$241,2,FALSE),"")</f>
        <v/>
      </c>
    </row>
    <row r="114" spans="1:22" x14ac:dyDescent="0.2">
      <c r="A114" t="b">
        <v>1</v>
      </c>
      <c r="B114" t="b">
        <v>1</v>
      </c>
      <c r="C114" t="str">
        <f>IF(E114&lt;&gt;"",VLOOKUP(E114,PHA4GEVars!$A$7:$B$241,2,FALSE),"")</f>
        <v>Sample collection and processing</v>
      </c>
      <c r="D114" t="s">
        <v>1869</v>
      </c>
      <c r="E114" t="s">
        <v>1108</v>
      </c>
      <c r="F114" t="s">
        <v>175</v>
      </c>
      <c r="G114" t="s">
        <v>974</v>
      </c>
      <c r="H114" t="s">
        <v>1654</v>
      </c>
      <c r="L114" t="s">
        <v>1333</v>
      </c>
      <c r="O114" t="s">
        <v>1053</v>
      </c>
      <c r="P114" t="s">
        <v>1651</v>
      </c>
      <c r="R114" t="s">
        <v>1761</v>
      </c>
      <c r="U114" s="5" t="s">
        <v>1650</v>
      </c>
    </row>
    <row r="115" spans="1:22" x14ac:dyDescent="0.2">
      <c r="A115" t="b">
        <v>1</v>
      </c>
      <c r="B115" t="b">
        <v>1</v>
      </c>
      <c r="C115" t="str">
        <f>IF(E115&lt;&gt;"",VLOOKUP(E115,PHA4GEVars!$A$7:$B$241,2,FALSE),"")</f>
        <v>Sample collection and processing</v>
      </c>
      <c r="D115" t="s">
        <v>1869</v>
      </c>
      <c r="E115" t="s">
        <v>1108</v>
      </c>
      <c r="F115" t="s">
        <v>176</v>
      </c>
      <c r="G115" t="s">
        <v>974</v>
      </c>
      <c r="H115" t="s">
        <v>1653</v>
      </c>
      <c r="L115" t="s">
        <v>1333</v>
      </c>
      <c r="O115" t="s">
        <v>1053</v>
      </c>
      <c r="P115" t="s">
        <v>1651</v>
      </c>
      <c r="R115" t="s">
        <v>1761</v>
      </c>
      <c r="U115" s="5" t="s">
        <v>1650</v>
      </c>
    </row>
    <row r="116" spans="1:22" x14ac:dyDescent="0.2">
      <c r="A116" t="b">
        <v>1</v>
      </c>
      <c r="B116" t="b">
        <v>1</v>
      </c>
      <c r="C116" t="str">
        <f>IF(E116&lt;&gt;"",VLOOKUP(E116,PHA4GEVars!$A$7:$B$241,2,FALSE),"")</f>
        <v>Sample collection and processing</v>
      </c>
      <c r="D116" t="s">
        <v>1869</v>
      </c>
      <c r="E116" t="s">
        <v>1108</v>
      </c>
      <c r="F116" t="s">
        <v>177</v>
      </c>
      <c r="G116" t="s">
        <v>974</v>
      </c>
      <c r="H116" t="s">
        <v>1652</v>
      </c>
      <c r="L116" t="s">
        <v>1333</v>
      </c>
      <c r="O116" t="s">
        <v>1053</v>
      </c>
      <c r="P116" t="s">
        <v>1651</v>
      </c>
      <c r="R116" t="s">
        <v>1761</v>
      </c>
      <c r="U116" s="5" t="s">
        <v>1650</v>
      </c>
    </row>
    <row r="117" spans="1:22" x14ac:dyDescent="0.2">
      <c r="C117" t="str">
        <f>IF(E117&lt;&gt;"",VLOOKUP(E117,PHA4GEVars!$A$7:$B$241,2,FALSE),"")</f>
        <v/>
      </c>
    </row>
    <row r="118" spans="1:22" x14ac:dyDescent="0.2">
      <c r="A118" t="b">
        <v>1</v>
      </c>
      <c r="B118" t="b">
        <v>1</v>
      </c>
      <c r="C118" t="str">
        <f>IF(E118&lt;&gt;"",VLOOKUP(E118,PHA4GEVars!$A$7:$B$241,2,FALSE),"")</f>
        <v>Sequence information</v>
      </c>
      <c r="D118" t="s">
        <v>1869</v>
      </c>
      <c r="E118" t="s">
        <v>65</v>
      </c>
      <c r="G118" t="s">
        <v>974</v>
      </c>
      <c r="M118" t="s">
        <v>1667</v>
      </c>
      <c r="O118" t="s">
        <v>1053</v>
      </c>
      <c r="P118" t="s">
        <v>1657</v>
      </c>
      <c r="R118" t="s">
        <v>1655</v>
      </c>
      <c r="S118" t="s">
        <v>1364</v>
      </c>
      <c r="T118" t="s">
        <v>1058</v>
      </c>
      <c r="U118" s="5" t="s">
        <v>1659</v>
      </c>
    </row>
    <row r="119" spans="1:22" x14ac:dyDescent="0.2">
      <c r="A119" t="b">
        <v>1</v>
      </c>
      <c r="B119" t="b">
        <v>1</v>
      </c>
      <c r="C119" t="str">
        <f>IF(E119&lt;&gt;"",VLOOKUP(E119,PHA4GEVars!$A$7:$B$241,2,FALSE),"")</f>
        <v>Sequence information</v>
      </c>
      <c r="D119" t="s">
        <v>1869</v>
      </c>
      <c r="E119" t="s">
        <v>77</v>
      </c>
      <c r="G119" t="s">
        <v>974</v>
      </c>
      <c r="M119" t="s">
        <v>1667</v>
      </c>
      <c r="O119" t="s">
        <v>1053</v>
      </c>
      <c r="P119" t="s">
        <v>1658</v>
      </c>
      <c r="R119" t="s">
        <v>1656</v>
      </c>
      <c r="S119" t="s">
        <v>1364</v>
      </c>
      <c r="T119" t="s">
        <v>1058</v>
      </c>
      <c r="U119" s="5" t="s">
        <v>1659</v>
      </c>
    </row>
    <row r="120" spans="1:22" x14ac:dyDescent="0.2">
      <c r="C120" t="str">
        <f>IF(E120&lt;&gt;"",VLOOKUP(E120,PHA4GEVars!$A$7:$B$241,2,FALSE),"")</f>
        <v/>
      </c>
    </row>
    <row r="121" spans="1:22" x14ac:dyDescent="0.2">
      <c r="A121" t="b">
        <v>1</v>
      </c>
      <c r="B121" t="b">
        <v>1</v>
      </c>
      <c r="C121" t="str">
        <f>IF(E121&lt;&gt;"",VLOOKUP(E121,PHA4GEVars!$A$7:$B$241,2,FALSE),"")</f>
        <v>Strain and isolation information</v>
      </c>
      <c r="D121" t="s">
        <v>1869</v>
      </c>
      <c r="E121" t="s">
        <v>1130</v>
      </c>
      <c r="G121" t="s">
        <v>974</v>
      </c>
      <c r="K121" t="s">
        <v>1124</v>
      </c>
      <c r="M121" t="s">
        <v>1507</v>
      </c>
      <c r="O121" t="s">
        <v>1053</v>
      </c>
      <c r="P121" t="s">
        <v>1130</v>
      </c>
      <c r="R121" t="s">
        <v>1699</v>
      </c>
      <c r="S121" t="s">
        <v>1063</v>
      </c>
      <c r="T121" t="s">
        <v>1058</v>
      </c>
      <c r="U121" s="5" t="s">
        <v>1708</v>
      </c>
    </row>
    <row r="122" spans="1:22" x14ac:dyDescent="0.2">
      <c r="A122" t="b">
        <v>1</v>
      </c>
      <c r="B122" t="b">
        <v>1</v>
      </c>
      <c r="C122" t="str">
        <f>IF(E122&lt;&gt;"",VLOOKUP(E122,PHA4GEVars!$A$7:$B$241,2,FALSE),"")</f>
        <v>Strain and isolation information</v>
      </c>
      <c r="D122" t="s">
        <v>1869</v>
      </c>
      <c r="E122" t="s">
        <v>1128</v>
      </c>
      <c r="G122" t="s">
        <v>974</v>
      </c>
      <c r="K122" t="s">
        <v>1124</v>
      </c>
      <c r="M122" t="s">
        <v>1507</v>
      </c>
      <c r="O122" t="s">
        <v>1053</v>
      </c>
      <c r="P122" t="s">
        <v>1128</v>
      </c>
      <c r="R122" t="s">
        <v>1701</v>
      </c>
      <c r="S122" t="s">
        <v>1063</v>
      </c>
      <c r="T122" t="s">
        <v>1058</v>
      </c>
      <c r="U122" s="5" t="s">
        <v>1709</v>
      </c>
    </row>
    <row r="123" spans="1:22" x14ac:dyDescent="0.2">
      <c r="A123" t="b">
        <v>1</v>
      </c>
      <c r="B123" t="b">
        <v>1</v>
      </c>
      <c r="C123" t="str">
        <f>IF(E123&lt;&gt;"",VLOOKUP(E123,PHA4GEVars!$A$7:$B$241,2,FALSE),"")</f>
        <v>Strain and isolation information</v>
      </c>
      <c r="D123" t="s">
        <v>1869</v>
      </c>
      <c r="E123" t="s">
        <v>1119</v>
      </c>
      <c r="G123" t="s">
        <v>974</v>
      </c>
      <c r="K123" t="s">
        <v>1124</v>
      </c>
      <c r="M123" t="s">
        <v>1507</v>
      </c>
      <c r="O123" t="s">
        <v>1053</v>
      </c>
      <c r="P123" t="s">
        <v>1119</v>
      </c>
      <c r="R123" t="s">
        <v>1702</v>
      </c>
      <c r="S123" t="s">
        <v>1063</v>
      </c>
      <c r="T123" t="s">
        <v>1058</v>
      </c>
      <c r="U123" s="5" t="s">
        <v>1710</v>
      </c>
    </row>
    <row r="124" spans="1:22" x14ac:dyDescent="0.2">
      <c r="C124" t="str">
        <f>IF(E124&lt;&gt;"",VLOOKUP(E124,PHA4GEVars!$A$7:$B$241,2,FALSE),"")</f>
        <v/>
      </c>
    </row>
    <row r="125" spans="1:22" x14ac:dyDescent="0.2">
      <c r="A125" t="b">
        <v>1</v>
      </c>
      <c r="B125" t="b">
        <v>1</v>
      </c>
      <c r="C125" t="str">
        <f>IF(E125&lt;&gt;"",VLOOKUP(E125,PHA4GEVars!$A$7:$B$241,2,FALSE),"")</f>
        <v>Lineage/clade information</v>
      </c>
      <c r="D125" t="s">
        <v>1869</v>
      </c>
      <c r="E125" t="s">
        <v>1144</v>
      </c>
      <c r="G125" t="s">
        <v>974</v>
      </c>
      <c r="I125" t="s">
        <v>1881</v>
      </c>
      <c r="O125" t="s">
        <v>1053</v>
      </c>
      <c r="P125" t="s">
        <v>1622</v>
      </c>
      <c r="R125" t="b">
        <v>1</v>
      </c>
      <c r="S125" t="s">
        <v>1425</v>
      </c>
      <c r="T125" t="s">
        <v>1059</v>
      </c>
      <c r="U125" s="31" t="s">
        <v>1623</v>
      </c>
      <c r="V125" t="s">
        <v>1880</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E894F-42DE-5B49-8310-51E399280776}">
  <dimension ref="A1:W2"/>
  <sheetViews>
    <sheetView tabSelected="1" topLeftCell="C1" workbookViewId="0">
      <selection activeCell="N2" sqref="N2"/>
    </sheetView>
  </sheetViews>
  <sheetFormatPr baseColWidth="10" defaultRowHeight="16" x14ac:dyDescent="0.2"/>
  <cols>
    <col min="1" max="1" width="15" bestFit="1" customWidth="1"/>
    <col min="2" max="2" width="9" bestFit="1" customWidth="1"/>
    <col min="3" max="3" width="39" bestFit="1" customWidth="1"/>
    <col min="4" max="4" width="10.6640625" bestFit="1" customWidth="1"/>
    <col min="5" max="5" width="25.6640625" bestFit="1" customWidth="1"/>
    <col min="6" max="6" width="11.1640625" bestFit="1" customWidth="1"/>
    <col min="7" max="7" width="10.33203125" bestFit="1" customWidth="1"/>
    <col min="9" max="9" width="13.83203125" bestFit="1" customWidth="1"/>
    <col min="10" max="10" width="25.5" bestFit="1" customWidth="1"/>
    <col min="11" max="11" width="25.1640625" bestFit="1" customWidth="1"/>
    <col min="12" max="12" width="25.1640625" customWidth="1"/>
    <col min="13" max="13" width="14.6640625" bestFit="1" customWidth="1"/>
    <col min="14" max="14" width="18.83203125" bestFit="1" customWidth="1"/>
    <col min="15" max="15" width="30.5" bestFit="1" customWidth="1"/>
    <col min="16" max="16" width="14.5" bestFit="1" customWidth="1"/>
    <col min="17" max="17" width="13.83203125" bestFit="1" customWidth="1"/>
    <col min="18" max="18" width="21.83203125" bestFit="1" customWidth="1"/>
    <col min="19" max="19" width="28.5" bestFit="1" customWidth="1"/>
    <col min="20" max="20" width="27.33203125" bestFit="1" customWidth="1"/>
    <col min="21" max="21" width="16.6640625" bestFit="1" customWidth="1"/>
    <col min="22" max="22" width="27" bestFit="1" customWidth="1"/>
    <col min="23" max="23" width="12" bestFit="1" customWidth="1"/>
  </cols>
  <sheetData>
    <row r="1" spans="1:23" s="30" customFormat="1" x14ac:dyDescent="0.2">
      <c r="A1" s="30" t="s">
        <v>1772</v>
      </c>
      <c r="B1" s="30" t="s">
        <v>0</v>
      </c>
      <c r="C1" s="30" t="s">
        <v>1883</v>
      </c>
      <c r="D1" s="29" t="s">
        <v>1</v>
      </c>
      <c r="E1" s="29" t="s">
        <v>2</v>
      </c>
      <c r="F1" s="29" t="s">
        <v>3</v>
      </c>
      <c r="G1" s="29" t="s">
        <v>4</v>
      </c>
      <c r="H1" s="30" t="s">
        <v>6</v>
      </c>
      <c r="I1" s="30" t="s">
        <v>1042</v>
      </c>
      <c r="J1" s="30" t="s">
        <v>1989</v>
      </c>
      <c r="K1" s="30" t="s">
        <v>1988</v>
      </c>
      <c r="L1" s="30" t="s">
        <v>1990</v>
      </c>
      <c r="M1" s="30" t="s">
        <v>1918</v>
      </c>
      <c r="N1" s="30" t="s">
        <v>1866</v>
      </c>
      <c r="O1" s="30" t="s">
        <v>1849</v>
      </c>
      <c r="P1" s="29" t="s">
        <v>1753</v>
      </c>
      <c r="Q1" s="29" t="s">
        <v>1752</v>
      </c>
      <c r="R1" s="29" t="s">
        <v>1939</v>
      </c>
      <c r="S1" s="29" t="s">
        <v>1749</v>
      </c>
      <c r="T1" s="29" t="s">
        <v>1750</v>
      </c>
      <c r="U1" s="29" t="s">
        <v>1751</v>
      </c>
      <c r="V1" s="29" t="s">
        <v>9</v>
      </c>
      <c r="W1" s="29" t="s">
        <v>1786</v>
      </c>
    </row>
    <row r="2" spans="1:23" x14ac:dyDescent="0.2">
      <c r="A2" t="b">
        <v>1</v>
      </c>
      <c r="B2" t="b">
        <v>1</v>
      </c>
      <c r="C2" t="str">
        <f>IF(E2&lt;&gt;"",VLOOKUP(E2,PHA4GEVars!$A$7:$B$241,2,FALSE),"")</f>
        <v>Environmental conditions and measurements</v>
      </c>
      <c r="D2" t="s">
        <v>1869</v>
      </c>
      <c r="E2" t="s">
        <v>64</v>
      </c>
      <c r="G2" t="s">
        <v>974</v>
      </c>
      <c r="J2" t="s">
        <v>151</v>
      </c>
      <c r="K2" t="s">
        <v>1102</v>
      </c>
      <c r="L2" t="s">
        <v>1992</v>
      </c>
      <c r="O2" t="s">
        <v>976</v>
      </c>
      <c r="P2" t="s">
        <v>1052</v>
      </c>
      <c r="Q2" t="s">
        <v>1054</v>
      </c>
      <c r="S2" t="s">
        <v>1044</v>
      </c>
      <c r="T2" t="s">
        <v>1048</v>
      </c>
      <c r="U2" t="s">
        <v>1059</v>
      </c>
      <c r="V2" t="s">
        <v>1060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CAD1A-92FF-3346-8108-2C4AA07D2B2C}">
  <dimension ref="A1:AD42"/>
  <sheetViews>
    <sheetView zoomScale="108" workbookViewId="0">
      <pane ySplit="1" topLeftCell="A2" activePane="bottomLeft" state="frozen"/>
      <selection pane="bottomLeft" activeCell="G12" sqref="G12"/>
    </sheetView>
  </sheetViews>
  <sheetFormatPr baseColWidth="10" defaultRowHeight="16" x14ac:dyDescent="0.2"/>
  <cols>
    <col min="1" max="1" width="9.33203125" customWidth="1"/>
    <col min="2" max="2" width="10.5" customWidth="1"/>
    <col min="3" max="4" width="28.5" customWidth="1"/>
    <col min="5" max="5" width="13" customWidth="1"/>
    <col min="6" max="6" width="16.6640625" customWidth="1"/>
    <col min="7" max="7" width="35.33203125" customWidth="1"/>
    <col min="8" max="8" width="12" customWidth="1"/>
    <col min="9" max="9" width="15.83203125" bestFit="1" customWidth="1"/>
    <col min="10" max="10" width="12.1640625" customWidth="1"/>
    <col min="12" max="12" width="12.6640625" customWidth="1"/>
    <col min="13" max="13" width="41.83203125" customWidth="1"/>
    <col min="14" max="14" width="13.33203125" customWidth="1"/>
  </cols>
  <sheetData>
    <row r="1" spans="1:30" s="30" customFormat="1" x14ac:dyDescent="0.2">
      <c r="A1" s="29" t="s">
        <v>1443</v>
      </c>
      <c r="B1" s="29" t="s">
        <v>0</v>
      </c>
      <c r="C1" s="29" t="s">
        <v>10</v>
      </c>
      <c r="D1" s="29" t="s">
        <v>1883</v>
      </c>
      <c r="E1" s="29" t="s">
        <v>1</v>
      </c>
      <c r="F1" s="29" t="s">
        <v>2</v>
      </c>
      <c r="G1" s="29" t="s">
        <v>3</v>
      </c>
      <c r="H1" s="29" t="s">
        <v>4</v>
      </c>
      <c r="I1" s="29" t="s">
        <v>1984</v>
      </c>
      <c r="J1" s="29" t="s">
        <v>6</v>
      </c>
      <c r="K1" s="29" t="s">
        <v>7</v>
      </c>
      <c r="L1" s="29" t="s">
        <v>8</v>
      </c>
      <c r="M1" s="29" t="s">
        <v>9</v>
      </c>
      <c r="N1" s="29" t="s">
        <v>1786</v>
      </c>
      <c r="O1" s="29"/>
      <c r="P1" s="29"/>
      <c r="Q1" s="29"/>
      <c r="R1" s="29"/>
      <c r="S1" s="29"/>
      <c r="T1" s="29"/>
      <c r="U1" s="29"/>
      <c r="V1" s="29"/>
      <c r="W1" s="29"/>
      <c r="X1" s="29"/>
      <c r="Y1" s="29"/>
      <c r="Z1" s="29"/>
      <c r="AA1" s="29"/>
      <c r="AB1" s="29"/>
      <c r="AC1" s="29"/>
      <c r="AD1" s="29"/>
    </row>
    <row r="2" spans="1:30" x14ac:dyDescent="0.2">
      <c r="A2">
        <v>249</v>
      </c>
      <c r="B2" t="b">
        <f t="shared" ref="B2:B13" si="0">IF(OR(G2="NA",H2="wide_value"),"",TRUE)</f>
        <v>1</v>
      </c>
      <c r="C2" t="s">
        <v>108</v>
      </c>
      <c r="D2" t="str">
        <f>IF(F2&lt;&gt;"",VLOOKUP(F2,PHA4GEVars!$A$7:$B$241,2,FALSE),"")</f>
        <v>Sample collection and processing</v>
      </c>
      <c r="E2" t="s">
        <v>1869</v>
      </c>
      <c r="F2" t="s">
        <v>117</v>
      </c>
      <c r="G2" t="s">
        <v>252</v>
      </c>
      <c r="H2" t="s">
        <v>1214</v>
      </c>
      <c r="I2" t="s">
        <v>1265</v>
      </c>
      <c r="J2" t="s">
        <v>1266</v>
      </c>
      <c r="M2" s="5" t="s">
        <v>1530</v>
      </c>
      <c r="N2" t="s">
        <v>1871</v>
      </c>
    </row>
    <row r="3" spans="1:30" x14ac:dyDescent="0.2">
      <c r="A3">
        <v>250</v>
      </c>
      <c r="B3" t="b">
        <f t="shared" si="0"/>
        <v>1</v>
      </c>
      <c r="C3" t="s">
        <v>108</v>
      </c>
      <c r="D3" t="str">
        <f>IF(F3&lt;&gt;"",VLOOKUP(F3,PHA4GEVars!$A$7:$B$241,2,FALSE),"")</f>
        <v>Sample collection and processing</v>
      </c>
      <c r="E3" t="s">
        <v>1869</v>
      </c>
      <c r="F3" t="s">
        <v>117</v>
      </c>
      <c r="G3" t="s">
        <v>253</v>
      </c>
      <c r="H3" t="s">
        <v>1214</v>
      </c>
      <c r="I3" t="s">
        <v>1265</v>
      </c>
      <c r="J3" t="s">
        <v>1522</v>
      </c>
      <c r="M3" s="5" t="s">
        <v>1530</v>
      </c>
    </row>
    <row r="4" spans="1:30" x14ac:dyDescent="0.2">
      <c r="A4">
        <v>251</v>
      </c>
      <c r="B4" t="b">
        <f t="shared" si="0"/>
        <v>1</v>
      </c>
      <c r="C4" t="s">
        <v>108</v>
      </c>
      <c r="D4" t="str">
        <f>IF(F4&lt;&gt;"",VLOOKUP(F4,PHA4GEVars!$A$7:$B$241,2,FALSE),"")</f>
        <v>Sample collection and processing</v>
      </c>
      <c r="E4" t="s">
        <v>1869</v>
      </c>
      <c r="F4" t="s">
        <v>117</v>
      </c>
      <c r="G4" t="s">
        <v>254</v>
      </c>
      <c r="H4" t="s">
        <v>1214</v>
      </c>
      <c r="I4" t="s">
        <v>1265</v>
      </c>
      <c r="J4" t="s">
        <v>1523</v>
      </c>
      <c r="M4" s="5" t="s">
        <v>1530</v>
      </c>
    </row>
    <row r="5" spans="1:30" x14ac:dyDescent="0.2">
      <c r="A5">
        <v>252</v>
      </c>
      <c r="B5" t="b">
        <f t="shared" si="0"/>
        <v>1</v>
      </c>
      <c r="C5" t="s">
        <v>108</v>
      </c>
      <c r="D5" t="str">
        <f>IF(F5&lt;&gt;"",VLOOKUP(F5,PHA4GEVars!$A$7:$B$241,2,FALSE),"")</f>
        <v>Sample collection and processing</v>
      </c>
      <c r="E5" t="s">
        <v>1869</v>
      </c>
      <c r="F5" t="s">
        <v>117</v>
      </c>
      <c r="G5" t="s">
        <v>255</v>
      </c>
      <c r="H5" t="s">
        <v>1214</v>
      </c>
      <c r="I5" t="s">
        <v>1265</v>
      </c>
      <c r="J5" t="s">
        <v>1524</v>
      </c>
      <c r="M5" s="5" t="s">
        <v>1530</v>
      </c>
    </row>
    <row r="6" spans="1:30" x14ac:dyDescent="0.2">
      <c r="A6">
        <v>253</v>
      </c>
      <c r="B6" t="b">
        <f t="shared" si="0"/>
        <v>1</v>
      </c>
      <c r="C6" t="s">
        <v>108</v>
      </c>
      <c r="D6" t="str">
        <f>IF(F6&lt;&gt;"",VLOOKUP(F6,PHA4GEVars!$A$7:$B$241,2,FALSE),"")</f>
        <v>Sample collection and processing</v>
      </c>
      <c r="E6" t="s">
        <v>1869</v>
      </c>
      <c r="F6" t="s">
        <v>117</v>
      </c>
      <c r="G6" t="s">
        <v>256</v>
      </c>
      <c r="H6" t="s">
        <v>1214</v>
      </c>
      <c r="I6" t="s">
        <v>1265</v>
      </c>
      <c r="J6" t="s">
        <v>1525</v>
      </c>
      <c r="M6" s="5" t="s">
        <v>1530</v>
      </c>
    </row>
    <row r="7" spans="1:30" x14ac:dyDescent="0.2">
      <c r="A7">
        <v>254</v>
      </c>
      <c r="B7" t="b">
        <f t="shared" si="0"/>
        <v>1</v>
      </c>
      <c r="C7" t="s">
        <v>108</v>
      </c>
      <c r="D7" t="str">
        <f>IF(F7&lt;&gt;"",VLOOKUP(F7,PHA4GEVars!$A$7:$B$241,2,FALSE),"")</f>
        <v>Sample collection and processing</v>
      </c>
      <c r="E7" t="s">
        <v>1869</v>
      </c>
      <c r="F7" t="s">
        <v>117</v>
      </c>
      <c r="G7" t="s">
        <v>257</v>
      </c>
      <c r="H7" t="s">
        <v>1214</v>
      </c>
      <c r="I7" t="s">
        <v>1265</v>
      </c>
      <c r="J7" t="s">
        <v>1526</v>
      </c>
      <c r="M7" s="5" t="s">
        <v>1530</v>
      </c>
    </row>
    <row r="8" spans="1:30" x14ac:dyDescent="0.2">
      <c r="A8">
        <v>255</v>
      </c>
      <c r="B8" t="b">
        <f t="shared" si="0"/>
        <v>1</v>
      </c>
      <c r="C8" t="s">
        <v>108</v>
      </c>
      <c r="D8" t="str">
        <f>IF(F8&lt;&gt;"",VLOOKUP(F8,PHA4GEVars!$A$7:$B$241,2,FALSE),"")</f>
        <v>Sample collection and processing</v>
      </c>
      <c r="E8" t="s">
        <v>1869</v>
      </c>
      <c r="F8" t="s">
        <v>117</v>
      </c>
      <c r="G8" t="s">
        <v>258</v>
      </c>
      <c r="H8" t="s">
        <v>1214</v>
      </c>
      <c r="I8" t="s">
        <v>1265</v>
      </c>
      <c r="J8" t="s">
        <v>1482</v>
      </c>
      <c r="M8" s="5" t="s">
        <v>1531</v>
      </c>
    </row>
    <row r="9" spans="1:30" x14ac:dyDescent="0.2">
      <c r="A9">
        <v>256</v>
      </c>
      <c r="B9" t="b">
        <f t="shared" si="0"/>
        <v>1</v>
      </c>
      <c r="C9" t="s">
        <v>108</v>
      </c>
      <c r="D9" t="str">
        <f>IF(F9&lt;&gt;"",VLOOKUP(F9,PHA4GEVars!$A$7:$B$241,2,FALSE),"")</f>
        <v>Sample collection and processing</v>
      </c>
      <c r="E9" t="s">
        <v>1869</v>
      </c>
      <c r="F9" t="s">
        <v>117</v>
      </c>
      <c r="G9" t="s">
        <v>259</v>
      </c>
      <c r="H9" t="s">
        <v>1214</v>
      </c>
      <c r="I9" t="s">
        <v>1265</v>
      </c>
      <c r="J9" t="s">
        <v>1527</v>
      </c>
      <c r="M9" s="5" t="s">
        <v>1532</v>
      </c>
    </row>
    <row r="10" spans="1:30" x14ac:dyDescent="0.2">
      <c r="A10">
        <v>257</v>
      </c>
      <c r="B10" t="b">
        <f t="shared" si="0"/>
        <v>1</v>
      </c>
      <c r="C10" t="s">
        <v>108</v>
      </c>
      <c r="D10" t="str">
        <f>IF(F10&lt;&gt;"",VLOOKUP(F10,PHA4GEVars!$A$7:$B$241,2,FALSE),"")</f>
        <v>Sample collection and processing</v>
      </c>
      <c r="E10" t="s">
        <v>1869</v>
      </c>
      <c r="F10" t="s">
        <v>117</v>
      </c>
      <c r="G10" t="s">
        <v>260</v>
      </c>
      <c r="H10" t="s">
        <v>1214</v>
      </c>
      <c r="I10" t="s">
        <v>1265</v>
      </c>
      <c r="J10" t="s">
        <v>1481</v>
      </c>
      <c r="M10" s="5" t="s">
        <v>1532</v>
      </c>
    </row>
    <row r="11" spans="1:30" x14ac:dyDescent="0.2">
      <c r="A11">
        <v>258</v>
      </c>
      <c r="B11" t="b">
        <f t="shared" si="0"/>
        <v>1</v>
      </c>
      <c r="C11" t="s">
        <v>108</v>
      </c>
      <c r="D11" t="str">
        <f>IF(F11&lt;&gt;"",VLOOKUP(F11,PHA4GEVars!$A$7:$B$241,2,FALSE),"")</f>
        <v>Sample collection and processing</v>
      </c>
      <c r="E11" t="s">
        <v>1869</v>
      </c>
      <c r="F11" t="s">
        <v>117</v>
      </c>
      <c r="G11" t="s">
        <v>261</v>
      </c>
      <c r="H11" t="s">
        <v>1214</v>
      </c>
      <c r="I11" t="s">
        <v>1265</v>
      </c>
      <c r="J11" t="s">
        <v>1528</v>
      </c>
      <c r="M11" s="5" t="s">
        <v>1533</v>
      </c>
    </row>
    <row r="12" spans="1:30" x14ac:dyDescent="0.2">
      <c r="A12">
        <v>259</v>
      </c>
      <c r="B12" t="b">
        <f t="shared" si="0"/>
        <v>1</v>
      </c>
      <c r="C12" t="s">
        <v>108</v>
      </c>
      <c r="D12" t="str">
        <f>IF(F12&lt;&gt;"",VLOOKUP(F12,PHA4GEVars!$A$7:$B$241,2,FALSE),"")</f>
        <v>Sample collection and processing</v>
      </c>
      <c r="E12" t="s">
        <v>1869</v>
      </c>
      <c r="F12" t="s">
        <v>117</v>
      </c>
      <c r="G12" t="s">
        <v>262</v>
      </c>
      <c r="H12" t="s">
        <v>1214</v>
      </c>
      <c r="I12" t="s">
        <v>1265</v>
      </c>
      <c r="J12" t="s">
        <v>1480</v>
      </c>
      <c r="M12" s="5" t="s">
        <v>1533</v>
      </c>
    </row>
    <row r="13" spans="1:30" x14ac:dyDescent="0.2">
      <c r="A13">
        <v>260</v>
      </c>
      <c r="B13" t="b">
        <f t="shared" si="0"/>
        <v>1</v>
      </c>
      <c r="C13" t="s">
        <v>108</v>
      </c>
      <c r="D13" t="str">
        <f>IF(F13&lt;&gt;"",VLOOKUP(F13,PHA4GEVars!$A$7:$B$241,2,FALSE),"")</f>
        <v>Sample collection and processing</v>
      </c>
      <c r="E13" t="s">
        <v>1869</v>
      </c>
      <c r="F13" t="s">
        <v>117</v>
      </c>
      <c r="G13" t="s">
        <v>1960</v>
      </c>
      <c r="H13" t="s">
        <v>1214</v>
      </c>
      <c r="I13" t="s">
        <v>1265</v>
      </c>
      <c r="J13" t="s">
        <v>1529</v>
      </c>
      <c r="M13" s="5" t="s">
        <v>1533</v>
      </c>
    </row>
    <row r="14" spans="1:30" x14ac:dyDescent="0.2">
      <c r="B14" s="28"/>
      <c r="C14" s="28"/>
      <c r="D14" t="str">
        <f>IF(F14&lt;&gt;"",VLOOKUP(F14,PHA4GEVars!$A$7:$B$241,2,FALSE),"")</f>
        <v/>
      </c>
      <c r="E14" s="28"/>
      <c r="F14" s="28"/>
      <c r="G14" s="28"/>
      <c r="H14" s="28"/>
      <c r="I14" s="28"/>
      <c r="J14" s="28"/>
    </row>
    <row r="15" spans="1:30" x14ac:dyDescent="0.2">
      <c r="A15">
        <v>261</v>
      </c>
      <c r="B15" t="b">
        <v>1</v>
      </c>
      <c r="C15" t="s">
        <v>108</v>
      </c>
      <c r="D15" t="str">
        <f>IF(F15&lt;&gt;"",VLOOKUP(F15,PHA4GEVars!$A$7:$B$241,2,FALSE),"")</f>
        <v>Sample collection and processing</v>
      </c>
      <c r="E15" t="s">
        <v>1869</v>
      </c>
      <c r="F15" t="s">
        <v>1903</v>
      </c>
      <c r="G15" t="s">
        <v>263</v>
      </c>
      <c r="H15" t="s">
        <v>1214</v>
      </c>
      <c r="I15" t="s">
        <v>1265</v>
      </c>
      <c r="J15" t="s">
        <v>1266</v>
      </c>
      <c r="M15" s="5" t="s">
        <v>1534</v>
      </c>
      <c r="N15" t="s">
        <v>1983</v>
      </c>
    </row>
    <row r="16" spans="1:30" x14ac:dyDescent="0.2">
      <c r="A16">
        <v>262</v>
      </c>
      <c r="B16" t="b">
        <v>1</v>
      </c>
      <c r="C16" t="s">
        <v>108</v>
      </c>
      <c r="D16" t="str">
        <f>IF(F16&lt;&gt;"",VLOOKUP(F16,PHA4GEVars!$A$7:$B$241,2,FALSE),"")</f>
        <v>Sample collection and processing</v>
      </c>
      <c r="E16" t="s">
        <v>1869</v>
      </c>
      <c r="F16" t="s">
        <v>1903</v>
      </c>
      <c r="G16" t="s">
        <v>264</v>
      </c>
      <c r="H16" t="s">
        <v>1214</v>
      </c>
      <c r="I16" t="s">
        <v>1265</v>
      </c>
      <c r="J16" t="s">
        <v>1482</v>
      </c>
      <c r="M16" s="5" t="s">
        <v>1538</v>
      </c>
      <c r="N16" t="s">
        <v>1983</v>
      </c>
    </row>
    <row r="17" spans="1:14" x14ac:dyDescent="0.2">
      <c r="A17">
        <v>263</v>
      </c>
      <c r="B17" t="b">
        <v>1</v>
      </c>
      <c r="C17" t="s">
        <v>108</v>
      </c>
      <c r="D17" t="str">
        <f>IF(F17&lt;&gt;"",VLOOKUP(F17,PHA4GEVars!$A$7:$B$241,2,FALSE),"")</f>
        <v>Sample collection and processing</v>
      </c>
      <c r="E17" t="s">
        <v>1869</v>
      </c>
      <c r="F17" t="s">
        <v>1903</v>
      </c>
      <c r="G17" t="s">
        <v>265</v>
      </c>
      <c r="H17" t="s">
        <v>1214</v>
      </c>
      <c r="I17" t="s">
        <v>1265</v>
      </c>
      <c r="J17" t="s">
        <v>1267</v>
      </c>
      <c r="M17" s="5" t="s">
        <v>1537</v>
      </c>
      <c r="N17" t="s">
        <v>1983</v>
      </c>
    </row>
    <row r="18" spans="1:14" x14ac:dyDescent="0.2">
      <c r="A18">
        <v>264</v>
      </c>
      <c r="B18" t="b">
        <v>1</v>
      </c>
      <c r="C18" t="s">
        <v>108</v>
      </c>
      <c r="D18" t="str">
        <f>IF(F18&lt;&gt;"",VLOOKUP(F18,PHA4GEVars!$A$7:$B$241,2,FALSE),"")</f>
        <v>Sample collection and processing</v>
      </c>
      <c r="E18" t="s">
        <v>1869</v>
      </c>
      <c r="F18" t="s">
        <v>1903</v>
      </c>
      <c r="G18" t="s">
        <v>266</v>
      </c>
      <c r="H18" t="s">
        <v>1214</v>
      </c>
      <c r="I18" t="s">
        <v>1265</v>
      </c>
      <c r="J18" t="s">
        <v>1528</v>
      </c>
      <c r="M18" s="5" t="s">
        <v>1536</v>
      </c>
      <c r="N18" t="s">
        <v>1983</v>
      </c>
    </row>
    <row r="19" spans="1:14" x14ac:dyDescent="0.2">
      <c r="A19">
        <v>265</v>
      </c>
      <c r="B19" t="b">
        <v>1</v>
      </c>
      <c r="C19" t="s">
        <v>108</v>
      </c>
      <c r="D19" t="str">
        <f>IF(F19&lt;&gt;"",VLOOKUP(F19,PHA4GEVars!$A$7:$B$241,2,FALSE),"")</f>
        <v>Sample collection and processing</v>
      </c>
      <c r="E19" t="s">
        <v>1869</v>
      </c>
      <c r="F19" t="s">
        <v>1903</v>
      </c>
      <c r="G19" t="s">
        <v>1164</v>
      </c>
      <c r="H19" t="s">
        <v>1214</v>
      </c>
      <c r="I19" t="s">
        <v>1265</v>
      </c>
      <c r="J19" t="s">
        <v>1483</v>
      </c>
      <c r="M19" s="5" t="s">
        <v>1535</v>
      </c>
      <c r="N19" t="s">
        <v>1983</v>
      </c>
    </row>
    <row r="20" spans="1:14" x14ac:dyDescent="0.2">
      <c r="D20" t="str">
        <f>IF(F20&lt;&gt;"",VLOOKUP(F20,PHA4GEVars!$A$7:$B$241,2,FALSE),"")</f>
        <v/>
      </c>
    </row>
    <row r="21" spans="1:14" x14ac:dyDescent="0.2">
      <c r="A21">
        <v>267</v>
      </c>
      <c r="B21" t="b">
        <f t="shared" ref="B21:B29" si="1">IF(OR(G21="NA",H21="wide_value"),"",TRUE)</f>
        <v>1</v>
      </c>
      <c r="C21" t="s">
        <v>108</v>
      </c>
      <c r="D21" t="str">
        <f>IF(F21&lt;&gt;"",VLOOKUP(F21,PHA4GEVars!$A$7:$B$241,2,FALSE),"")</f>
        <v>Sample collection and processing</v>
      </c>
      <c r="E21" t="s">
        <v>1869</v>
      </c>
      <c r="F21" t="s">
        <v>150</v>
      </c>
      <c r="G21" t="s">
        <v>1961</v>
      </c>
      <c r="H21" t="s">
        <v>1214</v>
      </c>
      <c r="I21" t="s">
        <v>1484</v>
      </c>
      <c r="J21" t="s">
        <v>1485</v>
      </c>
      <c r="M21" s="5" t="s">
        <v>1304</v>
      </c>
    </row>
    <row r="22" spans="1:14" x14ac:dyDescent="0.2">
      <c r="A22">
        <v>268</v>
      </c>
      <c r="B22" t="b">
        <f t="shared" si="1"/>
        <v>1</v>
      </c>
      <c r="C22" t="s">
        <v>108</v>
      </c>
      <c r="D22" t="str">
        <f>IF(F22&lt;&gt;"",VLOOKUP(F22,PHA4GEVars!$A$7:$B$241,2,FALSE),"")</f>
        <v>Sample collection and processing</v>
      </c>
      <c r="E22" t="s">
        <v>1869</v>
      </c>
      <c r="F22" t="s">
        <v>150</v>
      </c>
      <c r="G22" t="s">
        <v>1962</v>
      </c>
      <c r="H22" t="s">
        <v>1214</v>
      </c>
      <c r="I22" t="s">
        <v>1484</v>
      </c>
      <c r="J22" t="s">
        <v>1488</v>
      </c>
      <c r="M22" s="5" t="s">
        <v>1304</v>
      </c>
    </row>
    <row r="23" spans="1:14" x14ac:dyDescent="0.2">
      <c r="A23">
        <v>269</v>
      </c>
      <c r="B23" t="b">
        <f t="shared" si="1"/>
        <v>1</v>
      </c>
      <c r="C23" t="s">
        <v>108</v>
      </c>
      <c r="D23" t="str">
        <f>IF(F23&lt;&gt;"",VLOOKUP(F23,PHA4GEVars!$A$7:$B$241,2,FALSE),"")</f>
        <v>Sample collection and processing</v>
      </c>
      <c r="E23" t="s">
        <v>1869</v>
      </c>
      <c r="F23" t="s">
        <v>150</v>
      </c>
      <c r="G23" t="s">
        <v>244</v>
      </c>
      <c r="H23" t="s">
        <v>1214</v>
      </c>
      <c r="I23" t="s">
        <v>1484</v>
      </c>
      <c r="J23" t="s">
        <v>1491</v>
      </c>
      <c r="M23" s="5" t="s">
        <v>1304</v>
      </c>
    </row>
    <row r="24" spans="1:14" x14ac:dyDescent="0.2">
      <c r="A24">
        <v>270</v>
      </c>
      <c r="B24" t="b">
        <f t="shared" si="1"/>
        <v>1</v>
      </c>
      <c r="C24" t="s">
        <v>108</v>
      </c>
      <c r="D24" t="str">
        <f>IF(F24&lt;&gt;"",VLOOKUP(F24,PHA4GEVars!$A$7:$B$241,2,FALSE),"")</f>
        <v>Sample collection and processing</v>
      </c>
      <c r="E24" t="s">
        <v>1869</v>
      </c>
      <c r="F24" t="s">
        <v>150</v>
      </c>
      <c r="G24" t="s">
        <v>245</v>
      </c>
      <c r="H24" t="s">
        <v>1214</v>
      </c>
      <c r="I24" t="s">
        <v>1484</v>
      </c>
      <c r="J24" t="s">
        <v>1492</v>
      </c>
      <c r="M24" s="5" t="s">
        <v>1304</v>
      </c>
    </row>
    <row r="25" spans="1:14" x14ac:dyDescent="0.2">
      <c r="A25">
        <v>271</v>
      </c>
      <c r="B25" t="b">
        <f t="shared" si="1"/>
        <v>1</v>
      </c>
      <c r="C25" t="s">
        <v>108</v>
      </c>
      <c r="D25" t="str">
        <f>IF(F25&lt;&gt;"",VLOOKUP(F25,PHA4GEVars!$A$7:$B$241,2,FALSE),"")</f>
        <v>Sample collection and processing</v>
      </c>
      <c r="E25" t="s">
        <v>1869</v>
      </c>
      <c r="F25" t="s">
        <v>150</v>
      </c>
      <c r="G25" t="s">
        <v>246</v>
      </c>
      <c r="H25" t="s">
        <v>1214</v>
      </c>
      <c r="I25" t="s">
        <v>1484</v>
      </c>
      <c r="J25" t="s">
        <v>1487</v>
      </c>
      <c r="M25" s="5" t="s">
        <v>1304</v>
      </c>
    </row>
    <row r="26" spans="1:14" x14ac:dyDescent="0.2">
      <c r="A26">
        <v>272</v>
      </c>
      <c r="B26" t="b">
        <f t="shared" si="1"/>
        <v>1</v>
      </c>
      <c r="C26" t="s">
        <v>108</v>
      </c>
      <c r="D26" t="str">
        <f>IF(F26&lt;&gt;"",VLOOKUP(F26,PHA4GEVars!$A$7:$B$241,2,FALSE),"")</f>
        <v>Sample collection and processing</v>
      </c>
      <c r="E26" t="s">
        <v>1869</v>
      </c>
      <c r="F26" t="s">
        <v>150</v>
      </c>
      <c r="G26" t="s">
        <v>247</v>
      </c>
      <c r="H26" t="s">
        <v>1214</v>
      </c>
      <c r="I26" t="s">
        <v>1484</v>
      </c>
      <c r="J26" t="s">
        <v>1490</v>
      </c>
      <c r="M26" s="5" t="s">
        <v>1304</v>
      </c>
    </row>
    <row r="27" spans="1:14" x14ac:dyDescent="0.2">
      <c r="A27">
        <v>273</v>
      </c>
      <c r="B27" t="b">
        <f t="shared" si="1"/>
        <v>1</v>
      </c>
      <c r="C27" t="s">
        <v>108</v>
      </c>
      <c r="D27" t="str">
        <f>IF(F27&lt;&gt;"",VLOOKUP(F27,PHA4GEVars!$A$7:$B$241,2,FALSE),"")</f>
        <v>Sample collection and processing</v>
      </c>
      <c r="E27" t="s">
        <v>1869</v>
      </c>
      <c r="F27" t="s">
        <v>150</v>
      </c>
      <c r="G27" t="s">
        <v>248</v>
      </c>
      <c r="H27" t="s">
        <v>1214</v>
      </c>
      <c r="I27" t="s">
        <v>1484</v>
      </c>
      <c r="J27" t="s">
        <v>1493</v>
      </c>
      <c r="M27" s="5" t="s">
        <v>1304</v>
      </c>
    </row>
    <row r="28" spans="1:14" x14ac:dyDescent="0.2">
      <c r="A28">
        <v>274</v>
      </c>
      <c r="B28" t="b">
        <f t="shared" si="1"/>
        <v>1</v>
      </c>
      <c r="C28" t="s">
        <v>108</v>
      </c>
      <c r="D28" t="str">
        <f>IF(F28&lt;&gt;"",VLOOKUP(F28,PHA4GEVars!$A$7:$B$241,2,FALSE),"")</f>
        <v>Sample collection and processing</v>
      </c>
      <c r="E28" t="s">
        <v>1869</v>
      </c>
      <c r="F28" t="s">
        <v>150</v>
      </c>
      <c r="G28" t="s">
        <v>1959</v>
      </c>
      <c r="H28" t="s">
        <v>1214</v>
      </c>
      <c r="I28" t="s">
        <v>1484</v>
      </c>
      <c r="J28" t="s">
        <v>1486</v>
      </c>
      <c r="M28" s="5" t="s">
        <v>1304</v>
      </c>
    </row>
    <row r="29" spans="1:14" x14ac:dyDescent="0.2">
      <c r="A29">
        <v>275</v>
      </c>
      <c r="B29" t="b">
        <f t="shared" si="1"/>
        <v>1</v>
      </c>
      <c r="C29" t="s">
        <v>108</v>
      </c>
      <c r="D29" t="str">
        <f>IF(F29&lt;&gt;"",VLOOKUP(F29,PHA4GEVars!$A$7:$B$241,2,FALSE),"")</f>
        <v>Sample collection and processing</v>
      </c>
      <c r="E29" t="s">
        <v>1869</v>
      </c>
      <c r="F29" t="s">
        <v>150</v>
      </c>
      <c r="G29" t="s">
        <v>1963</v>
      </c>
      <c r="H29" t="s">
        <v>1214</v>
      </c>
      <c r="I29" t="s">
        <v>1484</v>
      </c>
      <c r="J29" t="s">
        <v>1489</v>
      </c>
      <c r="M29" s="5" t="s">
        <v>1304</v>
      </c>
    </row>
    <row r="30" spans="1:14" x14ac:dyDescent="0.2">
      <c r="D30" t="str">
        <f>IF(F30&lt;&gt;"",VLOOKUP(F30,PHA4GEVars!$A$7:$B$241,2,FALSE),"")</f>
        <v/>
      </c>
    </row>
    <row r="31" spans="1:14" x14ac:dyDescent="0.2">
      <c r="A31">
        <v>325</v>
      </c>
      <c r="B31" t="b">
        <f>IF(OR(G31="NA",H31="wide_value"),"",TRUE)</f>
        <v>1</v>
      </c>
      <c r="C31" t="s">
        <v>108</v>
      </c>
      <c r="D31" t="str">
        <f>IF(F31&lt;&gt;"",VLOOKUP(F31,PHA4GEVars!$A$7:$B$241,2,FALSE),"")</f>
        <v>Sample collection and processing</v>
      </c>
      <c r="E31" t="s">
        <v>1869</v>
      </c>
      <c r="F31" t="s">
        <v>1113</v>
      </c>
      <c r="G31" t="s">
        <v>1162</v>
      </c>
      <c r="H31" t="s">
        <v>1214</v>
      </c>
      <c r="I31" t="s">
        <v>1551</v>
      </c>
      <c r="J31" t="s">
        <v>1552</v>
      </c>
    </row>
    <row r="32" spans="1:14" x14ac:dyDescent="0.2">
      <c r="A32">
        <v>326</v>
      </c>
      <c r="B32" t="b">
        <f>IF(OR(G32="NA",H32="wide_value"),"",TRUE)</f>
        <v>1</v>
      </c>
      <c r="C32" t="s">
        <v>108</v>
      </c>
      <c r="D32" t="str">
        <f>IF(F32&lt;&gt;"",VLOOKUP(F32,PHA4GEVars!$A$7:$B$241,2,FALSE),"")</f>
        <v>Sample collection and processing</v>
      </c>
      <c r="E32" t="s">
        <v>1869</v>
      </c>
      <c r="F32" t="s">
        <v>1113</v>
      </c>
      <c r="G32" t="s">
        <v>1163</v>
      </c>
      <c r="H32" t="s">
        <v>1214</v>
      </c>
      <c r="I32" t="s">
        <v>1551</v>
      </c>
      <c r="J32" t="s">
        <v>1553</v>
      </c>
    </row>
    <row r="33" spans="1:14" x14ac:dyDescent="0.2">
      <c r="A33">
        <v>327</v>
      </c>
      <c r="B33" t="b">
        <f>IF(OR(G33="NA",H33="wide_value"),"",TRUE)</f>
        <v>1</v>
      </c>
      <c r="C33" t="s">
        <v>108</v>
      </c>
      <c r="D33" t="str">
        <f>IF(F33&lt;&gt;"",VLOOKUP(F33,PHA4GEVars!$A$7:$B$241,2,FALSE),"")</f>
        <v>Sample collection and processing</v>
      </c>
      <c r="E33" t="s">
        <v>1869</v>
      </c>
      <c r="F33" t="s">
        <v>1113</v>
      </c>
      <c r="G33" t="s">
        <v>208</v>
      </c>
      <c r="H33" t="s">
        <v>1214</v>
      </c>
      <c r="I33" t="s">
        <v>1551</v>
      </c>
      <c r="J33" t="s">
        <v>1554</v>
      </c>
    </row>
    <row r="34" spans="1:14" x14ac:dyDescent="0.2">
      <c r="A34">
        <v>328</v>
      </c>
      <c r="B34" t="b">
        <f>IF(OR(G34="NA",H34="wide_value"),"",TRUE)</f>
        <v>1</v>
      </c>
      <c r="C34" t="s">
        <v>108</v>
      </c>
      <c r="D34" t="str">
        <f>IF(F34&lt;&gt;"",VLOOKUP(F34,PHA4GEVars!$A$7:$B$241,2,FALSE),"")</f>
        <v>Sample collection and processing</v>
      </c>
      <c r="E34" t="s">
        <v>1869</v>
      </c>
      <c r="F34" t="s">
        <v>1113</v>
      </c>
      <c r="G34" t="s">
        <v>209</v>
      </c>
      <c r="H34" t="s">
        <v>1214</v>
      </c>
      <c r="I34" t="s">
        <v>1551</v>
      </c>
      <c r="J34" t="s">
        <v>1555</v>
      </c>
    </row>
    <row r="35" spans="1:14" x14ac:dyDescent="0.2">
      <c r="C35" s="28"/>
      <c r="D35" t="str">
        <f>IF(F35&lt;&gt;"",VLOOKUP(F35,PHA4GEVars!$A$7:$B$241,2,FALSE),"")</f>
        <v/>
      </c>
      <c r="E35" s="28"/>
      <c r="F35" s="28"/>
      <c r="G35" s="28"/>
      <c r="H35" s="28"/>
      <c r="I35" s="28"/>
      <c r="J35" s="28"/>
    </row>
    <row r="36" spans="1:14" x14ac:dyDescent="0.2">
      <c r="A36">
        <v>622</v>
      </c>
      <c r="C36" t="s">
        <v>108</v>
      </c>
      <c r="D36" t="str">
        <f>IF(F36&lt;&gt;"",VLOOKUP(F36,PHA4GEVars!$A$7:$B$241,2,FALSE),"")</f>
        <v>Sample collection and processing</v>
      </c>
      <c r="E36" t="s">
        <v>1869</v>
      </c>
      <c r="F36" t="s">
        <v>148</v>
      </c>
      <c r="G36" t="s">
        <v>168</v>
      </c>
      <c r="H36" t="s">
        <v>1214</v>
      </c>
      <c r="I36" t="s">
        <v>1303</v>
      </c>
      <c r="J36" t="s">
        <v>1309</v>
      </c>
      <c r="M36" s="5" t="s">
        <v>1307</v>
      </c>
      <c r="N36" s="30" t="s">
        <v>1935</v>
      </c>
    </row>
    <row r="37" spans="1:14" x14ac:dyDescent="0.2">
      <c r="A37">
        <v>623</v>
      </c>
      <c r="C37" t="s">
        <v>108</v>
      </c>
      <c r="D37" t="str">
        <f>IF(F37&lt;&gt;"",VLOOKUP(F37,PHA4GEVars!$A$7:$B$241,2,FALSE),"")</f>
        <v>Sample collection and processing</v>
      </c>
      <c r="E37" t="s">
        <v>1869</v>
      </c>
      <c r="F37" t="s">
        <v>148</v>
      </c>
      <c r="G37" t="s">
        <v>169</v>
      </c>
      <c r="H37" t="s">
        <v>1214</v>
      </c>
      <c r="I37" t="s">
        <v>1303</v>
      </c>
      <c r="J37" t="s">
        <v>1310</v>
      </c>
      <c r="M37" s="5" t="s">
        <v>1307</v>
      </c>
      <c r="N37" s="30" t="s">
        <v>1935</v>
      </c>
    </row>
    <row r="38" spans="1:14" x14ac:dyDescent="0.2">
      <c r="A38">
        <v>624</v>
      </c>
      <c r="C38" t="s">
        <v>108</v>
      </c>
      <c r="D38" t="str">
        <f>IF(F38&lt;&gt;"",VLOOKUP(F38,PHA4GEVars!$A$7:$B$241,2,FALSE),"")</f>
        <v>Sample collection and processing</v>
      </c>
      <c r="E38" t="s">
        <v>1869</v>
      </c>
      <c r="F38" t="s">
        <v>148</v>
      </c>
      <c r="G38" t="s">
        <v>170</v>
      </c>
      <c r="H38" t="s">
        <v>1214</v>
      </c>
      <c r="I38" t="s">
        <v>1303</v>
      </c>
      <c r="J38" t="s">
        <v>1311</v>
      </c>
      <c r="M38" s="5" t="s">
        <v>1307</v>
      </c>
      <c r="N38" s="30" t="s">
        <v>1935</v>
      </c>
    </row>
    <row r="39" spans="1:14" x14ac:dyDescent="0.2">
      <c r="A39">
        <v>625</v>
      </c>
      <c r="C39" t="s">
        <v>108</v>
      </c>
      <c r="D39" t="str">
        <f>IF(F39&lt;&gt;"",VLOOKUP(F39,PHA4GEVars!$A$7:$B$241,2,FALSE),"")</f>
        <v>Sample collection and processing</v>
      </c>
      <c r="E39" t="s">
        <v>1869</v>
      </c>
      <c r="F39" t="s">
        <v>148</v>
      </c>
      <c r="G39" t="s">
        <v>171</v>
      </c>
      <c r="H39" t="s">
        <v>1214</v>
      </c>
      <c r="I39" t="s">
        <v>1303</v>
      </c>
      <c r="J39" t="s">
        <v>1306</v>
      </c>
      <c r="M39" s="5" t="s">
        <v>1307</v>
      </c>
      <c r="N39" s="30" t="s">
        <v>1935</v>
      </c>
    </row>
    <row r="40" spans="1:14" x14ac:dyDescent="0.2">
      <c r="A40">
        <v>626</v>
      </c>
      <c r="C40" t="s">
        <v>108</v>
      </c>
      <c r="D40" t="str">
        <f>IF(F40&lt;&gt;"",VLOOKUP(F40,PHA4GEVars!$A$7:$B$241,2,FALSE),"")</f>
        <v>Sample collection and processing</v>
      </c>
      <c r="E40" t="s">
        <v>1869</v>
      </c>
      <c r="F40" t="s">
        <v>148</v>
      </c>
      <c r="G40" t="s">
        <v>172</v>
      </c>
      <c r="H40" t="s">
        <v>1214</v>
      </c>
      <c r="I40" t="s">
        <v>1303</v>
      </c>
      <c r="J40" t="s">
        <v>1312</v>
      </c>
      <c r="M40" s="5" t="s">
        <v>1304</v>
      </c>
      <c r="N40" s="30" t="s">
        <v>1935</v>
      </c>
    </row>
    <row r="41" spans="1:14" x14ac:dyDescent="0.2">
      <c r="A41">
        <v>627</v>
      </c>
      <c r="C41" t="s">
        <v>108</v>
      </c>
      <c r="D41" t="str">
        <f>IF(F41&lt;&gt;"",VLOOKUP(F41,PHA4GEVars!$A$7:$B$241,2,FALSE),"")</f>
        <v>Sample collection and processing</v>
      </c>
      <c r="E41" t="s">
        <v>1869</v>
      </c>
      <c r="F41" t="s">
        <v>148</v>
      </c>
      <c r="G41" t="s">
        <v>173</v>
      </c>
      <c r="H41" t="s">
        <v>1214</v>
      </c>
      <c r="I41" t="s">
        <v>1303</v>
      </c>
      <c r="J41" t="s">
        <v>1313</v>
      </c>
      <c r="M41" s="5" t="s">
        <v>1304</v>
      </c>
      <c r="N41" s="30" t="s">
        <v>1935</v>
      </c>
    </row>
    <row r="42" spans="1:14" x14ac:dyDescent="0.2">
      <c r="A42">
        <v>628</v>
      </c>
      <c r="C42" t="s">
        <v>108</v>
      </c>
      <c r="D42" t="str">
        <f>IF(F42&lt;&gt;"",VLOOKUP(F42,PHA4GEVars!$A$7:$B$241,2,FALSE),"")</f>
        <v>Sample collection and processing</v>
      </c>
      <c r="E42" t="s">
        <v>1869</v>
      </c>
      <c r="F42" t="s">
        <v>148</v>
      </c>
      <c r="G42" t="s">
        <v>174</v>
      </c>
      <c r="H42" t="s">
        <v>1214</v>
      </c>
      <c r="I42" t="s">
        <v>1303</v>
      </c>
      <c r="J42" t="s">
        <v>1308</v>
      </c>
      <c r="M42" s="5" t="s">
        <v>1304</v>
      </c>
      <c r="N42" s="30" t="s">
        <v>1935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11C28-487C-5043-9CF2-96D54102B26B}">
  <dimension ref="A1:L8"/>
  <sheetViews>
    <sheetView workbookViewId="0">
      <pane ySplit="1" topLeftCell="A2" activePane="bottomLeft" state="frozen"/>
      <selection pane="bottomLeft" activeCell="L8" sqref="L8"/>
    </sheetView>
  </sheetViews>
  <sheetFormatPr baseColWidth="10" defaultColWidth="10.6640625" defaultRowHeight="16" x14ac:dyDescent="0.2"/>
  <cols>
    <col min="1" max="1" width="9.1640625" customWidth="1"/>
    <col min="2" max="2" width="27.6640625" bestFit="1" customWidth="1"/>
    <col min="3" max="3" width="15.5" customWidth="1"/>
    <col min="4" max="4" width="13.83203125" customWidth="1"/>
    <col min="5" max="5" width="15.33203125" customWidth="1"/>
    <col min="6" max="6" width="18.1640625" customWidth="1"/>
    <col min="7" max="7" width="13.83203125" customWidth="1"/>
    <col min="8" max="8" width="26" customWidth="1"/>
    <col min="9" max="9" width="30.33203125" customWidth="1"/>
    <col min="10" max="10" width="18.1640625" customWidth="1"/>
    <col min="11" max="11" width="27.5" customWidth="1"/>
    <col min="12" max="12" width="10" customWidth="1"/>
  </cols>
  <sheetData>
    <row r="1" spans="1:12" s="30" customFormat="1" x14ac:dyDescent="0.2">
      <c r="A1" s="30" t="s">
        <v>0</v>
      </c>
      <c r="B1" s="30" t="s">
        <v>1883</v>
      </c>
      <c r="C1" s="29" t="s">
        <v>1</v>
      </c>
      <c r="D1" s="29" t="s">
        <v>2</v>
      </c>
      <c r="E1" s="29" t="s">
        <v>3</v>
      </c>
      <c r="F1" s="29" t="s">
        <v>4</v>
      </c>
      <c r="G1" s="29" t="s">
        <v>1042</v>
      </c>
      <c r="H1" s="29" t="s">
        <v>1841</v>
      </c>
      <c r="I1" s="29" t="s">
        <v>1842</v>
      </c>
      <c r="J1" s="29" t="s">
        <v>1843</v>
      </c>
      <c r="K1" s="29" t="s">
        <v>1844</v>
      </c>
      <c r="L1" s="29" t="s">
        <v>9</v>
      </c>
    </row>
    <row r="2" spans="1:12" x14ac:dyDescent="0.2">
      <c r="A2" t="b">
        <v>1</v>
      </c>
      <c r="B2" t="str">
        <f>IF(D2&lt;&gt;"",VLOOKUP(D2,PHA4GEVars!$A$7:$B$241,2,FALSE),"")</f>
        <v>Database identifiers</v>
      </c>
      <c r="C2" t="s">
        <v>1869</v>
      </c>
      <c r="D2" t="s">
        <v>1101</v>
      </c>
      <c r="F2" t="s">
        <v>1840</v>
      </c>
      <c r="I2" t="s">
        <v>1716</v>
      </c>
      <c r="J2" t="s">
        <v>1845</v>
      </c>
      <c r="K2" t="s">
        <v>1216</v>
      </c>
    </row>
    <row r="3" spans="1:12" x14ac:dyDescent="0.2">
      <c r="A3" t="b">
        <v>1</v>
      </c>
      <c r="B3" t="str">
        <f>IF(D3&lt;&gt;"",VLOOKUP(D3,PHA4GEVars!$A$7:$B$241,2,FALSE),"")</f>
        <v>Database identifiers</v>
      </c>
      <c r="C3" t="s">
        <v>1869</v>
      </c>
      <c r="D3" t="s">
        <v>151</v>
      </c>
      <c r="F3" t="s">
        <v>1840</v>
      </c>
      <c r="I3" t="s">
        <v>1216</v>
      </c>
      <c r="J3" t="s">
        <v>1845</v>
      </c>
      <c r="K3" t="s">
        <v>1717</v>
      </c>
    </row>
    <row r="4" spans="1:12" x14ac:dyDescent="0.2">
      <c r="A4" t="b">
        <v>1</v>
      </c>
      <c r="B4" t="str">
        <f>IF(D4&lt;&gt;"",VLOOKUP(D4,PHA4GEVars!$A$7:$B$241,2,FALSE),"")</f>
        <v>Database identifiers</v>
      </c>
      <c r="C4" t="s">
        <v>1869</v>
      </c>
      <c r="D4" t="s">
        <v>141</v>
      </c>
      <c r="F4" t="s">
        <v>1840</v>
      </c>
      <c r="I4" t="s">
        <v>1715</v>
      </c>
      <c r="J4" t="s">
        <v>1845</v>
      </c>
      <c r="K4" t="s">
        <v>1216</v>
      </c>
    </row>
    <row r="5" spans="1:12" s="30" customFormat="1" x14ac:dyDescent="0.2">
      <c r="A5" s="30" t="b">
        <v>1</v>
      </c>
      <c r="B5" s="30" t="str">
        <f>IF(D5&lt;&gt;"",VLOOKUP(D5,PHA4GEVars!$A$7:$B$241,2,FALSE),"")</f>
        <v>Strain and isolation information</v>
      </c>
      <c r="C5" s="30" t="s">
        <v>1869</v>
      </c>
      <c r="D5" s="30" t="s">
        <v>1121</v>
      </c>
      <c r="F5" s="30" t="s">
        <v>1840</v>
      </c>
      <c r="I5" s="30" t="s">
        <v>1685</v>
      </c>
      <c r="J5" s="30" t="s">
        <v>1845</v>
      </c>
      <c r="K5" s="30" t="s">
        <v>1216</v>
      </c>
      <c r="L5" s="30" t="s">
        <v>1847</v>
      </c>
    </row>
    <row r="6" spans="1:12" s="30" customFormat="1" x14ac:dyDescent="0.2">
      <c r="A6" s="30" t="b">
        <v>1</v>
      </c>
      <c r="B6" s="30" t="str">
        <f>IF(D6&lt;&gt;"",VLOOKUP(D6,PHA4GEVars!$A$7:$B$241,2,FALSE),"")</f>
        <v>Strain and isolation information</v>
      </c>
      <c r="C6" s="30" t="s">
        <v>1869</v>
      </c>
      <c r="D6" s="30" t="s">
        <v>1120</v>
      </c>
      <c r="F6" s="30" t="s">
        <v>1840</v>
      </c>
      <c r="I6" s="30" t="s">
        <v>1686</v>
      </c>
      <c r="J6" s="30" t="s">
        <v>1845</v>
      </c>
      <c r="K6" s="30" t="s">
        <v>1216</v>
      </c>
      <c r="L6" s="30" t="s">
        <v>1847</v>
      </c>
    </row>
    <row r="7" spans="1:12" s="30" customFormat="1" x14ac:dyDescent="0.2">
      <c r="A7" s="30" t="b">
        <v>1</v>
      </c>
      <c r="B7" s="30" t="str">
        <f>IF(D7&lt;&gt;"",VLOOKUP(D7,PHA4GEVars!$A$7:$B$241,2,FALSE),"")</f>
        <v>Strain and isolation information</v>
      </c>
      <c r="C7" s="30" t="s">
        <v>1869</v>
      </c>
      <c r="D7" s="30" t="s">
        <v>1120</v>
      </c>
      <c r="F7" s="30" t="s">
        <v>1840</v>
      </c>
      <c r="I7" s="30" t="s">
        <v>1686</v>
      </c>
      <c r="J7" s="30" t="s">
        <v>1846</v>
      </c>
      <c r="K7" s="30" t="s">
        <v>1685</v>
      </c>
      <c r="L7" s="30" t="s">
        <v>1847</v>
      </c>
    </row>
    <row r="8" spans="1:12" s="30" customFormat="1" x14ac:dyDescent="0.2">
      <c r="A8" s="30" t="b">
        <v>1</v>
      </c>
      <c r="B8" s="30" t="str">
        <f>IF(D8&lt;&gt;"",VLOOKUP(D8,PHA4GEVars!$A$7:$B$241,2,FALSE),"")</f>
        <v>Strain and isolation information</v>
      </c>
      <c r="C8" s="30" t="s">
        <v>1869</v>
      </c>
      <c r="D8" s="30" t="s">
        <v>1122</v>
      </c>
      <c r="F8" s="30" t="s">
        <v>1840</v>
      </c>
      <c r="I8" s="30" t="s">
        <v>1693</v>
      </c>
      <c r="J8" s="30" t="s">
        <v>1845</v>
      </c>
      <c r="K8" s="30" t="s">
        <v>1216</v>
      </c>
      <c r="L8" s="30" t="s">
        <v>1847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EACBA-EA3F-A149-88D0-2C7A38DAFA93}">
  <dimension ref="A1:O1"/>
  <sheetViews>
    <sheetView workbookViewId="0">
      <pane ySplit="1" topLeftCell="A2" activePane="bottomLeft" state="frozen"/>
      <selection pane="bottomLeft" activeCell="D13" sqref="D13"/>
    </sheetView>
  </sheetViews>
  <sheetFormatPr baseColWidth="10" defaultRowHeight="16" x14ac:dyDescent="0.2"/>
  <cols>
    <col min="1" max="1" width="9.33203125" customWidth="1"/>
    <col min="2" max="2" width="15" customWidth="1"/>
    <col min="3" max="3" width="10.5" customWidth="1"/>
    <col min="4" max="4" width="17.6640625" customWidth="1"/>
    <col min="5" max="5" width="13" customWidth="1"/>
    <col min="6" max="6" width="36" customWidth="1"/>
    <col min="7" max="7" width="13.1640625" customWidth="1"/>
    <col min="8" max="8" width="12" style="41" customWidth="1"/>
    <col min="9" max="9" width="10.1640625" style="41" customWidth="1"/>
    <col min="10" max="10" width="10.5" customWidth="1"/>
    <col min="11" max="11" width="18" customWidth="1"/>
    <col min="12" max="12" width="7.5" customWidth="1"/>
    <col min="13" max="13" width="12.6640625" customWidth="1"/>
    <col min="14" max="14" width="32.5" customWidth="1"/>
    <col min="15" max="15" width="13" customWidth="1"/>
  </cols>
  <sheetData>
    <row r="1" spans="1:15" s="30" customFormat="1" x14ac:dyDescent="0.2">
      <c r="A1" s="29" t="s">
        <v>1443</v>
      </c>
      <c r="B1" s="29" t="s">
        <v>1772</v>
      </c>
      <c r="C1" s="29" t="s">
        <v>0</v>
      </c>
      <c r="D1" s="29" t="s">
        <v>10</v>
      </c>
      <c r="E1" s="29" t="s">
        <v>1</v>
      </c>
      <c r="F1" s="29" t="s">
        <v>2</v>
      </c>
      <c r="G1" s="29" t="s">
        <v>3</v>
      </c>
      <c r="H1" s="43" t="s">
        <v>4</v>
      </c>
      <c r="I1" s="43" t="s">
        <v>1801</v>
      </c>
      <c r="J1" s="29" t="s">
        <v>5</v>
      </c>
      <c r="K1" s="29" t="s">
        <v>6</v>
      </c>
      <c r="L1" s="29" t="s">
        <v>1779</v>
      </c>
      <c r="M1" s="29" t="s">
        <v>8</v>
      </c>
      <c r="N1" s="29" t="s">
        <v>9</v>
      </c>
      <c r="O1" s="29" t="s">
        <v>1770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AEF06-3FE8-3D4D-A58A-7FC91FF23CF7}">
  <dimension ref="A1:J12"/>
  <sheetViews>
    <sheetView workbookViewId="0">
      <pane ySplit="1" topLeftCell="A2" activePane="bottomLeft" state="frozen"/>
      <selection pane="bottomLeft" activeCell="I11" sqref="I11"/>
    </sheetView>
  </sheetViews>
  <sheetFormatPr baseColWidth="10" defaultRowHeight="16" x14ac:dyDescent="0.2"/>
  <cols>
    <col min="3" max="3" width="15.5" customWidth="1"/>
    <col min="4" max="4" width="36" customWidth="1"/>
    <col min="5" max="5" width="15.33203125" customWidth="1"/>
    <col min="6" max="6" width="15" customWidth="1"/>
    <col min="7" max="7" width="14.83203125" customWidth="1"/>
    <col min="8" max="8" width="28.33203125" customWidth="1"/>
    <col min="9" max="9" width="38.1640625" customWidth="1"/>
    <col min="10" max="10" width="10" customWidth="1"/>
  </cols>
  <sheetData>
    <row r="1" spans="1:10" s="30" customFormat="1" x14ac:dyDescent="0.2">
      <c r="A1" s="30" t="s">
        <v>0</v>
      </c>
      <c r="B1" s="30" t="s">
        <v>1883</v>
      </c>
      <c r="C1" s="29" t="s">
        <v>1</v>
      </c>
      <c r="D1" s="29" t="s">
        <v>2</v>
      </c>
      <c r="E1" s="29" t="s">
        <v>3</v>
      </c>
      <c r="F1" s="29" t="s">
        <v>4</v>
      </c>
      <c r="G1" s="29" t="s">
        <v>1763</v>
      </c>
      <c r="H1" s="29" t="s">
        <v>1042</v>
      </c>
      <c r="I1" s="29" t="s">
        <v>1749</v>
      </c>
      <c r="J1" s="29" t="s">
        <v>9</v>
      </c>
    </row>
    <row r="2" spans="1:10" x14ac:dyDescent="0.2">
      <c r="B2" t="str">
        <f>IF(D2&lt;&gt;"",VLOOKUP(D2,PHA4GEVars!$A$7:$B$241,2,FALSE),"")</f>
        <v>Database identifiers</v>
      </c>
      <c r="C2" s="28" t="s">
        <v>1869</v>
      </c>
      <c r="D2" s="28" t="s">
        <v>67</v>
      </c>
      <c r="E2" s="28"/>
      <c r="F2" s="28" t="s">
        <v>1192</v>
      </c>
      <c r="G2" s="28" t="s">
        <v>1193</v>
      </c>
      <c r="H2" s="29"/>
      <c r="I2" s="28" t="s">
        <v>1203</v>
      </c>
      <c r="J2" s="29"/>
    </row>
    <row r="3" spans="1:10" x14ac:dyDescent="0.2">
      <c r="B3" t="str">
        <f>IF(D3&lt;&gt;"",VLOOKUP(D3,PHA4GEVars!$A$7:$B$241,2,FALSE),"")</f>
        <v>Database identifiers</v>
      </c>
      <c r="C3" s="28" t="s">
        <v>1869</v>
      </c>
      <c r="D3" s="28" t="s">
        <v>68</v>
      </c>
      <c r="E3" s="28"/>
      <c r="F3" s="28" t="s">
        <v>1192</v>
      </c>
      <c r="G3" s="28" t="s">
        <v>1193</v>
      </c>
      <c r="H3" s="29"/>
      <c r="I3" s="28" t="s">
        <v>1204</v>
      </c>
      <c r="J3" s="29"/>
    </row>
    <row r="4" spans="1:10" x14ac:dyDescent="0.2">
      <c r="B4" t="e">
        <f>IF(D4&lt;&gt;"",VLOOKUP(D4,PHA4GEVars!$A$7:$B$241,2,FALSE),"")</f>
        <v>#N/A</v>
      </c>
      <c r="C4" s="28" t="s">
        <v>1869</v>
      </c>
      <c r="D4" s="28" t="s">
        <v>73</v>
      </c>
      <c r="E4" s="28"/>
      <c r="F4" s="28" t="s">
        <v>1192</v>
      </c>
      <c r="G4" s="28" t="s">
        <v>1194</v>
      </c>
      <c r="H4" s="29"/>
      <c r="I4" s="28" t="s">
        <v>1205</v>
      </c>
      <c r="J4" s="29"/>
    </row>
    <row r="5" spans="1:10" x14ac:dyDescent="0.2">
      <c r="B5" t="str">
        <f>IF(D5&lt;&gt;"",VLOOKUP(D5,PHA4GEVars!$A$7:$B$241,2,FALSE),"")</f>
        <v>Database identifiers</v>
      </c>
      <c r="C5" s="28" t="s">
        <v>1869</v>
      </c>
      <c r="D5" s="28" t="s">
        <v>78</v>
      </c>
      <c r="E5" s="28"/>
      <c r="F5" s="28" t="s">
        <v>1192</v>
      </c>
      <c r="G5" s="28" t="s">
        <v>1195</v>
      </c>
      <c r="H5" s="29"/>
      <c r="I5" s="28" t="s">
        <v>1206</v>
      </c>
      <c r="J5" s="29"/>
    </row>
    <row r="6" spans="1:10" x14ac:dyDescent="0.2">
      <c r="B6" t="str">
        <f>IF(D6&lt;&gt;"",VLOOKUP(D6,PHA4GEVars!$A$7:$B$241,2,FALSE),"")</f>
        <v>Database identifiers</v>
      </c>
      <c r="C6" s="28" t="s">
        <v>1869</v>
      </c>
      <c r="D6" s="28" t="s">
        <v>79</v>
      </c>
      <c r="E6" s="28"/>
      <c r="F6" s="28" t="s">
        <v>1192</v>
      </c>
      <c r="G6" s="28" t="s">
        <v>1196</v>
      </c>
      <c r="H6" s="29"/>
      <c r="I6" s="28" t="s">
        <v>1207</v>
      </c>
      <c r="J6" s="29"/>
    </row>
    <row r="7" spans="1:10" x14ac:dyDescent="0.2">
      <c r="B7" t="str">
        <f>IF(D7&lt;&gt;"",VLOOKUP(D7,PHA4GEVars!$A$7:$B$241,2,FALSE),"")</f>
        <v>Database identifiers</v>
      </c>
      <c r="C7" s="28" t="s">
        <v>1869</v>
      </c>
      <c r="D7" s="28" t="s">
        <v>80</v>
      </c>
      <c r="E7" s="28"/>
      <c r="F7" s="28" t="s">
        <v>1192</v>
      </c>
      <c r="G7" s="28" t="s">
        <v>1197</v>
      </c>
      <c r="H7" s="29"/>
      <c r="I7" s="28" t="s">
        <v>1208</v>
      </c>
      <c r="J7" s="29"/>
    </row>
    <row r="8" spans="1:10" x14ac:dyDescent="0.2">
      <c r="B8" t="str">
        <f>IF(D8&lt;&gt;"",VLOOKUP(D8,PHA4GEVars!$A$7:$B$241,2,FALSE),"")</f>
        <v>Database identifiers</v>
      </c>
      <c r="C8" s="28" t="s">
        <v>1869</v>
      </c>
      <c r="D8" s="28" t="s">
        <v>82</v>
      </c>
      <c r="E8" s="28"/>
      <c r="F8" s="28" t="s">
        <v>1192</v>
      </c>
      <c r="G8" s="28" t="s">
        <v>1198</v>
      </c>
      <c r="H8" s="29"/>
      <c r="I8" s="28" t="s">
        <v>1209</v>
      </c>
      <c r="J8" s="29"/>
    </row>
    <row r="9" spans="1:10" x14ac:dyDescent="0.2">
      <c r="B9" t="str">
        <f>IF(D9&lt;&gt;"",VLOOKUP(D9,PHA4GEVars!$A$7:$B$241,2,FALSE),"")</f>
        <v>Database identifiers</v>
      </c>
      <c r="C9" s="28" t="s">
        <v>1869</v>
      </c>
      <c r="D9" s="28" t="s">
        <v>86</v>
      </c>
      <c r="E9" s="28"/>
      <c r="F9" s="28" t="s">
        <v>1192</v>
      </c>
      <c r="G9" s="28" t="s">
        <v>1199</v>
      </c>
      <c r="H9" s="28" t="s">
        <v>1764</v>
      </c>
      <c r="I9" s="28" t="s">
        <v>1210</v>
      </c>
      <c r="J9" s="29"/>
    </row>
    <row r="10" spans="1:10" x14ac:dyDescent="0.2">
      <c r="B10" t="str">
        <f>IF(D10&lt;&gt;"",VLOOKUP(D10,PHA4GEVars!$A$7:$B$241,2,FALSE),"")</f>
        <v>Database identifiers</v>
      </c>
      <c r="C10" s="28" t="s">
        <v>1869</v>
      </c>
      <c r="D10" s="28" t="s">
        <v>87</v>
      </c>
      <c r="E10" s="28"/>
      <c r="F10" s="28" t="s">
        <v>1192</v>
      </c>
      <c r="G10" s="28" t="s">
        <v>1200</v>
      </c>
      <c r="H10" s="29"/>
      <c r="I10" s="28" t="s">
        <v>1211</v>
      </c>
      <c r="J10" s="29"/>
    </row>
    <row r="11" spans="1:10" x14ac:dyDescent="0.2">
      <c r="B11" t="str">
        <f>IF(D11&lt;&gt;"",VLOOKUP(D11,PHA4GEVars!$A$7:$B$241,2,FALSE),"")</f>
        <v>Database identifiers</v>
      </c>
      <c r="C11" s="28" t="s">
        <v>1869</v>
      </c>
      <c r="D11" s="28" t="s">
        <v>90</v>
      </c>
      <c r="E11" s="28"/>
      <c r="F11" s="28" t="s">
        <v>1192</v>
      </c>
      <c r="G11" s="28" t="s">
        <v>1202</v>
      </c>
      <c r="H11" s="29"/>
      <c r="I11" s="28" t="s">
        <v>1212</v>
      </c>
      <c r="J11" s="29"/>
    </row>
    <row r="12" spans="1:10" x14ac:dyDescent="0.2">
      <c r="B12" t="str">
        <f>IF(D12&lt;&gt;"",VLOOKUP(D12,PHA4GEVars!$A$7:$B$241,2,FALSE),"")</f>
        <v>Database identifiers</v>
      </c>
      <c r="C12" s="28" t="s">
        <v>1869</v>
      </c>
      <c r="D12" s="28" t="s">
        <v>1890</v>
      </c>
      <c r="E12" s="28"/>
      <c r="F12" s="28" t="s">
        <v>1192</v>
      </c>
      <c r="G12" s="28" t="s">
        <v>1201</v>
      </c>
      <c r="H12" s="29"/>
      <c r="I12" s="28" t="s">
        <v>1213</v>
      </c>
      <c r="J12" s="2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FFD5-92F3-FD4F-93FB-9D30DA340366}">
  <dimension ref="A1:P10"/>
  <sheetViews>
    <sheetView workbookViewId="0">
      <selection activeCell="O10" sqref="O10"/>
    </sheetView>
  </sheetViews>
  <sheetFormatPr baseColWidth="10" defaultRowHeight="16" x14ac:dyDescent="0.2"/>
  <cols>
    <col min="1" max="1" width="9.33203125" customWidth="1"/>
    <col min="2" max="2" width="15" customWidth="1"/>
    <col min="3" max="3" width="10.5" customWidth="1"/>
    <col min="4" max="5" width="26.1640625" customWidth="1"/>
    <col min="6" max="6" width="13" customWidth="1"/>
    <col min="7" max="7" width="25" customWidth="1"/>
    <col min="8" max="8" width="34.5" customWidth="1"/>
    <col min="9" max="9" width="13" customWidth="1"/>
    <col min="10" max="10" width="6.6640625" customWidth="1"/>
    <col min="11" max="11" width="10.5" customWidth="1"/>
    <col min="12" max="12" width="20.83203125" customWidth="1"/>
    <col min="13" max="13" width="7.5" customWidth="1"/>
    <col min="14" max="14" width="12.6640625" customWidth="1"/>
    <col min="15" max="15" width="62.33203125" customWidth="1"/>
    <col min="16" max="16" width="13" customWidth="1"/>
  </cols>
  <sheetData>
    <row r="1" spans="1:16" ht="20" thickBot="1" x14ac:dyDescent="0.3">
      <c r="A1" s="18" t="s">
        <v>1443</v>
      </c>
      <c r="B1" s="19" t="s">
        <v>1772</v>
      </c>
      <c r="C1" s="12" t="s">
        <v>0</v>
      </c>
      <c r="D1" s="11" t="s">
        <v>10</v>
      </c>
      <c r="E1" s="7" t="s">
        <v>1883</v>
      </c>
      <c r="F1" s="7" t="s">
        <v>1</v>
      </c>
      <c r="G1" s="7" t="s">
        <v>2</v>
      </c>
      <c r="H1" s="7" t="s">
        <v>3</v>
      </c>
      <c r="I1" s="7" t="s">
        <v>4</v>
      </c>
      <c r="J1" s="7" t="s">
        <v>1801</v>
      </c>
      <c r="K1" s="7" t="s">
        <v>5</v>
      </c>
      <c r="L1" s="7" t="s">
        <v>6</v>
      </c>
      <c r="M1" s="7" t="s">
        <v>1779</v>
      </c>
      <c r="N1" s="7" t="s">
        <v>8</v>
      </c>
      <c r="O1" s="8" t="s">
        <v>9</v>
      </c>
      <c r="P1" s="12" t="s">
        <v>1770</v>
      </c>
    </row>
    <row r="2" spans="1:16" x14ac:dyDescent="0.2">
      <c r="A2" s="18">
        <v>25</v>
      </c>
      <c r="B2" s="18"/>
      <c r="C2" s="10" t="b">
        <v>1</v>
      </c>
      <c r="D2" s="10" t="s">
        <v>11</v>
      </c>
      <c r="E2" t="str">
        <f>IF(G2&lt;&gt;"",VLOOKUP(G2,PHA4GEVars!$A$7:$B$241,2,FALSE),"")</f>
        <v>Bioinformatics and QC metrics</v>
      </c>
      <c r="F2" s="10" t="s">
        <v>1869</v>
      </c>
      <c r="G2" s="10" t="s">
        <v>102</v>
      </c>
      <c r="H2" s="10" t="s">
        <v>458</v>
      </c>
      <c r="I2" s="10" t="s">
        <v>1287</v>
      </c>
      <c r="J2" s="10"/>
      <c r="K2" s="10" t="s">
        <v>9</v>
      </c>
      <c r="L2" s="10" t="s">
        <v>1300</v>
      </c>
      <c r="M2" s="10"/>
      <c r="N2" s="10"/>
      <c r="O2" s="21" t="s">
        <v>1296</v>
      </c>
      <c r="P2" s="10" t="s">
        <v>1774</v>
      </c>
    </row>
    <row r="3" spans="1:16" x14ac:dyDescent="0.2">
      <c r="A3" s="22">
        <v>32</v>
      </c>
      <c r="B3" s="22"/>
      <c r="C3" s="22"/>
      <c r="D3" s="22" t="s">
        <v>11</v>
      </c>
      <c r="E3" t="str">
        <f>IF(G3&lt;&gt;"",VLOOKUP(G3,PHA4GEVars!$A$7:$B$241,2,FALSE),"")</f>
        <v>Bioinformatics and QC metrics</v>
      </c>
      <c r="F3" s="22" t="s">
        <v>1869</v>
      </c>
      <c r="G3" s="22" t="s">
        <v>103</v>
      </c>
      <c r="H3" s="22" t="s">
        <v>444</v>
      </c>
      <c r="I3" s="22" t="s">
        <v>1287</v>
      </c>
      <c r="J3" s="22"/>
      <c r="K3" s="22" t="s">
        <v>1286</v>
      </c>
      <c r="L3" s="22" t="s">
        <v>1288</v>
      </c>
      <c r="M3" s="22"/>
      <c r="N3" s="22"/>
      <c r="O3" s="21" t="s">
        <v>1296</v>
      </c>
      <c r="P3" s="22" t="s">
        <v>1774</v>
      </c>
    </row>
    <row r="4" spans="1:16" x14ac:dyDescent="0.2">
      <c r="A4" s="22">
        <v>33</v>
      </c>
      <c r="B4" s="22"/>
      <c r="C4" s="22"/>
      <c r="D4" s="22" t="s">
        <v>11</v>
      </c>
      <c r="E4" t="str">
        <f>IF(G4&lt;&gt;"",VLOOKUP(G4,PHA4GEVars!$A$7:$B$241,2,FALSE),"")</f>
        <v>Bioinformatics and QC metrics</v>
      </c>
      <c r="F4" s="22" t="s">
        <v>1869</v>
      </c>
      <c r="G4" s="22" t="s">
        <v>103</v>
      </c>
      <c r="H4" s="22" t="s">
        <v>445</v>
      </c>
      <c r="I4" s="22" t="s">
        <v>1287</v>
      </c>
      <c r="J4" s="22"/>
      <c r="K4" s="22" t="s">
        <v>1286</v>
      </c>
      <c r="L4" s="22" t="s">
        <v>1289</v>
      </c>
      <c r="M4" s="22"/>
      <c r="N4" s="22"/>
      <c r="O4" s="21" t="s">
        <v>1296</v>
      </c>
      <c r="P4" s="22" t="s">
        <v>1774</v>
      </c>
    </row>
    <row r="5" spans="1:16" x14ac:dyDescent="0.2">
      <c r="A5" s="22">
        <v>34</v>
      </c>
      <c r="B5" s="22"/>
      <c r="C5" s="22"/>
      <c r="D5" s="22" t="s">
        <v>11</v>
      </c>
      <c r="E5" t="str">
        <f>IF(G5&lt;&gt;"",VLOOKUP(G5,PHA4GEVars!$A$7:$B$241,2,FALSE),"")</f>
        <v>Bioinformatics and QC metrics</v>
      </c>
      <c r="F5" s="22" t="s">
        <v>1869</v>
      </c>
      <c r="G5" s="22" t="s">
        <v>103</v>
      </c>
      <c r="H5" s="22" t="s">
        <v>446</v>
      </c>
      <c r="I5" s="22" t="s">
        <v>1287</v>
      </c>
      <c r="J5" s="22"/>
      <c r="K5" s="22" t="s">
        <v>1286</v>
      </c>
      <c r="L5" s="22" t="s">
        <v>1290</v>
      </c>
      <c r="M5" s="22"/>
      <c r="N5" s="22"/>
      <c r="O5" s="21" t="s">
        <v>1296</v>
      </c>
      <c r="P5" s="22" t="s">
        <v>1774</v>
      </c>
    </row>
    <row r="6" spans="1:16" x14ac:dyDescent="0.2">
      <c r="A6" s="22">
        <v>35</v>
      </c>
      <c r="B6" s="22"/>
      <c r="C6" s="22"/>
      <c r="D6" s="22" t="s">
        <v>11</v>
      </c>
      <c r="E6" t="str">
        <f>IF(G6&lt;&gt;"",VLOOKUP(G6,PHA4GEVars!$A$7:$B$241,2,FALSE),"")</f>
        <v>Bioinformatics and QC metrics</v>
      </c>
      <c r="F6" s="22" t="s">
        <v>1869</v>
      </c>
      <c r="G6" s="22" t="s">
        <v>103</v>
      </c>
      <c r="H6" s="22" t="s">
        <v>447</v>
      </c>
      <c r="I6" s="22" t="s">
        <v>1287</v>
      </c>
      <c r="J6" s="22"/>
      <c r="K6" s="22" t="s">
        <v>1286</v>
      </c>
      <c r="L6" s="22" t="s">
        <v>1291</v>
      </c>
      <c r="M6" s="22"/>
      <c r="N6" s="22"/>
      <c r="O6" s="21" t="s">
        <v>1296</v>
      </c>
      <c r="P6" s="22" t="s">
        <v>1774</v>
      </c>
    </row>
    <row r="7" spans="1:16" x14ac:dyDescent="0.2">
      <c r="A7" s="22">
        <v>36</v>
      </c>
      <c r="B7" s="22"/>
      <c r="C7" s="22"/>
      <c r="D7" s="22" t="s">
        <v>11</v>
      </c>
      <c r="E7" t="str">
        <f>IF(G7&lt;&gt;"",VLOOKUP(G7,PHA4GEVars!$A$7:$B$241,2,FALSE),"")</f>
        <v>Bioinformatics and QC metrics</v>
      </c>
      <c r="F7" s="22" t="s">
        <v>1869</v>
      </c>
      <c r="G7" s="22" t="s">
        <v>103</v>
      </c>
      <c r="H7" s="22" t="s">
        <v>448</v>
      </c>
      <c r="I7" s="22" t="s">
        <v>1287</v>
      </c>
      <c r="J7" s="22"/>
      <c r="K7" s="22" t="s">
        <v>1286</v>
      </c>
      <c r="L7" s="22" t="s">
        <v>1292</v>
      </c>
      <c r="M7" s="22"/>
      <c r="N7" s="22"/>
      <c r="O7" s="21" t="s">
        <v>1296</v>
      </c>
      <c r="P7" s="22" t="s">
        <v>1774</v>
      </c>
    </row>
    <row r="8" spans="1:16" x14ac:dyDescent="0.2">
      <c r="A8" s="22">
        <v>37</v>
      </c>
      <c r="B8" s="22"/>
      <c r="C8" s="22"/>
      <c r="D8" s="22" t="s">
        <v>11</v>
      </c>
      <c r="E8" t="str">
        <f>IF(G8&lt;&gt;"",VLOOKUP(G8,PHA4GEVars!$A$7:$B$241,2,FALSE),"")</f>
        <v>Bioinformatics and QC metrics</v>
      </c>
      <c r="F8" s="22" t="s">
        <v>1869</v>
      </c>
      <c r="G8" s="22" t="s">
        <v>103</v>
      </c>
      <c r="H8" s="22" t="s">
        <v>449</v>
      </c>
      <c r="I8" s="22" t="s">
        <v>1287</v>
      </c>
      <c r="J8" s="22"/>
      <c r="K8" s="22" t="s">
        <v>1286</v>
      </c>
      <c r="L8" s="22" t="s">
        <v>1293</v>
      </c>
      <c r="M8" s="22"/>
      <c r="N8" s="22"/>
      <c r="O8" s="21" t="s">
        <v>1296</v>
      </c>
      <c r="P8" s="22" t="s">
        <v>1774</v>
      </c>
    </row>
    <row r="9" spans="1:16" x14ac:dyDescent="0.2">
      <c r="A9" s="22">
        <v>38</v>
      </c>
      <c r="B9" s="22"/>
      <c r="C9" s="22"/>
      <c r="D9" s="22" t="s">
        <v>11</v>
      </c>
      <c r="E9" t="str">
        <f>IF(G9&lt;&gt;"",VLOOKUP(G9,PHA4GEVars!$A$7:$B$241,2,FALSE),"")</f>
        <v>Bioinformatics and QC metrics</v>
      </c>
      <c r="F9" s="22" t="s">
        <v>1869</v>
      </c>
      <c r="G9" s="22" t="s">
        <v>103</v>
      </c>
      <c r="H9" s="22" t="s">
        <v>450</v>
      </c>
      <c r="I9" s="22" t="s">
        <v>1287</v>
      </c>
      <c r="J9" s="22"/>
      <c r="K9" s="22" t="s">
        <v>1286</v>
      </c>
      <c r="L9" s="22" t="s">
        <v>1294</v>
      </c>
      <c r="M9" s="22"/>
      <c r="N9" s="22"/>
      <c r="O9" s="21" t="s">
        <v>1296</v>
      </c>
      <c r="P9" s="22" t="s">
        <v>1774</v>
      </c>
    </row>
    <row r="10" spans="1:16" x14ac:dyDescent="0.2">
      <c r="A10" s="22">
        <v>39</v>
      </c>
      <c r="B10" s="22"/>
      <c r="C10" s="22"/>
      <c r="D10" s="22" t="s">
        <v>11</v>
      </c>
      <c r="E10" t="str">
        <f>IF(G10&lt;&gt;"",VLOOKUP(G10,PHA4GEVars!$A$7:$B$241,2,FALSE),"")</f>
        <v>Bioinformatics and QC metrics</v>
      </c>
      <c r="F10" s="22" t="s">
        <v>1869</v>
      </c>
      <c r="G10" s="22" t="s">
        <v>103</v>
      </c>
      <c r="H10" s="22" t="s">
        <v>451</v>
      </c>
      <c r="I10" s="22" t="s">
        <v>1287</v>
      </c>
      <c r="J10" s="22"/>
      <c r="K10" s="22" t="s">
        <v>1286</v>
      </c>
      <c r="L10" s="22" t="s">
        <v>1295</v>
      </c>
      <c r="M10" s="22"/>
      <c r="N10" s="22"/>
      <c r="O10" s="21" t="s">
        <v>1296</v>
      </c>
      <c r="P10" s="22" t="s">
        <v>1774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8103B-7A37-1241-A771-EA2606C94ABC}">
  <dimension ref="A1:P64"/>
  <sheetViews>
    <sheetView workbookViewId="0">
      <selection activeCell="G29" sqref="G29"/>
    </sheetView>
  </sheetViews>
  <sheetFormatPr baseColWidth="10" defaultColWidth="25.33203125" defaultRowHeight="16" x14ac:dyDescent="0.2"/>
  <cols>
    <col min="1" max="1" width="10.33203125" customWidth="1"/>
    <col min="7" max="7" width="44" bestFit="1" customWidth="1"/>
  </cols>
  <sheetData>
    <row r="1" spans="1:16" ht="20" thickBot="1" x14ac:dyDescent="0.3">
      <c r="A1" s="18" t="s">
        <v>1443</v>
      </c>
      <c r="B1" s="19" t="s">
        <v>1772</v>
      </c>
      <c r="C1" s="12" t="s">
        <v>0</v>
      </c>
      <c r="D1" s="11" t="s">
        <v>10</v>
      </c>
      <c r="E1" s="7" t="s">
        <v>1883</v>
      </c>
      <c r="F1" s="7" t="s">
        <v>1</v>
      </c>
      <c r="G1" s="7" t="s">
        <v>2</v>
      </c>
      <c r="H1" s="7" t="s">
        <v>3</v>
      </c>
      <c r="I1" s="7" t="s">
        <v>4</v>
      </c>
      <c r="J1" s="7" t="s">
        <v>1801</v>
      </c>
      <c r="K1" s="7" t="s">
        <v>5</v>
      </c>
      <c r="L1" s="7" t="s">
        <v>6</v>
      </c>
      <c r="M1" s="7" t="s">
        <v>1779</v>
      </c>
      <c r="N1" s="7" t="s">
        <v>8</v>
      </c>
      <c r="O1" s="8" t="s">
        <v>9</v>
      </c>
      <c r="P1" s="12" t="s">
        <v>1770</v>
      </c>
    </row>
    <row r="2" spans="1:16" x14ac:dyDescent="0.2">
      <c r="A2" s="18">
        <v>2</v>
      </c>
      <c r="B2" s="18"/>
      <c r="C2" s="10" t="b">
        <v>1</v>
      </c>
      <c r="D2" s="10" t="s">
        <v>1137</v>
      </c>
      <c r="E2" t="str">
        <f>IF(G2&lt;&gt;"",VLOOKUP(G2,PHA4GEVars!$A$7:$B$241,2,FALSE),"")</f>
        <v>AMR detection information</v>
      </c>
      <c r="F2" s="10" t="s">
        <v>1869</v>
      </c>
      <c r="G2" s="10" t="s">
        <v>1138</v>
      </c>
      <c r="H2" s="10" t="s">
        <v>458</v>
      </c>
      <c r="I2" s="24" t="s">
        <v>1263</v>
      </c>
      <c r="J2" s="24" t="s">
        <v>1061</v>
      </c>
      <c r="K2" s="10"/>
      <c r="L2" s="10"/>
      <c r="M2" s="10"/>
      <c r="N2" s="10"/>
      <c r="O2" s="21" t="s">
        <v>1595</v>
      </c>
      <c r="P2" s="10" t="s">
        <v>1771</v>
      </c>
    </row>
    <row r="3" spans="1:16" x14ac:dyDescent="0.2">
      <c r="A3" s="18">
        <v>3</v>
      </c>
      <c r="B3" s="18" t="b">
        <v>1</v>
      </c>
      <c r="C3" s="10" t="b">
        <v>1</v>
      </c>
      <c r="D3" s="10" t="s">
        <v>1137</v>
      </c>
      <c r="E3" t="str">
        <f>IF(G3&lt;&gt;"",VLOOKUP(G3,PHA4GEVars!$A$7:$B$241,2,FALSE),"")</f>
        <v>AMR detection information</v>
      </c>
      <c r="F3" s="10" t="s">
        <v>1869</v>
      </c>
      <c r="G3" s="10" t="s">
        <v>1139</v>
      </c>
      <c r="H3" s="10" t="s">
        <v>458</v>
      </c>
      <c r="I3" s="10" t="s">
        <v>1263</v>
      </c>
      <c r="J3" s="10"/>
      <c r="K3" s="10" t="s">
        <v>1596</v>
      </c>
      <c r="L3" s="10" t="s">
        <v>1742</v>
      </c>
      <c r="M3" s="10"/>
      <c r="N3" s="10"/>
      <c r="O3" s="21" t="s">
        <v>1597</v>
      </c>
      <c r="P3" s="10" t="s">
        <v>1771</v>
      </c>
    </row>
    <row r="4" spans="1:16" x14ac:dyDescent="0.2">
      <c r="A4" s="18">
        <v>9</v>
      </c>
      <c r="B4" s="18" t="b">
        <v>1</v>
      </c>
      <c r="C4" s="10" t="b">
        <v>1</v>
      </c>
      <c r="D4" s="10" t="s">
        <v>11</v>
      </c>
      <c r="E4" t="str">
        <f>IF(G4&lt;&gt;"",VLOOKUP(G4,PHA4GEVars!$A$7:$B$241,2,FALSE),"")</f>
        <v>Bioinformatics and QC metrics</v>
      </c>
      <c r="F4" s="10" t="s">
        <v>1869</v>
      </c>
      <c r="G4" s="10" t="s">
        <v>13</v>
      </c>
      <c r="H4" s="10" t="s">
        <v>458</v>
      </c>
      <c r="I4" s="24" t="s">
        <v>1263</v>
      </c>
      <c r="J4" s="24" t="s">
        <v>1061</v>
      </c>
      <c r="K4" s="10"/>
      <c r="L4" s="10"/>
      <c r="M4" s="10"/>
      <c r="N4" s="10"/>
      <c r="O4" s="21" t="s">
        <v>1603</v>
      </c>
      <c r="P4" s="10" t="s">
        <v>1774</v>
      </c>
    </row>
    <row r="5" spans="1:16" x14ac:dyDescent="0.2">
      <c r="A5" s="18">
        <v>10</v>
      </c>
      <c r="B5" s="18" t="b">
        <v>1</v>
      </c>
      <c r="C5" s="10" t="b">
        <v>1</v>
      </c>
      <c r="D5" s="10" t="s">
        <v>11</v>
      </c>
      <c r="E5" t="str">
        <f>IF(G5&lt;&gt;"",VLOOKUP(G5,PHA4GEVars!$A$7:$B$241,2,FALSE),"")</f>
        <v>Bioinformatics and QC metrics</v>
      </c>
      <c r="F5" s="10" t="s">
        <v>1869</v>
      </c>
      <c r="G5" s="10" t="s">
        <v>14</v>
      </c>
      <c r="H5" s="10" t="s">
        <v>458</v>
      </c>
      <c r="I5" s="10" t="s">
        <v>1263</v>
      </c>
      <c r="J5" s="10"/>
      <c r="K5" s="10" t="s">
        <v>1596</v>
      </c>
      <c r="L5" s="10" t="s">
        <v>1746</v>
      </c>
      <c r="M5" s="10"/>
      <c r="N5" s="10"/>
      <c r="O5" s="21" t="s">
        <v>1606</v>
      </c>
      <c r="P5" s="18"/>
    </row>
    <row r="6" spans="1:16" x14ac:dyDescent="0.2">
      <c r="A6" s="18">
        <v>11</v>
      </c>
      <c r="B6" s="18" t="b">
        <v>1</v>
      </c>
      <c r="C6" s="10" t="b">
        <v>1</v>
      </c>
      <c r="D6" s="10" t="s">
        <v>11</v>
      </c>
      <c r="E6" t="str">
        <f>IF(G6&lt;&gt;"",VLOOKUP(G6,PHA4GEVars!$A$7:$B$241,2,FALSE),"")</f>
        <v>Bioinformatics and QC metrics</v>
      </c>
      <c r="F6" s="10" t="s">
        <v>1869</v>
      </c>
      <c r="G6" s="10" t="s">
        <v>15</v>
      </c>
      <c r="H6" s="10" t="s">
        <v>458</v>
      </c>
      <c r="I6" s="24" t="s">
        <v>1263</v>
      </c>
      <c r="J6" s="24" t="s">
        <v>1061</v>
      </c>
      <c r="K6" s="10"/>
      <c r="L6" s="10"/>
      <c r="M6" s="10"/>
      <c r="N6" s="10"/>
      <c r="O6" s="21" t="s">
        <v>1607</v>
      </c>
      <c r="P6" s="10" t="s">
        <v>1774</v>
      </c>
    </row>
    <row r="7" spans="1:16" x14ac:dyDescent="0.2">
      <c r="A7" s="18">
        <v>12</v>
      </c>
      <c r="B7" s="18" t="b">
        <v>1</v>
      </c>
      <c r="C7" s="10" t="b">
        <v>1</v>
      </c>
      <c r="D7" s="10" t="s">
        <v>11</v>
      </c>
      <c r="E7" t="str">
        <f>IF(G7&lt;&gt;"",VLOOKUP(G7,PHA4GEVars!$A$7:$B$241,2,FALSE),"")</f>
        <v>Bioinformatics and QC metrics</v>
      </c>
      <c r="F7" s="10" t="s">
        <v>1869</v>
      </c>
      <c r="G7" s="10" t="s">
        <v>18</v>
      </c>
      <c r="H7" s="10" t="s">
        <v>458</v>
      </c>
      <c r="I7" s="24" t="s">
        <v>1263</v>
      </c>
      <c r="J7" s="24" t="s">
        <v>1061</v>
      </c>
      <c r="K7" s="10"/>
      <c r="L7" s="10"/>
      <c r="M7" s="10"/>
      <c r="N7" s="10"/>
      <c r="O7" s="21" t="s">
        <v>1607</v>
      </c>
      <c r="P7" s="10" t="s">
        <v>1774</v>
      </c>
    </row>
    <row r="8" spans="1:16" x14ac:dyDescent="0.2">
      <c r="A8" s="18">
        <v>42</v>
      </c>
      <c r="B8" s="18"/>
      <c r="C8" s="10" t="b">
        <v>1</v>
      </c>
      <c r="D8" s="10" t="s">
        <v>11</v>
      </c>
      <c r="E8" t="str">
        <f>IF(G8&lt;&gt;"",VLOOKUP(G8,PHA4GEVars!$A$7:$B$241,2,FALSE),"")</f>
        <v>Bioinformatics and QC metrics</v>
      </c>
      <c r="F8" s="10" t="s">
        <v>1869</v>
      </c>
      <c r="G8" s="10" t="s">
        <v>83</v>
      </c>
      <c r="H8" s="10" t="s">
        <v>458</v>
      </c>
      <c r="I8" s="24" t="s">
        <v>1263</v>
      </c>
      <c r="J8" s="24" t="s">
        <v>1061</v>
      </c>
      <c r="K8" s="10"/>
      <c r="L8" s="10"/>
      <c r="M8" s="10"/>
      <c r="N8" s="10"/>
      <c r="O8" s="21" t="s">
        <v>1614</v>
      </c>
      <c r="P8" s="10" t="s">
        <v>1774</v>
      </c>
    </row>
    <row r="9" spans="1:16" x14ac:dyDescent="0.2">
      <c r="A9" s="18">
        <v>45</v>
      </c>
      <c r="B9" s="18" t="b">
        <v>1</v>
      </c>
      <c r="C9" s="10" t="b">
        <v>1</v>
      </c>
      <c r="D9" s="10" t="s">
        <v>11</v>
      </c>
      <c r="E9" t="str">
        <f>IF(G9&lt;&gt;"",VLOOKUP(G9,PHA4GEVars!$A$7:$B$241,2,FALSE),"")</f>
        <v>Bioinformatics and QC metrics</v>
      </c>
      <c r="F9" s="10" t="s">
        <v>1869</v>
      </c>
      <c r="G9" s="10" t="s">
        <v>95</v>
      </c>
      <c r="H9" s="10" t="s">
        <v>458</v>
      </c>
      <c r="I9" s="24" t="s">
        <v>1263</v>
      </c>
      <c r="J9" s="24" t="s">
        <v>1061</v>
      </c>
      <c r="K9" s="10"/>
      <c r="L9" s="10"/>
      <c r="M9" s="10"/>
      <c r="N9" s="10"/>
      <c r="O9" s="21" t="s">
        <v>1616</v>
      </c>
      <c r="P9" s="18"/>
    </row>
    <row r="10" spans="1:16" x14ac:dyDescent="0.2">
      <c r="A10" s="18">
        <v>46</v>
      </c>
      <c r="B10" s="18" t="b">
        <v>1</v>
      </c>
      <c r="C10" s="10" t="b">
        <v>1</v>
      </c>
      <c r="D10" s="10" t="s">
        <v>11</v>
      </c>
      <c r="E10" t="str">
        <f>IF(G10&lt;&gt;"",VLOOKUP(G10,PHA4GEVars!$A$7:$B$241,2,FALSE),"")</f>
        <v>Bioinformatics and QC metrics</v>
      </c>
      <c r="F10" s="10" t="s">
        <v>1869</v>
      </c>
      <c r="G10" s="10" t="s">
        <v>96</v>
      </c>
      <c r="H10" s="10" t="s">
        <v>458</v>
      </c>
      <c r="I10" s="10" t="s">
        <v>1263</v>
      </c>
      <c r="J10" s="10"/>
      <c r="K10" s="10" t="s">
        <v>1596</v>
      </c>
      <c r="L10" s="10" t="s">
        <v>1728</v>
      </c>
      <c r="M10" s="10"/>
      <c r="N10" s="10"/>
      <c r="O10" s="21" t="s">
        <v>1615</v>
      </c>
      <c r="P10" s="18"/>
    </row>
    <row r="11" spans="1:16" x14ac:dyDescent="0.2">
      <c r="A11" s="18">
        <v>226</v>
      </c>
      <c r="B11" s="18"/>
      <c r="C11" s="10" t="b">
        <v>1</v>
      </c>
      <c r="D11" s="10" t="s">
        <v>1143</v>
      </c>
      <c r="E11" t="str">
        <f>IF(G11&lt;&gt;"",VLOOKUP(G11,PHA4GEVars!$A$7:$B$241,2,FALSE),"")</f>
        <v>Lineage/clade information</v>
      </c>
      <c r="F11" s="10" t="s">
        <v>1869</v>
      </c>
      <c r="G11" s="10" t="s">
        <v>1145</v>
      </c>
      <c r="H11" s="10" t="s">
        <v>458</v>
      </c>
      <c r="I11" s="24" t="s">
        <v>1263</v>
      </c>
      <c r="J11" s="24" t="s">
        <v>1061</v>
      </c>
      <c r="K11" s="10"/>
      <c r="L11" s="10"/>
      <c r="M11" s="10"/>
      <c r="N11" s="10"/>
      <c r="O11" s="21" t="s">
        <v>1619</v>
      </c>
      <c r="P11" s="18"/>
    </row>
    <row r="12" spans="1:16" x14ac:dyDescent="0.2">
      <c r="A12" s="18">
        <v>227</v>
      </c>
      <c r="B12" s="18"/>
      <c r="C12" s="10" t="b">
        <v>1</v>
      </c>
      <c r="D12" s="10" t="s">
        <v>1143</v>
      </c>
      <c r="E12" t="str">
        <f>IF(G12&lt;&gt;"",VLOOKUP(G12,PHA4GEVars!$A$7:$B$241,2,FALSE),"")</f>
        <v>Lineage/clade information</v>
      </c>
      <c r="F12" s="10" t="s">
        <v>1869</v>
      </c>
      <c r="G12" s="10" t="s">
        <v>1146</v>
      </c>
      <c r="H12" s="10" t="s">
        <v>458</v>
      </c>
      <c r="I12" s="10" t="s">
        <v>1263</v>
      </c>
      <c r="J12" s="10"/>
      <c r="K12" s="10" t="s">
        <v>1596</v>
      </c>
      <c r="L12" s="10" t="s">
        <v>1729</v>
      </c>
      <c r="M12" s="10"/>
      <c r="N12" s="10"/>
      <c r="O12" s="21" t="s">
        <v>1618</v>
      </c>
      <c r="P12" s="10" t="s">
        <v>1780</v>
      </c>
    </row>
    <row r="13" spans="1:16" x14ac:dyDescent="0.2">
      <c r="A13" s="25">
        <v>234</v>
      </c>
      <c r="B13" s="25" t="b">
        <v>1</v>
      </c>
      <c r="C13" s="25"/>
      <c r="D13" s="25" t="s">
        <v>134</v>
      </c>
      <c r="E13" t="str">
        <f>IF(G13&lt;&gt;"",VLOOKUP(G13,PHA4GEVars!$A$7:$B$241,2,FALSE),"")</f>
        <v>Pathogen diagnostic testing</v>
      </c>
      <c r="F13" s="25" t="s">
        <v>1869</v>
      </c>
      <c r="G13" s="25" t="s">
        <v>135</v>
      </c>
      <c r="H13" s="25" t="s">
        <v>1185</v>
      </c>
      <c r="I13" s="26" t="s">
        <v>1263</v>
      </c>
      <c r="J13" s="26" t="s">
        <v>1061</v>
      </c>
      <c r="K13" s="25"/>
      <c r="L13" s="25"/>
      <c r="M13" s="25"/>
      <c r="N13" s="25"/>
      <c r="O13" s="17"/>
      <c r="P13" s="20" t="s">
        <v>1781</v>
      </c>
    </row>
    <row r="14" spans="1:16" x14ac:dyDescent="0.2">
      <c r="A14" s="22">
        <v>235</v>
      </c>
      <c r="B14" s="22" t="b">
        <v>1</v>
      </c>
      <c r="C14" s="22"/>
      <c r="D14" s="22" t="s">
        <v>134</v>
      </c>
      <c r="E14" t="str">
        <f>IF(G14&lt;&gt;"",VLOOKUP(G14,PHA4GEVars!$A$7:$B$241,2,FALSE),"")</f>
        <v>Pathogen diagnostic testing</v>
      </c>
      <c r="F14" s="22" t="s">
        <v>1869</v>
      </c>
      <c r="G14" s="22" t="s">
        <v>135</v>
      </c>
      <c r="H14" s="22" t="s">
        <v>1186</v>
      </c>
      <c r="I14" s="26" t="s">
        <v>1263</v>
      </c>
      <c r="J14" s="26" t="s">
        <v>1061</v>
      </c>
      <c r="K14" s="22"/>
      <c r="L14" s="22"/>
      <c r="M14" s="22"/>
      <c r="N14" s="22"/>
      <c r="O14" s="10"/>
      <c r="P14" s="18"/>
    </row>
    <row r="15" spans="1:16" x14ac:dyDescent="0.2">
      <c r="A15" s="22">
        <v>236</v>
      </c>
      <c r="B15" s="22" t="b">
        <v>1</v>
      </c>
      <c r="C15" s="22"/>
      <c r="D15" s="22" t="s">
        <v>134</v>
      </c>
      <c r="E15" t="str">
        <f>IF(G15&lt;&gt;"",VLOOKUP(G15,PHA4GEVars!$A$7:$B$241,2,FALSE),"")</f>
        <v>Pathogen diagnostic testing</v>
      </c>
      <c r="F15" s="22" t="s">
        <v>1869</v>
      </c>
      <c r="G15" s="22" t="s">
        <v>135</v>
      </c>
      <c r="H15" s="22" t="s">
        <v>1187</v>
      </c>
      <c r="I15" s="26" t="s">
        <v>1263</v>
      </c>
      <c r="J15" s="26" t="s">
        <v>1061</v>
      </c>
      <c r="K15" s="22"/>
      <c r="L15" s="22"/>
      <c r="M15" s="22"/>
      <c r="N15" s="22"/>
      <c r="O15" s="10"/>
      <c r="P15" s="18"/>
    </row>
    <row r="16" spans="1:16" x14ac:dyDescent="0.2">
      <c r="A16" s="18">
        <v>329</v>
      </c>
      <c r="B16" s="18"/>
      <c r="C16" s="10" t="b">
        <v>1</v>
      </c>
      <c r="D16" s="10" t="s">
        <v>108</v>
      </c>
      <c r="E16" t="e">
        <f>IF(G16&lt;&gt;"",VLOOKUP(G16,PHA4GEVars!$A$7:$B$241,2,FALSE),"")</f>
        <v>#N/A</v>
      </c>
      <c r="F16" s="10" t="s">
        <v>1635</v>
      </c>
      <c r="G16" s="10" t="s">
        <v>132</v>
      </c>
      <c r="H16" s="10" t="s">
        <v>458</v>
      </c>
      <c r="I16" s="24" t="s">
        <v>1263</v>
      </c>
      <c r="J16" s="24" t="s">
        <v>1061</v>
      </c>
      <c r="K16" s="10"/>
      <c r="L16" s="10"/>
      <c r="M16" s="10"/>
      <c r="N16" s="10"/>
      <c r="O16" s="21" t="s">
        <v>1629</v>
      </c>
      <c r="P16" s="18"/>
    </row>
    <row r="17" spans="1:16" x14ac:dyDescent="0.2">
      <c r="A17" s="22">
        <v>330</v>
      </c>
      <c r="B17" s="22" t="b">
        <v>1</v>
      </c>
      <c r="C17" s="22"/>
      <c r="D17" s="22" t="s">
        <v>108</v>
      </c>
      <c r="E17" t="e">
        <f>IF(G17&lt;&gt;"",VLOOKUP(G17,PHA4GEVars!$A$7:$B$241,2,FALSE),"")</f>
        <v>#N/A</v>
      </c>
      <c r="F17" s="22" t="s">
        <v>1869</v>
      </c>
      <c r="G17" s="22" t="s">
        <v>133</v>
      </c>
      <c r="H17" s="22" t="s">
        <v>458</v>
      </c>
      <c r="I17" s="22" t="s">
        <v>1263</v>
      </c>
      <c r="J17" s="22"/>
      <c r="K17" s="22" t="s">
        <v>1518</v>
      </c>
      <c r="L17" s="22" t="s">
        <v>1631</v>
      </c>
      <c r="M17" s="22"/>
      <c r="N17" s="22"/>
      <c r="O17" s="21" t="s">
        <v>1630</v>
      </c>
      <c r="P17" s="18"/>
    </row>
    <row r="18" spans="1:16" x14ac:dyDescent="0.2">
      <c r="A18" s="20">
        <v>331</v>
      </c>
      <c r="B18" s="20"/>
      <c r="C18" s="17" t="b">
        <v>1</v>
      </c>
      <c r="D18" s="17" t="s">
        <v>108</v>
      </c>
      <c r="E18" t="str">
        <f>IF(G18&lt;&gt;"",VLOOKUP(G18,PHA4GEVars!$A$7:$B$241,2,FALSE),"")</f>
        <v>Sample collection and processing</v>
      </c>
      <c r="F18" s="17" t="s">
        <v>1869</v>
      </c>
      <c r="G18" s="17" t="s">
        <v>1116</v>
      </c>
      <c r="H18" s="17" t="s">
        <v>458</v>
      </c>
      <c r="I18" s="17" t="s">
        <v>1263</v>
      </c>
      <c r="J18" s="17"/>
      <c r="K18" s="17" t="s">
        <v>1518</v>
      </c>
      <c r="L18" s="17" t="s">
        <v>1636</v>
      </c>
      <c r="M18" s="17"/>
      <c r="N18" s="17"/>
      <c r="O18" s="27" t="s">
        <v>1637</v>
      </c>
      <c r="P18" s="20" t="s">
        <v>1788</v>
      </c>
    </row>
    <row r="19" spans="1:16" x14ac:dyDescent="0.2">
      <c r="A19" s="18">
        <v>658</v>
      </c>
      <c r="B19" s="18" t="b">
        <v>1</v>
      </c>
      <c r="C19" s="10" t="b">
        <v>1</v>
      </c>
      <c r="D19" s="10" t="s">
        <v>108</v>
      </c>
      <c r="E19" t="str">
        <f>IF(G19&lt;&gt;"",VLOOKUP(G19,PHA4GEVars!$A$7:$B$241,2,FALSE),"")</f>
        <v>Sample collection and processing</v>
      </c>
      <c r="F19" s="10" t="s">
        <v>1869</v>
      </c>
      <c r="G19" s="10" t="s">
        <v>125</v>
      </c>
      <c r="H19" s="10" t="s">
        <v>458</v>
      </c>
      <c r="I19" s="24" t="s">
        <v>1263</v>
      </c>
      <c r="J19" s="24" t="s">
        <v>1061</v>
      </c>
      <c r="K19" s="10"/>
      <c r="L19" s="10"/>
      <c r="M19" s="10"/>
      <c r="N19" s="10"/>
      <c r="O19" s="21" t="s">
        <v>1646</v>
      </c>
      <c r="P19" s="18"/>
    </row>
    <row r="20" spans="1:16" ht="17" x14ac:dyDescent="0.2">
      <c r="A20" s="18">
        <v>659</v>
      </c>
      <c r="B20" s="18" t="b">
        <v>1</v>
      </c>
      <c r="C20" s="10" t="b">
        <v>1</v>
      </c>
      <c r="D20" s="10" t="s">
        <v>108</v>
      </c>
      <c r="E20" t="str">
        <f>IF(G20&lt;&gt;"",VLOOKUP(G20,PHA4GEVars!$A$7:$B$241,2,FALSE),"")</f>
        <v>Sample collection and processing</v>
      </c>
      <c r="F20" s="10" t="s">
        <v>1869</v>
      </c>
      <c r="G20" s="83" t="s">
        <v>1901</v>
      </c>
      <c r="H20" s="23" t="s">
        <v>458</v>
      </c>
      <c r="I20" s="10" t="s">
        <v>1263</v>
      </c>
      <c r="J20" s="10"/>
      <c r="K20" s="10" t="s">
        <v>1518</v>
      </c>
      <c r="L20" s="10" t="s">
        <v>1335</v>
      </c>
      <c r="M20" s="10"/>
      <c r="N20" s="10"/>
      <c r="O20" s="21" t="s">
        <v>1645</v>
      </c>
      <c r="P20" s="18"/>
    </row>
    <row r="21" spans="1:16" x14ac:dyDescent="0.2">
      <c r="A21" s="22">
        <v>667</v>
      </c>
      <c r="B21" s="22" t="b">
        <v>1</v>
      </c>
      <c r="C21" s="22"/>
      <c r="D21" s="22" t="s">
        <v>108</v>
      </c>
      <c r="E21" t="str">
        <f>IF(G21&lt;&gt;"",VLOOKUP(G21,PHA4GEVars!$A$7:$B$241,2,FALSE),"")</f>
        <v>Sample collection and processing</v>
      </c>
      <c r="F21" s="22" t="s">
        <v>1869</v>
      </c>
      <c r="G21" s="22" t="s">
        <v>128</v>
      </c>
      <c r="H21" s="22" t="s">
        <v>200</v>
      </c>
      <c r="I21" s="26" t="s">
        <v>1263</v>
      </c>
      <c r="J21" s="26" t="s">
        <v>1061</v>
      </c>
      <c r="K21" s="22"/>
      <c r="L21" s="22"/>
      <c r="M21" s="22"/>
      <c r="N21" s="22"/>
      <c r="O21" s="18" t="s">
        <v>1571</v>
      </c>
      <c r="P21" s="18" t="s">
        <v>1797</v>
      </c>
    </row>
    <row r="22" spans="1:16" x14ac:dyDescent="0.2">
      <c r="A22" s="22">
        <v>668</v>
      </c>
      <c r="B22" s="22" t="b">
        <v>1</v>
      </c>
      <c r="C22" s="22"/>
      <c r="D22" s="22" t="s">
        <v>108</v>
      </c>
      <c r="E22" t="str">
        <f>IF(G22&lt;&gt;"",VLOOKUP(G22,PHA4GEVars!$A$7:$B$241,2,FALSE),"")</f>
        <v>Sample collection and processing</v>
      </c>
      <c r="F22" s="22" t="s">
        <v>1869</v>
      </c>
      <c r="G22" s="22" t="s">
        <v>128</v>
      </c>
      <c r="H22" s="22" t="s">
        <v>201</v>
      </c>
      <c r="I22" s="26" t="s">
        <v>1263</v>
      </c>
      <c r="J22" s="26" t="s">
        <v>1061</v>
      </c>
      <c r="K22" s="22"/>
      <c r="L22" s="22"/>
      <c r="M22" s="22"/>
      <c r="N22" s="22"/>
      <c r="O22" s="18"/>
      <c r="P22" s="18"/>
    </row>
    <row r="23" spans="1:16" x14ac:dyDescent="0.2">
      <c r="A23" s="22">
        <v>669</v>
      </c>
      <c r="B23" s="22" t="b">
        <v>1</v>
      </c>
      <c r="C23" s="22"/>
      <c r="D23" s="22" t="s">
        <v>108</v>
      </c>
      <c r="E23" t="str">
        <f>IF(G23&lt;&gt;"",VLOOKUP(G23,PHA4GEVars!$A$7:$B$241,2,FALSE),"")</f>
        <v>Sample collection and processing</v>
      </c>
      <c r="F23" s="22" t="s">
        <v>1869</v>
      </c>
      <c r="G23" s="22" t="s">
        <v>128</v>
      </c>
      <c r="H23" s="22" t="s">
        <v>202</v>
      </c>
      <c r="I23" s="26" t="s">
        <v>1263</v>
      </c>
      <c r="J23" s="26" t="s">
        <v>1061</v>
      </c>
      <c r="K23" s="22"/>
      <c r="L23" s="22"/>
      <c r="M23" s="22"/>
      <c r="N23" s="22"/>
      <c r="O23" s="18"/>
      <c r="P23" s="18"/>
    </row>
    <row r="24" spans="1:16" x14ac:dyDescent="0.2">
      <c r="A24" s="22">
        <v>670</v>
      </c>
      <c r="B24" s="22" t="b">
        <v>1</v>
      </c>
      <c r="C24" s="22"/>
      <c r="D24" s="22" t="s">
        <v>108</v>
      </c>
      <c r="E24" t="str">
        <f>IF(G24&lt;&gt;"",VLOOKUP(G24,PHA4GEVars!$A$7:$B$241,2,FALSE),"")</f>
        <v>Sample collection and processing</v>
      </c>
      <c r="F24" s="22" t="s">
        <v>1869</v>
      </c>
      <c r="G24" s="22" t="s">
        <v>128</v>
      </c>
      <c r="H24" s="22" t="s">
        <v>203</v>
      </c>
      <c r="I24" s="26" t="s">
        <v>1263</v>
      </c>
      <c r="J24" s="26" t="s">
        <v>1061</v>
      </c>
      <c r="K24" s="22"/>
      <c r="L24" s="22"/>
      <c r="M24" s="22"/>
      <c r="N24" s="22"/>
      <c r="O24" s="18"/>
      <c r="P24" s="18"/>
    </row>
    <row r="25" spans="1:16" x14ac:dyDescent="0.2">
      <c r="A25" s="22">
        <v>671</v>
      </c>
      <c r="B25" s="22" t="b">
        <v>1</v>
      </c>
      <c r="C25" s="22"/>
      <c r="D25" s="22" t="s">
        <v>108</v>
      </c>
      <c r="E25" t="str">
        <f>IF(G25&lt;&gt;"",VLOOKUP(G25,PHA4GEVars!$A$7:$B$241,2,FALSE),"")</f>
        <v>Sample collection and processing</v>
      </c>
      <c r="F25" s="22" t="s">
        <v>1869</v>
      </c>
      <c r="G25" s="22" t="s">
        <v>128</v>
      </c>
      <c r="H25" s="22" t="s">
        <v>204</v>
      </c>
      <c r="I25" s="26" t="s">
        <v>1263</v>
      </c>
      <c r="J25" s="26" t="s">
        <v>1061</v>
      </c>
      <c r="K25" s="22"/>
      <c r="L25" s="22"/>
      <c r="M25" s="22"/>
      <c r="N25" s="22"/>
      <c r="O25" s="18"/>
      <c r="P25" s="18"/>
    </row>
    <row r="26" spans="1:16" x14ac:dyDescent="0.2">
      <c r="A26" s="22">
        <v>672</v>
      </c>
      <c r="B26" s="22" t="b">
        <v>1</v>
      </c>
      <c r="C26" s="22"/>
      <c r="D26" s="22" t="s">
        <v>108</v>
      </c>
      <c r="E26" t="str">
        <f>IF(G26&lt;&gt;"",VLOOKUP(G26,PHA4GEVars!$A$7:$B$241,2,FALSE),"")</f>
        <v>Sample collection and processing</v>
      </c>
      <c r="F26" s="22" t="s">
        <v>1869</v>
      </c>
      <c r="G26" s="22" t="s">
        <v>128</v>
      </c>
      <c r="H26" s="22" t="s">
        <v>205</v>
      </c>
      <c r="I26" s="26" t="s">
        <v>1263</v>
      </c>
      <c r="J26" s="26" t="s">
        <v>1061</v>
      </c>
      <c r="K26" s="22"/>
      <c r="L26" s="22"/>
      <c r="M26" s="22"/>
      <c r="N26" s="22"/>
      <c r="O26" s="18"/>
      <c r="P26" s="18"/>
    </row>
    <row r="27" spans="1:16" x14ac:dyDescent="0.2">
      <c r="A27" s="22">
        <v>673</v>
      </c>
      <c r="B27" s="22" t="b">
        <v>1</v>
      </c>
      <c r="C27" s="22"/>
      <c r="D27" s="22" t="s">
        <v>108</v>
      </c>
      <c r="E27" t="str">
        <f>IF(G27&lt;&gt;"",VLOOKUP(G27,PHA4GEVars!$A$7:$B$241,2,FALSE),"")</f>
        <v>Sample collection and processing</v>
      </c>
      <c r="F27" s="22" t="s">
        <v>1869</v>
      </c>
      <c r="G27" s="22" t="s">
        <v>128</v>
      </c>
      <c r="H27" s="22" t="s">
        <v>206</v>
      </c>
      <c r="I27" s="26" t="s">
        <v>1263</v>
      </c>
      <c r="J27" s="26" t="s">
        <v>1061</v>
      </c>
      <c r="K27" s="22"/>
      <c r="L27" s="22"/>
      <c r="M27" s="22"/>
      <c r="N27" s="22"/>
      <c r="O27" s="18"/>
      <c r="P27" s="18"/>
    </row>
    <row r="28" spans="1:16" x14ac:dyDescent="0.2">
      <c r="A28" s="22">
        <v>674</v>
      </c>
      <c r="B28" s="22" t="b">
        <v>1</v>
      </c>
      <c r="C28" s="22"/>
      <c r="D28" s="22" t="s">
        <v>108</v>
      </c>
      <c r="E28" t="str">
        <f>IF(G28&lt;&gt;"",VLOOKUP(G28,PHA4GEVars!$A$7:$B$241,2,FALSE),"")</f>
        <v>Sample collection and processing</v>
      </c>
      <c r="F28" s="22" t="s">
        <v>1869</v>
      </c>
      <c r="G28" s="22" t="s">
        <v>128</v>
      </c>
      <c r="H28" s="22" t="s">
        <v>1152</v>
      </c>
      <c r="I28" s="26" t="s">
        <v>1263</v>
      </c>
      <c r="J28" s="26" t="s">
        <v>1061</v>
      </c>
      <c r="K28" s="22"/>
      <c r="L28" s="22"/>
      <c r="M28" s="22"/>
      <c r="N28" s="22"/>
      <c r="O28" s="18"/>
      <c r="P28" s="18"/>
    </row>
    <row r="29" spans="1:16" x14ac:dyDescent="0.2">
      <c r="A29" s="22">
        <v>675</v>
      </c>
      <c r="B29" s="22" t="b">
        <v>1</v>
      </c>
      <c r="C29" s="22"/>
      <c r="D29" s="22" t="s">
        <v>108</v>
      </c>
      <c r="E29" t="str">
        <f>IF(G29&lt;&gt;"",VLOOKUP(G29,PHA4GEVars!$A$7:$B$241,2,FALSE),"")</f>
        <v>Sample collection and processing</v>
      </c>
      <c r="F29" s="22" t="s">
        <v>1869</v>
      </c>
      <c r="G29" s="22" t="s">
        <v>128</v>
      </c>
      <c r="H29" s="22" t="s">
        <v>207</v>
      </c>
      <c r="I29" s="26" t="s">
        <v>1263</v>
      </c>
      <c r="J29" s="26" t="s">
        <v>1061</v>
      </c>
      <c r="K29" s="22"/>
      <c r="L29" s="22"/>
      <c r="M29" s="22"/>
      <c r="N29" s="22"/>
      <c r="O29" s="21" t="s">
        <v>1573</v>
      </c>
      <c r="P29" s="18"/>
    </row>
    <row r="30" spans="1:16" x14ac:dyDescent="0.2">
      <c r="A30" s="22">
        <v>691</v>
      </c>
      <c r="B30" s="22" t="b">
        <v>1</v>
      </c>
      <c r="C30" s="22"/>
      <c r="D30" s="22" t="s">
        <v>16</v>
      </c>
      <c r="E30" t="str">
        <f>IF(G30&lt;&gt;"",VLOOKUP(G30,PHA4GEVars!$A$7:$B$241,2,FALSE),"")</f>
        <v>Sequence information</v>
      </c>
      <c r="F30" s="22" t="s">
        <v>1869</v>
      </c>
      <c r="G30" s="22" t="s">
        <v>124</v>
      </c>
      <c r="H30" s="22" t="s">
        <v>416</v>
      </c>
      <c r="I30" s="26" t="s">
        <v>1263</v>
      </c>
      <c r="J30" s="26" t="s">
        <v>1061</v>
      </c>
      <c r="K30" s="22"/>
      <c r="L30" s="22"/>
      <c r="M30" s="22"/>
      <c r="N30" s="22"/>
      <c r="O30" s="10"/>
      <c r="P30" s="18"/>
    </row>
    <row r="31" spans="1:16" x14ac:dyDescent="0.2">
      <c r="A31" s="22">
        <v>692</v>
      </c>
      <c r="B31" s="22" t="b">
        <v>1</v>
      </c>
      <c r="C31" s="22"/>
      <c r="D31" s="22" t="s">
        <v>16</v>
      </c>
      <c r="E31" t="str">
        <f>IF(G31&lt;&gt;"",VLOOKUP(G31,PHA4GEVars!$A$7:$B$241,2,FALSE),"")</f>
        <v>Sequence information</v>
      </c>
      <c r="F31" s="22" t="s">
        <v>1869</v>
      </c>
      <c r="G31" s="22" t="s">
        <v>124</v>
      </c>
      <c r="H31" s="22" t="s">
        <v>417</v>
      </c>
      <c r="I31" s="26" t="s">
        <v>1263</v>
      </c>
      <c r="J31" s="26" t="s">
        <v>1061</v>
      </c>
      <c r="K31" s="22"/>
      <c r="L31" s="22"/>
      <c r="M31" s="22"/>
      <c r="N31" s="22"/>
      <c r="O31" s="10"/>
      <c r="P31" s="18"/>
    </row>
    <row r="32" spans="1:16" x14ac:dyDescent="0.2">
      <c r="A32" s="22">
        <v>693</v>
      </c>
      <c r="B32" s="22" t="b">
        <v>1</v>
      </c>
      <c r="C32" s="22"/>
      <c r="D32" s="22" t="s">
        <v>16</v>
      </c>
      <c r="E32" t="str">
        <f>IF(G32&lt;&gt;"",VLOOKUP(G32,PHA4GEVars!$A$7:$B$241,2,FALSE),"")</f>
        <v>Sequence information</v>
      </c>
      <c r="F32" s="22" t="s">
        <v>1869</v>
      </c>
      <c r="G32" s="22" t="s">
        <v>124</v>
      </c>
      <c r="H32" s="22" t="s">
        <v>418</v>
      </c>
      <c r="I32" s="26" t="s">
        <v>1263</v>
      </c>
      <c r="J32" s="26" t="s">
        <v>1061</v>
      </c>
      <c r="K32" s="22"/>
      <c r="L32" s="22"/>
      <c r="M32" s="22"/>
      <c r="N32" s="22"/>
      <c r="O32" s="10"/>
      <c r="P32" s="18"/>
    </row>
    <row r="33" spans="1:16" x14ac:dyDescent="0.2">
      <c r="A33" s="22">
        <v>694</v>
      </c>
      <c r="B33" s="22" t="b">
        <v>1</v>
      </c>
      <c r="C33" s="22"/>
      <c r="D33" s="22" t="s">
        <v>16</v>
      </c>
      <c r="E33" t="str">
        <f>IF(G33&lt;&gt;"",VLOOKUP(G33,PHA4GEVars!$A$7:$B$241,2,FALSE),"")</f>
        <v>Sequence information</v>
      </c>
      <c r="F33" s="22" t="s">
        <v>1869</v>
      </c>
      <c r="G33" s="22" t="s">
        <v>124</v>
      </c>
      <c r="H33" s="22" t="s">
        <v>419</v>
      </c>
      <c r="I33" s="26" t="s">
        <v>1263</v>
      </c>
      <c r="J33" s="26" t="s">
        <v>1061</v>
      </c>
      <c r="K33" s="22"/>
      <c r="L33" s="22"/>
      <c r="M33" s="22"/>
      <c r="N33" s="22"/>
      <c r="O33" s="10"/>
      <c r="P33" s="18"/>
    </row>
    <row r="34" spans="1:16" x14ac:dyDescent="0.2">
      <c r="A34" s="22">
        <v>695</v>
      </c>
      <c r="B34" s="22" t="b">
        <v>1</v>
      </c>
      <c r="C34" s="22"/>
      <c r="D34" s="22" t="s">
        <v>16</v>
      </c>
      <c r="E34" t="str">
        <f>IF(G34&lt;&gt;"",VLOOKUP(G34,PHA4GEVars!$A$7:$B$241,2,FALSE),"")</f>
        <v>Sequence information</v>
      </c>
      <c r="F34" s="22" t="s">
        <v>1869</v>
      </c>
      <c r="G34" s="22" t="s">
        <v>124</v>
      </c>
      <c r="H34" s="22" t="s">
        <v>420</v>
      </c>
      <c r="I34" s="26" t="s">
        <v>1263</v>
      </c>
      <c r="J34" s="26" t="s">
        <v>1061</v>
      </c>
      <c r="K34" s="22"/>
      <c r="L34" s="22"/>
      <c r="M34" s="22"/>
      <c r="N34" s="22"/>
      <c r="O34" s="10"/>
      <c r="P34" s="18"/>
    </row>
    <row r="35" spans="1:16" x14ac:dyDescent="0.2">
      <c r="A35" s="22">
        <v>696</v>
      </c>
      <c r="B35" s="22" t="b">
        <v>1</v>
      </c>
      <c r="C35" s="22"/>
      <c r="D35" s="22" t="s">
        <v>16</v>
      </c>
      <c r="E35" t="str">
        <f>IF(G35&lt;&gt;"",VLOOKUP(G35,PHA4GEVars!$A$7:$B$241,2,FALSE),"")</f>
        <v>Sequence information</v>
      </c>
      <c r="F35" s="22" t="s">
        <v>1869</v>
      </c>
      <c r="G35" s="22" t="s">
        <v>124</v>
      </c>
      <c r="H35" s="22" t="s">
        <v>421</v>
      </c>
      <c r="I35" s="26" t="s">
        <v>1263</v>
      </c>
      <c r="J35" s="26" t="s">
        <v>1061</v>
      </c>
      <c r="K35" s="22"/>
      <c r="L35" s="22"/>
      <c r="M35" s="22"/>
      <c r="N35" s="22"/>
      <c r="O35" s="10"/>
      <c r="P35" s="18"/>
    </row>
    <row r="36" spans="1:16" x14ac:dyDescent="0.2">
      <c r="A36" s="22">
        <v>697</v>
      </c>
      <c r="B36" s="22" t="b">
        <v>1</v>
      </c>
      <c r="C36" s="22"/>
      <c r="D36" s="22" t="s">
        <v>16</v>
      </c>
      <c r="E36" t="str">
        <f>IF(G36&lt;&gt;"",VLOOKUP(G36,PHA4GEVars!$A$7:$B$241,2,FALSE),"")</f>
        <v>Sequence information</v>
      </c>
      <c r="F36" s="22" t="s">
        <v>1869</v>
      </c>
      <c r="G36" s="22" t="s">
        <v>124</v>
      </c>
      <c r="H36" s="22" t="s">
        <v>422</v>
      </c>
      <c r="I36" s="26" t="s">
        <v>1263</v>
      </c>
      <c r="J36" s="26" t="s">
        <v>1061</v>
      </c>
      <c r="K36" s="22"/>
      <c r="L36" s="22"/>
      <c r="M36" s="22"/>
      <c r="N36" s="22"/>
      <c r="O36" s="10"/>
      <c r="P36" s="18"/>
    </row>
    <row r="37" spans="1:16" x14ac:dyDescent="0.2">
      <c r="A37" s="22">
        <v>698</v>
      </c>
      <c r="B37" s="22" t="b">
        <v>1</v>
      </c>
      <c r="C37" s="22"/>
      <c r="D37" s="22" t="s">
        <v>16</v>
      </c>
      <c r="E37" t="str">
        <f>IF(G37&lt;&gt;"",VLOOKUP(G37,PHA4GEVars!$A$7:$B$241,2,FALSE),"")</f>
        <v>Sequence information</v>
      </c>
      <c r="F37" s="22" t="s">
        <v>1869</v>
      </c>
      <c r="G37" s="22" t="s">
        <v>124</v>
      </c>
      <c r="H37" s="22" t="s">
        <v>423</v>
      </c>
      <c r="I37" s="26" t="s">
        <v>1263</v>
      </c>
      <c r="J37" s="26" t="s">
        <v>1061</v>
      </c>
      <c r="K37" s="22"/>
      <c r="L37" s="22"/>
      <c r="M37" s="22"/>
      <c r="N37" s="22"/>
      <c r="O37" s="10"/>
      <c r="P37" s="18"/>
    </row>
    <row r="38" spans="1:16" x14ac:dyDescent="0.2">
      <c r="A38" s="22">
        <v>699</v>
      </c>
      <c r="B38" s="22" t="b">
        <v>1</v>
      </c>
      <c r="C38" s="22"/>
      <c r="D38" s="22" t="s">
        <v>16</v>
      </c>
      <c r="E38" t="str">
        <f>IF(G38&lt;&gt;"",VLOOKUP(G38,PHA4GEVars!$A$7:$B$241,2,FALSE),"")</f>
        <v>Sequence information</v>
      </c>
      <c r="F38" s="22" t="s">
        <v>1869</v>
      </c>
      <c r="G38" s="22" t="s">
        <v>124</v>
      </c>
      <c r="H38" s="22" t="s">
        <v>424</v>
      </c>
      <c r="I38" s="26" t="s">
        <v>1263</v>
      </c>
      <c r="J38" s="26" t="s">
        <v>1061</v>
      </c>
      <c r="K38" s="22"/>
      <c r="L38" s="22"/>
      <c r="M38" s="22"/>
      <c r="N38" s="22"/>
      <c r="O38" s="10"/>
      <c r="P38" s="18"/>
    </row>
    <row r="39" spans="1:16" x14ac:dyDescent="0.2">
      <c r="A39" s="22">
        <v>700</v>
      </c>
      <c r="B39" s="22" t="b">
        <v>1</v>
      </c>
      <c r="C39" s="22"/>
      <c r="D39" s="22" t="s">
        <v>16</v>
      </c>
      <c r="E39" t="str">
        <f>IF(G39&lt;&gt;"",VLOOKUP(G39,PHA4GEVars!$A$7:$B$241,2,FALSE),"")</f>
        <v>Sequence information</v>
      </c>
      <c r="F39" s="22" t="s">
        <v>1869</v>
      </c>
      <c r="G39" s="22" t="s">
        <v>124</v>
      </c>
      <c r="H39" s="22" t="s">
        <v>425</v>
      </c>
      <c r="I39" s="26" t="s">
        <v>1263</v>
      </c>
      <c r="J39" s="26" t="s">
        <v>1061</v>
      </c>
      <c r="K39" s="22"/>
      <c r="L39" s="22"/>
      <c r="M39" s="22"/>
      <c r="N39" s="22"/>
      <c r="O39" s="10"/>
      <c r="P39" s="18"/>
    </row>
    <row r="40" spans="1:16" x14ac:dyDescent="0.2">
      <c r="A40" s="22">
        <v>701</v>
      </c>
      <c r="B40" s="22" t="b">
        <v>1</v>
      </c>
      <c r="C40" s="22"/>
      <c r="D40" s="22" t="s">
        <v>16</v>
      </c>
      <c r="E40" t="str">
        <f>IF(G40&lt;&gt;"",VLOOKUP(G40,PHA4GEVars!$A$7:$B$241,2,FALSE),"")</f>
        <v>Sequence information</v>
      </c>
      <c r="F40" s="22" t="s">
        <v>1869</v>
      </c>
      <c r="G40" s="22" t="s">
        <v>124</v>
      </c>
      <c r="H40" s="22" t="s">
        <v>426</v>
      </c>
      <c r="I40" s="26" t="s">
        <v>1263</v>
      </c>
      <c r="J40" s="26" t="s">
        <v>1061</v>
      </c>
      <c r="K40" s="22"/>
      <c r="L40" s="22"/>
      <c r="M40" s="22"/>
      <c r="N40" s="22"/>
      <c r="O40" s="10"/>
      <c r="P40" s="18"/>
    </row>
    <row r="41" spans="1:16" x14ac:dyDescent="0.2">
      <c r="A41" s="22">
        <v>702</v>
      </c>
      <c r="B41" s="22" t="b">
        <v>1</v>
      </c>
      <c r="C41" s="22"/>
      <c r="D41" s="22" t="s">
        <v>16</v>
      </c>
      <c r="E41" t="str">
        <f>IF(G41&lt;&gt;"",VLOOKUP(G41,PHA4GEVars!$A$7:$B$241,2,FALSE),"")</f>
        <v>Sequence information</v>
      </c>
      <c r="F41" s="22" t="s">
        <v>1869</v>
      </c>
      <c r="G41" s="22" t="s">
        <v>124</v>
      </c>
      <c r="H41" s="22" t="s">
        <v>427</v>
      </c>
      <c r="I41" s="26" t="s">
        <v>1263</v>
      </c>
      <c r="J41" s="26" t="s">
        <v>1061</v>
      </c>
      <c r="K41" s="22"/>
      <c r="L41" s="22"/>
      <c r="M41" s="22"/>
      <c r="N41" s="22"/>
      <c r="O41" s="10"/>
      <c r="P41" s="18"/>
    </row>
    <row r="42" spans="1:16" x14ac:dyDescent="0.2">
      <c r="A42" s="22">
        <v>703</v>
      </c>
      <c r="B42" s="22" t="b">
        <v>1</v>
      </c>
      <c r="C42" s="22"/>
      <c r="D42" s="22" t="s">
        <v>16</v>
      </c>
      <c r="E42" t="str">
        <f>IF(G42&lt;&gt;"",VLOOKUP(G42,PHA4GEVars!$A$7:$B$241,2,FALSE),"")</f>
        <v>Sequence information</v>
      </c>
      <c r="F42" s="22" t="s">
        <v>1869</v>
      </c>
      <c r="G42" s="22" t="s">
        <v>124</v>
      </c>
      <c r="H42" s="22" t="s">
        <v>428</v>
      </c>
      <c r="I42" s="26" t="s">
        <v>1263</v>
      </c>
      <c r="J42" s="26" t="s">
        <v>1061</v>
      </c>
      <c r="K42" s="22"/>
      <c r="L42" s="22"/>
      <c r="M42" s="22"/>
      <c r="N42" s="22"/>
      <c r="O42" s="10"/>
      <c r="P42" s="18"/>
    </row>
    <row r="43" spans="1:16" x14ac:dyDescent="0.2">
      <c r="A43" s="22">
        <v>704</v>
      </c>
      <c r="B43" s="22" t="b">
        <v>1</v>
      </c>
      <c r="C43" s="22"/>
      <c r="D43" s="22" t="s">
        <v>16</v>
      </c>
      <c r="E43" t="str">
        <f>IF(G43&lt;&gt;"",VLOOKUP(G43,PHA4GEVars!$A$7:$B$241,2,FALSE),"")</f>
        <v>Sequence information</v>
      </c>
      <c r="F43" s="22" t="s">
        <v>1869</v>
      </c>
      <c r="G43" s="22" t="s">
        <v>124</v>
      </c>
      <c r="H43" s="22" t="s">
        <v>429</v>
      </c>
      <c r="I43" s="26" t="s">
        <v>1263</v>
      </c>
      <c r="J43" s="26" t="s">
        <v>1061</v>
      </c>
      <c r="K43" s="22"/>
      <c r="L43" s="22"/>
      <c r="M43" s="22"/>
      <c r="N43" s="22"/>
      <c r="O43" s="10"/>
      <c r="P43" s="18"/>
    </row>
    <row r="44" spans="1:16" x14ac:dyDescent="0.2">
      <c r="A44" s="22">
        <v>705</v>
      </c>
      <c r="B44" s="22" t="b">
        <v>1</v>
      </c>
      <c r="C44" s="22"/>
      <c r="D44" s="22" t="s">
        <v>16</v>
      </c>
      <c r="E44" t="str">
        <f>IF(G44&lt;&gt;"",VLOOKUP(G44,PHA4GEVars!$A$7:$B$241,2,FALSE),"")</f>
        <v>Sequence information</v>
      </c>
      <c r="F44" s="22" t="s">
        <v>1869</v>
      </c>
      <c r="G44" s="22" t="s">
        <v>124</v>
      </c>
      <c r="H44" s="22" t="s">
        <v>430</v>
      </c>
      <c r="I44" s="26" t="s">
        <v>1263</v>
      </c>
      <c r="J44" s="26" t="s">
        <v>1061</v>
      </c>
      <c r="K44" s="22"/>
      <c r="L44" s="22"/>
      <c r="M44" s="22"/>
      <c r="N44" s="22"/>
      <c r="O44" s="10"/>
      <c r="P44" s="18"/>
    </row>
    <row r="45" spans="1:16" x14ac:dyDescent="0.2">
      <c r="A45" s="22">
        <v>706</v>
      </c>
      <c r="B45" s="22" t="b">
        <v>1</v>
      </c>
      <c r="C45" s="22"/>
      <c r="D45" s="22" t="s">
        <v>16</v>
      </c>
      <c r="E45" t="str">
        <f>IF(G45&lt;&gt;"",VLOOKUP(G45,PHA4GEVars!$A$7:$B$241,2,FALSE),"")</f>
        <v>Sequence information</v>
      </c>
      <c r="F45" s="22" t="s">
        <v>1869</v>
      </c>
      <c r="G45" s="22" t="s">
        <v>124</v>
      </c>
      <c r="H45" s="22" t="s">
        <v>431</v>
      </c>
      <c r="I45" s="26" t="s">
        <v>1263</v>
      </c>
      <c r="J45" s="26" t="s">
        <v>1061</v>
      </c>
      <c r="K45" s="22"/>
      <c r="L45" s="22"/>
      <c r="M45" s="22"/>
      <c r="N45" s="22"/>
      <c r="O45" s="10"/>
      <c r="P45" s="18"/>
    </row>
    <row r="46" spans="1:16" x14ac:dyDescent="0.2">
      <c r="A46" s="22">
        <v>707</v>
      </c>
      <c r="B46" s="22" t="b">
        <v>1</v>
      </c>
      <c r="C46" s="22"/>
      <c r="D46" s="22" t="s">
        <v>16</v>
      </c>
      <c r="E46" t="str">
        <f>IF(G46&lt;&gt;"",VLOOKUP(G46,PHA4GEVars!$A$7:$B$241,2,FALSE),"")</f>
        <v>Sequence information</v>
      </c>
      <c r="F46" s="22" t="s">
        <v>1869</v>
      </c>
      <c r="G46" s="22" t="s">
        <v>124</v>
      </c>
      <c r="H46" s="22" t="s">
        <v>432</v>
      </c>
      <c r="I46" s="26" t="s">
        <v>1263</v>
      </c>
      <c r="J46" s="26" t="s">
        <v>1061</v>
      </c>
      <c r="K46" s="22"/>
      <c r="L46" s="22"/>
      <c r="M46" s="22"/>
      <c r="N46" s="22"/>
      <c r="O46" s="10"/>
      <c r="P46" s="18"/>
    </row>
    <row r="47" spans="1:16" x14ac:dyDescent="0.2">
      <c r="A47" s="22">
        <v>708</v>
      </c>
      <c r="B47" s="22" t="b">
        <v>1</v>
      </c>
      <c r="C47" s="22"/>
      <c r="D47" s="22" t="s">
        <v>16</v>
      </c>
      <c r="E47" t="str">
        <f>IF(G47&lt;&gt;"",VLOOKUP(G47,PHA4GEVars!$A$7:$B$241,2,FALSE),"")</f>
        <v>Sequence information</v>
      </c>
      <c r="F47" s="22" t="s">
        <v>1869</v>
      </c>
      <c r="G47" s="22" t="s">
        <v>124</v>
      </c>
      <c r="H47" s="22" t="s">
        <v>433</v>
      </c>
      <c r="I47" s="26" t="s">
        <v>1263</v>
      </c>
      <c r="J47" s="26" t="s">
        <v>1061</v>
      </c>
      <c r="K47" s="22"/>
      <c r="L47" s="22"/>
      <c r="M47" s="22"/>
      <c r="N47" s="22"/>
      <c r="O47" s="10"/>
      <c r="P47" s="18"/>
    </row>
    <row r="48" spans="1:16" x14ac:dyDescent="0.2">
      <c r="A48" s="22">
        <v>709</v>
      </c>
      <c r="B48" s="22" t="b">
        <v>1</v>
      </c>
      <c r="C48" s="22"/>
      <c r="D48" s="22" t="s">
        <v>16</v>
      </c>
      <c r="E48" t="str">
        <f>IF(G48&lt;&gt;"",VLOOKUP(G48,PHA4GEVars!$A$7:$B$241,2,FALSE),"")</f>
        <v>Sequence information</v>
      </c>
      <c r="F48" s="22" t="s">
        <v>1869</v>
      </c>
      <c r="G48" s="22" t="s">
        <v>124</v>
      </c>
      <c r="H48" s="22" t="s">
        <v>434</v>
      </c>
      <c r="I48" s="26" t="s">
        <v>1263</v>
      </c>
      <c r="J48" s="26" t="s">
        <v>1061</v>
      </c>
      <c r="K48" s="22"/>
      <c r="L48" s="22"/>
      <c r="M48" s="22"/>
      <c r="N48" s="22"/>
      <c r="O48" s="10"/>
      <c r="P48" s="18"/>
    </row>
    <row r="49" spans="1:16" x14ac:dyDescent="0.2">
      <c r="A49" s="22">
        <v>710</v>
      </c>
      <c r="B49" s="22" t="b">
        <v>1</v>
      </c>
      <c r="C49" s="22"/>
      <c r="D49" s="22" t="s">
        <v>16</v>
      </c>
      <c r="E49" t="str">
        <f>IF(G49&lt;&gt;"",VLOOKUP(G49,PHA4GEVars!$A$7:$B$241,2,FALSE),"")</f>
        <v>Sequence information</v>
      </c>
      <c r="F49" s="22" t="s">
        <v>1869</v>
      </c>
      <c r="G49" s="22" t="s">
        <v>124</v>
      </c>
      <c r="H49" s="22" t="s">
        <v>435</v>
      </c>
      <c r="I49" s="26" t="s">
        <v>1263</v>
      </c>
      <c r="J49" s="26" t="s">
        <v>1061</v>
      </c>
      <c r="K49" s="22"/>
      <c r="L49" s="22"/>
      <c r="M49" s="22"/>
      <c r="N49" s="22"/>
      <c r="O49" s="10"/>
      <c r="P49" s="18"/>
    </row>
    <row r="50" spans="1:16" x14ac:dyDescent="0.2">
      <c r="A50" s="22">
        <v>711</v>
      </c>
      <c r="B50" s="22" t="b">
        <v>1</v>
      </c>
      <c r="C50" s="22"/>
      <c r="D50" s="22" t="s">
        <v>16</v>
      </c>
      <c r="E50" t="str">
        <f>IF(G50&lt;&gt;"",VLOOKUP(G50,PHA4GEVars!$A$7:$B$241,2,FALSE),"")</f>
        <v>Sequence information</v>
      </c>
      <c r="F50" s="22" t="s">
        <v>1869</v>
      </c>
      <c r="G50" s="22" t="s">
        <v>124</v>
      </c>
      <c r="H50" s="22" t="s">
        <v>436</v>
      </c>
      <c r="I50" s="26" t="s">
        <v>1263</v>
      </c>
      <c r="J50" s="26" t="s">
        <v>1061</v>
      </c>
      <c r="K50" s="22"/>
      <c r="L50" s="22"/>
      <c r="M50" s="22"/>
      <c r="N50" s="22"/>
      <c r="O50" s="10"/>
      <c r="P50" s="18"/>
    </row>
    <row r="51" spans="1:16" x14ac:dyDescent="0.2">
      <c r="A51" s="22">
        <v>712</v>
      </c>
      <c r="B51" s="22" t="b">
        <v>1</v>
      </c>
      <c r="C51" s="22"/>
      <c r="D51" s="22" t="s">
        <v>16</v>
      </c>
      <c r="E51" t="str">
        <f>IF(G51&lt;&gt;"",VLOOKUP(G51,PHA4GEVars!$A$7:$B$241,2,FALSE),"")</f>
        <v>Sequence information</v>
      </c>
      <c r="F51" s="22" t="s">
        <v>1869</v>
      </c>
      <c r="G51" s="22" t="s">
        <v>124</v>
      </c>
      <c r="H51" s="22" t="s">
        <v>437</v>
      </c>
      <c r="I51" s="26" t="s">
        <v>1263</v>
      </c>
      <c r="J51" s="26" t="s">
        <v>1061</v>
      </c>
      <c r="K51" s="22"/>
      <c r="L51" s="22"/>
      <c r="M51" s="22"/>
      <c r="N51" s="22"/>
      <c r="O51" s="10"/>
      <c r="P51" s="18"/>
    </row>
    <row r="52" spans="1:16" x14ac:dyDescent="0.2">
      <c r="A52" s="22">
        <v>715</v>
      </c>
      <c r="B52" s="22" t="b">
        <v>1</v>
      </c>
      <c r="C52" s="22"/>
      <c r="D52" s="22" t="s">
        <v>16</v>
      </c>
      <c r="E52" t="str">
        <f>IF(G52&lt;&gt;"",VLOOKUP(G52,PHA4GEVars!$A$7:$B$241,2,FALSE),"")</f>
        <v>Sequence information</v>
      </c>
      <c r="F52" s="22" t="s">
        <v>1869</v>
      </c>
      <c r="G52" s="22" t="s">
        <v>84</v>
      </c>
      <c r="H52" s="22" t="s">
        <v>1181</v>
      </c>
      <c r="I52" s="26" t="s">
        <v>1263</v>
      </c>
      <c r="J52" s="26" t="s">
        <v>1061</v>
      </c>
      <c r="K52" s="22"/>
      <c r="L52" s="22"/>
      <c r="M52" s="22"/>
      <c r="N52" s="22"/>
      <c r="O52" s="21" t="s">
        <v>1515</v>
      </c>
      <c r="P52" s="18"/>
    </row>
    <row r="53" spans="1:16" x14ac:dyDescent="0.2">
      <c r="A53" s="22">
        <v>716</v>
      </c>
      <c r="B53" s="22" t="b">
        <v>1</v>
      </c>
      <c r="C53" s="22"/>
      <c r="D53" s="22" t="s">
        <v>16</v>
      </c>
      <c r="E53" t="str">
        <f>IF(G53&lt;&gt;"",VLOOKUP(G53,PHA4GEVars!$A$7:$B$241,2,FALSE),"")</f>
        <v>Sequence information</v>
      </c>
      <c r="F53" s="22" t="s">
        <v>1869</v>
      </c>
      <c r="G53" s="22" t="s">
        <v>84</v>
      </c>
      <c r="H53" s="22" t="s">
        <v>1182</v>
      </c>
      <c r="I53" s="26" t="s">
        <v>1263</v>
      </c>
      <c r="J53" s="26" t="s">
        <v>1061</v>
      </c>
      <c r="K53" s="22"/>
      <c r="L53" s="22"/>
      <c r="M53" s="22"/>
      <c r="N53" s="22"/>
      <c r="O53" s="21" t="s">
        <v>1515</v>
      </c>
      <c r="P53" s="18"/>
    </row>
    <row r="54" spans="1:16" x14ac:dyDescent="0.2">
      <c r="A54" s="18">
        <v>717</v>
      </c>
      <c r="B54" s="18" t="b">
        <v>1</v>
      </c>
      <c r="C54" s="10" t="b">
        <v>1</v>
      </c>
      <c r="D54" s="10" t="s">
        <v>16</v>
      </c>
      <c r="E54" t="str">
        <f>IF(G54&lt;&gt;"",VLOOKUP(G54,PHA4GEVars!$A$7:$B$241,2,FALSE),"")</f>
        <v>Sequence information</v>
      </c>
      <c r="F54" s="10" t="s">
        <v>1869</v>
      </c>
      <c r="G54" s="10" t="s">
        <v>126</v>
      </c>
      <c r="H54" s="10" t="s">
        <v>458</v>
      </c>
      <c r="I54" s="10" t="s">
        <v>1263</v>
      </c>
      <c r="J54" s="10"/>
      <c r="K54" s="10" t="s">
        <v>1518</v>
      </c>
      <c r="L54" s="10" t="s">
        <v>1517</v>
      </c>
      <c r="M54" s="10"/>
      <c r="N54" s="10"/>
      <c r="O54" s="21" t="s">
        <v>1516</v>
      </c>
      <c r="P54" s="18"/>
    </row>
    <row r="55" spans="1:16" x14ac:dyDescent="0.2">
      <c r="A55" s="18">
        <v>718</v>
      </c>
      <c r="B55" s="18" t="b">
        <v>1</v>
      </c>
      <c r="C55" s="10" t="b">
        <v>1</v>
      </c>
      <c r="D55" s="10" t="s">
        <v>16</v>
      </c>
      <c r="E55" t="str">
        <f>IF(G55&lt;&gt;"",VLOOKUP(G55,PHA4GEVars!$A$7:$B$241,2,FALSE),"")</f>
        <v>Sequence information</v>
      </c>
      <c r="F55" s="10" t="s">
        <v>1869</v>
      </c>
      <c r="G55" s="10" t="s">
        <v>88</v>
      </c>
      <c r="H55" s="10" t="s">
        <v>458</v>
      </c>
      <c r="I55" s="24" t="s">
        <v>1263</v>
      </c>
      <c r="J55" s="24"/>
      <c r="K55" s="10" t="s">
        <v>1660</v>
      </c>
      <c r="L55" s="10" t="s">
        <v>1661</v>
      </c>
      <c r="M55" s="10"/>
      <c r="N55" s="10"/>
      <c r="O55" s="21" t="s">
        <v>1663</v>
      </c>
      <c r="P55" s="18"/>
    </row>
    <row r="56" spans="1:16" x14ac:dyDescent="0.2">
      <c r="A56" s="18">
        <v>719</v>
      </c>
      <c r="B56" s="18" t="b">
        <v>1</v>
      </c>
      <c r="C56" s="10" t="b">
        <v>1</v>
      </c>
      <c r="D56" s="10" t="s">
        <v>16</v>
      </c>
      <c r="E56" t="str">
        <f>IF(G56&lt;&gt;"",VLOOKUP(G56,PHA4GEVars!$A$7:$B$241,2,FALSE),"")</f>
        <v>Sequence information</v>
      </c>
      <c r="F56" s="10" t="s">
        <v>1869</v>
      </c>
      <c r="G56" s="10" t="s">
        <v>89</v>
      </c>
      <c r="H56" s="10" t="s">
        <v>458</v>
      </c>
      <c r="I56" s="24" t="s">
        <v>1263</v>
      </c>
      <c r="J56" s="24" t="s">
        <v>1061</v>
      </c>
      <c r="K56" s="10"/>
      <c r="L56" s="10"/>
      <c r="M56" s="10"/>
      <c r="N56" s="10"/>
      <c r="O56" s="21" t="s">
        <v>1662</v>
      </c>
      <c r="P56" s="18"/>
    </row>
    <row r="57" spans="1:16" x14ac:dyDescent="0.2">
      <c r="A57" s="22">
        <v>736</v>
      </c>
      <c r="B57" s="22" t="b">
        <v>1</v>
      </c>
      <c r="C57" s="22"/>
      <c r="D57" s="22" t="s">
        <v>16</v>
      </c>
      <c r="E57" t="str">
        <f>IF(G57&lt;&gt;"",VLOOKUP(G57,PHA4GEVars!$A$7:$B$241,2,FALSE),"")</f>
        <v>Sequence information</v>
      </c>
      <c r="F57" s="22" t="s">
        <v>1869</v>
      </c>
      <c r="G57" s="22" t="s">
        <v>1133</v>
      </c>
      <c r="H57" s="22" t="s">
        <v>1176</v>
      </c>
      <c r="I57" s="26" t="s">
        <v>1263</v>
      </c>
      <c r="J57" s="26" t="s">
        <v>1061</v>
      </c>
      <c r="K57" s="22"/>
      <c r="L57" s="22"/>
      <c r="M57" s="22"/>
      <c r="N57" s="22"/>
      <c r="O57" s="18"/>
      <c r="P57" s="18"/>
    </row>
    <row r="58" spans="1:16" x14ac:dyDescent="0.2">
      <c r="A58" s="22">
        <v>737</v>
      </c>
      <c r="B58" s="22" t="b">
        <v>1</v>
      </c>
      <c r="C58" s="22"/>
      <c r="D58" s="22" t="s">
        <v>16</v>
      </c>
      <c r="E58" t="str">
        <f>IF(G58&lt;&gt;"",VLOOKUP(G58,PHA4GEVars!$A$7:$B$241,2,FALSE),"")</f>
        <v>Sequence information</v>
      </c>
      <c r="F58" s="22" t="s">
        <v>1869</v>
      </c>
      <c r="G58" s="22" t="s">
        <v>1133</v>
      </c>
      <c r="H58" s="22" t="s">
        <v>1177</v>
      </c>
      <c r="I58" s="26" t="s">
        <v>1263</v>
      </c>
      <c r="J58" s="26" t="s">
        <v>1061</v>
      </c>
      <c r="K58" s="22"/>
      <c r="L58" s="22"/>
      <c r="M58" s="22"/>
      <c r="N58" s="22"/>
      <c r="O58" s="18"/>
      <c r="P58" s="18"/>
    </row>
    <row r="59" spans="1:16" x14ac:dyDescent="0.2">
      <c r="A59" s="22">
        <v>738</v>
      </c>
      <c r="B59" s="22" t="b">
        <v>1</v>
      </c>
      <c r="C59" s="22"/>
      <c r="D59" s="22" t="s">
        <v>16</v>
      </c>
      <c r="E59" t="str">
        <f>IF(G59&lt;&gt;"",VLOOKUP(G59,PHA4GEVars!$A$7:$B$241,2,FALSE),"")</f>
        <v>Sequence information</v>
      </c>
      <c r="F59" s="22" t="s">
        <v>1869</v>
      </c>
      <c r="G59" s="22" t="s">
        <v>1133</v>
      </c>
      <c r="H59" s="22" t="s">
        <v>1178</v>
      </c>
      <c r="I59" s="26" t="s">
        <v>1263</v>
      </c>
      <c r="J59" s="26" t="s">
        <v>1061</v>
      </c>
      <c r="K59" s="22"/>
      <c r="L59" s="22"/>
      <c r="M59" s="22"/>
      <c r="N59" s="22"/>
      <c r="O59" s="18"/>
      <c r="P59" s="18"/>
    </row>
    <row r="60" spans="1:16" x14ac:dyDescent="0.2">
      <c r="A60" s="22">
        <v>739</v>
      </c>
      <c r="B60" s="22" t="b">
        <v>1</v>
      </c>
      <c r="C60" s="22"/>
      <c r="D60" s="22" t="s">
        <v>16</v>
      </c>
      <c r="E60" t="str">
        <f>IF(G60&lt;&gt;"",VLOOKUP(G60,PHA4GEVars!$A$7:$B$241,2,FALSE),"")</f>
        <v>Sequence information</v>
      </c>
      <c r="F60" s="22" t="s">
        <v>1869</v>
      </c>
      <c r="G60" s="22" t="s">
        <v>1133</v>
      </c>
      <c r="H60" s="22" t="s">
        <v>1179</v>
      </c>
      <c r="I60" s="26" t="s">
        <v>1263</v>
      </c>
      <c r="J60" s="26" t="s">
        <v>1061</v>
      </c>
      <c r="K60" s="22"/>
      <c r="L60" s="22"/>
      <c r="M60" s="22"/>
      <c r="N60" s="22"/>
      <c r="O60" s="18"/>
      <c r="P60" s="18"/>
    </row>
    <row r="61" spans="1:16" x14ac:dyDescent="0.2">
      <c r="A61" s="22">
        <v>740</v>
      </c>
      <c r="B61" s="22" t="b">
        <v>1</v>
      </c>
      <c r="C61" s="22"/>
      <c r="D61" s="22" t="s">
        <v>16</v>
      </c>
      <c r="E61" t="str">
        <f>IF(G61&lt;&gt;"",VLOOKUP(G61,PHA4GEVars!$A$7:$B$241,2,FALSE),"")</f>
        <v>Sequence information</v>
      </c>
      <c r="F61" s="22" t="s">
        <v>1869</v>
      </c>
      <c r="G61" s="22" t="s">
        <v>1133</v>
      </c>
      <c r="H61" s="22" t="s">
        <v>1180</v>
      </c>
      <c r="I61" s="26" t="s">
        <v>1263</v>
      </c>
      <c r="J61" s="26" t="s">
        <v>1061</v>
      </c>
      <c r="K61" s="22"/>
      <c r="L61" s="22"/>
      <c r="M61" s="22"/>
      <c r="N61" s="22"/>
      <c r="O61" s="18"/>
      <c r="P61" s="18"/>
    </row>
    <row r="62" spans="1:16" x14ac:dyDescent="0.2">
      <c r="A62" s="18">
        <v>841</v>
      </c>
      <c r="B62" s="18"/>
      <c r="C62" s="10" t="b">
        <v>1</v>
      </c>
      <c r="D62" s="10" t="s">
        <v>1117</v>
      </c>
      <c r="E62" t="str">
        <f>IF(G62&lt;&gt;"",VLOOKUP(G62,PHA4GEVars!$A$7:$B$241,2,FALSE),"")</f>
        <v>Strain and isolation information</v>
      </c>
      <c r="F62" s="10" t="s">
        <v>1869</v>
      </c>
      <c r="G62" s="10" t="s">
        <v>1129</v>
      </c>
      <c r="H62" s="10" t="s">
        <v>458</v>
      </c>
      <c r="I62" s="24" t="s">
        <v>1263</v>
      </c>
      <c r="J62" s="24" t="s">
        <v>1061</v>
      </c>
      <c r="K62" s="10"/>
      <c r="L62" s="10"/>
      <c r="M62" s="10"/>
      <c r="N62" s="10"/>
      <c r="O62" s="18"/>
      <c r="P62" s="18"/>
    </row>
    <row r="63" spans="1:16" x14ac:dyDescent="0.2">
      <c r="A63" s="18">
        <v>845</v>
      </c>
      <c r="B63" s="18"/>
      <c r="C63" s="10" t="b">
        <v>1</v>
      </c>
      <c r="D63" s="10" t="s">
        <v>1134</v>
      </c>
      <c r="E63" t="str">
        <f>IF(G63&lt;&gt;"",VLOOKUP(G63,PHA4GEVars!$A$7:$B$241,2,FALSE),"")</f>
        <v>Taxonomic identification information</v>
      </c>
      <c r="F63" s="10" t="s">
        <v>1869</v>
      </c>
      <c r="G63" s="10" t="s">
        <v>91</v>
      </c>
      <c r="H63" s="10" t="s">
        <v>458</v>
      </c>
      <c r="I63" s="24" t="s">
        <v>1263</v>
      </c>
      <c r="J63" s="24" t="s">
        <v>1061</v>
      </c>
      <c r="K63" s="10"/>
      <c r="L63" s="10"/>
      <c r="M63" s="10"/>
      <c r="N63" s="10"/>
      <c r="O63" s="21" t="s">
        <v>1696</v>
      </c>
      <c r="P63" s="18"/>
    </row>
    <row r="64" spans="1:16" x14ac:dyDescent="0.2">
      <c r="A64" s="18">
        <v>846</v>
      </c>
      <c r="B64" s="18"/>
      <c r="C64" s="10" t="b">
        <v>1</v>
      </c>
      <c r="D64" s="10" t="s">
        <v>1134</v>
      </c>
      <c r="E64" t="str">
        <f>IF(G64&lt;&gt;"",VLOOKUP(G64,PHA4GEVars!$A$7:$B$241,2,FALSE),"")</f>
        <v>Taxonomic identification information</v>
      </c>
      <c r="F64" s="10" t="s">
        <v>1869</v>
      </c>
      <c r="G64" s="10" t="s">
        <v>92</v>
      </c>
      <c r="H64" s="10" t="s">
        <v>458</v>
      </c>
      <c r="I64" s="10" t="s">
        <v>1263</v>
      </c>
      <c r="J64" s="10"/>
      <c r="K64" s="10" t="s">
        <v>1596</v>
      </c>
      <c r="L64" s="10" t="s">
        <v>1697</v>
      </c>
      <c r="M64" s="10"/>
      <c r="N64" s="10"/>
      <c r="O64" s="21" t="s">
        <v>1696</v>
      </c>
      <c r="P64" s="1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831EB-F90F-BD49-AC5C-0138EB88F455}">
  <dimension ref="A1:N66"/>
  <sheetViews>
    <sheetView topLeftCell="B1" workbookViewId="0">
      <pane ySplit="1" topLeftCell="A25" activePane="bottomLeft" state="frozen"/>
      <selection pane="bottomLeft" activeCell="D34" sqref="D34"/>
    </sheetView>
  </sheetViews>
  <sheetFormatPr baseColWidth="10" defaultRowHeight="16" x14ac:dyDescent="0.2"/>
  <cols>
    <col min="4" max="4" width="38.1640625" customWidth="1"/>
    <col min="5" max="5" width="21.6640625" customWidth="1"/>
    <col min="6" max="6" width="24.5" customWidth="1"/>
    <col min="7" max="7" width="51" customWidth="1"/>
    <col min="8" max="8" width="71" customWidth="1"/>
    <col min="10" max="10" width="15.6640625" customWidth="1"/>
    <col min="11" max="11" width="14.5" customWidth="1"/>
    <col min="12" max="12" width="51" customWidth="1"/>
  </cols>
  <sheetData>
    <row r="1" spans="1:14" ht="20" thickBot="1" x14ac:dyDescent="0.3">
      <c r="A1" s="12" t="s">
        <v>0</v>
      </c>
      <c r="B1" s="12" t="s">
        <v>1883</v>
      </c>
      <c r="C1" s="29" t="s">
        <v>1</v>
      </c>
      <c r="D1" s="29" t="s">
        <v>2</v>
      </c>
      <c r="E1" s="29" t="s">
        <v>3</v>
      </c>
      <c r="F1" s="29" t="s">
        <v>4</v>
      </c>
      <c r="G1" s="7" t="s">
        <v>1041</v>
      </c>
      <c r="H1" s="7" t="s">
        <v>1042</v>
      </c>
      <c r="I1" s="7" t="s">
        <v>1753</v>
      </c>
      <c r="J1" s="7" t="s">
        <v>1752</v>
      </c>
      <c r="K1" s="7" t="s">
        <v>1748</v>
      </c>
      <c r="L1" s="7" t="s">
        <v>1749</v>
      </c>
      <c r="M1" s="8" t="s">
        <v>9</v>
      </c>
      <c r="N1" s="12" t="s">
        <v>1786</v>
      </c>
    </row>
    <row r="2" spans="1:14" x14ac:dyDescent="0.2">
      <c r="A2" s="6" t="b">
        <v>1</v>
      </c>
      <c r="B2" t="str">
        <f>IF(D2&lt;&gt;"",VLOOKUP(D2,PHA4GEVars!$A$7:$B$241,2,FALSE),"")</f>
        <v>Sequence information</v>
      </c>
      <c r="C2" s="6" t="s">
        <v>1869</v>
      </c>
      <c r="D2" s="6" t="s">
        <v>124</v>
      </c>
      <c r="E2" s="6" t="s">
        <v>416</v>
      </c>
      <c r="F2" s="6" t="s">
        <v>1263</v>
      </c>
      <c r="G2" s="6" t="s">
        <v>1241</v>
      </c>
      <c r="H2" s="6"/>
      <c r="I2" s="6"/>
      <c r="J2" s="6" t="s">
        <v>1103</v>
      </c>
      <c r="K2" s="6" t="s">
        <v>1264</v>
      </c>
      <c r="L2" s="6" t="s">
        <v>1747</v>
      </c>
      <c r="M2" s="6"/>
    </row>
    <row r="3" spans="1:14" x14ac:dyDescent="0.2">
      <c r="A3" s="6" t="b">
        <v>1</v>
      </c>
      <c r="B3" t="str">
        <f>IF(D3&lt;&gt;"",VLOOKUP(D3,PHA4GEVars!$A$7:$B$241,2,FALSE),"")</f>
        <v>Sequence information</v>
      </c>
      <c r="C3" s="6" t="s">
        <v>1869</v>
      </c>
      <c r="D3" s="6" t="s">
        <v>124</v>
      </c>
      <c r="E3" s="6" t="s">
        <v>417</v>
      </c>
      <c r="F3" s="6" t="s">
        <v>1263</v>
      </c>
      <c r="G3" s="6" t="s">
        <v>1242</v>
      </c>
      <c r="H3" s="6"/>
      <c r="I3" s="6"/>
      <c r="J3" s="6" t="s">
        <v>1103</v>
      </c>
      <c r="K3" s="6" t="s">
        <v>1264</v>
      </c>
      <c r="L3" s="6" t="s">
        <v>1747</v>
      </c>
      <c r="M3" s="6"/>
    </row>
    <row r="4" spans="1:14" x14ac:dyDescent="0.2">
      <c r="A4" s="6" t="b">
        <v>1</v>
      </c>
      <c r="B4" t="str">
        <f>IF(D4&lt;&gt;"",VLOOKUP(D4,PHA4GEVars!$A$7:$B$241,2,FALSE),"")</f>
        <v>Sequence information</v>
      </c>
      <c r="C4" s="6" t="s">
        <v>1869</v>
      </c>
      <c r="D4" s="6" t="s">
        <v>124</v>
      </c>
      <c r="E4" s="6" t="s">
        <v>418</v>
      </c>
      <c r="F4" s="6" t="s">
        <v>1263</v>
      </c>
      <c r="G4" s="6" t="s">
        <v>1261</v>
      </c>
      <c r="H4" s="6"/>
      <c r="I4" s="6"/>
      <c r="J4" s="6" t="s">
        <v>1103</v>
      </c>
      <c r="K4" s="6" t="s">
        <v>1264</v>
      </c>
      <c r="L4" s="6" t="s">
        <v>1747</v>
      </c>
      <c r="M4" s="6"/>
    </row>
    <row r="5" spans="1:14" x14ac:dyDescent="0.2">
      <c r="A5" s="6" t="b">
        <v>1</v>
      </c>
      <c r="B5" t="str">
        <f>IF(D5&lt;&gt;"",VLOOKUP(D5,PHA4GEVars!$A$7:$B$241,2,FALSE),"")</f>
        <v>Sequence information</v>
      </c>
      <c r="C5" s="6" t="s">
        <v>1869</v>
      </c>
      <c r="D5" s="6" t="s">
        <v>124</v>
      </c>
      <c r="E5" s="6" t="s">
        <v>419</v>
      </c>
      <c r="F5" s="6" t="s">
        <v>1263</v>
      </c>
      <c r="G5" s="6" t="s">
        <v>1262</v>
      </c>
      <c r="H5" s="6"/>
      <c r="I5" s="6"/>
      <c r="J5" s="6" t="s">
        <v>1103</v>
      </c>
      <c r="K5" s="6" t="s">
        <v>1264</v>
      </c>
      <c r="L5" s="6" t="s">
        <v>1747</v>
      </c>
      <c r="M5" s="6"/>
    </row>
    <row r="6" spans="1:14" x14ac:dyDescent="0.2">
      <c r="A6" s="6" t="b">
        <v>1</v>
      </c>
      <c r="B6" t="str">
        <f>IF(D6&lt;&gt;"",VLOOKUP(D6,PHA4GEVars!$A$7:$B$241,2,FALSE),"")</f>
        <v>Sequence information</v>
      </c>
      <c r="C6" s="6" t="s">
        <v>1869</v>
      </c>
      <c r="D6" s="6" t="s">
        <v>124</v>
      </c>
      <c r="E6" s="6" t="s">
        <v>420</v>
      </c>
      <c r="F6" s="6" t="s">
        <v>1263</v>
      </c>
      <c r="G6" s="6" t="s">
        <v>1243</v>
      </c>
      <c r="H6" s="6"/>
      <c r="I6" s="6"/>
      <c r="J6" s="6" t="s">
        <v>1103</v>
      </c>
      <c r="K6" s="6" t="s">
        <v>1264</v>
      </c>
      <c r="L6" s="6" t="s">
        <v>1747</v>
      </c>
      <c r="M6" s="6"/>
    </row>
    <row r="7" spans="1:14" x14ac:dyDescent="0.2">
      <c r="A7" s="6" t="b">
        <v>1</v>
      </c>
      <c r="B7" t="str">
        <f>IF(D7&lt;&gt;"",VLOOKUP(D7,PHA4GEVars!$A$7:$B$241,2,FALSE),"")</f>
        <v>Sequence information</v>
      </c>
      <c r="C7" s="6" t="s">
        <v>1869</v>
      </c>
      <c r="D7" s="6" t="s">
        <v>124</v>
      </c>
      <c r="E7" s="6" t="s">
        <v>421</v>
      </c>
      <c r="F7" s="6" t="s">
        <v>1263</v>
      </c>
      <c r="G7" s="6" t="s">
        <v>1244</v>
      </c>
      <c r="H7" s="6"/>
      <c r="I7" s="6"/>
      <c r="J7" s="6" t="s">
        <v>1103</v>
      </c>
      <c r="K7" s="6" t="s">
        <v>1264</v>
      </c>
      <c r="L7" s="6" t="s">
        <v>1747</v>
      </c>
      <c r="M7" s="6"/>
    </row>
    <row r="8" spans="1:14" x14ac:dyDescent="0.2">
      <c r="A8" s="6" t="b">
        <v>1</v>
      </c>
      <c r="B8" t="str">
        <f>IF(D8&lt;&gt;"",VLOOKUP(D8,PHA4GEVars!$A$7:$B$241,2,FALSE),"")</f>
        <v>Sequence information</v>
      </c>
      <c r="C8" s="6" t="s">
        <v>1869</v>
      </c>
      <c r="D8" s="6" t="s">
        <v>124</v>
      </c>
      <c r="E8" s="6" t="s">
        <v>422</v>
      </c>
      <c r="F8" s="6" t="s">
        <v>1263</v>
      </c>
      <c r="G8" s="6" t="s">
        <v>1245</v>
      </c>
      <c r="H8" s="6"/>
      <c r="I8" s="6"/>
      <c r="J8" s="6" t="s">
        <v>1103</v>
      </c>
      <c r="K8" s="6" t="s">
        <v>1264</v>
      </c>
      <c r="L8" s="6" t="s">
        <v>1747</v>
      </c>
      <c r="M8" s="6"/>
    </row>
    <row r="9" spans="1:14" x14ac:dyDescent="0.2">
      <c r="A9" s="6" t="b">
        <v>1</v>
      </c>
      <c r="B9" t="str">
        <f>IF(D9&lt;&gt;"",VLOOKUP(D9,PHA4GEVars!$A$7:$B$241,2,FALSE),"")</f>
        <v>Sequence information</v>
      </c>
      <c r="C9" s="6" t="s">
        <v>1869</v>
      </c>
      <c r="D9" s="6" t="s">
        <v>124</v>
      </c>
      <c r="E9" s="6" t="s">
        <v>423</v>
      </c>
      <c r="F9" s="6" t="s">
        <v>1263</v>
      </c>
      <c r="G9" s="6" t="s">
        <v>1246</v>
      </c>
      <c r="H9" s="6"/>
      <c r="I9" s="6"/>
      <c r="J9" s="6" t="s">
        <v>1103</v>
      </c>
      <c r="K9" s="6" t="s">
        <v>1264</v>
      </c>
      <c r="L9" s="6" t="s">
        <v>1747</v>
      </c>
      <c r="M9" s="6"/>
    </row>
    <row r="10" spans="1:14" x14ac:dyDescent="0.2">
      <c r="A10" s="6" t="b">
        <v>1</v>
      </c>
      <c r="B10" t="str">
        <f>IF(D10&lt;&gt;"",VLOOKUP(D10,PHA4GEVars!$A$7:$B$241,2,FALSE),"")</f>
        <v>Sequence information</v>
      </c>
      <c r="C10" s="6" t="s">
        <v>1869</v>
      </c>
      <c r="D10" s="6" t="s">
        <v>124</v>
      </c>
      <c r="E10" s="6" t="s">
        <v>424</v>
      </c>
      <c r="F10" s="6" t="s">
        <v>1263</v>
      </c>
      <c r="G10" s="6" t="s">
        <v>1247</v>
      </c>
      <c r="H10" s="6"/>
      <c r="I10" s="6"/>
      <c r="J10" s="6" t="s">
        <v>1103</v>
      </c>
      <c r="K10" s="6" t="s">
        <v>1264</v>
      </c>
      <c r="L10" s="6" t="s">
        <v>1747</v>
      </c>
      <c r="M10" s="6"/>
    </row>
    <row r="11" spans="1:14" x14ac:dyDescent="0.2">
      <c r="A11" s="6" t="b">
        <v>1</v>
      </c>
      <c r="B11" t="str">
        <f>IF(D11&lt;&gt;"",VLOOKUP(D11,PHA4GEVars!$A$7:$B$241,2,FALSE),"")</f>
        <v>Sequence information</v>
      </c>
      <c r="C11" s="6" t="s">
        <v>1869</v>
      </c>
      <c r="D11" s="6" t="s">
        <v>124</v>
      </c>
      <c r="E11" s="6" t="s">
        <v>425</v>
      </c>
      <c r="F11" s="6" t="s">
        <v>1263</v>
      </c>
      <c r="G11" s="6" t="s">
        <v>1248</v>
      </c>
      <c r="H11" s="6"/>
      <c r="I11" s="6"/>
      <c r="J11" s="6" t="s">
        <v>1103</v>
      </c>
      <c r="K11" s="6" t="s">
        <v>1264</v>
      </c>
      <c r="L11" s="6" t="s">
        <v>1747</v>
      </c>
      <c r="M11" s="6"/>
    </row>
    <row r="12" spans="1:14" x14ac:dyDescent="0.2">
      <c r="A12" s="6" t="b">
        <v>1</v>
      </c>
      <c r="B12" t="str">
        <f>IF(D12&lt;&gt;"",VLOOKUP(D12,PHA4GEVars!$A$7:$B$241,2,FALSE),"")</f>
        <v>Sequence information</v>
      </c>
      <c r="C12" s="6" t="s">
        <v>1869</v>
      </c>
      <c r="D12" s="6" t="s">
        <v>124</v>
      </c>
      <c r="E12" s="6" t="s">
        <v>426</v>
      </c>
      <c r="F12" s="6" t="s">
        <v>1263</v>
      </c>
      <c r="G12" s="6" t="s">
        <v>1249</v>
      </c>
      <c r="H12" s="6"/>
      <c r="I12" s="6"/>
      <c r="J12" s="6" t="s">
        <v>1103</v>
      </c>
      <c r="K12" s="6" t="s">
        <v>1264</v>
      </c>
      <c r="L12" s="6" t="s">
        <v>1747</v>
      </c>
      <c r="M12" s="6"/>
    </row>
    <row r="13" spans="1:14" x14ac:dyDescent="0.2">
      <c r="A13" s="6" t="b">
        <v>1</v>
      </c>
      <c r="B13" t="str">
        <f>IF(D13&lt;&gt;"",VLOOKUP(D13,PHA4GEVars!$A$7:$B$241,2,FALSE),"")</f>
        <v>Sequence information</v>
      </c>
      <c r="C13" s="6" t="s">
        <v>1869</v>
      </c>
      <c r="D13" s="6" t="s">
        <v>124</v>
      </c>
      <c r="E13" s="6" t="s">
        <v>427</v>
      </c>
      <c r="F13" s="6" t="s">
        <v>1263</v>
      </c>
      <c r="G13" s="6" t="s">
        <v>1250</v>
      </c>
      <c r="H13" s="6"/>
      <c r="I13" s="6"/>
      <c r="J13" s="6" t="s">
        <v>1103</v>
      </c>
      <c r="K13" s="6" t="s">
        <v>1264</v>
      </c>
      <c r="L13" s="6" t="s">
        <v>1747</v>
      </c>
      <c r="M13" s="6"/>
    </row>
    <row r="14" spans="1:14" x14ac:dyDescent="0.2">
      <c r="A14" s="6" t="b">
        <v>1</v>
      </c>
      <c r="B14" t="str">
        <f>IF(D14&lt;&gt;"",VLOOKUP(D14,PHA4GEVars!$A$7:$B$241,2,FALSE),"")</f>
        <v>Sequence information</v>
      </c>
      <c r="C14" s="6" t="s">
        <v>1869</v>
      </c>
      <c r="D14" s="6" t="s">
        <v>124</v>
      </c>
      <c r="E14" s="6" t="s">
        <v>428</v>
      </c>
      <c r="F14" s="6" t="s">
        <v>1263</v>
      </c>
      <c r="G14" s="6" t="s">
        <v>1251</v>
      </c>
      <c r="H14" s="6"/>
      <c r="I14" s="6"/>
      <c r="J14" s="6" t="s">
        <v>1103</v>
      </c>
      <c r="K14" s="6" t="s">
        <v>1264</v>
      </c>
      <c r="L14" s="6" t="s">
        <v>1747</v>
      </c>
      <c r="M14" s="6"/>
    </row>
    <row r="15" spans="1:14" x14ac:dyDescent="0.2">
      <c r="A15" s="6" t="b">
        <v>1</v>
      </c>
      <c r="B15" t="str">
        <f>IF(D15&lt;&gt;"",VLOOKUP(D15,PHA4GEVars!$A$7:$B$241,2,FALSE),"")</f>
        <v>Sequence information</v>
      </c>
      <c r="C15" s="6" t="s">
        <v>1869</v>
      </c>
      <c r="D15" s="6" t="s">
        <v>124</v>
      </c>
      <c r="E15" s="6" t="s">
        <v>429</v>
      </c>
      <c r="F15" s="6" t="s">
        <v>1263</v>
      </c>
      <c r="G15" s="6" t="s">
        <v>1252</v>
      </c>
      <c r="H15" s="6"/>
      <c r="I15" s="6"/>
      <c r="J15" s="6" t="s">
        <v>1103</v>
      </c>
      <c r="K15" s="6" t="s">
        <v>1264</v>
      </c>
      <c r="L15" s="6" t="s">
        <v>1747</v>
      </c>
      <c r="M15" s="6"/>
    </row>
    <row r="16" spans="1:14" x14ac:dyDescent="0.2">
      <c r="A16" s="6" t="b">
        <v>1</v>
      </c>
      <c r="B16" t="str">
        <f>IF(D16&lt;&gt;"",VLOOKUP(D16,PHA4GEVars!$A$7:$B$241,2,FALSE),"")</f>
        <v>Sequence information</v>
      </c>
      <c r="C16" s="6" t="s">
        <v>1869</v>
      </c>
      <c r="D16" s="6" t="s">
        <v>124</v>
      </c>
      <c r="E16" s="6" t="s">
        <v>430</v>
      </c>
      <c r="F16" s="6" t="s">
        <v>1263</v>
      </c>
      <c r="G16" s="6" t="s">
        <v>1253</v>
      </c>
      <c r="H16" s="6"/>
      <c r="I16" s="6"/>
      <c r="J16" s="6" t="s">
        <v>1103</v>
      </c>
      <c r="K16" s="6" t="s">
        <v>1264</v>
      </c>
      <c r="L16" s="6" t="s">
        <v>1747</v>
      </c>
      <c r="M16" s="6"/>
    </row>
    <row r="17" spans="1:13" x14ac:dyDescent="0.2">
      <c r="A17" s="6" t="b">
        <v>1</v>
      </c>
      <c r="B17" t="str">
        <f>IF(D17&lt;&gt;"",VLOOKUP(D17,PHA4GEVars!$A$7:$B$241,2,FALSE),"")</f>
        <v>Sequence information</v>
      </c>
      <c r="C17" s="6" t="s">
        <v>1869</v>
      </c>
      <c r="D17" s="6" t="s">
        <v>124</v>
      </c>
      <c r="E17" s="6" t="s">
        <v>431</v>
      </c>
      <c r="F17" s="6" t="s">
        <v>1263</v>
      </c>
      <c r="G17" s="6" t="s">
        <v>1254</v>
      </c>
      <c r="H17" s="6"/>
      <c r="I17" s="6"/>
      <c r="J17" s="6" t="s">
        <v>1103</v>
      </c>
      <c r="K17" s="6" t="s">
        <v>1264</v>
      </c>
      <c r="L17" s="6" t="s">
        <v>1747</v>
      </c>
      <c r="M17" s="6"/>
    </row>
    <row r="18" spans="1:13" x14ac:dyDescent="0.2">
      <c r="A18" s="6" t="b">
        <v>1</v>
      </c>
      <c r="B18" t="str">
        <f>IF(D18&lt;&gt;"",VLOOKUP(D18,PHA4GEVars!$A$7:$B$241,2,FALSE),"")</f>
        <v>Sequence information</v>
      </c>
      <c r="C18" s="6" t="s">
        <v>1869</v>
      </c>
      <c r="D18" s="6" t="s">
        <v>124</v>
      </c>
      <c r="E18" s="6" t="s">
        <v>432</v>
      </c>
      <c r="F18" s="6" t="s">
        <v>1263</v>
      </c>
      <c r="G18" s="6" t="s">
        <v>1255</v>
      </c>
      <c r="H18" s="6"/>
      <c r="I18" s="6"/>
      <c r="J18" s="6" t="s">
        <v>1103</v>
      </c>
      <c r="K18" s="6" t="s">
        <v>1264</v>
      </c>
      <c r="L18" s="6" t="s">
        <v>1747</v>
      </c>
      <c r="M18" s="6"/>
    </row>
    <row r="19" spans="1:13" x14ac:dyDescent="0.2">
      <c r="A19" s="6" t="b">
        <v>1</v>
      </c>
      <c r="B19" t="str">
        <f>IF(D19&lt;&gt;"",VLOOKUP(D19,PHA4GEVars!$A$7:$B$241,2,FALSE),"")</f>
        <v>Sequence information</v>
      </c>
      <c r="C19" s="6" t="s">
        <v>1869</v>
      </c>
      <c r="D19" s="6" t="s">
        <v>124</v>
      </c>
      <c r="E19" s="6" t="s">
        <v>433</v>
      </c>
      <c r="F19" s="6" t="s">
        <v>1263</v>
      </c>
      <c r="G19" s="6" t="s">
        <v>1256</v>
      </c>
      <c r="H19" s="6"/>
      <c r="I19" s="6"/>
      <c r="J19" s="6" t="s">
        <v>1103</v>
      </c>
      <c r="K19" s="6" t="s">
        <v>1264</v>
      </c>
      <c r="L19" s="6" t="s">
        <v>1747</v>
      </c>
      <c r="M19" s="6"/>
    </row>
    <row r="20" spans="1:13" x14ac:dyDescent="0.2">
      <c r="A20" s="6" t="b">
        <v>1</v>
      </c>
      <c r="B20" t="str">
        <f>IF(D20&lt;&gt;"",VLOOKUP(D20,PHA4GEVars!$A$7:$B$241,2,FALSE),"")</f>
        <v>Sequence information</v>
      </c>
      <c r="C20" s="6" t="s">
        <v>1869</v>
      </c>
      <c r="D20" s="6" t="s">
        <v>124</v>
      </c>
      <c r="E20" s="6" t="s">
        <v>434</v>
      </c>
      <c r="F20" s="6" t="s">
        <v>1263</v>
      </c>
      <c r="G20" s="6" t="s">
        <v>1257</v>
      </c>
      <c r="H20" s="6"/>
      <c r="I20" s="6"/>
      <c r="J20" s="6" t="s">
        <v>1103</v>
      </c>
      <c r="K20" s="6" t="s">
        <v>1264</v>
      </c>
      <c r="L20" s="6" t="s">
        <v>1747</v>
      </c>
      <c r="M20" s="6"/>
    </row>
    <row r="21" spans="1:13" x14ac:dyDescent="0.2">
      <c r="A21" s="6" t="b">
        <v>1</v>
      </c>
      <c r="B21" t="str">
        <f>IF(D21&lt;&gt;"",VLOOKUP(D21,PHA4GEVars!$A$7:$B$241,2,FALSE),"")</f>
        <v>Sequence information</v>
      </c>
      <c r="C21" s="6" t="s">
        <v>1869</v>
      </c>
      <c r="D21" s="6" t="s">
        <v>124</v>
      </c>
      <c r="E21" s="6" t="s">
        <v>435</v>
      </c>
      <c r="F21" s="6" t="s">
        <v>1263</v>
      </c>
      <c r="G21" s="6" t="s">
        <v>1258</v>
      </c>
      <c r="H21" s="6"/>
      <c r="I21" s="6"/>
      <c r="J21" s="6" t="s">
        <v>1103</v>
      </c>
      <c r="K21" s="6" t="s">
        <v>1264</v>
      </c>
      <c r="L21" s="6" t="s">
        <v>1747</v>
      </c>
      <c r="M21" s="6"/>
    </row>
    <row r="22" spans="1:13" x14ac:dyDescent="0.2">
      <c r="A22" s="6" t="b">
        <v>1</v>
      </c>
      <c r="B22" t="str">
        <f>IF(D22&lt;&gt;"",VLOOKUP(D22,PHA4GEVars!$A$7:$B$241,2,FALSE),"")</f>
        <v>Sequence information</v>
      </c>
      <c r="C22" s="6" t="s">
        <v>1869</v>
      </c>
      <c r="D22" s="6" t="s">
        <v>124</v>
      </c>
      <c r="E22" s="6" t="s">
        <v>436</v>
      </c>
      <c r="F22" s="6" t="s">
        <v>1263</v>
      </c>
      <c r="G22" s="6" t="s">
        <v>1259</v>
      </c>
      <c r="H22" s="6"/>
      <c r="I22" s="6"/>
      <c r="J22" s="6" t="s">
        <v>1103</v>
      </c>
      <c r="K22" s="6" t="s">
        <v>1264</v>
      </c>
      <c r="L22" s="6" t="s">
        <v>1747</v>
      </c>
      <c r="M22" s="6"/>
    </row>
    <row r="23" spans="1:13" x14ac:dyDescent="0.2">
      <c r="A23" s="6" t="b">
        <v>1</v>
      </c>
      <c r="B23" t="str">
        <f>IF(D23&lt;&gt;"",VLOOKUP(D23,PHA4GEVars!$A$7:$B$241,2,FALSE),"")</f>
        <v>Sequence information</v>
      </c>
      <c r="C23" s="6" t="s">
        <v>1869</v>
      </c>
      <c r="D23" s="6" t="s">
        <v>124</v>
      </c>
      <c r="E23" s="6" t="s">
        <v>437</v>
      </c>
      <c r="F23" s="6" t="s">
        <v>1263</v>
      </c>
      <c r="G23" s="6" t="s">
        <v>1260</v>
      </c>
      <c r="H23" s="6"/>
      <c r="I23" s="6"/>
      <c r="J23" s="6" t="s">
        <v>1103</v>
      </c>
      <c r="K23" s="6" t="s">
        <v>1264</v>
      </c>
      <c r="L23" s="6" t="s">
        <v>1747</v>
      </c>
      <c r="M23" s="6"/>
    </row>
    <row r="24" spans="1:13" x14ac:dyDescent="0.2">
      <c r="B24" t="str">
        <f>IF(D24&lt;&gt;"",VLOOKUP(D24,PHA4GEVars!$A$7:$B$241,2,FALSE),"")</f>
        <v/>
      </c>
    </row>
    <row r="25" spans="1:13" x14ac:dyDescent="0.2">
      <c r="A25" s="6" t="b">
        <v>1</v>
      </c>
      <c r="B25" t="str">
        <f>IF(D25&lt;&gt;"",VLOOKUP(D25,PHA4GEVars!$A$7:$B$241,2,FALSE),"")</f>
        <v>Environmental conditions and measurements</v>
      </c>
      <c r="C25" s="6" t="s">
        <v>1869</v>
      </c>
      <c r="D25" s="6" t="s">
        <v>1908</v>
      </c>
      <c r="E25" s="6" t="s">
        <v>1928</v>
      </c>
      <c r="F25" s="6" t="s">
        <v>1263</v>
      </c>
      <c r="G25" s="6"/>
      <c r="H25" s="6"/>
      <c r="I25" s="6"/>
      <c r="J25" s="6"/>
      <c r="K25" s="6" t="s">
        <v>1428</v>
      </c>
      <c r="L25" s="6" t="s">
        <v>1928</v>
      </c>
      <c r="M25" s="5" t="s">
        <v>1429</v>
      </c>
    </row>
    <row r="26" spans="1:13" x14ac:dyDescent="0.2">
      <c r="A26" s="6"/>
      <c r="B26" t="str">
        <f>IF(D26&lt;&gt;"",VLOOKUP(D26,PHA4GEVars!$A$7:$B$241,2,FALSE),"")</f>
        <v/>
      </c>
      <c r="C26" s="6"/>
      <c r="D26" s="6"/>
      <c r="E26" s="6"/>
      <c r="F26" s="6"/>
      <c r="G26" s="6"/>
      <c r="H26" s="6"/>
      <c r="I26" s="6"/>
      <c r="J26" s="6"/>
      <c r="K26" s="6"/>
      <c r="L26" s="6"/>
      <c r="M26" s="5"/>
    </row>
    <row r="27" spans="1:13" x14ac:dyDescent="0.2">
      <c r="A27" s="6" t="b">
        <v>1</v>
      </c>
      <c r="B27" t="str">
        <f>IF(D27&lt;&gt;"",VLOOKUP(D27,PHA4GEVars!$A$7:$B$241,2,FALSE),"")</f>
        <v>Pathogen diagnostic testing</v>
      </c>
      <c r="C27" s="6" t="s">
        <v>1869</v>
      </c>
      <c r="D27" s="6" t="s">
        <v>135</v>
      </c>
      <c r="E27" s="6" t="s">
        <v>1185</v>
      </c>
      <c r="F27" s="6" t="s">
        <v>1263</v>
      </c>
      <c r="G27" s="6" t="s">
        <v>1444</v>
      </c>
      <c r="H27" s="6"/>
      <c r="I27" s="6"/>
      <c r="J27" s="6"/>
      <c r="K27" s="6" t="s">
        <v>1446</v>
      </c>
      <c r="L27" s="6" t="s">
        <v>1754</v>
      </c>
      <c r="M27" s="6"/>
    </row>
    <row r="28" spans="1:13" x14ac:dyDescent="0.2">
      <c r="A28" s="6" t="b">
        <v>1</v>
      </c>
      <c r="B28" t="str">
        <f>IF(D28&lt;&gt;"",VLOOKUP(D28,PHA4GEVars!$A$7:$B$241,2,FALSE),"")</f>
        <v>Pathogen diagnostic testing</v>
      </c>
      <c r="C28" s="6" t="s">
        <v>1869</v>
      </c>
      <c r="D28" s="6" t="s">
        <v>135</v>
      </c>
      <c r="E28" s="6" t="s">
        <v>1186</v>
      </c>
      <c r="F28" s="6" t="s">
        <v>1263</v>
      </c>
      <c r="G28" s="6" t="s">
        <v>1445</v>
      </c>
      <c r="H28" s="6"/>
      <c r="I28" s="6"/>
      <c r="J28" s="6"/>
      <c r="K28" s="6" t="s">
        <v>1446</v>
      </c>
      <c r="L28" s="6" t="s">
        <v>1754</v>
      </c>
      <c r="M28" s="6"/>
    </row>
    <row r="29" spans="1:13" x14ac:dyDescent="0.2">
      <c r="A29" s="6" t="b">
        <v>1</v>
      </c>
      <c r="B29" t="str">
        <f>IF(D29&lt;&gt;"",VLOOKUP(D29,PHA4GEVars!$A$7:$B$241,2,FALSE),"")</f>
        <v>Pathogen diagnostic testing</v>
      </c>
      <c r="C29" s="6" t="s">
        <v>1869</v>
      </c>
      <c r="D29" s="6" t="s">
        <v>135</v>
      </c>
      <c r="E29" s="6" t="s">
        <v>1187</v>
      </c>
      <c r="F29" s="6" t="s">
        <v>1263</v>
      </c>
      <c r="G29" s="6" t="s">
        <v>1447</v>
      </c>
      <c r="H29" s="6"/>
      <c r="I29" s="6"/>
      <c r="J29" s="6"/>
      <c r="K29" s="6" t="s">
        <v>1448</v>
      </c>
      <c r="L29" s="6" t="s">
        <v>1754</v>
      </c>
      <c r="M29" s="6"/>
    </row>
    <row r="30" spans="1:13" x14ac:dyDescent="0.2">
      <c r="B30" t="str">
        <f>IF(D30&lt;&gt;"",VLOOKUP(D30,PHA4GEVars!$A$7:$B$241,2,FALSE),"")</f>
        <v/>
      </c>
    </row>
    <row r="31" spans="1:13" x14ac:dyDescent="0.2">
      <c r="A31" s="6" t="b">
        <v>1</v>
      </c>
      <c r="B31" t="str">
        <f>IF(D31&lt;&gt;"",VLOOKUP(D31,PHA4GEVars!$A$7:$B$241,2,FALSE),"")</f>
        <v>Sequence information</v>
      </c>
      <c r="C31" s="6" t="s">
        <v>1869</v>
      </c>
      <c r="D31" s="6" t="s">
        <v>84</v>
      </c>
      <c r="E31" s="6" t="s">
        <v>1181</v>
      </c>
      <c r="F31" s="6" t="s">
        <v>1263</v>
      </c>
      <c r="G31" s="6" t="s">
        <v>1519</v>
      </c>
      <c r="H31" s="6" t="s">
        <v>1799</v>
      </c>
      <c r="I31" s="6" t="s">
        <v>1053</v>
      </c>
      <c r="J31" s="6"/>
      <c r="K31" s="6" t="s">
        <v>1521</v>
      </c>
      <c r="L31" s="6" t="s">
        <v>1755</v>
      </c>
      <c r="M31" s="6"/>
    </row>
    <row r="32" spans="1:13" x14ac:dyDescent="0.2">
      <c r="A32" s="6" t="b">
        <v>1</v>
      </c>
      <c r="B32" t="str">
        <f>IF(D32&lt;&gt;"",VLOOKUP(D32,PHA4GEVars!$A$7:$B$241,2,FALSE),"")</f>
        <v>Sequence information</v>
      </c>
      <c r="C32" s="6" t="s">
        <v>1869</v>
      </c>
      <c r="D32" s="6" t="s">
        <v>84</v>
      </c>
      <c r="E32" s="6" t="s">
        <v>1182</v>
      </c>
      <c r="F32" s="6" t="s">
        <v>1263</v>
      </c>
      <c r="G32" s="6" t="s">
        <v>1520</v>
      </c>
      <c r="H32" s="6" t="s">
        <v>1799</v>
      </c>
      <c r="I32" s="6" t="s">
        <v>1053</v>
      </c>
      <c r="J32" s="6"/>
      <c r="K32" s="6" t="s">
        <v>1521</v>
      </c>
      <c r="L32" s="6" t="s">
        <v>1755</v>
      </c>
      <c r="M32" s="6"/>
    </row>
    <row r="33" spans="1:14" x14ac:dyDescent="0.2">
      <c r="B33" t="str">
        <f>IF(D33&lt;&gt;"",VLOOKUP(D33,PHA4GEVars!$A$7:$B$241,2,FALSE),"")</f>
        <v/>
      </c>
    </row>
    <row r="34" spans="1:14" x14ac:dyDescent="0.2">
      <c r="A34" s="6" t="b">
        <v>1</v>
      </c>
      <c r="B34" t="str">
        <f>IF(D34&lt;&gt;"",VLOOKUP(D34,PHA4GEVars!$A$7:$B$241,2,FALSE),"")</f>
        <v>Sample collection and processing</v>
      </c>
      <c r="C34" s="6" t="s">
        <v>1869</v>
      </c>
      <c r="D34" s="6" t="s">
        <v>128</v>
      </c>
      <c r="E34" s="6" t="s">
        <v>200</v>
      </c>
      <c r="F34" s="6" t="s">
        <v>1263</v>
      </c>
      <c r="G34" s="6" t="s">
        <v>1570</v>
      </c>
      <c r="H34" s="6"/>
      <c r="I34" s="6" t="s">
        <v>1053</v>
      </c>
      <c r="J34" s="6"/>
      <c r="K34" s="13" t="s">
        <v>1570</v>
      </c>
      <c r="L34" s="13" t="s">
        <v>775</v>
      </c>
      <c r="M34" s="5" t="s">
        <v>1581</v>
      </c>
      <c r="N34" t="s">
        <v>1571</v>
      </c>
    </row>
    <row r="35" spans="1:14" x14ac:dyDescent="0.2">
      <c r="A35" s="6" t="b">
        <v>1</v>
      </c>
      <c r="B35" t="str">
        <f>IF(D35&lt;&gt;"",VLOOKUP(D35,PHA4GEVars!$A$7:$B$241,2,FALSE),"")</f>
        <v>Sample collection and processing</v>
      </c>
      <c r="C35" s="6" t="s">
        <v>1869</v>
      </c>
      <c r="D35" s="6" t="s">
        <v>128</v>
      </c>
      <c r="E35" s="6" t="s">
        <v>201</v>
      </c>
      <c r="F35" s="6" t="s">
        <v>1263</v>
      </c>
      <c r="G35" s="6" t="s">
        <v>1574</v>
      </c>
      <c r="H35" s="6"/>
      <c r="I35" s="6" t="s">
        <v>1053</v>
      </c>
      <c r="J35" s="6"/>
      <c r="K35" s="13" t="s">
        <v>1574</v>
      </c>
      <c r="L35" s="13" t="s">
        <v>1575</v>
      </c>
      <c r="M35" s="5" t="s">
        <v>1581</v>
      </c>
    </row>
    <row r="36" spans="1:14" x14ac:dyDescent="0.2">
      <c r="A36" s="6" t="b">
        <v>1</v>
      </c>
      <c r="B36" t="str">
        <f>IF(D36&lt;&gt;"",VLOOKUP(D36,PHA4GEVars!$A$7:$B$241,2,FALSE),"")</f>
        <v>Sample collection and processing</v>
      </c>
      <c r="C36" s="6" t="s">
        <v>1869</v>
      </c>
      <c r="D36" s="6" t="s">
        <v>128</v>
      </c>
      <c r="E36" s="6" t="s">
        <v>202</v>
      </c>
      <c r="F36" s="6" t="s">
        <v>1263</v>
      </c>
      <c r="G36" s="6" t="s">
        <v>1574</v>
      </c>
      <c r="H36" s="6"/>
      <c r="I36" s="6" t="s">
        <v>1053</v>
      </c>
      <c r="J36" s="6"/>
      <c r="K36" s="13" t="s">
        <v>1574</v>
      </c>
      <c r="L36" s="13" t="s">
        <v>1576</v>
      </c>
      <c r="M36" s="5" t="s">
        <v>1581</v>
      </c>
    </row>
    <row r="37" spans="1:14" x14ac:dyDescent="0.2">
      <c r="A37" s="6" t="b">
        <v>1</v>
      </c>
      <c r="B37" t="str">
        <f>IF(D37&lt;&gt;"",VLOOKUP(D37,PHA4GEVars!$A$7:$B$241,2,FALSE),"")</f>
        <v>Sample collection and processing</v>
      </c>
      <c r="C37" s="6" t="s">
        <v>1869</v>
      </c>
      <c r="D37" s="6" t="s">
        <v>128</v>
      </c>
      <c r="E37" s="6" t="s">
        <v>203</v>
      </c>
      <c r="F37" s="6" t="s">
        <v>1263</v>
      </c>
      <c r="G37" s="6" t="s">
        <v>1570</v>
      </c>
      <c r="H37" s="6"/>
      <c r="I37" s="6" t="s">
        <v>1053</v>
      </c>
      <c r="J37" s="6"/>
      <c r="K37" s="13" t="s">
        <v>1570</v>
      </c>
      <c r="L37" s="13" t="s">
        <v>1577</v>
      </c>
      <c r="M37" s="5" t="s">
        <v>1581</v>
      </c>
    </row>
    <row r="38" spans="1:14" x14ac:dyDescent="0.2">
      <c r="A38" s="6" t="b">
        <v>1</v>
      </c>
      <c r="B38" t="str">
        <f>IF(D38&lt;&gt;"",VLOOKUP(D38,PHA4GEVars!$A$7:$B$241,2,FALSE),"")</f>
        <v>Sample collection and processing</v>
      </c>
      <c r="C38" s="6" t="s">
        <v>1869</v>
      </c>
      <c r="D38" s="6" t="s">
        <v>128</v>
      </c>
      <c r="E38" s="6" t="s">
        <v>204</v>
      </c>
      <c r="F38" s="6" t="s">
        <v>1263</v>
      </c>
      <c r="G38" s="6" t="s">
        <v>1570</v>
      </c>
      <c r="H38" s="6"/>
      <c r="I38" s="6" t="s">
        <v>1053</v>
      </c>
      <c r="J38" s="6"/>
      <c r="K38" s="13" t="s">
        <v>1570</v>
      </c>
      <c r="L38" s="13" t="s">
        <v>1578</v>
      </c>
      <c r="M38" s="5" t="s">
        <v>1581</v>
      </c>
    </row>
    <row r="39" spans="1:14" x14ac:dyDescent="0.2">
      <c r="A39" s="6" t="b">
        <v>1</v>
      </c>
      <c r="B39" t="str">
        <f>IF(D39&lt;&gt;"",VLOOKUP(D39,PHA4GEVars!$A$7:$B$241,2,FALSE),"")</f>
        <v>Sample collection and processing</v>
      </c>
      <c r="C39" s="6" t="s">
        <v>1869</v>
      </c>
      <c r="D39" s="6" t="s">
        <v>128</v>
      </c>
      <c r="E39" s="6" t="s">
        <v>205</v>
      </c>
      <c r="F39" s="6" t="s">
        <v>1263</v>
      </c>
      <c r="G39" s="6" t="s">
        <v>1570</v>
      </c>
      <c r="H39" s="6"/>
      <c r="I39" s="6" t="s">
        <v>1053</v>
      </c>
      <c r="J39" s="6"/>
      <c r="K39" s="13" t="s">
        <v>1570</v>
      </c>
      <c r="L39" s="13" t="s">
        <v>1579</v>
      </c>
      <c r="M39" s="5" t="s">
        <v>1581</v>
      </c>
    </row>
    <row r="40" spans="1:14" x14ac:dyDescent="0.2">
      <c r="A40" s="6" t="b">
        <v>1</v>
      </c>
      <c r="B40" t="str">
        <f>IF(D40&lt;&gt;"",VLOOKUP(D40,PHA4GEVars!$A$7:$B$241,2,FALSE),"")</f>
        <v>Sample collection and processing</v>
      </c>
      <c r="C40" s="6" t="s">
        <v>1869</v>
      </c>
      <c r="D40" s="6" t="s">
        <v>128</v>
      </c>
      <c r="E40" s="6" t="s">
        <v>206</v>
      </c>
      <c r="F40" s="6" t="s">
        <v>1263</v>
      </c>
      <c r="G40" s="6" t="s">
        <v>1574</v>
      </c>
      <c r="H40" s="6"/>
      <c r="I40" s="6" t="s">
        <v>1053</v>
      </c>
      <c r="J40" s="6"/>
      <c r="K40" s="13" t="s">
        <v>1574</v>
      </c>
      <c r="L40" s="13" t="s">
        <v>1580</v>
      </c>
      <c r="M40" s="5" t="s">
        <v>1581</v>
      </c>
    </row>
    <row r="41" spans="1:14" x14ac:dyDescent="0.2">
      <c r="A41" s="6" t="b">
        <v>1</v>
      </c>
      <c r="B41" t="str">
        <f>IF(D41&lt;&gt;"",VLOOKUP(D41,PHA4GEVars!$A$7:$B$241,2,FALSE),"")</f>
        <v>Sample collection and processing</v>
      </c>
      <c r="C41" s="6" t="s">
        <v>1869</v>
      </c>
      <c r="D41" s="6" t="s">
        <v>128</v>
      </c>
      <c r="E41" s="6" t="s">
        <v>1152</v>
      </c>
      <c r="F41" s="6" t="s">
        <v>1263</v>
      </c>
      <c r="G41" s="9" t="s">
        <v>1448</v>
      </c>
      <c r="H41" s="6"/>
      <c r="I41" s="6" t="s">
        <v>1053</v>
      </c>
      <c r="J41" s="6"/>
      <c r="K41" s="14" t="s">
        <v>1448</v>
      </c>
      <c r="L41" s="15" t="s">
        <v>1582</v>
      </c>
      <c r="M41" s="5" t="s">
        <v>1581</v>
      </c>
    </row>
    <row r="42" spans="1:14" x14ac:dyDescent="0.2">
      <c r="A42" s="6" t="b">
        <v>1</v>
      </c>
      <c r="B42" t="str">
        <f>IF(D42&lt;&gt;"",VLOOKUP(D42,PHA4GEVars!$A$7:$B$241,2,FALSE),"")</f>
        <v>Sample collection and processing</v>
      </c>
      <c r="C42" s="6" t="s">
        <v>1869</v>
      </c>
      <c r="D42" s="6" t="s">
        <v>128</v>
      </c>
      <c r="E42" s="6" t="s">
        <v>207</v>
      </c>
      <c r="F42" s="6" t="s">
        <v>1263</v>
      </c>
      <c r="G42" s="6" t="s">
        <v>1572</v>
      </c>
      <c r="H42" s="6"/>
      <c r="I42" s="6" t="s">
        <v>1053</v>
      </c>
      <c r="J42" s="6"/>
      <c r="K42" s="13" t="s">
        <v>1572</v>
      </c>
      <c r="L42" s="13" t="b">
        <v>1</v>
      </c>
      <c r="M42" s="5" t="s">
        <v>1581</v>
      </c>
      <c r="N42" t="s">
        <v>1573</v>
      </c>
    </row>
    <row r="43" spans="1:14" x14ac:dyDescent="0.2">
      <c r="A43" s="6"/>
      <c r="B43" t="str">
        <f>IF(D43&lt;&gt;"",VLOOKUP(D43,PHA4GEVars!$A$7:$B$241,2,FALSE),"")</f>
        <v/>
      </c>
      <c r="C43" s="6"/>
      <c r="D43" s="6"/>
      <c r="E43" s="6"/>
      <c r="F43" s="6"/>
      <c r="G43" s="6"/>
      <c r="H43" s="6"/>
      <c r="I43" s="6"/>
      <c r="J43" s="6"/>
      <c r="K43" s="6"/>
      <c r="L43" s="6"/>
      <c r="M43" s="5"/>
    </row>
    <row r="44" spans="1:14" x14ac:dyDescent="0.2">
      <c r="A44" s="6" t="b">
        <v>1</v>
      </c>
      <c r="B44" t="str">
        <f>IF(D44&lt;&gt;"",VLOOKUP(D44,PHA4GEVars!$A$7:$B$241,2,FALSE),"")</f>
        <v>AMR detection information</v>
      </c>
      <c r="C44" s="6" t="s">
        <v>1869</v>
      </c>
      <c r="D44" s="6" t="s">
        <v>1138</v>
      </c>
      <c r="E44" s="6" t="s">
        <v>1735</v>
      </c>
      <c r="F44" s="6" t="s">
        <v>1263</v>
      </c>
      <c r="G44" s="6"/>
      <c r="H44" s="6" t="s">
        <v>1769</v>
      </c>
      <c r="I44" s="6" t="s">
        <v>1053</v>
      </c>
      <c r="J44" s="6"/>
      <c r="K44" s="6" t="s">
        <v>1599</v>
      </c>
      <c r="L44" s="6" t="s">
        <v>1735</v>
      </c>
      <c r="M44" s="5" t="s">
        <v>1600</v>
      </c>
    </row>
    <row r="45" spans="1:14" x14ac:dyDescent="0.2">
      <c r="A45" s="6" t="b">
        <v>1</v>
      </c>
      <c r="B45" t="str">
        <f>IF(D45&lt;&gt;"",VLOOKUP(D45,PHA4GEVars!$A$7:$B$241,2,FALSE),"")</f>
        <v>Bioinformatics and QC metrics</v>
      </c>
      <c r="C45" s="6" t="s">
        <v>1869</v>
      </c>
      <c r="D45" s="6" t="s">
        <v>13</v>
      </c>
      <c r="E45" s="6" t="s">
        <v>1736</v>
      </c>
      <c r="F45" s="6" t="s">
        <v>1263</v>
      </c>
      <c r="G45" s="6"/>
      <c r="H45" s="6" t="s">
        <v>1766</v>
      </c>
      <c r="I45" s="6" t="s">
        <v>1053</v>
      </c>
      <c r="J45" s="6"/>
      <c r="K45" s="6" t="s">
        <v>1604</v>
      </c>
      <c r="L45" s="6" t="s">
        <v>1736</v>
      </c>
      <c r="M45" s="5" t="s">
        <v>1605</v>
      </c>
    </row>
    <row r="46" spans="1:14" x14ac:dyDescent="0.2">
      <c r="A46" s="6" t="b">
        <v>1</v>
      </c>
      <c r="B46" t="str">
        <f>IF(D46&lt;&gt;"",VLOOKUP(D46,PHA4GEVars!$A$7:$B$241,2,FALSE),"")</f>
        <v>Bioinformatics and QC metrics</v>
      </c>
      <c r="C46" s="6" t="s">
        <v>1869</v>
      </c>
      <c r="D46" s="6" t="s">
        <v>15</v>
      </c>
      <c r="E46" s="6" t="s">
        <v>1737</v>
      </c>
      <c r="F46" s="6" t="s">
        <v>1263</v>
      </c>
      <c r="G46" s="6"/>
      <c r="H46" s="6"/>
      <c r="I46" s="6" t="s">
        <v>1053</v>
      </c>
      <c r="J46" s="6"/>
      <c r="K46" s="6" t="s">
        <v>1608</v>
      </c>
      <c r="L46" s="6" t="s">
        <v>1737</v>
      </c>
      <c r="M46" s="5" t="s">
        <v>1605</v>
      </c>
    </row>
    <row r="47" spans="1:14" x14ac:dyDescent="0.2">
      <c r="A47" s="6" t="b">
        <v>1</v>
      </c>
      <c r="B47" t="str">
        <f>IF(D47&lt;&gt;"",VLOOKUP(D47,PHA4GEVars!$A$7:$B$241,2,FALSE),"")</f>
        <v>Bioinformatics and QC metrics</v>
      </c>
      <c r="C47" s="6" t="s">
        <v>1869</v>
      </c>
      <c r="D47" s="6" t="s">
        <v>18</v>
      </c>
      <c r="E47" s="6" t="s">
        <v>1738</v>
      </c>
      <c r="F47" s="6" t="s">
        <v>1263</v>
      </c>
      <c r="G47" s="6"/>
      <c r="H47" s="6"/>
      <c r="I47" s="6" t="s">
        <v>1053</v>
      </c>
      <c r="J47" s="6"/>
      <c r="K47" s="6" t="s">
        <v>1609</v>
      </c>
      <c r="L47" s="6" t="s">
        <v>1738</v>
      </c>
      <c r="M47" s="5" t="s">
        <v>1605</v>
      </c>
    </row>
    <row r="48" spans="1:14" x14ac:dyDescent="0.2">
      <c r="A48" s="6" t="b">
        <v>1</v>
      </c>
      <c r="B48" t="str">
        <f>IF(D48&lt;&gt;"",VLOOKUP(D48,PHA4GEVars!$A$7:$B$241,2,FALSE),"")</f>
        <v>Bioinformatics and QC metrics</v>
      </c>
      <c r="C48" s="6" t="s">
        <v>1869</v>
      </c>
      <c r="D48" s="6" t="s">
        <v>83</v>
      </c>
      <c r="E48" s="6" t="s">
        <v>1739</v>
      </c>
      <c r="F48" s="6" t="s">
        <v>1263</v>
      </c>
      <c r="G48" s="6"/>
      <c r="H48" s="6"/>
      <c r="I48" s="6" t="s">
        <v>1053</v>
      </c>
      <c r="J48" s="6"/>
      <c r="K48" s="6" t="s">
        <v>1613</v>
      </c>
      <c r="L48" s="6" t="s">
        <v>1739</v>
      </c>
      <c r="M48" s="5" t="s">
        <v>1605</v>
      </c>
    </row>
    <row r="49" spans="1:13" x14ac:dyDescent="0.2">
      <c r="A49" s="6" t="b">
        <v>1</v>
      </c>
      <c r="B49" t="str">
        <f>IF(D49&lt;&gt;"",VLOOKUP(D49,PHA4GEVars!$A$7:$B$241,2,FALSE),"")</f>
        <v>Bioinformatics and QC metrics</v>
      </c>
      <c r="C49" s="6" t="s">
        <v>1869</v>
      </c>
      <c r="D49" s="6" t="s">
        <v>95</v>
      </c>
      <c r="E49" s="6" t="s">
        <v>1740</v>
      </c>
      <c r="F49" s="6" t="s">
        <v>1263</v>
      </c>
      <c r="G49" s="6"/>
      <c r="H49" s="6" t="s">
        <v>1767</v>
      </c>
      <c r="I49" s="6" t="s">
        <v>1053</v>
      </c>
      <c r="J49" s="6"/>
      <c r="K49" s="6" t="s">
        <v>1617</v>
      </c>
      <c r="L49" s="6" t="s">
        <v>1740</v>
      </c>
      <c r="M49" s="5" t="s">
        <v>1605</v>
      </c>
    </row>
    <row r="50" spans="1:13" x14ac:dyDescent="0.2">
      <c r="A50" s="6" t="b">
        <v>1</v>
      </c>
      <c r="B50" t="str">
        <f>IF(D50&lt;&gt;"",VLOOKUP(D50,PHA4GEVars!$A$7:$B$241,2,FALSE),"")</f>
        <v>Lineage/clade information</v>
      </c>
      <c r="C50" s="6" t="s">
        <v>1869</v>
      </c>
      <c r="D50" s="6" t="s">
        <v>1145</v>
      </c>
      <c r="E50" s="6" t="s">
        <v>1741</v>
      </c>
      <c r="F50" s="6" t="s">
        <v>1263</v>
      </c>
      <c r="G50" s="6"/>
      <c r="H50" s="6"/>
      <c r="I50" s="6" t="s">
        <v>1053</v>
      </c>
      <c r="J50" s="6"/>
      <c r="K50" s="6" t="s">
        <v>1620</v>
      </c>
      <c r="L50" s="6" t="s">
        <v>1741</v>
      </c>
      <c r="M50" s="5" t="s">
        <v>1621</v>
      </c>
    </row>
    <row r="51" spans="1:13" x14ac:dyDescent="0.2">
      <c r="B51" t="str">
        <f>IF(D51&lt;&gt;"",VLOOKUP(D51,PHA4GEVars!$A$7:$B$241,2,FALSE),"")</f>
        <v/>
      </c>
    </row>
    <row r="52" spans="1:13" x14ac:dyDescent="0.2">
      <c r="A52" s="6" t="b">
        <v>1</v>
      </c>
      <c r="B52" t="e">
        <f>IF(D52&lt;&gt;"",VLOOKUP(D52,PHA4GEVars!$A$7:$B$241,2,FALSE),"")</f>
        <v>#N/A</v>
      </c>
      <c r="C52" s="6" t="s">
        <v>1869</v>
      </c>
      <c r="D52" s="6" t="s">
        <v>132</v>
      </c>
      <c r="E52" s="6" t="s">
        <v>1632</v>
      </c>
      <c r="F52" s="6" t="s">
        <v>1263</v>
      </c>
      <c r="G52" s="6"/>
      <c r="H52" s="6" t="s">
        <v>1787</v>
      </c>
      <c r="I52" s="6" t="s">
        <v>1053</v>
      </c>
      <c r="J52" s="6"/>
      <c r="K52" s="6" t="s">
        <v>1633</v>
      </c>
      <c r="L52" s="6" t="s">
        <v>1632</v>
      </c>
      <c r="M52" s="5" t="s">
        <v>1634</v>
      </c>
    </row>
    <row r="53" spans="1:13" x14ac:dyDescent="0.2">
      <c r="B53" t="str">
        <f>IF(D53&lt;&gt;"",VLOOKUP(D53,PHA4GEVars!$A$7:$B$241,2,FALSE),"")</f>
        <v/>
      </c>
    </row>
    <row r="54" spans="1:13" x14ac:dyDescent="0.2">
      <c r="A54" s="6" t="b">
        <v>1</v>
      </c>
      <c r="B54" t="str">
        <f>IF(D54&lt;&gt;"",VLOOKUP(D54,PHA4GEVars!$A$7:$B$241,2,FALSE),"")</f>
        <v>Sample collection and processing</v>
      </c>
      <c r="C54" s="6" t="s">
        <v>1869</v>
      </c>
      <c r="D54" s="6" t="s">
        <v>125</v>
      </c>
      <c r="E54" s="6" t="s">
        <v>1647</v>
      </c>
      <c r="F54" s="6" t="s">
        <v>1263</v>
      </c>
      <c r="G54" s="10"/>
      <c r="H54" s="6" t="s">
        <v>1796</v>
      </c>
      <c r="I54" s="6" t="s">
        <v>1053</v>
      </c>
      <c r="J54" s="6"/>
      <c r="K54" s="6" t="s">
        <v>1648</v>
      </c>
      <c r="L54" s="6" t="s">
        <v>1647</v>
      </c>
      <c r="M54" s="5" t="s">
        <v>1649</v>
      </c>
    </row>
    <row r="55" spans="1:13" x14ac:dyDescent="0.2">
      <c r="B55" t="str">
        <f>IF(D55&lt;&gt;"",VLOOKUP(D55,PHA4GEVars!$A$7:$B$241,2,FALSE),"")</f>
        <v/>
      </c>
    </row>
    <row r="56" spans="1:13" x14ac:dyDescent="0.2">
      <c r="A56" s="6" t="b">
        <v>1</v>
      </c>
      <c r="B56" t="str">
        <f>IF(D56&lt;&gt;"",VLOOKUP(D56,PHA4GEVars!$A$7:$B$241,2,FALSE),"")</f>
        <v>Sequence information</v>
      </c>
      <c r="C56" s="6" t="s">
        <v>1869</v>
      </c>
      <c r="D56" s="6" t="s">
        <v>89</v>
      </c>
      <c r="E56" s="6" t="s">
        <v>1664</v>
      </c>
      <c r="F56" s="6" t="s">
        <v>1263</v>
      </c>
      <c r="G56" s="6"/>
      <c r="H56" s="6" t="s">
        <v>1800</v>
      </c>
      <c r="I56" s="6" t="s">
        <v>1053</v>
      </c>
      <c r="J56" s="6"/>
      <c r="K56" s="6" t="s">
        <v>1665</v>
      </c>
      <c r="L56" s="6" t="s">
        <v>1664</v>
      </c>
      <c r="M56" s="5" t="s">
        <v>1666</v>
      </c>
    </row>
    <row r="57" spans="1:13" x14ac:dyDescent="0.2">
      <c r="A57" s="6"/>
      <c r="B57" t="str">
        <f>IF(D57&lt;&gt;"",VLOOKUP(D57,PHA4GEVars!$A$7:$B$241,2,FALSE),"")</f>
        <v/>
      </c>
      <c r="C57" s="6"/>
      <c r="D57" s="6"/>
      <c r="E57" s="6"/>
      <c r="F57" s="6"/>
      <c r="G57" s="6"/>
      <c r="H57" s="6"/>
      <c r="I57" s="6"/>
      <c r="J57" s="6"/>
      <c r="K57" s="6"/>
      <c r="L57" s="6"/>
      <c r="M57" s="5"/>
    </row>
    <row r="58" spans="1:13" x14ac:dyDescent="0.2">
      <c r="A58" s="6" t="b">
        <v>1</v>
      </c>
      <c r="B58" t="str">
        <f>IF(D58&lt;&gt;"",VLOOKUP(D58,PHA4GEVars!$A$7:$B$241,2,FALSE),"")</f>
        <v>Sequence information</v>
      </c>
      <c r="C58" s="6" t="s">
        <v>1869</v>
      </c>
      <c r="D58" s="6" t="s">
        <v>1133</v>
      </c>
      <c r="E58" s="6" t="s">
        <v>1176</v>
      </c>
      <c r="F58" s="6" t="s">
        <v>1263</v>
      </c>
      <c r="G58" s="6" t="s">
        <v>1671</v>
      </c>
      <c r="H58" s="6"/>
      <c r="I58" s="6" t="s">
        <v>1053</v>
      </c>
      <c r="J58" s="6"/>
      <c r="K58" s="6" t="s">
        <v>1668</v>
      </c>
      <c r="L58" s="6" t="s">
        <v>1765</v>
      </c>
      <c r="M58" s="5" t="s">
        <v>1676</v>
      </c>
    </row>
    <row r="59" spans="1:13" x14ac:dyDescent="0.2">
      <c r="A59" s="6" t="b">
        <v>1</v>
      </c>
      <c r="B59" t="str">
        <f>IF(D59&lt;&gt;"",VLOOKUP(D59,PHA4GEVars!$A$7:$B$241,2,FALSE),"")</f>
        <v>Sequence information</v>
      </c>
      <c r="C59" s="6" t="s">
        <v>1869</v>
      </c>
      <c r="D59" s="6" t="s">
        <v>1133</v>
      </c>
      <c r="E59" s="6" t="s">
        <v>1669</v>
      </c>
      <c r="F59" s="6" t="s">
        <v>1263</v>
      </c>
      <c r="G59" s="6" t="s">
        <v>1673</v>
      </c>
      <c r="H59" s="6"/>
      <c r="I59" s="6" t="s">
        <v>1053</v>
      </c>
      <c r="J59" s="6"/>
      <c r="K59" s="6" t="s">
        <v>1668</v>
      </c>
      <c r="L59" s="6" t="s">
        <v>1765</v>
      </c>
      <c r="M59" s="5" t="s">
        <v>1676</v>
      </c>
    </row>
    <row r="60" spans="1:13" x14ac:dyDescent="0.2">
      <c r="A60" s="6" t="b">
        <v>1</v>
      </c>
      <c r="B60" t="str">
        <f>IF(D60&lt;&gt;"",VLOOKUP(D60,PHA4GEVars!$A$7:$B$241,2,FALSE),"")</f>
        <v>Sequence information</v>
      </c>
      <c r="C60" s="6" t="s">
        <v>1869</v>
      </c>
      <c r="D60" s="6" t="s">
        <v>1133</v>
      </c>
      <c r="E60" s="6" t="s">
        <v>1178</v>
      </c>
      <c r="F60" s="6" t="s">
        <v>1263</v>
      </c>
      <c r="G60" s="6" t="s">
        <v>1672</v>
      </c>
      <c r="H60" s="6"/>
      <c r="I60" s="6" t="s">
        <v>1053</v>
      </c>
      <c r="J60" s="6"/>
      <c r="K60" s="6" t="s">
        <v>1668</v>
      </c>
      <c r="L60" s="6" t="s">
        <v>1765</v>
      </c>
      <c r="M60" s="5" t="s">
        <v>1676</v>
      </c>
    </row>
    <row r="61" spans="1:13" x14ac:dyDescent="0.2">
      <c r="A61" s="6" t="b">
        <v>1</v>
      </c>
      <c r="B61" t="str">
        <f>IF(D61&lt;&gt;"",VLOOKUP(D61,PHA4GEVars!$A$7:$B$241,2,FALSE),"")</f>
        <v>Sequence information</v>
      </c>
      <c r="C61" s="6" t="s">
        <v>1869</v>
      </c>
      <c r="D61" s="6" t="s">
        <v>1133</v>
      </c>
      <c r="E61" s="6" t="s">
        <v>1179</v>
      </c>
      <c r="F61" s="6" t="s">
        <v>1263</v>
      </c>
      <c r="G61" s="6" t="s">
        <v>1674</v>
      </c>
      <c r="H61" s="6"/>
      <c r="I61" s="6" t="s">
        <v>1053</v>
      </c>
      <c r="J61" s="6"/>
      <c r="K61" s="6" t="s">
        <v>1668</v>
      </c>
      <c r="L61" s="6" t="s">
        <v>1765</v>
      </c>
      <c r="M61" s="5" t="s">
        <v>1676</v>
      </c>
    </row>
    <row r="62" spans="1:13" x14ac:dyDescent="0.2">
      <c r="A62" s="6" t="b">
        <v>1</v>
      </c>
      <c r="B62" t="str">
        <f>IF(D62&lt;&gt;"",VLOOKUP(D62,PHA4GEVars!$A$7:$B$241,2,FALSE),"")</f>
        <v>Sequence information</v>
      </c>
      <c r="C62" s="6" t="s">
        <v>1869</v>
      </c>
      <c r="D62" s="6" t="s">
        <v>1133</v>
      </c>
      <c r="E62" s="6" t="s">
        <v>1670</v>
      </c>
      <c r="F62" s="6" t="s">
        <v>1263</v>
      </c>
      <c r="G62" s="6" t="s">
        <v>1675</v>
      </c>
      <c r="H62" s="6"/>
      <c r="I62" s="6" t="s">
        <v>1053</v>
      </c>
      <c r="J62" s="6"/>
      <c r="K62" s="6" t="s">
        <v>1668</v>
      </c>
      <c r="L62" s="6" t="s">
        <v>1765</v>
      </c>
      <c r="M62" s="5" t="s">
        <v>1676</v>
      </c>
    </row>
    <row r="63" spans="1:13" x14ac:dyDescent="0.2">
      <c r="B63" t="str">
        <f>IF(D63&lt;&gt;"",VLOOKUP(D63,PHA4GEVars!$A$7:$B$241,2,FALSE),"")</f>
        <v/>
      </c>
    </row>
    <row r="64" spans="1:13" x14ac:dyDescent="0.2">
      <c r="A64" s="6" t="b">
        <v>1</v>
      </c>
      <c r="B64" t="str">
        <f>IF(D64&lt;&gt;"",VLOOKUP(D64,PHA4GEVars!$A$7:$B$241,2,FALSE),"")</f>
        <v>Strain and isolation information</v>
      </c>
      <c r="C64" s="6" t="s">
        <v>1869</v>
      </c>
      <c r="D64" s="6" t="s">
        <v>1129</v>
      </c>
      <c r="E64" s="6" t="s">
        <v>1700</v>
      </c>
      <c r="F64" s="6" t="s">
        <v>1263</v>
      </c>
      <c r="G64" s="6"/>
      <c r="H64" s="6" t="s">
        <v>1706</v>
      </c>
      <c r="I64" s="6" t="s">
        <v>1053</v>
      </c>
      <c r="J64" s="6" t="s">
        <v>1704</v>
      </c>
      <c r="K64" s="6"/>
      <c r="L64" s="6" t="s">
        <v>1700</v>
      </c>
      <c r="M64" s="5" t="s">
        <v>1707</v>
      </c>
    </row>
    <row r="65" spans="1:13" x14ac:dyDescent="0.2">
      <c r="B65" t="str">
        <f>IF(D65&lt;&gt;"",VLOOKUP(D65,PHA4GEVars!$A$7:$B$241,2,FALSE),"")</f>
        <v/>
      </c>
    </row>
    <row r="66" spans="1:13" x14ac:dyDescent="0.2">
      <c r="A66" s="6" t="b">
        <v>1</v>
      </c>
      <c r="B66" t="str">
        <f>IF(D66&lt;&gt;"",VLOOKUP(D66,PHA4GEVars!$A$7:$B$241,2,FALSE),"")</f>
        <v>Taxonomic identification information</v>
      </c>
      <c r="C66" s="6" t="s">
        <v>1869</v>
      </c>
      <c r="D66" s="6" t="s">
        <v>91</v>
      </c>
      <c r="E66" s="6" t="s">
        <v>1703</v>
      </c>
      <c r="F66" s="6" t="s">
        <v>1263</v>
      </c>
      <c r="G66" s="6"/>
      <c r="H66" s="6"/>
      <c r="I66" s="6" t="s">
        <v>1053</v>
      </c>
      <c r="J66" s="6" t="s">
        <v>1705</v>
      </c>
      <c r="K66" s="6"/>
      <c r="L66" s="6" t="s">
        <v>1703</v>
      </c>
      <c r="M66" s="5" t="s">
        <v>1707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5418-9499-EC46-ADC6-7D5629AAF05F}">
  <dimension ref="A1:P7"/>
  <sheetViews>
    <sheetView workbookViewId="0">
      <pane ySplit="1" topLeftCell="A2" activePane="bottomLeft" state="frozen"/>
      <selection pane="bottomLeft" activeCell="F12" sqref="F12"/>
    </sheetView>
  </sheetViews>
  <sheetFormatPr baseColWidth="10" defaultRowHeight="16" x14ac:dyDescent="0.2"/>
  <cols>
    <col min="1" max="1" width="9.33203125" customWidth="1"/>
    <col min="2" max="2" width="15" customWidth="1"/>
    <col min="3" max="3" width="10.5" customWidth="1"/>
    <col min="4" max="5" width="31.1640625" customWidth="1"/>
    <col min="6" max="6" width="13" customWidth="1"/>
    <col min="7" max="7" width="25.83203125" customWidth="1"/>
    <col min="8" max="8" width="13.1640625" customWidth="1"/>
    <col min="9" max="9" width="12" customWidth="1"/>
    <col min="10" max="10" width="10.1640625" customWidth="1"/>
    <col min="11" max="11" width="17.6640625" bestFit="1" customWidth="1"/>
    <col min="12" max="12" width="28" customWidth="1"/>
    <col min="13" max="13" width="7.5" customWidth="1"/>
    <col min="14" max="14" width="12.6640625" customWidth="1"/>
    <col min="15" max="15" width="76.83203125" customWidth="1"/>
    <col min="16" max="16" width="27.5" customWidth="1"/>
  </cols>
  <sheetData>
    <row r="1" spans="1:16" s="30" customFormat="1" ht="17" thickBot="1" x14ac:dyDescent="0.25">
      <c r="A1" s="29" t="s">
        <v>1443</v>
      </c>
      <c r="B1" s="29" t="s">
        <v>1772</v>
      </c>
      <c r="C1" s="29" t="s">
        <v>0</v>
      </c>
      <c r="D1" s="29" t="s">
        <v>10</v>
      </c>
      <c r="E1" s="29" t="s">
        <v>1883</v>
      </c>
      <c r="F1" s="29" t="s">
        <v>1</v>
      </c>
      <c r="G1" s="29" t="s">
        <v>2</v>
      </c>
      <c r="H1" s="29" t="s">
        <v>3</v>
      </c>
      <c r="I1" s="29" t="s">
        <v>4</v>
      </c>
      <c r="J1" s="29" t="s">
        <v>1801</v>
      </c>
      <c r="K1" s="29" t="s">
        <v>5</v>
      </c>
      <c r="L1" s="29" t="s">
        <v>6</v>
      </c>
      <c r="M1" s="29" t="s">
        <v>1779</v>
      </c>
      <c r="N1" s="29" t="s">
        <v>8</v>
      </c>
      <c r="O1" s="47" t="s">
        <v>9</v>
      </c>
      <c r="P1" s="29" t="s">
        <v>1770</v>
      </c>
    </row>
    <row r="2" spans="1:16" s="30" customFormat="1" x14ac:dyDescent="0.2">
      <c r="A2" s="29">
        <v>6</v>
      </c>
      <c r="B2" s="29"/>
      <c r="C2" s="29" t="b">
        <v>1</v>
      </c>
      <c r="D2" s="29" t="s">
        <v>11</v>
      </c>
      <c r="E2" s="30" t="str">
        <f>IF(G2&lt;&gt;"",VLOOKUP(G2,PHA4GEVars!$A$7:$B$241,2,FALSE),"")</f>
        <v>Bioinformatics and QC metrics</v>
      </c>
      <c r="F2" s="29" t="s">
        <v>1869</v>
      </c>
      <c r="G2" s="29" t="s">
        <v>100</v>
      </c>
      <c r="H2" s="29" t="s">
        <v>458</v>
      </c>
      <c r="I2" s="29" t="s">
        <v>1432</v>
      </c>
      <c r="J2" s="29"/>
      <c r="K2" s="29" t="s">
        <v>1601</v>
      </c>
      <c r="L2" s="29" t="s">
        <v>1745</v>
      </c>
      <c r="M2" s="29"/>
      <c r="N2" s="29"/>
      <c r="O2" s="35" t="s">
        <v>1602</v>
      </c>
      <c r="P2" s="29" t="s">
        <v>1876</v>
      </c>
    </row>
    <row r="3" spans="1:16" s="30" customFormat="1" x14ac:dyDescent="0.2">
      <c r="A3" s="29">
        <v>323</v>
      </c>
      <c r="B3" s="29"/>
      <c r="C3" s="29" t="b">
        <v>1</v>
      </c>
      <c r="D3" s="29" t="s">
        <v>108</v>
      </c>
      <c r="E3" s="30" t="str">
        <f>IF(G3&lt;&gt;"",VLOOKUP(G3,PHA4GEVars!$A$7:$B$241,2,FALSE),"")</f>
        <v>Sample collection and processing</v>
      </c>
      <c r="F3" s="29" t="s">
        <v>1869</v>
      </c>
      <c r="G3" s="29" t="s">
        <v>147</v>
      </c>
      <c r="H3" s="29" t="s">
        <v>458</v>
      </c>
      <c r="I3" s="29" t="s">
        <v>1432</v>
      </c>
      <c r="J3" s="29"/>
      <c r="K3" s="29" t="s">
        <v>1518</v>
      </c>
      <c r="L3" s="29" t="s">
        <v>1627</v>
      </c>
      <c r="M3" s="29"/>
      <c r="N3" s="29"/>
      <c r="O3" s="35" t="s">
        <v>1628</v>
      </c>
      <c r="P3" s="29" t="s">
        <v>1773</v>
      </c>
    </row>
    <row r="4" spans="1:16" s="30" customFormat="1" x14ac:dyDescent="0.2">
      <c r="A4" s="29">
        <v>324</v>
      </c>
      <c r="B4" s="29"/>
      <c r="C4" s="29" t="b">
        <v>1</v>
      </c>
      <c r="D4" s="29" t="s">
        <v>108</v>
      </c>
      <c r="E4" s="30" t="str">
        <f>IF(G4&lt;&gt;"",VLOOKUP(G4,PHA4GEVars!$A$7:$B$241,2,FALSE),"")</f>
        <v>Sample collection and processing</v>
      </c>
      <c r="F4" s="29" t="s">
        <v>1869</v>
      </c>
      <c r="G4" s="29" t="s">
        <v>1112</v>
      </c>
      <c r="H4" s="29" t="s">
        <v>458</v>
      </c>
      <c r="I4" s="29" t="s">
        <v>1432</v>
      </c>
      <c r="J4" s="29"/>
      <c r="K4" s="29" t="s">
        <v>975</v>
      </c>
      <c r="L4" s="29" t="s">
        <v>1583</v>
      </c>
      <c r="M4" s="29"/>
      <c r="N4" s="29"/>
      <c r="O4" s="34"/>
      <c r="P4" s="29"/>
    </row>
    <row r="5" spans="1:16" s="30" customFormat="1" x14ac:dyDescent="0.2">
      <c r="A5" s="29">
        <v>679</v>
      </c>
      <c r="B5" s="29"/>
      <c r="C5" s="29" t="b">
        <v>1</v>
      </c>
      <c r="D5" s="29" t="s">
        <v>108</v>
      </c>
      <c r="E5" s="30" t="str">
        <f>IF(G5&lt;&gt;"",VLOOKUP(G5,PHA4GEVars!$A$7:$B$241,2,FALSE),"")</f>
        <v>Sample collection and processing</v>
      </c>
      <c r="F5" s="29" t="s">
        <v>1869</v>
      </c>
      <c r="G5" s="29" t="s">
        <v>129</v>
      </c>
      <c r="H5" s="29" t="s">
        <v>458</v>
      </c>
      <c r="I5" s="29" t="s">
        <v>1432</v>
      </c>
      <c r="J5" s="29"/>
      <c r="K5" s="29" t="s">
        <v>1518</v>
      </c>
      <c r="L5" s="29" t="s">
        <v>1568</v>
      </c>
      <c r="M5" s="29"/>
      <c r="N5" s="29"/>
      <c r="O5" s="35" t="s">
        <v>1569</v>
      </c>
      <c r="P5" s="29" t="s">
        <v>1774</v>
      </c>
    </row>
    <row r="6" spans="1:16" s="30" customFormat="1" x14ac:dyDescent="0.2">
      <c r="A6" s="29">
        <v>838</v>
      </c>
      <c r="B6" s="29"/>
      <c r="C6" s="29" t="b">
        <v>1</v>
      </c>
      <c r="D6" s="29" t="s">
        <v>1117</v>
      </c>
      <c r="E6" s="30" t="str">
        <f>IF(G6&lt;&gt;"",VLOOKUP(G6,PHA4GEVars!$A$7:$B$241,2,FALSE),"")</f>
        <v>Strain and isolation information</v>
      </c>
      <c r="F6" s="29" t="s">
        <v>1869</v>
      </c>
      <c r="G6" s="29" t="s">
        <v>1118</v>
      </c>
      <c r="H6" s="29" t="s">
        <v>458</v>
      </c>
      <c r="I6" s="29" t="s">
        <v>1432</v>
      </c>
      <c r="J6" s="29"/>
      <c r="K6" s="29" t="s">
        <v>1690</v>
      </c>
      <c r="L6" s="29" t="s">
        <v>1691</v>
      </c>
      <c r="M6" s="29"/>
      <c r="N6" s="29"/>
      <c r="O6" s="35" t="s">
        <v>1692</v>
      </c>
      <c r="P6" s="29" t="s">
        <v>1774</v>
      </c>
    </row>
    <row r="7" spans="1:16" s="30" customFormat="1" x14ac:dyDescent="0.2">
      <c r="A7" s="29">
        <v>844</v>
      </c>
      <c r="B7" s="29"/>
      <c r="C7" s="29" t="b">
        <v>1</v>
      </c>
      <c r="D7" s="29" t="s">
        <v>1134</v>
      </c>
      <c r="E7" s="30" t="str">
        <f>IF(G7&lt;&gt;"",VLOOKUP(G7,PHA4GEVars!$A$7:$B$241,2,FALSE),"")</f>
        <v>Taxonomic identification information</v>
      </c>
      <c r="F7" s="29" t="s">
        <v>1869</v>
      </c>
      <c r="G7" s="29" t="s">
        <v>85</v>
      </c>
      <c r="H7" s="29" t="s">
        <v>458</v>
      </c>
      <c r="I7" s="29" t="s">
        <v>1432</v>
      </c>
      <c r="J7" s="29"/>
      <c r="K7" s="29" t="s">
        <v>1518</v>
      </c>
      <c r="L7" s="29" t="s">
        <v>1695</v>
      </c>
      <c r="M7" s="29"/>
      <c r="N7" s="29"/>
      <c r="O7" s="35" t="s">
        <v>1696</v>
      </c>
      <c r="P7" s="2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9D052-A03C-584F-93BD-DC4A71C1C4C3}">
  <dimension ref="A1:L26"/>
  <sheetViews>
    <sheetView workbookViewId="0">
      <pane ySplit="1" topLeftCell="A2" activePane="bottomLeft" state="frozen"/>
      <selection pane="bottomLeft" activeCell="F10" sqref="F10"/>
    </sheetView>
  </sheetViews>
  <sheetFormatPr baseColWidth="10" defaultRowHeight="16" x14ac:dyDescent="0.2"/>
  <cols>
    <col min="2" max="2" width="39" bestFit="1" customWidth="1"/>
    <col min="3" max="3" width="20.5" customWidth="1"/>
    <col min="4" max="4" width="24.5" customWidth="1"/>
    <col min="5" max="5" width="20.6640625" customWidth="1"/>
    <col min="6" max="6" width="19.5" customWidth="1"/>
    <col min="7" max="7" width="18.33203125" customWidth="1"/>
    <col min="8" max="9" width="29" customWidth="1"/>
    <col min="10" max="10" width="46.6640625" customWidth="1"/>
    <col min="11" max="11" width="23" customWidth="1"/>
  </cols>
  <sheetData>
    <row r="1" spans="1:12" s="30" customFormat="1" x14ac:dyDescent="0.2">
      <c r="A1" s="30" t="s">
        <v>0</v>
      </c>
      <c r="B1" s="30" t="s">
        <v>1883</v>
      </c>
      <c r="C1" s="29" t="s">
        <v>1</v>
      </c>
      <c r="D1" s="29" t="s">
        <v>2</v>
      </c>
      <c r="E1" s="29" t="s">
        <v>3</v>
      </c>
      <c r="F1" s="29" t="s">
        <v>4</v>
      </c>
      <c r="G1" s="30" t="s">
        <v>1042</v>
      </c>
      <c r="H1" s="30" t="s">
        <v>1776</v>
      </c>
      <c r="I1" s="30" t="s">
        <v>1849</v>
      </c>
      <c r="J1" s="30" t="s">
        <v>1850</v>
      </c>
      <c r="K1" s="30" t="s">
        <v>1775</v>
      </c>
      <c r="L1" s="30" t="s">
        <v>9</v>
      </c>
    </row>
    <row r="2" spans="1:12" x14ac:dyDescent="0.2">
      <c r="A2" t="b">
        <v>1</v>
      </c>
      <c r="B2" t="str">
        <f>IF(D2&lt;&gt;"",VLOOKUP(D2,PHA4GEVars!$A$7:$B$241,2,FALSE),"")</f>
        <v>Bioinformatics and QC metrics</v>
      </c>
      <c r="C2" t="s">
        <v>1869</v>
      </c>
      <c r="D2" t="s">
        <v>75</v>
      </c>
      <c r="F2" t="s">
        <v>1432</v>
      </c>
      <c r="H2" t="s">
        <v>1777</v>
      </c>
      <c r="K2" t="s">
        <v>1433</v>
      </c>
    </row>
    <row r="3" spans="1:12" x14ac:dyDescent="0.2">
      <c r="B3" t="str">
        <f>IF(D3&lt;&gt;"",VLOOKUP(D3,PHA4GEVars!$A$7:$B$241,2,FALSE),"")</f>
        <v/>
      </c>
    </row>
    <row r="4" spans="1:12" x14ac:dyDescent="0.2">
      <c r="A4" t="b">
        <v>1</v>
      </c>
      <c r="B4" t="str">
        <f>IF(D4&lt;&gt;"",VLOOKUP(D4,PHA4GEVars!$A$7:$B$241,2,FALSE),"")</f>
        <v>Environmental conditions and measurements</v>
      </c>
      <c r="C4" t="s">
        <v>1869</v>
      </c>
      <c r="D4" t="s">
        <v>25</v>
      </c>
      <c r="F4" t="s">
        <v>1432</v>
      </c>
      <c r="I4" t="s">
        <v>976</v>
      </c>
      <c r="J4" t="s">
        <v>25</v>
      </c>
      <c r="L4" t="s">
        <v>992</v>
      </c>
    </row>
    <row r="5" spans="1:12" x14ac:dyDescent="0.2">
      <c r="A5" t="b">
        <v>1</v>
      </c>
      <c r="B5" t="str">
        <f>IF(D5&lt;&gt;"",VLOOKUP(D5,PHA4GEVars!$A$7:$B$241,2,FALSE),"")</f>
        <v>Environmental conditions and measurements</v>
      </c>
      <c r="C5" t="s">
        <v>1869</v>
      </c>
      <c r="D5" t="s">
        <v>29</v>
      </c>
      <c r="F5" t="s">
        <v>1432</v>
      </c>
      <c r="I5" t="s">
        <v>980</v>
      </c>
      <c r="J5" t="s">
        <v>29</v>
      </c>
      <c r="L5" t="s">
        <v>992</v>
      </c>
    </row>
    <row r="6" spans="1:12" x14ac:dyDescent="0.2">
      <c r="A6" t="b">
        <v>1</v>
      </c>
      <c r="B6" t="str">
        <f>IF(D6&lt;&gt;"",VLOOKUP(D6,PHA4GEVars!$A$7:$B$241,2,FALSE),"")</f>
        <v>Environmental conditions and measurements</v>
      </c>
      <c r="C6" t="s">
        <v>1869</v>
      </c>
      <c r="D6" t="s">
        <v>30</v>
      </c>
      <c r="F6" t="s">
        <v>1432</v>
      </c>
      <c r="I6" t="s">
        <v>981</v>
      </c>
      <c r="J6" t="s">
        <v>30</v>
      </c>
      <c r="L6" t="s">
        <v>992</v>
      </c>
    </row>
    <row r="7" spans="1:12" x14ac:dyDescent="0.2">
      <c r="A7" t="b">
        <v>1</v>
      </c>
      <c r="B7" t="str">
        <f>IF(D7&lt;&gt;"",VLOOKUP(D7,PHA4GEVars!$A$7:$B$241,2,FALSE),"")</f>
        <v>Environmental conditions and measurements</v>
      </c>
      <c r="C7" t="s">
        <v>1869</v>
      </c>
      <c r="D7" t="s">
        <v>32</v>
      </c>
      <c r="F7" t="s">
        <v>1432</v>
      </c>
      <c r="I7" t="s">
        <v>983</v>
      </c>
      <c r="J7" t="s">
        <v>32</v>
      </c>
      <c r="L7" t="s">
        <v>992</v>
      </c>
    </row>
    <row r="8" spans="1:12" x14ac:dyDescent="0.2">
      <c r="A8" t="b">
        <v>1</v>
      </c>
      <c r="B8" t="str">
        <f>IF(D8&lt;&gt;"",VLOOKUP(D8,PHA4GEVars!$A$7:$B$241,2,FALSE),"")</f>
        <v>Environmental conditions and measurements</v>
      </c>
      <c r="C8" t="s">
        <v>1869</v>
      </c>
      <c r="D8" t="s">
        <v>34</v>
      </c>
      <c r="F8" t="s">
        <v>1432</v>
      </c>
      <c r="I8" t="s">
        <v>985</v>
      </c>
      <c r="J8" t="s">
        <v>34</v>
      </c>
      <c r="L8" t="s">
        <v>992</v>
      </c>
    </row>
    <row r="9" spans="1:12" x14ac:dyDescent="0.2">
      <c r="A9" t="b">
        <v>1</v>
      </c>
      <c r="B9" t="str">
        <f>IF(D9&lt;&gt;"",VLOOKUP(D9,PHA4GEVars!$A$7:$B$241,2,FALSE),"")</f>
        <v>Environmental conditions and measurements</v>
      </c>
      <c r="C9" t="s">
        <v>1869</v>
      </c>
      <c r="D9" t="s">
        <v>35</v>
      </c>
      <c r="F9" t="s">
        <v>1432</v>
      </c>
      <c r="I9" t="s">
        <v>986</v>
      </c>
      <c r="J9" t="s">
        <v>35</v>
      </c>
      <c r="L9" t="s">
        <v>992</v>
      </c>
    </row>
    <row r="10" spans="1:12" x14ac:dyDescent="0.2">
      <c r="A10" t="b">
        <v>1</v>
      </c>
      <c r="B10" t="str">
        <f>IF(D10&lt;&gt;"",VLOOKUP(D10,PHA4GEVars!$A$7:$B$241,2,FALSE),"")</f>
        <v>Environmental conditions and measurements</v>
      </c>
      <c r="C10" t="s">
        <v>1869</v>
      </c>
      <c r="D10" t="s">
        <v>1908</v>
      </c>
      <c r="F10" t="s">
        <v>1432</v>
      </c>
      <c r="I10" t="s">
        <v>1928</v>
      </c>
      <c r="J10" s="28" t="s">
        <v>1908</v>
      </c>
      <c r="L10" t="s">
        <v>992</v>
      </c>
    </row>
    <row r="11" spans="1:12" x14ac:dyDescent="0.2">
      <c r="A11" t="b">
        <v>1</v>
      </c>
      <c r="B11" t="str">
        <f>IF(D11&lt;&gt;"",VLOOKUP(D11,PHA4GEVars!$A$7:$B$241,2,FALSE),"")</f>
        <v>Environmental conditions and measurements</v>
      </c>
      <c r="C11" t="s">
        <v>1869</v>
      </c>
      <c r="D11" t="s">
        <v>31</v>
      </c>
      <c r="F11" t="s">
        <v>1432</v>
      </c>
      <c r="I11" t="s">
        <v>982</v>
      </c>
      <c r="J11" t="s">
        <v>31</v>
      </c>
      <c r="L11" t="s">
        <v>992</v>
      </c>
    </row>
    <row r="12" spans="1:12" x14ac:dyDescent="0.2">
      <c r="A12" t="b">
        <v>1</v>
      </c>
      <c r="B12" t="str">
        <f>IF(D12&lt;&gt;"",VLOOKUP(D12,PHA4GEVars!$A$7:$B$241,2,FALSE),"")</f>
        <v>Environmental conditions and measurements</v>
      </c>
      <c r="C12" t="s">
        <v>1869</v>
      </c>
      <c r="D12" t="s">
        <v>41</v>
      </c>
      <c r="F12" t="s">
        <v>1432</v>
      </c>
      <c r="I12" t="s">
        <v>991</v>
      </c>
      <c r="J12" t="s">
        <v>41</v>
      </c>
      <c r="L12" t="s">
        <v>992</v>
      </c>
    </row>
    <row r="13" spans="1:12" x14ac:dyDescent="0.2">
      <c r="A13" t="b">
        <v>1</v>
      </c>
      <c r="B13" t="str">
        <f>IF(D13&lt;&gt;"",VLOOKUP(D13,PHA4GEVars!$A$7:$B$241,2,FALSE),"")</f>
        <v>Environmental conditions and measurements</v>
      </c>
      <c r="C13" t="s">
        <v>1869</v>
      </c>
      <c r="D13" t="s">
        <v>51</v>
      </c>
      <c r="F13" t="s">
        <v>1432</v>
      </c>
      <c r="I13" t="s">
        <v>993</v>
      </c>
      <c r="J13" t="s">
        <v>51</v>
      </c>
      <c r="L13" t="s">
        <v>992</v>
      </c>
    </row>
    <row r="14" spans="1:12" x14ac:dyDescent="0.2">
      <c r="A14" t="b">
        <v>1</v>
      </c>
      <c r="B14" t="str">
        <f>IF(D14&lt;&gt;"",VLOOKUP(D14,PHA4GEVars!$A$7:$B$241,2,FALSE),"")</f>
        <v>Environmental conditions and measurements</v>
      </c>
      <c r="C14" t="s">
        <v>1869</v>
      </c>
      <c r="D14" t="s">
        <v>33</v>
      </c>
      <c r="F14" t="s">
        <v>1432</v>
      </c>
      <c r="I14" t="s">
        <v>984</v>
      </c>
      <c r="J14" t="s">
        <v>33</v>
      </c>
      <c r="L14" t="s">
        <v>992</v>
      </c>
    </row>
    <row r="15" spans="1:12" x14ac:dyDescent="0.2">
      <c r="A15" t="b">
        <v>1</v>
      </c>
      <c r="B15" t="str">
        <f>IF(D15&lt;&gt;"",VLOOKUP(D15,PHA4GEVars!$A$7:$B$241,2,FALSE),"")</f>
        <v>Environmental conditions and measurements</v>
      </c>
      <c r="C15" t="s">
        <v>1869</v>
      </c>
      <c r="D15" t="s">
        <v>26</v>
      </c>
      <c r="F15" t="s">
        <v>1432</v>
      </c>
      <c r="I15" t="s">
        <v>977</v>
      </c>
      <c r="J15" t="s">
        <v>26</v>
      </c>
      <c r="L15" t="s">
        <v>992</v>
      </c>
    </row>
    <row r="16" spans="1:12" x14ac:dyDescent="0.2">
      <c r="A16" t="b">
        <v>1</v>
      </c>
      <c r="B16" t="str">
        <f>IF(D16&lt;&gt;"",VLOOKUP(D16,PHA4GEVars!$A$7:$B$241,2,FALSE),"")</f>
        <v>Environmental conditions and measurements</v>
      </c>
      <c r="C16" t="s">
        <v>1869</v>
      </c>
      <c r="D16" t="s">
        <v>27</v>
      </c>
      <c r="F16" t="s">
        <v>1432</v>
      </c>
      <c r="I16" t="s">
        <v>978</v>
      </c>
      <c r="J16" t="s">
        <v>27</v>
      </c>
      <c r="L16" t="s">
        <v>992</v>
      </c>
    </row>
    <row r="17" spans="1:12" x14ac:dyDescent="0.2">
      <c r="A17" t="b">
        <v>1</v>
      </c>
      <c r="B17" t="str">
        <f>IF(D17&lt;&gt;"",VLOOKUP(D17,PHA4GEVars!$A$7:$B$241,2,FALSE),"")</f>
        <v>Environmental conditions and measurements</v>
      </c>
      <c r="C17" t="s">
        <v>1869</v>
      </c>
      <c r="D17" t="s">
        <v>28</v>
      </c>
      <c r="F17" t="s">
        <v>1432</v>
      </c>
      <c r="I17" t="s">
        <v>979</v>
      </c>
      <c r="J17" t="s">
        <v>28</v>
      </c>
      <c r="L17" t="s">
        <v>992</v>
      </c>
    </row>
    <row r="18" spans="1:12" x14ac:dyDescent="0.2">
      <c r="A18" t="b">
        <v>1</v>
      </c>
      <c r="B18" t="str">
        <f>IF(D18&lt;&gt;"",VLOOKUP(D18,PHA4GEVars!$A$7:$B$241,2,FALSE),"")</f>
        <v>Environmental conditions and measurements</v>
      </c>
      <c r="C18" t="s">
        <v>1869</v>
      </c>
      <c r="D18" t="s">
        <v>1097</v>
      </c>
      <c r="F18" t="s">
        <v>1432</v>
      </c>
      <c r="I18" t="s">
        <v>1851</v>
      </c>
      <c r="J18" t="s">
        <v>1097</v>
      </c>
      <c r="L18" t="s">
        <v>992</v>
      </c>
    </row>
    <row r="19" spans="1:12" x14ac:dyDescent="0.2">
      <c r="A19" t="b">
        <v>1</v>
      </c>
      <c r="B19" t="str">
        <f>IF(D19&lt;&gt;"",VLOOKUP(D19,PHA4GEVars!$A$7:$B$241,2,FALSE),"")</f>
        <v>Environmental conditions and measurements</v>
      </c>
      <c r="C19" t="s">
        <v>1869</v>
      </c>
      <c r="D19" t="s">
        <v>1094</v>
      </c>
      <c r="F19" t="s">
        <v>1432</v>
      </c>
      <c r="I19" t="s">
        <v>1852</v>
      </c>
      <c r="J19" t="s">
        <v>1094</v>
      </c>
      <c r="L19" t="s">
        <v>992</v>
      </c>
    </row>
    <row r="20" spans="1:12" x14ac:dyDescent="0.2">
      <c r="A20" t="b">
        <v>1</v>
      </c>
      <c r="B20" t="str">
        <f>IF(D20&lt;&gt;"",VLOOKUP(D20,PHA4GEVars!$A$7:$B$241,2,FALSE),"")</f>
        <v>Environmental conditions and measurements</v>
      </c>
      <c r="C20" t="s">
        <v>1869</v>
      </c>
      <c r="D20" t="s">
        <v>37</v>
      </c>
      <c r="F20" t="s">
        <v>1432</v>
      </c>
      <c r="I20" t="s">
        <v>988</v>
      </c>
      <c r="J20" t="s">
        <v>37</v>
      </c>
      <c r="L20" t="s">
        <v>992</v>
      </c>
    </row>
    <row r="21" spans="1:12" x14ac:dyDescent="0.2">
      <c r="A21" t="b">
        <v>1</v>
      </c>
      <c r="B21" t="str">
        <f>IF(D21&lt;&gt;"",VLOOKUP(D21,PHA4GEVars!$A$7:$B$241,2,FALSE),"")</f>
        <v>Environmental conditions and measurements</v>
      </c>
      <c r="C21" t="s">
        <v>1869</v>
      </c>
      <c r="D21" t="s">
        <v>36</v>
      </c>
      <c r="F21" t="s">
        <v>1432</v>
      </c>
      <c r="I21" t="s">
        <v>987</v>
      </c>
      <c r="J21" t="s">
        <v>36</v>
      </c>
      <c r="L21" t="s">
        <v>992</v>
      </c>
    </row>
    <row r="22" spans="1:12" x14ac:dyDescent="0.2">
      <c r="A22" t="b">
        <v>1</v>
      </c>
      <c r="B22" t="str">
        <f>IF(D22&lt;&gt;"",VLOOKUP(D22,PHA4GEVars!$A$7:$B$241,2,FALSE),"")</f>
        <v>Environmental conditions and measurements</v>
      </c>
      <c r="C22" t="s">
        <v>1869</v>
      </c>
      <c r="D22" t="s">
        <v>38</v>
      </c>
      <c r="F22" t="s">
        <v>1432</v>
      </c>
      <c r="I22" t="s">
        <v>989</v>
      </c>
      <c r="J22" t="s">
        <v>38</v>
      </c>
      <c r="L22" t="s">
        <v>992</v>
      </c>
    </row>
    <row r="23" spans="1:12" x14ac:dyDescent="0.2">
      <c r="A23" t="b">
        <v>1</v>
      </c>
      <c r="B23" t="str">
        <f>IF(D23&lt;&gt;"",VLOOKUP(D23,PHA4GEVars!$A$7:$B$241,2,FALSE),"")</f>
        <v>Environmental conditions and measurements</v>
      </c>
      <c r="C23" t="s">
        <v>1869</v>
      </c>
      <c r="D23" t="s">
        <v>39</v>
      </c>
      <c r="F23" t="s">
        <v>1432</v>
      </c>
      <c r="I23" t="s">
        <v>1853</v>
      </c>
      <c r="J23" t="s">
        <v>39</v>
      </c>
      <c r="L23" t="s">
        <v>992</v>
      </c>
    </row>
    <row r="24" spans="1:12" x14ac:dyDescent="0.2">
      <c r="A24" t="b">
        <v>1</v>
      </c>
      <c r="B24" t="str">
        <f>IF(D24&lt;&gt;"",VLOOKUP(D24,PHA4GEVars!$A$7:$B$241,2,FALSE),"")</f>
        <v>Environmental conditions and measurements</v>
      </c>
      <c r="C24" t="s">
        <v>1869</v>
      </c>
      <c r="D24" t="s">
        <v>40</v>
      </c>
      <c r="F24" t="s">
        <v>1432</v>
      </c>
      <c r="I24" t="s">
        <v>990</v>
      </c>
      <c r="J24" t="s">
        <v>40</v>
      </c>
      <c r="L24" t="s">
        <v>992</v>
      </c>
    </row>
    <row r="25" spans="1:12" x14ac:dyDescent="0.2">
      <c r="B25" t="str">
        <f>IF(D25&lt;&gt;"",VLOOKUP(D25,PHA4GEVars!$A$7:$B$241,2,FALSE),"")</f>
        <v/>
      </c>
    </row>
    <row r="26" spans="1:12" x14ac:dyDescent="0.2">
      <c r="A26" t="b">
        <v>1</v>
      </c>
      <c r="B26" t="str">
        <f>IF(D26&lt;&gt;"",VLOOKUP(D26,PHA4GEVars!$A$7:$B$241,2,FALSE),"")</f>
        <v>Sample collection and processing</v>
      </c>
      <c r="C26" t="s">
        <v>1869</v>
      </c>
      <c r="D26" t="s">
        <v>1116</v>
      </c>
      <c r="F26" t="s">
        <v>1432</v>
      </c>
      <c r="I26" t="s">
        <v>1636</v>
      </c>
      <c r="J26" t="s">
        <v>1116</v>
      </c>
    </row>
  </sheetData>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23FD1-8CD6-6D41-ABDB-B5E20FE87318}">
  <dimension ref="A1:P4"/>
  <sheetViews>
    <sheetView workbookViewId="0">
      <pane ySplit="1" topLeftCell="A2" activePane="bottomLeft" state="frozen"/>
      <selection pane="bottomLeft" activeCell="K4" sqref="K4"/>
    </sheetView>
  </sheetViews>
  <sheetFormatPr baseColWidth="10" defaultRowHeight="16" x14ac:dyDescent="0.2"/>
  <cols>
    <col min="1" max="1" width="9.33203125" customWidth="1"/>
    <col min="2" max="2" width="15" customWidth="1"/>
    <col min="3" max="3" width="10.5" customWidth="1"/>
    <col min="4" max="5" width="28.5" customWidth="1"/>
    <col min="6" max="6" width="13" customWidth="1"/>
    <col min="7" max="7" width="27" customWidth="1"/>
    <col min="8" max="8" width="13.1640625" customWidth="1"/>
    <col min="9" max="9" width="12" customWidth="1"/>
    <col min="10" max="10" width="6.6640625" customWidth="1"/>
    <col min="11" max="11" width="10.5" customWidth="1"/>
    <col min="12" max="12" width="27.1640625" customWidth="1"/>
    <col min="13" max="13" width="7.5" customWidth="1"/>
    <col min="14" max="14" width="12.6640625" customWidth="1"/>
    <col min="15" max="15" width="30.33203125" customWidth="1"/>
    <col min="16" max="16" width="18" customWidth="1"/>
  </cols>
  <sheetData>
    <row r="1" spans="1:16" s="30" customFormat="1" x14ac:dyDescent="0.2">
      <c r="A1" s="29" t="s">
        <v>1443</v>
      </c>
      <c r="B1" s="29" t="s">
        <v>1772</v>
      </c>
      <c r="C1" s="29" t="s">
        <v>0</v>
      </c>
      <c r="D1" s="29" t="s">
        <v>10</v>
      </c>
      <c r="E1" s="29" t="s">
        <v>1883</v>
      </c>
      <c r="F1" s="29" t="s">
        <v>1</v>
      </c>
      <c r="G1" s="29" t="s">
        <v>2</v>
      </c>
      <c r="H1" s="29" t="s">
        <v>3</v>
      </c>
      <c r="I1" s="29" t="s">
        <v>4</v>
      </c>
      <c r="J1" s="29" t="s">
        <v>1801</v>
      </c>
      <c r="K1" s="29" t="s">
        <v>5</v>
      </c>
      <c r="L1" s="29" t="s">
        <v>6</v>
      </c>
      <c r="M1" s="29" t="s">
        <v>1779</v>
      </c>
      <c r="N1" s="29" t="s">
        <v>8</v>
      </c>
      <c r="O1" s="29" t="s">
        <v>9</v>
      </c>
      <c r="P1" s="29" t="s">
        <v>1770</v>
      </c>
    </row>
    <row r="2" spans="1:16" x14ac:dyDescent="0.2">
      <c r="A2" s="28">
        <v>688</v>
      </c>
      <c r="B2" s="28"/>
      <c r="C2" s="28" t="b">
        <v>0</v>
      </c>
      <c r="D2" s="28" t="s">
        <v>108</v>
      </c>
      <c r="E2" t="str">
        <f>IF(G2&lt;&gt;"",VLOOKUP(G2,PHA4GEVars!$A$7:$B$241,2,FALSE),"")</f>
        <v>Sample collection and processing</v>
      </c>
      <c r="F2" s="28" t="s">
        <v>1869</v>
      </c>
      <c r="G2" s="28" t="s">
        <v>1106</v>
      </c>
      <c r="H2" s="28" t="s">
        <v>1149</v>
      </c>
      <c r="I2" s="28" t="s">
        <v>1494</v>
      </c>
      <c r="J2" s="28"/>
      <c r="K2" s="28" t="s">
        <v>9</v>
      </c>
      <c r="L2" s="28" t="s">
        <v>1503</v>
      </c>
      <c r="M2" s="28"/>
      <c r="N2" s="28"/>
      <c r="O2" s="31" t="s">
        <v>1504</v>
      </c>
      <c r="P2" s="28" t="s">
        <v>1987</v>
      </c>
    </row>
    <row r="3" spans="1:16" x14ac:dyDescent="0.2">
      <c r="A3" s="28">
        <v>689</v>
      </c>
      <c r="B3" s="28"/>
      <c r="C3" s="28" t="b">
        <v>0</v>
      </c>
      <c r="D3" s="28" t="s">
        <v>108</v>
      </c>
      <c r="E3" t="str">
        <f>IF(G3&lt;&gt;"",VLOOKUP(G3,PHA4GEVars!$A$7:$B$241,2,FALSE),"")</f>
        <v>Sample collection and processing</v>
      </c>
      <c r="F3" s="28" t="s">
        <v>1869</v>
      </c>
      <c r="G3" s="28" t="s">
        <v>1106</v>
      </c>
      <c r="H3" s="28" t="s">
        <v>1150</v>
      </c>
      <c r="I3" s="28" t="s">
        <v>1494</v>
      </c>
      <c r="J3" s="28"/>
      <c r="K3" s="28" t="s">
        <v>9</v>
      </c>
      <c r="L3" s="28" t="s">
        <v>775</v>
      </c>
      <c r="M3" s="28"/>
      <c r="N3" s="28"/>
      <c r="O3" s="31" t="s">
        <v>1504</v>
      </c>
      <c r="P3" s="28" t="s">
        <v>1987</v>
      </c>
    </row>
    <row r="4" spans="1:16" x14ac:dyDescent="0.2">
      <c r="A4" s="28">
        <v>690</v>
      </c>
      <c r="B4" s="28"/>
      <c r="C4" s="28" t="b">
        <v>1</v>
      </c>
      <c r="D4" s="28" t="s">
        <v>108</v>
      </c>
      <c r="E4" t="str">
        <f>IF(G4&lt;&gt;"",VLOOKUP(G4,PHA4GEVars!$A$7:$B$241,2,FALSE),"")</f>
        <v>Sample collection and processing</v>
      </c>
      <c r="F4" s="28" t="s">
        <v>1869</v>
      </c>
      <c r="G4" s="28" t="s">
        <v>1107</v>
      </c>
      <c r="H4" s="28" t="s">
        <v>458</v>
      </c>
      <c r="I4" s="28" t="s">
        <v>1494</v>
      </c>
      <c r="J4" s="28"/>
      <c r="K4" s="28" t="s">
        <v>1189</v>
      </c>
      <c r="L4" s="28" t="s">
        <v>1495</v>
      </c>
      <c r="M4" s="28"/>
      <c r="N4" s="28"/>
      <c r="O4" s="31" t="s">
        <v>1504</v>
      </c>
      <c r="P4" s="28" t="s">
        <v>1941</v>
      </c>
    </row>
  </sheetData>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2BE1C-61A4-D443-B791-F703172E9F72}">
  <dimension ref="A1:T2"/>
  <sheetViews>
    <sheetView workbookViewId="0">
      <selection sqref="A1:XFD1"/>
    </sheetView>
  </sheetViews>
  <sheetFormatPr baseColWidth="10" defaultRowHeight="16" x14ac:dyDescent="0.2"/>
  <sheetData>
    <row r="1" spans="1:20" s="30" customFormat="1" x14ac:dyDescent="0.2">
      <c r="A1" s="30" t="s">
        <v>1772</v>
      </c>
      <c r="B1" s="30" t="s">
        <v>0</v>
      </c>
      <c r="C1" s="30" t="s">
        <v>1883</v>
      </c>
      <c r="D1" s="29" t="s">
        <v>1</v>
      </c>
      <c r="E1" s="29" t="s">
        <v>2</v>
      </c>
      <c r="F1" s="29" t="s">
        <v>3</v>
      </c>
      <c r="G1" s="29" t="s">
        <v>4</v>
      </c>
      <c r="H1" s="30" t="s">
        <v>6</v>
      </c>
      <c r="I1" s="30" t="s">
        <v>1042</v>
      </c>
      <c r="J1" s="30" t="s">
        <v>1918</v>
      </c>
      <c r="K1" s="30" t="s">
        <v>1866</v>
      </c>
      <c r="L1" s="30" t="s">
        <v>1849</v>
      </c>
      <c r="M1" s="29" t="s">
        <v>1753</v>
      </c>
      <c r="N1" s="29" t="s">
        <v>1752</v>
      </c>
      <c r="O1" s="29" t="s">
        <v>1939</v>
      </c>
      <c r="P1" s="29" t="s">
        <v>1749</v>
      </c>
      <c r="Q1" s="29" t="s">
        <v>1750</v>
      </c>
      <c r="R1" s="29" t="s">
        <v>1751</v>
      </c>
      <c r="S1" s="29" t="s">
        <v>9</v>
      </c>
      <c r="T1" s="29" t="s">
        <v>1786</v>
      </c>
    </row>
    <row r="2" spans="1:20" x14ac:dyDescent="0.2">
      <c r="A2" t="b">
        <v>1</v>
      </c>
      <c r="B2" t="b">
        <v>1</v>
      </c>
      <c r="C2" t="str">
        <f>IF(E2&lt;&gt;"",VLOOKUP(E2,PHA4GEVars!$A$7:$B$241,2,FALSE),"")</f>
        <v>Sample collection and processing</v>
      </c>
      <c r="D2" t="s">
        <v>1869</v>
      </c>
      <c r="E2" t="s">
        <v>155</v>
      </c>
      <c r="G2" t="s">
        <v>974</v>
      </c>
      <c r="J2" s="30" t="s">
        <v>1333</v>
      </c>
      <c r="K2" s="30"/>
      <c r="M2" t="s">
        <v>1053</v>
      </c>
      <c r="N2" t="s">
        <v>1497</v>
      </c>
      <c r="P2" t="s">
        <v>1499</v>
      </c>
      <c r="Q2" t="s">
        <v>1498</v>
      </c>
      <c r="R2" t="s">
        <v>1058</v>
      </c>
      <c r="S2" s="5" t="s">
        <v>1500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A8578-AB00-374B-A6A4-431F9C79C5B4}">
  <dimension ref="A1:N132"/>
  <sheetViews>
    <sheetView workbookViewId="0">
      <pane ySplit="1" topLeftCell="A2" activePane="bottomLeft" state="frozen"/>
      <selection pane="bottomLeft" activeCell="I2" sqref="I2"/>
    </sheetView>
  </sheetViews>
  <sheetFormatPr baseColWidth="10" defaultRowHeight="16" x14ac:dyDescent="0.2"/>
  <cols>
    <col min="3" max="4" width="38.1640625" customWidth="1"/>
    <col min="6" max="6" width="45.6640625" customWidth="1"/>
    <col min="7" max="7" width="45.5" customWidth="1"/>
    <col min="8" max="8" width="12" customWidth="1"/>
    <col min="9" max="9" width="15.83203125" bestFit="1" customWidth="1"/>
    <col min="10" max="10" width="12.1640625" customWidth="1"/>
    <col min="12" max="12" width="12.6640625" customWidth="1"/>
  </cols>
  <sheetData>
    <row r="1" spans="1:14" s="30" customFormat="1" x14ac:dyDescent="0.2">
      <c r="A1" s="30" t="s">
        <v>1443</v>
      </c>
      <c r="B1" s="30" t="s">
        <v>0</v>
      </c>
      <c r="C1" s="30" t="s">
        <v>10</v>
      </c>
      <c r="D1" s="30" t="s">
        <v>1883</v>
      </c>
      <c r="E1" s="30" t="s">
        <v>1</v>
      </c>
      <c r="F1" s="30" t="s">
        <v>2</v>
      </c>
      <c r="G1" s="30" t="s">
        <v>3</v>
      </c>
      <c r="H1" s="30" t="s">
        <v>4</v>
      </c>
      <c r="I1" s="30" t="s">
        <v>1984</v>
      </c>
      <c r="J1" s="30" t="s">
        <v>6</v>
      </c>
      <c r="K1" s="30" t="s">
        <v>7</v>
      </c>
      <c r="L1" s="30" t="s">
        <v>8</v>
      </c>
      <c r="M1" s="30" t="s">
        <v>9</v>
      </c>
      <c r="N1" s="30" t="s">
        <v>1786</v>
      </c>
    </row>
    <row r="2" spans="1:14" x14ac:dyDescent="0.2">
      <c r="A2">
        <v>67</v>
      </c>
      <c r="B2" t="b">
        <f>IF(OR(G2="NA",H2="wide_value"),"",TRUE)</f>
        <v>1</v>
      </c>
      <c r="C2" t="s">
        <v>24</v>
      </c>
      <c r="D2" t="str">
        <f>IF(F2&lt;&gt;"",VLOOKUP(F2,PHA4GEVars!$A$7:$B$241,2,FALSE),"")</f>
        <v>Environmental conditions and measurements</v>
      </c>
      <c r="E2" t="s">
        <v>1869</v>
      </c>
      <c r="F2" t="s">
        <v>42</v>
      </c>
      <c r="G2" t="s">
        <v>309</v>
      </c>
      <c r="H2" t="s">
        <v>974</v>
      </c>
      <c r="I2" t="s">
        <v>994</v>
      </c>
      <c r="J2" t="s">
        <v>1007</v>
      </c>
      <c r="M2" s="5" t="s">
        <v>1003</v>
      </c>
    </row>
    <row r="3" spans="1:14" x14ac:dyDescent="0.2">
      <c r="A3">
        <v>68</v>
      </c>
      <c r="B3" t="b">
        <f>IF(OR(G3="NA",H3="wide_value"),"",TRUE)</f>
        <v>1</v>
      </c>
      <c r="C3" t="s">
        <v>24</v>
      </c>
      <c r="D3" t="str">
        <f>IF(F3&lt;&gt;"",VLOOKUP(F3,PHA4GEVars!$A$7:$B$241,2,FALSE),"")</f>
        <v>Environmental conditions and measurements</v>
      </c>
      <c r="E3" t="s">
        <v>1869</v>
      </c>
      <c r="F3" t="s">
        <v>42</v>
      </c>
      <c r="G3" t="s">
        <v>310</v>
      </c>
      <c r="H3" t="s">
        <v>974</v>
      </c>
      <c r="I3" t="s">
        <v>994</v>
      </c>
      <c r="J3" t="s">
        <v>1008</v>
      </c>
      <c r="M3" s="5" t="s">
        <v>1003</v>
      </c>
    </row>
    <row r="4" spans="1:14" x14ac:dyDescent="0.2">
      <c r="A4">
        <v>69</v>
      </c>
      <c r="B4" t="b">
        <f>IF(OR(G4="NA",H4="wide_value"),"",TRUE)</f>
        <v>1</v>
      </c>
      <c r="C4" t="s">
        <v>24</v>
      </c>
      <c r="D4" t="str">
        <f>IF(F4&lt;&gt;"",VLOOKUP(F4,PHA4GEVars!$A$7:$B$241,2,FALSE),"")</f>
        <v>Environmental conditions and measurements</v>
      </c>
      <c r="E4" t="s">
        <v>1869</v>
      </c>
      <c r="F4" t="s">
        <v>42</v>
      </c>
      <c r="G4" t="s">
        <v>300</v>
      </c>
      <c r="H4" t="s">
        <v>974</v>
      </c>
      <c r="I4" t="s">
        <v>994</v>
      </c>
      <c r="J4" t="s">
        <v>998</v>
      </c>
      <c r="M4" s="5" t="s">
        <v>1003</v>
      </c>
    </row>
    <row r="5" spans="1:14" x14ac:dyDescent="0.2">
      <c r="D5" t="str">
        <f>IF(F5&lt;&gt;"",VLOOKUP(F5,PHA4GEVars!$A$7:$B$241,2,FALSE),"")</f>
        <v/>
      </c>
      <c r="M5" s="5"/>
    </row>
    <row r="6" spans="1:14" x14ac:dyDescent="0.2">
      <c r="A6">
        <v>71</v>
      </c>
      <c r="B6" t="b">
        <f>IF(OR(G6="NA",H6="wide_value"),"",TRUE)</f>
        <v>1</v>
      </c>
      <c r="C6" t="s">
        <v>24</v>
      </c>
      <c r="D6" t="str">
        <f>IF(F6&lt;&gt;"",VLOOKUP(F6,PHA4GEVars!$A$7:$B$241,2,FALSE),"")</f>
        <v>Environmental conditions and measurements</v>
      </c>
      <c r="E6" t="s">
        <v>1869</v>
      </c>
      <c r="F6" t="s">
        <v>43</v>
      </c>
      <c r="G6" t="s">
        <v>288</v>
      </c>
      <c r="H6" t="s">
        <v>974</v>
      </c>
      <c r="I6" t="s">
        <v>994</v>
      </c>
      <c r="J6" t="s">
        <v>1009</v>
      </c>
      <c r="M6" s="5" t="s">
        <v>1003</v>
      </c>
    </row>
    <row r="7" spans="1:14" x14ac:dyDescent="0.2">
      <c r="A7">
        <v>72</v>
      </c>
      <c r="B7" t="b">
        <f>IF(OR(G7="NA",H7="wide_value"),"",TRUE)</f>
        <v>1</v>
      </c>
      <c r="C7" t="s">
        <v>24</v>
      </c>
      <c r="D7" t="str">
        <f>IF(F7&lt;&gt;"",VLOOKUP(F7,PHA4GEVars!$A$7:$B$241,2,FALSE),"")</f>
        <v>Environmental conditions and measurements</v>
      </c>
      <c r="E7" t="s">
        <v>1869</v>
      </c>
      <c r="F7" t="s">
        <v>43</v>
      </c>
      <c r="G7" t="s">
        <v>289</v>
      </c>
      <c r="H7" t="s">
        <v>974</v>
      </c>
      <c r="I7" t="s">
        <v>994</v>
      </c>
      <c r="J7" t="s">
        <v>995</v>
      </c>
      <c r="M7" s="5" t="s">
        <v>1003</v>
      </c>
    </row>
    <row r="8" spans="1:14" x14ac:dyDescent="0.2">
      <c r="D8" t="str">
        <f>IF(F8&lt;&gt;"",VLOOKUP(F8,PHA4GEVars!$A$7:$B$241,2,FALSE),"")</f>
        <v/>
      </c>
      <c r="M8" s="5"/>
    </row>
    <row r="9" spans="1:14" x14ac:dyDescent="0.2">
      <c r="A9">
        <v>75</v>
      </c>
      <c r="B9" t="b">
        <f>IF(OR(G9="NA",H9="wide_value"),"",TRUE)</f>
        <v>1</v>
      </c>
      <c r="C9" t="s">
        <v>24</v>
      </c>
      <c r="D9" t="str">
        <f>IF(F9&lt;&gt;"",VLOOKUP(F9,PHA4GEVars!$A$7:$B$241,2,FALSE),"")</f>
        <v>Environmental conditions and measurements</v>
      </c>
      <c r="E9" t="s">
        <v>1869</v>
      </c>
      <c r="F9" t="s">
        <v>44</v>
      </c>
      <c r="G9" t="s">
        <v>298</v>
      </c>
      <c r="H9" t="s">
        <v>974</v>
      </c>
      <c r="I9" t="s">
        <v>994</v>
      </c>
      <c r="J9" t="s">
        <v>996</v>
      </c>
      <c r="M9" s="5" t="s">
        <v>1003</v>
      </c>
    </row>
    <row r="10" spans="1:14" x14ac:dyDescent="0.2">
      <c r="D10" t="str">
        <f>IF(F10&lt;&gt;"",VLOOKUP(F10,PHA4GEVars!$A$7:$B$241,2,FALSE),"")</f>
        <v/>
      </c>
      <c r="M10" s="5"/>
    </row>
    <row r="11" spans="1:14" x14ac:dyDescent="0.2">
      <c r="A11">
        <v>78</v>
      </c>
      <c r="B11" t="b">
        <f>IF(OR(G11="NA",H11="wide_value"),"",TRUE)</f>
        <v>1</v>
      </c>
      <c r="C11" t="s">
        <v>24</v>
      </c>
      <c r="D11" t="str">
        <f>IF(F11&lt;&gt;"",VLOOKUP(F11,PHA4GEVars!$A$7:$B$241,2,FALSE),"")</f>
        <v>Environmental conditions and measurements</v>
      </c>
      <c r="E11" t="s">
        <v>1869</v>
      </c>
      <c r="F11" t="s">
        <v>45</v>
      </c>
      <c r="G11" t="s">
        <v>298</v>
      </c>
      <c r="H11" t="s">
        <v>974</v>
      </c>
      <c r="I11" t="s">
        <v>994</v>
      </c>
      <c r="J11" t="s">
        <v>996</v>
      </c>
      <c r="M11" s="5" t="s">
        <v>1003</v>
      </c>
    </row>
    <row r="12" spans="1:14" x14ac:dyDescent="0.2">
      <c r="D12" t="str">
        <f>IF(F12&lt;&gt;"",VLOOKUP(F12,PHA4GEVars!$A$7:$B$241,2,FALSE),"")</f>
        <v/>
      </c>
      <c r="M12" s="5"/>
    </row>
    <row r="13" spans="1:14" x14ac:dyDescent="0.2">
      <c r="A13">
        <v>81</v>
      </c>
      <c r="B13" t="b">
        <f>IF(OR(G13="NA",H13="wide_value"),"",TRUE)</f>
        <v>1</v>
      </c>
      <c r="C13" t="s">
        <v>24</v>
      </c>
      <c r="D13" t="str">
        <f>IF(F13&lt;&gt;"",VLOOKUP(F13,PHA4GEVars!$A$7:$B$241,2,FALSE),"")</f>
        <v>Environmental conditions and measurements</v>
      </c>
      <c r="E13" t="s">
        <v>1869</v>
      </c>
      <c r="F13" t="s">
        <v>46</v>
      </c>
      <c r="G13" t="s">
        <v>311</v>
      </c>
      <c r="H13" t="s">
        <v>974</v>
      </c>
      <c r="I13" t="s">
        <v>994</v>
      </c>
      <c r="J13" t="s">
        <v>1010</v>
      </c>
      <c r="M13" s="5" t="s">
        <v>1003</v>
      </c>
    </row>
    <row r="14" spans="1:14" x14ac:dyDescent="0.2">
      <c r="A14">
        <v>82</v>
      </c>
      <c r="B14" t="b">
        <f>IF(OR(G14="NA",H14="wide_value"),"",TRUE)</f>
        <v>1</v>
      </c>
      <c r="C14" t="s">
        <v>24</v>
      </c>
      <c r="D14" t="str">
        <f>IF(F14&lt;&gt;"",VLOOKUP(F14,PHA4GEVars!$A$7:$B$241,2,FALSE),"")</f>
        <v>Environmental conditions and measurements</v>
      </c>
      <c r="E14" t="s">
        <v>1869</v>
      </c>
      <c r="F14" t="s">
        <v>46</v>
      </c>
      <c r="G14" t="s">
        <v>312</v>
      </c>
      <c r="H14" t="s">
        <v>974</v>
      </c>
      <c r="I14" t="s">
        <v>994</v>
      </c>
      <c r="J14" t="s">
        <v>997</v>
      </c>
      <c r="M14" s="5" t="s">
        <v>1003</v>
      </c>
    </row>
    <row r="15" spans="1:14" x14ac:dyDescent="0.2">
      <c r="A15">
        <v>83</v>
      </c>
      <c r="B15" t="b">
        <f>IF(OR(G15="NA",H15="wide_value"),"",TRUE)</f>
        <v>1</v>
      </c>
      <c r="C15" t="s">
        <v>24</v>
      </c>
      <c r="D15" t="str">
        <f>IF(F15&lt;&gt;"",VLOOKUP(F15,PHA4GEVars!$A$7:$B$241,2,FALSE),"")</f>
        <v>Environmental conditions and measurements</v>
      </c>
      <c r="E15" t="s">
        <v>1869</v>
      </c>
      <c r="F15" t="s">
        <v>46</v>
      </c>
      <c r="G15" t="s">
        <v>313</v>
      </c>
      <c r="H15" t="s">
        <v>974</v>
      </c>
      <c r="I15" t="s">
        <v>994</v>
      </c>
      <c r="J15" t="s">
        <v>1011</v>
      </c>
      <c r="M15" s="5" t="s">
        <v>1003</v>
      </c>
    </row>
    <row r="16" spans="1:14" x14ac:dyDescent="0.2">
      <c r="A16">
        <v>84</v>
      </c>
      <c r="B16" t="b">
        <f>IF(OR(G16="NA",H16="wide_value"),"",TRUE)</f>
        <v>1</v>
      </c>
      <c r="C16" t="s">
        <v>24</v>
      </c>
      <c r="D16" t="str">
        <f>IF(F16&lt;&gt;"",VLOOKUP(F16,PHA4GEVars!$A$7:$B$241,2,FALSE),"")</f>
        <v>Environmental conditions and measurements</v>
      </c>
      <c r="E16" t="s">
        <v>1869</v>
      </c>
      <c r="F16" t="s">
        <v>46</v>
      </c>
      <c r="G16" t="s">
        <v>314</v>
      </c>
      <c r="H16" t="s">
        <v>974</v>
      </c>
      <c r="I16" t="s">
        <v>994</v>
      </c>
      <c r="J16" t="s">
        <v>1012</v>
      </c>
      <c r="M16" s="5" t="s">
        <v>1003</v>
      </c>
    </row>
    <row r="17" spans="1:13" x14ac:dyDescent="0.2">
      <c r="A17">
        <v>85</v>
      </c>
      <c r="B17" t="b">
        <f>IF(OR(G17="NA",H17="wide_value"),"",TRUE)</f>
        <v>1</v>
      </c>
      <c r="C17" t="s">
        <v>24</v>
      </c>
      <c r="D17" t="str">
        <f>IF(F17&lt;&gt;"",VLOOKUP(F17,PHA4GEVars!$A$7:$B$241,2,FALSE),"")</f>
        <v>Environmental conditions and measurements</v>
      </c>
      <c r="E17" t="s">
        <v>1869</v>
      </c>
      <c r="F17" t="s">
        <v>46</v>
      </c>
      <c r="G17" t="s">
        <v>315</v>
      </c>
      <c r="H17" t="s">
        <v>974</v>
      </c>
      <c r="I17" t="s">
        <v>994</v>
      </c>
      <c r="J17" t="s">
        <v>1013</v>
      </c>
      <c r="M17" s="5" t="s">
        <v>1003</v>
      </c>
    </row>
    <row r="18" spans="1:13" x14ac:dyDescent="0.2">
      <c r="D18" t="str">
        <f>IF(F18&lt;&gt;"",VLOOKUP(F18,PHA4GEVars!$A$7:$B$241,2,FALSE),"")</f>
        <v/>
      </c>
      <c r="M18" s="5"/>
    </row>
    <row r="19" spans="1:13" x14ac:dyDescent="0.2">
      <c r="A19">
        <v>88</v>
      </c>
      <c r="B19" t="b">
        <f>IF(OR(G19="NA",H19="wide_value"),"",TRUE)</f>
        <v>1</v>
      </c>
      <c r="C19" t="s">
        <v>24</v>
      </c>
      <c r="D19" t="str">
        <f>IF(F19&lt;&gt;"",VLOOKUP(F19,PHA4GEVars!$A$7:$B$241,2,FALSE),"")</f>
        <v>Environmental conditions and measurements</v>
      </c>
      <c r="E19" t="s">
        <v>1869</v>
      </c>
      <c r="F19" t="s">
        <v>47</v>
      </c>
      <c r="G19" t="s">
        <v>298</v>
      </c>
      <c r="H19" t="s">
        <v>974</v>
      </c>
      <c r="I19" t="s">
        <v>994</v>
      </c>
      <c r="J19" t="s">
        <v>996</v>
      </c>
      <c r="M19" s="5" t="s">
        <v>1003</v>
      </c>
    </row>
    <row r="20" spans="1:13" x14ac:dyDescent="0.2">
      <c r="A20">
        <v>89</v>
      </c>
      <c r="B20" t="b">
        <f>IF(OR(G20="NA",H20="wide_value"),"",TRUE)</f>
        <v>1</v>
      </c>
      <c r="C20" t="s">
        <v>24</v>
      </c>
      <c r="D20" t="str">
        <f>IF(F20&lt;&gt;"",VLOOKUP(F20,PHA4GEVars!$A$7:$B$241,2,FALSE),"")</f>
        <v>Environmental conditions and measurements</v>
      </c>
      <c r="E20" t="s">
        <v>1869</v>
      </c>
      <c r="F20" t="s">
        <v>47</v>
      </c>
      <c r="G20" t="s">
        <v>299</v>
      </c>
      <c r="H20" t="s">
        <v>974</v>
      </c>
      <c r="I20" t="s">
        <v>994</v>
      </c>
      <c r="J20" t="s">
        <v>1014</v>
      </c>
      <c r="M20" s="5" t="s">
        <v>1003</v>
      </c>
    </row>
    <row r="21" spans="1:13" x14ac:dyDescent="0.2">
      <c r="A21">
        <v>90</v>
      </c>
      <c r="B21" t="b">
        <f>IF(OR(G21="NA",H21="wide_value"),"",TRUE)</f>
        <v>1</v>
      </c>
      <c r="C21" t="s">
        <v>24</v>
      </c>
      <c r="D21" t="str">
        <f>IF(F21&lt;&gt;"",VLOOKUP(F21,PHA4GEVars!$A$7:$B$241,2,FALSE),"")</f>
        <v>Environmental conditions and measurements</v>
      </c>
      <c r="E21" t="s">
        <v>1869</v>
      </c>
      <c r="F21" t="s">
        <v>47</v>
      </c>
      <c r="G21" t="s">
        <v>300</v>
      </c>
      <c r="H21" t="s">
        <v>974</v>
      </c>
      <c r="I21" t="s">
        <v>994</v>
      </c>
      <c r="J21" t="s">
        <v>998</v>
      </c>
      <c r="M21" s="5" t="s">
        <v>1003</v>
      </c>
    </row>
    <row r="22" spans="1:13" x14ac:dyDescent="0.2">
      <c r="D22" t="str">
        <f>IF(F22&lt;&gt;"",VLOOKUP(F22,PHA4GEVars!$A$7:$B$241,2,FALSE),"")</f>
        <v/>
      </c>
    </row>
    <row r="23" spans="1:13" x14ac:dyDescent="0.2">
      <c r="A23">
        <v>93</v>
      </c>
      <c r="B23" t="b">
        <f t="shared" ref="B23:B31" si="0">IF(OR(G23="NA",H23="wide_value"),"",TRUE)</f>
        <v>1</v>
      </c>
      <c r="C23" t="s">
        <v>24</v>
      </c>
      <c r="D23" t="str">
        <f>IF(F23&lt;&gt;"",VLOOKUP(F23,PHA4GEVars!$A$7:$B$241,2,FALSE),"")</f>
        <v>Environmental conditions and measurements</v>
      </c>
      <c r="E23" t="s">
        <v>1869</v>
      </c>
      <c r="F23" t="s">
        <v>48</v>
      </c>
      <c r="G23" t="s">
        <v>330</v>
      </c>
      <c r="H23" t="s">
        <v>974</v>
      </c>
      <c r="I23" t="s">
        <v>994</v>
      </c>
      <c r="J23" t="s">
        <v>1015</v>
      </c>
      <c r="M23" s="5" t="s">
        <v>1003</v>
      </c>
    </row>
    <row r="24" spans="1:13" x14ac:dyDescent="0.2">
      <c r="A24">
        <v>94</v>
      </c>
      <c r="B24" t="b">
        <f t="shared" si="0"/>
        <v>1</v>
      </c>
      <c r="C24" t="s">
        <v>24</v>
      </c>
      <c r="D24" t="str">
        <f>IF(F24&lt;&gt;"",VLOOKUP(F24,PHA4GEVars!$A$7:$B$241,2,FALSE),"")</f>
        <v>Environmental conditions and measurements</v>
      </c>
      <c r="E24" t="s">
        <v>1869</v>
      </c>
      <c r="F24" t="s">
        <v>48</v>
      </c>
      <c r="G24" t="s">
        <v>331</v>
      </c>
      <c r="H24" t="s">
        <v>974</v>
      </c>
      <c r="I24" t="s">
        <v>994</v>
      </c>
      <c r="J24" t="s">
        <v>999</v>
      </c>
      <c r="M24" s="5" t="s">
        <v>1003</v>
      </c>
    </row>
    <row r="25" spans="1:13" x14ac:dyDescent="0.2">
      <c r="A25">
        <v>95</v>
      </c>
      <c r="B25" t="b">
        <f t="shared" si="0"/>
        <v>1</v>
      </c>
      <c r="C25" t="s">
        <v>24</v>
      </c>
      <c r="D25" t="str">
        <f>IF(F25&lt;&gt;"",VLOOKUP(F25,PHA4GEVars!$A$7:$B$241,2,FALSE),"")</f>
        <v>Environmental conditions and measurements</v>
      </c>
      <c r="E25" t="s">
        <v>1869</v>
      </c>
      <c r="F25" t="s">
        <v>48</v>
      </c>
      <c r="G25" t="s">
        <v>332</v>
      </c>
      <c r="H25" t="s">
        <v>974</v>
      </c>
      <c r="I25" t="s">
        <v>994</v>
      </c>
      <c r="J25" t="s">
        <v>1016</v>
      </c>
      <c r="M25" s="5" t="s">
        <v>1003</v>
      </c>
    </row>
    <row r="26" spans="1:13" x14ac:dyDescent="0.2">
      <c r="A26">
        <v>96</v>
      </c>
      <c r="B26" t="b">
        <f t="shared" si="0"/>
        <v>1</v>
      </c>
      <c r="C26" t="s">
        <v>24</v>
      </c>
      <c r="D26" t="str">
        <f>IF(F26&lt;&gt;"",VLOOKUP(F26,PHA4GEVars!$A$7:$B$241,2,FALSE),"")</f>
        <v>Environmental conditions and measurements</v>
      </c>
      <c r="E26" t="s">
        <v>1869</v>
      </c>
      <c r="F26" t="s">
        <v>48</v>
      </c>
      <c r="G26" t="s">
        <v>333</v>
      </c>
      <c r="H26" t="s">
        <v>974</v>
      </c>
      <c r="I26" t="s">
        <v>994</v>
      </c>
      <c r="J26" t="s">
        <v>1017</v>
      </c>
      <c r="M26" s="5" t="s">
        <v>1003</v>
      </c>
    </row>
    <row r="27" spans="1:13" x14ac:dyDescent="0.2">
      <c r="A27">
        <v>97</v>
      </c>
      <c r="B27" t="b">
        <f t="shared" si="0"/>
        <v>1</v>
      </c>
      <c r="C27" t="s">
        <v>24</v>
      </c>
      <c r="D27" t="str">
        <f>IF(F27&lt;&gt;"",VLOOKUP(F27,PHA4GEVars!$A$7:$B$241,2,FALSE),"")</f>
        <v>Environmental conditions and measurements</v>
      </c>
      <c r="E27" t="s">
        <v>1869</v>
      </c>
      <c r="F27" t="s">
        <v>48</v>
      </c>
      <c r="G27" t="s">
        <v>334</v>
      </c>
      <c r="H27" t="s">
        <v>974</v>
      </c>
      <c r="I27" t="s">
        <v>994</v>
      </c>
      <c r="J27" t="s">
        <v>1018</v>
      </c>
      <c r="M27" s="5" t="s">
        <v>1003</v>
      </c>
    </row>
    <row r="28" spans="1:13" x14ac:dyDescent="0.2">
      <c r="A28">
        <v>98</v>
      </c>
      <c r="B28" t="b">
        <f t="shared" si="0"/>
        <v>1</v>
      </c>
      <c r="C28" t="s">
        <v>24</v>
      </c>
      <c r="D28" t="str">
        <f>IF(F28&lt;&gt;"",VLOOKUP(F28,PHA4GEVars!$A$7:$B$241,2,FALSE),"")</f>
        <v>Environmental conditions and measurements</v>
      </c>
      <c r="E28" t="s">
        <v>1869</v>
      </c>
      <c r="F28" t="s">
        <v>48</v>
      </c>
      <c r="G28" t="s">
        <v>324</v>
      </c>
      <c r="H28" t="s">
        <v>974</v>
      </c>
      <c r="I28" t="s">
        <v>994</v>
      </c>
      <c r="J28" t="s">
        <v>1019</v>
      </c>
      <c r="M28" s="5" t="s">
        <v>1003</v>
      </c>
    </row>
    <row r="29" spans="1:13" x14ac:dyDescent="0.2">
      <c r="A29">
        <v>99</v>
      </c>
      <c r="B29" t="b">
        <f t="shared" si="0"/>
        <v>1</v>
      </c>
      <c r="C29" t="s">
        <v>24</v>
      </c>
      <c r="D29" t="str">
        <f>IF(F29&lt;&gt;"",VLOOKUP(F29,PHA4GEVars!$A$7:$B$241,2,FALSE),"")</f>
        <v>Environmental conditions and measurements</v>
      </c>
      <c r="E29" t="s">
        <v>1869</v>
      </c>
      <c r="F29" t="s">
        <v>48</v>
      </c>
      <c r="G29" t="s">
        <v>325</v>
      </c>
      <c r="H29" t="s">
        <v>974</v>
      </c>
      <c r="I29" t="s">
        <v>994</v>
      </c>
      <c r="J29" t="s">
        <v>1000</v>
      </c>
      <c r="M29" s="5" t="s">
        <v>1003</v>
      </c>
    </row>
    <row r="30" spans="1:13" x14ac:dyDescent="0.2">
      <c r="A30">
        <v>100</v>
      </c>
      <c r="B30" t="b">
        <f t="shared" si="0"/>
        <v>1</v>
      </c>
      <c r="C30" t="s">
        <v>24</v>
      </c>
      <c r="D30" t="str">
        <f>IF(F30&lt;&gt;"",VLOOKUP(F30,PHA4GEVars!$A$7:$B$241,2,FALSE),"")</f>
        <v>Environmental conditions and measurements</v>
      </c>
      <c r="E30" t="s">
        <v>1869</v>
      </c>
      <c r="F30" t="s">
        <v>48</v>
      </c>
      <c r="G30" t="s">
        <v>326</v>
      </c>
      <c r="H30" t="s">
        <v>974</v>
      </c>
      <c r="I30" t="s">
        <v>994</v>
      </c>
      <c r="J30" t="s">
        <v>1020</v>
      </c>
      <c r="M30" s="5" t="s">
        <v>1003</v>
      </c>
    </row>
    <row r="31" spans="1:13" x14ac:dyDescent="0.2">
      <c r="A31">
        <v>101</v>
      </c>
      <c r="B31" t="b">
        <f t="shared" si="0"/>
        <v>1</v>
      </c>
      <c r="C31" t="s">
        <v>24</v>
      </c>
      <c r="D31" t="str">
        <f>IF(F31&lt;&gt;"",VLOOKUP(F31,PHA4GEVars!$A$7:$B$241,2,FALSE),"")</f>
        <v>Environmental conditions and measurements</v>
      </c>
      <c r="E31" t="s">
        <v>1869</v>
      </c>
      <c r="F31" t="s">
        <v>48</v>
      </c>
      <c r="G31" t="s">
        <v>327</v>
      </c>
      <c r="H31" t="s">
        <v>974</v>
      </c>
      <c r="I31" t="s">
        <v>994</v>
      </c>
      <c r="J31" t="s">
        <v>1021</v>
      </c>
      <c r="M31" s="5" t="s">
        <v>1003</v>
      </c>
    </row>
    <row r="32" spans="1:13" x14ac:dyDescent="0.2">
      <c r="D32" t="str">
        <f>IF(F32&lt;&gt;"",VLOOKUP(F32,PHA4GEVars!$A$7:$B$241,2,FALSE),"")</f>
        <v/>
      </c>
    </row>
    <row r="33" spans="1:13" x14ac:dyDescent="0.2">
      <c r="A33">
        <v>103</v>
      </c>
      <c r="B33" t="b">
        <f t="shared" ref="B33:B38" si="1">IF(OR(G33="NA",H33="wide_value"),"",TRUE)</f>
        <v>1</v>
      </c>
      <c r="C33" t="s">
        <v>24</v>
      </c>
      <c r="D33" t="str">
        <f>IF(F33&lt;&gt;"",VLOOKUP(F33,PHA4GEVars!$A$7:$B$241,2,FALSE),"")</f>
        <v>Environmental conditions and measurements</v>
      </c>
      <c r="E33" t="s">
        <v>1869</v>
      </c>
      <c r="F33" t="s">
        <v>1911</v>
      </c>
      <c r="G33" t="s">
        <v>319</v>
      </c>
      <c r="H33" t="s">
        <v>974</v>
      </c>
      <c r="I33" t="s">
        <v>1043</v>
      </c>
      <c r="J33" t="s">
        <v>1368</v>
      </c>
      <c r="M33" s="5" t="s">
        <v>1367</v>
      </c>
    </row>
    <row r="34" spans="1:13" x14ac:dyDescent="0.2">
      <c r="A34">
        <v>104</v>
      </c>
      <c r="B34" t="b">
        <f t="shared" si="1"/>
        <v>1</v>
      </c>
      <c r="C34" t="s">
        <v>24</v>
      </c>
      <c r="D34" t="str">
        <f>IF(F34&lt;&gt;"",VLOOKUP(F34,PHA4GEVars!$A$7:$B$241,2,FALSE),"")</f>
        <v>Environmental conditions and measurements</v>
      </c>
      <c r="E34" t="s">
        <v>1869</v>
      </c>
      <c r="F34" t="s">
        <v>1911</v>
      </c>
      <c r="G34" t="s">
        <v>320</v>
      </c>
      <c r="H34" t="s">
        <v>974</v>
      </c>
      <c r="I34" t="s">
        <v>1043</v>
      </c>
      <c r="J34" t="s">
        <v>1369</v>
      </c>
      <c r="M34" s="5" t="s">
        <v>1367</v>
      </c>
    </row>
    <row r="35" spans="1:13" x14ac:dyDescent="0.2">
      <c r="A35">
        <v>105</v>
      </c>
      <c r="B35" t="b">
        <f t="shared" si="1"/>
        <v>1</v>
      </c>
      <c r="C35" t="s">
        <v>24</v>
      </c>
      <c r="D35" t="str">
        <f>IF(F35&lt;&gt;"",VLOOKUP(F35,PHA4GEVars!$A$7:$B$241,2,FALSE),"")</f>
        <v>Environmental conditions and measurements</v>
      </c>
      <c r="E35" t="s">
        <v>1869</v>
      </c>
      <c r="F35" t="s">
        <v>1911</v>
      </c>
      <c r="G35" t="s">
        <v>321</v>
      </c>
      <c r="H35" t="s">
        <v>974</v>
      </c>
      <c r="I35" t="s">
        <v>1043</v>
      </c>
      <c r="J35" t="s">
        <v>1370</v>
      </c>
      <c r="M35" s="5" t="s">
        <v>1367</v>
      </c>
    </row>
    <row r="36" spans="1:13" x14ac:dyDescent="0.2">
      <c r="A36">
        <v>106</v>
      </c>
      <c r="B36" t="b">
        <f t="shared" si="1"/>
        <v>1</v>
      </c>
      <c r="C36" t="s">
        <v>24</v>
      </c>
      <c r="D36" t="str">
        <f>IF(F36&lt;&gt;"",VLOOKUP(F36,PHA4GEVars!$A$7:$B$241,2,FALSE),"")</f>
        <v>Environmental conditions and measurements</v>
      </c>
      <c r="E36" t="s">
        <v>1869</v>
      </c>
      <c r="F36" t="s">
        <v>1911</v>
      </c>
      <c r="G36" t="s">
        <v>322</v>
      </c>
      <c r="H36" t="s">
        <v>974</v>
      </c>
      <c r="I36" t="s">
        <v>1043</v>
      </c>
      <c r="J36" t="s">
        <v>1372</v>
      </c>
      <c r="M36" s="5" t="s">
        <v>1367</v>
      </c>
    </row>
    <row r="37" spans="1:13" x14ac:dyDescent="0.2">
      <c r="A37">
        <v>107</v>
      </c>
      <c r="B37" t="b">
        <f t="shared" si="1"/>
        <v>1</v>
      </c>
      <c r="C37" t="s">
        <v>24</v>
      </c>
      <c r="D37" t="str">
        <f>IF(F37&lt;&gt;"",VLOOKUP(F37,PHA4GEVars!$A$7:$B$241,2,FALSE),"")</f>
        <v>Environmental conditions and measurements</v>
      </c>
      <c r="E37" t="s">
        <v>1869</v>
      </c>
      <c r="F37" t="s">
        <v>1911</v>
      </c>
      <c r="G37" t="s">
        <v>1964</v>
      </c>
      <c r="H37" t="s">
        <v>974</v>
      </c>
      <c r="I37" t="s">
        <v>1043</v>
      </c>
      <c r="J37" t="s">
        <v>1371</v>
      </c>
      <c r="M37" s="5" t="s">
        <v>1367</v>
      </c>
    </row>
    <row r="38" spans="1:13" x14ac:dyDescent="0.2">
      <c r="A38">
        <v>108</v>
      </c>
      <c r="B38" t="b">
        <f t="shared" si="1"/>
        <v>1</v>
      </c>
      <c r="C38" t="s">
        <v>24</v>
      </c>
      <c r="D38" t="str">
        <f>IF(F38&lt;&gt;"",VLOOKUP(F38,PHA4GEVars!$A$7:$B$241,2,FALSE),"")</f>
        <v>Environmental conditions and measurements</v>
      </c>
      <c r="E38" t="s">
        <v>1869</v>
      </c>
      <c r="F38" t="s">
        <v>1911</v>
      </c>
      <c r="G38" t="s">
        <v>1965</v>
      </c>
      <c r="H38" t="s">
        <v>974</v>
      </c>
      <c r="I38" t="s">
        <v>1043</v>
      </c>
      <c r="J38" t="s">
        <v>323</v>
      </c>
      <c r="M38" s="5" t="s">
        <v>1367</v>
      </c>
    </row>
    <row r="39" spans="1:13" x14ac:dyDescent="0.2">
      <c r="D39" t="str">
        <f>IF(F39&lt;&gt;"",VLOOKUP(F39,PHA4GEVars!$A$7:$B$241,2,FALSE),"")</f>
        <v/>
      </c>
    </row>
    <row r="40" spans="1:13" x14ac:dyDescent="0.2">
      <c r="A40">
        <v>110</v>
      </c>
      <c r="B40" t="b">
        <f>IF(OR(G40="NA",H40="wide_value"),"",TRUE)</f>
        <v>1</v>
      </c>
      <c r="C40" t="s">
        <v>24</v>
      </c>
      <c r="D40" t="str">
        <f>IF(F40&lt;&gt;"",VLOOKUP(F40,PHA4GEVars!$A$7:$B$241,2,FALSE),"")</f>
        <v>Environmental conditions and measurements</v>
      </c>
      <c r="E40" t="s">
        <v>1869</v>
      </c>
      <c r="F40" t="s">
        <v>49</v>
      </c>
      <c r="G40" t="s">
        <v>324</v>
      </c>
      <c r="H40" t="s">
        <v>974</v>
      </c>
      <c r="I40" t="s">
        <v>994</v>
      </c>
      <c r="J40" t="s">
        <v>1019</v>
      </c>
      <c r="M40" s="5" t="s">
        <v>1003</v>
      </c>
    </row>
    <row r="41" spans="1:13" x14ac:dyDescent="0.2">
      <c r="A41">
        <v>111</v>
      </c>
      <c r="B41" t="b">
        <f>IF(OR(G41="NA",H41="wide_value"),"",TRUE)</f>
        <v>1</v>
      </c>
      <c r="C41" t="s">
        <v>24</v>
      </c>
      <c r="D41" t="str">
        <f>IF(F41&lt;&gt;"",VLOOKUP(F41,PHA4GEVars!$A$7:$B$241,2,FALSE),"")</f>
        <v>Environmental conditions and measurements</v>
      </c>
      <c r="E41" t="s">
        <v>1869</v>
      </c>
      <c r="F41" t="s">
        <v>49</v>
      </c>
      <c r="G41" t="s">
        <v>325</v>
      </c>
      <c r="H41" t="s">
        <v>974</v>
      </c>
      <c r="I41" t="s">
        <v>994</v>
      </c>
      <c r="J41" t="s">
        <v>1000</v>
      </c>
      <c r="M41" s="5" t="s">
        <v>1003</v>
      </c>
    </row>
    <row r="42" spans="1:13" x14ac:dyDescent="0.2">
      <c r="A42">
        <v>112</v>
      </c>
      <c r="B42" t="b">
        <f>IF(OR(G42="NA",H42="wide_value"),"",TRUE)</f>
        <v>1</v>
      </c>
      <c r="C42" t="s">
        <v>24</v>
      </c>
      <c r="D42" t="str">
        <f>IF(F42&lt;&gt;"",VLOOKUP(F42,PHA4GEVars!$A$7:$B$241,2,FALSE),"")</f>
        <v>Environmental conditions and measurements</v>
      </c>
      <c r="E42" t="s">
        <v>1869</v>
      </c>
      <c r="F42" t="s">
        <v>49</v>
      </c>
      <c r="G42" t="s">
        <v>1098</v>
      </c>
      <c r="H42" t="s">
        <v>974</v>
      </c>
      <c r="I42" t="s">
        <v>994</v>
      </c>
      <c r="J42" t="s">
        <v>1281</v>
      </c>
      <c r="M42" s="5" t="s">
        <v>1003</v>
      </c>
    </row>
    <row r="43" spans="1:13" x14ac:dyDescent="0.2">
      <c r="A43">
        <v>113</v>
      </c>
      <c r="B43" t="b">
        <f>IF(OR(G43="NA",H43="wide_value"),"",TRUE)</f>
        <v>1</v>
      </c>
      <c r="C43" t="s">
        <v>24</v>
      </c>
      <c r="D43" t="str">
        <f>IF(F43&lt;&gt;"",VLOOKUP(F43,PHA4GEVars!$A$7:$B$241,2,FALSE),"")</f>
        <v>Environmental conditions and measurements</v>
      </c>
      <c r="E43" t="s">
        <v>1869</v>
      </c>
      <c r="F43" t="s">
        <v>49</v>
      </c>
      <c r="G43" t="s">
        <v>327</v>
      </c>
      <c r="H43" t="s">
        <v>974</v>
      </c>
      <c r="I43" t="s">
        <v>994</v>
      </c>
      <c r="J43" t="s">
        <v>1021</v>
      </c>
      <c r="M43" s="5" t="s">
        <v>1003</v>
      </c>
    </row>
    <row r="44" spans="1:13" x14ac:dyDescent="0.2">
      <c r="D44" t="str">
        <f>IF(F44&lt;&gt;"",VLOOKUP(F44,PHA4GEVars!$A$7:$B$241,2,FALSE),"")</f>
        <v/>
      </c>
    </row>
    <row r="45" spans="1:13" x14ac:dyDescent="0.2">
      <c r="A45">
        <v>116</v>
      </c>
      <c r="B45" t="b">
        <f t="shared" ref="B45:B52" si="2">IF(OR(G45="NA",H45="wide_value"),"",TRUE)</f>
        <v>1</v>
      </c>
      <c r="C45" t="s">
        <v>24</v>
      </c>
      <c r="D45" t="str">
        <f>IF(F45&lt;&gt;"",VLOOKUP(F45,PHA4GEVars!$A$7:$B$241,2,FALSE),"")</f>
        <v>Environmental conditions and measurements</v>
      </c>
      <c r="E45" t="s">
        <v>1869</v>
      </c>
      <c r="F45" t="s">
        <v>1096</v>
      </c>
      <c r="G45" t="s">
        <v>290</v>
      </c>
      <c r="H45" t="s">
        <v>974</v>
      </c>
      <c r="I45" t="s">
        <v>994</v>
      </c>
      <c r="J45" t="s">
        <v>1001</v>
      </c>
      <c r="M45" s="5" t="s">
        <v>1003</v>
      </c>
    </row>
    <row r="46" spans="1:13" x14ac:dyDescent="0.2">
      <c r="A46">
        <v>117</v>
      </c>
      <c r="B46" t="b">
        <f t="shared" si="2"/>
        <v>1</v>
      </c>
      <c r="C46" t="s">
        <v>24</v>
      </c>
      <c r="D46" t="str">
        <f>IF(F46&lt;&gt;"",VLOOKUP(F46,PHA4GEVars!$A$7:$B$241,2,FALSE),"")</f>
        <v>Environmental conditions and measurements</v>
      </c>
      <c r="E46" t="s">
        <v>1869</v>
      </c>
      <c r="F46" t="s">
        <v>1096</v>
      </c>
      <c r="G46" t="s">
        <v>291</v>
      </c>
      <c r="H46" t="s">
        <v>974</v>
      </c>
      <c r="I46" t="s">
        <v>994</v>
      </c>
      <c r="J46" t="s">
        <v>1022</v>
      </c>
      <c r="M46" s="5" t="s">
        <v>1003</v>
      </c>
    </row>
    <row r="47" spans="1:13" x14ac:dyDescent="0.2">
      <c r="A47">
        <v>118</v>
      </c>
      <c r="B47" t="b">
        <f t="shared" si="2"/>
        <v>1</v>
      </c>
      <c r="C47" t="s">
        <v>24</v>
      </c>
      <c r="D47" t="str">
        <f>IF(F47&lt;&gt;"",VLOOKUP(F47,PHA4GEVars!$A$7:$B$241,2,FALSE),"")</f>
        <v>Environmental conditions and measurements</v>
      </c>
      <c r="E47" t="s">
        <v>1869</v>
      </c>
      <c r="F47" t="s">
        <v>1096</v>
      </c>
      <c r="G47" t="s">
        <v>292</v>
      </c>
      <c r="H47" t="s">
        <v>974</v>
      </c>
      <c r="I47" t="s">
        <v>994</v>
      </c>
      <c r="J47" t="s">
        <v>1002</v>
      </c>
      <c r="M47" s="5" t="s">
        <v>1003</v>
      </c>
    </row>
    <row r="48" spans="1:13" x14ac:dyDescent="0.2">
      <c r="A48">
        <v>119</v>
      </c>
      <c r="B48" t="b">
        <f t="shared" si="2"/>
        <v>1</v>
      </c>
      <c r="C48" t="s">
        <v>24</v>
      </c>
      <c r="D48" t="str">
        <f>IF(F48&lt;&gt;"",VLOOKUP(F48,PHA4GEVars!$A$7:$B$241,2,FALSE),"")</f>
        <v>Environmental conditions and measurements</v>
      </c>
      <c r="E48" t="s">
        <v>1869</v>
      </c>
      <c r="F48" t="s">
        <v>1096</v>
      </c>
      <c r="G48" t="s">
        <v>293</v>
      </c>
      <c r="H48" t="s">
        <v>974</v>
      </c>
      <c r="I48" t="s">
        <v>994</v>
      </c>
      <c r="J48" t="s">
        <v>1023</v>
      </c>
      <c r="M48" s="5" t="s">
        <v>1003</v>
      </c>
    </row>
    <row r="49" spans="1:13" x14ac:dyDescent="0.2">
      <c r="A49">
        <v>120</v>
      </c>
      <c r="B49" t="b">
        <f t="shared" si="2"/>
        <v>1</v>
      </c>
      <c r="C49" t="s">
        <v>24</v>
      </c>
      <c r="D49" t="str">
        <f>IF(F49&lt;&gt;"",VLOOKUP(F49,PHA4GEVars!$A$7:$B$241,2,FALSE),"")</f>
        <v>Environmental conditions and measurements</v>
      </c>
      <c r="E49" t="s">
        <v>1869</v>
      </c>
      <c r="F49" t="s">
        <v>1096</v>
      </c>
      <c r="G49" t="s">
        <v>294</v>
      </c>
      <c r="H49" t="s">
        <v>974</v>
      </c>
      <c r="I49" t="s">
        <v>994</v>
      </c>
      <c r="J49" t="s">
        <v>1024</v>
      </c>
      <c r="M49" s="5" t="s">
        <v>1003</v>
      </c>
    </row>
    <row r="50" spans="1:13" x14ac:dyDescent="0.2">
      <c r="A50">
        <v>121</v>
      </c>
      <c r="B50" t="b">
        <f t="shared" si="2"/>
        <v>1</v>
      </c>
      <c r="C50" t="s">
        <v>24</v>
      </c>
      <c r="D50" t="str">
        <f>IF(F50&lt;&gt;"",VLOOKUP(F50,PHA4GEVars!$A$7:$B$241,2,FALSE),"")</f>
        <v>Environmental conditions and measurements</v>
      </c>
      <c r="E50" t="s">
        <v>1869</v>
      </c>
      <c r="F50" t="s">
        <v>1096</v>
      </c>
      <c r="G50" t="s">
        <v>295</v>
      </c>
      <c r="H50" t="s">
        <v>974</v>
      </c>
      <c r="I50" t="s">
        <v>994</v>
      </c>
      <c r="J50" t="s">
        <v>1025</v>
      </c>
      <c r="M50" s="5" t="s">
        <v>1003</v>
      </c>
    </row>
    <row r="51" spans="1:13" x14ac:dyDescent="0.2">
      <c r="A51">
        <v>122</v>
      </c>
      <c r="B51" t="b">
        <f t="shared" si="2"/>
        <v>1</v>
      </c>
      <c r="C51" t="s">
        <v>24</v>
      </c>
      <c r="D51" t="str">
        <f>IF(F51&lt;&gt;"",VLOOKUP(F51,PHA4GEVars!$A$7:$B$241,2,FALSE),"")</f>
        <v>Environmental conditions and measurements</v>
      </c>
      <c r="E51" t="s">
        <v>1869</v>
      </c>
      <c r="F51" t="s">
        <v>1096</v>
      </c>
      <c r="G51" t="s">
        <v>1099</v>
      </c>
      <c r="H51" t="s">
        <v>974</v>
      </c>
      <c r="I51" t="s">
        <v>994</v>
      </c>
      <c r="J51" t="s">
        <v>1222</v>
      </c>
      <c r="M51" s="5" t="s">
        <v>1003</v>
      </c>
    </row>
    <row r="52" spans="1:13" x14ac:dyDescent="0.2">
      <c r="A52">
        <v>123</v>
      </c>
      <c r="B52" t="b">
        <f t="shared" si="2"/>
        <v>1</v>
      </c>
      <c r="C52" t="s">
        <v>24</v>
      </c>
      <c r="D52" t="str">
        <f>IF(F52&lt;&gt;"",VLOOKUP(F52,PHA4GEVars!$A$7:$B$241,2,FALSE),"")</f>
        <v>Environmental conditions and measurements</v>
      </c>
      <c r="E52" t="s">
        <v>1869</v>
      </c>
      <c r="F52" t="s">
        <v>1096</v>
      </c>
      <c r="G52" t="s">
        <v>1100</v>
      </c>
      <c r="H52" t="s">
        <v>974</v>
      </c>
      <c r="I52" t="s">
        <v>994</v>
      </c>
      <c r="J52" t="s">
        <v>1223</v>
      </c>
      <c r="M52" s="5" t="s">
        <v>1003</v>
      </c>
    </row>
    <row r="53" spans="1:13" x14ac:dyDescent="0.2">
      <c r="D53" t="str">
        <f>IF(F53&lt;&gt;"",VLOOKUP(F53,PHA4GEVars!$A$7:$B$241,2,FALSE),"")</f>
        <v/>
      </c>
    </row>
    <row r="54" spans="1:13" x14ac:dyDescent="0.2">
      <c r="A54">
        <v>126</v>
      </c>
      <c r="B54" t="b">
        <f>IF(OR(G54="NA",H54="wide_value"),"",TRUE)</f>
        <v>1</v>
      </c>
      <c r="C54" t="s">
        <v>24</v>
      </c>
      <c r="D54" t="str">
        <f>IF(F54&lt;&gt;"",VLOOKUP(F54,PHA4GEVars!$A$7:$B$241,2,FALSE),"")</f>
        <v>Environmental conditions and measurements</v>
      </c>
      <c r="E54" t="s">
        <v>1869</v>
      </c>
      <c r="F54" t="s">
        <v>50</v>
      </c>
      <c r="G54" t="s">
        <v>301</v>
      </c>
      <c r="H54" t="s">
        <v>974</v>
      </c>
      <c r="I54" t="s">
        <v>994</v>
      </c>
      <c r="J54" t="s">
        <v>1026</v>
      </c>
      <c r="M54" s="5" t="s">
        <v>1003</v>
      </c>
    </row>
    <row r="55" spans="1:13" x14ac:dyDescent="0.2">
      <c r="D55" t="str">
        <f>IF(F55&lt;&gt;"",VLOOKUP(F55,PHA4GEVars!$A$7:$B$241,2,FALSE),"")</f>
        <v/>
      </c>
    </row>
    <row r="56" spans="1:13" x14ac:dyDescent="0.2">
      <c r="A56">
        <v>134</v>
      </c>
      <c r="B56" t="b">
        <f>IF(OR(G56="NA",H56="wide_value"),"",TRUE)</f>
        <v>1</v>
      </c>
      <c r="C56" t="s">
        <v>24</v>
      </c>
      <c r="D56" t="str">
        <f>IF(F56&lt;&gt;"",VLOOKUP(F56,PHA4GEVars!$A$7:$B$241,2,FALSE),"")</f>
        <v>Environmental conditions and measurements</v>
      </c>
      <c r="E56" t="s">
        <v>1869</v>
      </c>
      <c r="F56" t="s">
        <v>52</v>
      </c>
      <c r="G56" t="s">
        <v>284</v>
      </c>
      <c r="H56" t="s">
        <v>974</v>
      </c>
      <c r="I56" t="s">
        <v>994</v>
      </c>
      <c r="J56" t="s">
        <v>1004</v>
      </c>
      <c r="M56" s="5" t="s">
        <v>1003</v>
      </c>
    </row>
    <row r="57" spans="1:13" x14ac:dyDescent="0.2">
      <c r="A57">
        <v>135</v>
      </c>
      <c r="B57" t="b">
        <f>IF(OR(G57="NA",H57="wide_value"),"",TRUE)</f>
        <v>1</v>
      </c>
      <c r="C57" t="s">
        <v>24</v>
      </c>
      <c r="D57" t="str">
        <f>IF(F57&lt;&gt;"",VLOOKUP(F57,PHA4GEVars!$A$7:$B$241,2,FALSE),"")</f>
        <v>Environmental conditions and measurements</v>
      </c>
      <c r="E57" t="s">
        <v>1869</v>
      </c>
      <c r="F57" t="s">
        <v>52</v>
      </c>
      <c r="G57" t="s">
        <v>1165</v>
      </c>
      <c r="H57" t="s">
        <v>974</v>
      </c>
      <c r="I57" t="s">
        <v>994</v>
      </c>
      <c r="J57" t="s">
        <v>1224</v>
      </c>
      <c r="M57" s="5" t="s">
        <v>1003</v>
      </c>
    </row>
    <row r="58" spans="1:13" x14ac:dyDescent="0.2">
      <c r="A58">
        <v>136</v>
      </c>
      <c r="B58" t="b">
        <f>IF(OR(G58="NA",H58="wide_value"),"",TRUE)</f>
        <v>1</v>
      </c>
      <c r="C58" t="s">
        <v>24</v>
      </c>
      <c r="D58" t="str">
        <f>IF(F58&lt;&gt;"",VLOOKUP(F58,PHA4GEVars!$A$7:$B$241,2,FALSE),"")</f>
        <v>Environmental conditions and measurements</v>
      </c>
      <c r="E58" t="s">
        <v>1869</v>
      </c>
      <c r="F58" t="s">
        <v>52</v>
      </c>
      <c r="G58" t="s">
        <v>285</v>
      </c>
      <c r="H58" t="s">
        <v>974</v>
      </c>
      <c r="I58" t="s">
        <v>994</v>
      </c>
      <c r="J58" t="s">
        <v>1027</v>
      </c>
      <c r="M58" s="5" t="s">
        <v>1003</v>
      </c>
    </row>
    <row r="59" spans="1:13" x14ac:dyDescent="0.2">
      <c r="A59">
        <v>137</v>
      </c>
      <c r="B59" t="b">
        <f>IF(OR(G59="NA",H59="wide_value"),"",TRUE)</f>
        <v>1</v>
      </c>
      <c r="C59" t="s">
        <v>24</v>
      </c>
      <c r="D59" t="str">
        <f>IF(F59&lt;&gt;"",VLOOKUP(F59,PHA4GEVars!$A$7:$B$241,2,FALSE),"")</f>
        <v>Environmental conditions and measurements</v>
      </c>
      <c r="E59" t="s">
        <v>1869</v>
      </c>
      <c r="F59" t="s">
        <v>52</v>
      </c>
      <c r="G59" t="s">
        <v>286</v>
      </c>
      <c r="H59" t="s">
        <v>974</v>
      </c>
      <c r="I59" t="s">
        <v>994</v>
      </c>
      <c r="J59" t="s">
        <v>1028</v>
      </c>
      <c r="M59" s="5" t="s">
        <v>1003</v>
      </c>
    </row>
    <row r="60" spans="1:13" x14ac:dyDescent="0.2">
      <c r="A60">
        <v>138</v>
      </c>
      <c r="B60" t="b">
        <f>IF(OR(G60="NA",H60="wide_value"),"",TRUE)</f>
        <v>1</v>
      </c>
      <c r="C60" t="s">
        <v>24</v>
      </c>
      <c r="D60" t="str">
        <f>IF(F60&lt;&gt;"",VLOOKUP(F60,PHA4GEVars!$A$7:$B$241,2,FALSE),"")</f>
        <v>Environmental conditions and measurements</v>
      </c>
      <c r="E60" t="s">
        <v>1869</v>
      </c>
      <c r="F60" t="s">
        <v>52</v>
      </c>
      <c r="G60" t="s">
        <v>287</v>
      </c>
      <c r="H60" t="s">
        <v>974</v>
      </c>
      <c r="I60" t="s">
        <v>994</v>
      </c>
      <c r="J60" t="s">
        <v>1029</v>
      </c>
      <c r="M60" s="5" t="s">
        <v>1003</v>
      </c>
    </row>
    <row r="61" spans="1:13" x14ac:dyDescent="0.2">
      <c r="D61" t="str">
        <f>IF(F61&lt;&gt;"",VLOOKUP(F61,PHA4GEVars!$A$7:$B$241,2,FALSE),"")</f>
        <v/>
      </c>
    </row>
    <row r="62" spans="1:13" x14ac:dyDescent="0.2">
      <c r="A62">
        <v>149</v>
      </c>
      <c r="B62" t="b">
        <f>IF(OR(G62="NA",H62="wide_value"),"",TRUE)</f>
        <v>1</v>
      </c>
      <c r="C62" t="s">
        <v>24</v>
      </c>
      <c r="D62" t="str">
        <f>IF(F62&lt;&gt;"",VLOOKUP(F62,PHA4GEVars!$A$7:$B$241,2,FALSE),"")</f>
        <v>Environmental conditions and measurements</v>
      </c>
      <c r="E62" t="s">
        <v>1869</v>
      </c>
      <c r="F62" t="s">
        <v>53</v>
      </c>
      <c r="G62" t="s">
        <v>316</v>
      </c>
      <c r="H62" t="s">
        <v>974</v>
      </c>
      <c r="I62" t="s">
        <v>994</v>
      </c>
      <c r="J62" t="s">
        <v>1030</v>
      </c>
      <c r="M62" s="5" t="s">
        <v>1003</v>
      </c>
    </row>
    <row r="63" spans="1:13" x14ac:dyDescent="0.2">
      <c r="A63">
        <v>150</v>
      </c>
      <c r="B63" t="b">
        <f>IF(OR(G63="NA",H63="wide_value"),"",TRUE)</f>
        <v>1</v>
      </c>
      <c r="C63" t="s">
        <v>24</v>
      </c>
      <c r="D63" t="str">
        <f>IF(F63&lt;&gt;"",VLOOKUP(F63,PHA4GEVars!$A$7:$B$241,2,FALSE),"")</f>
        <v>Environmental conditions and measurements</v>
      </c>
      <c r="E63" t="s">
        <v>1869</v>
      </c>
      <c r="F63" t="s">
        <v>53</v>
      </c>
      <c r="G63" t="s">
        <v>317</v>
      </c>
      <c r="H63" t="s">
        <v>974</v>
      </c>
      <c r="I63" t="s">
        <v>994</v>
      </c>
      <c r="J63" t="s">
        <v>1031</v>
      </c>
      <c r="M63" s="5" t="s">
        <v>1003</v>
      </c>
    </row>
    <row r="64" spans="1:13" x14ac:dyDescent="0.2">
      <c r="A64">
        <v>151</v>
      </c>
      <c r="B64" t="b">
        <f>IF(OR(G64="NA",H64="wide_value"),"",TRUE)</f>
        <v>1</v>
      </c>
      <c r="C64" t="s">
        <v>24</v>
      </c>
      <c r="D64" t="str">
        <f>IF(F64&lt;&gt;"",VLOOKUP(F64,PHA4GEVars!$A$7:$B$241,2,FALSE),"")</f>
        <v>Environmental conditions and measurements</v>
      </c>
      <c r="E64" t="s">
        <v>1869</v>
      </c>
      <c r="F64" t="s">
        <v>53</v>
      </c>
      <c r="G64" t="s">
        <v>318</v>
      </c>
      <c r="H64" t="s">
        <v>974</v>
      </c>
      <c r="I64" t="s">
        <v>994</v>
      </c>
      <c r="J64" t="s">
        <v>1032</v>
      </c>
      <c r="M64" s="5" t="s">
        <v>1003</v>
      </c>
    </row>
    <row r="65" spans="1:13" x14ac:dyDescent="0.2">
      <c r="A65">
        <v>152</v>
      </c>
      <c r="B65" t="b">
        <f>IF(OR(G65="NA",H65="wide_value"),"",TRUE)</f>
        <v>1</v>
      </c>
      <c r="C65" t="s">
        <v>24</v>
      </c>
      <c r="D65" t="str">
        <f>IF(F65&lt;&gt;"",VLOOKUP(F65,PHA4GEVars!$A$7:$B$241,2,FALSE),"")</f>
        <v>Environmental conditions and measurements</v>
      </c>
      <c r="E65" t="s">
        <v>1869</v>
      </c>
      <c r="F65" t="s">
        <v>53</v>
      </c>
      <c r="G65" t="s">
        <v>1166</v>
      </c>
      <c r="H65" t="s">
        <v>974</v>
      </c>
      <c r="I65" t="s">
        <v>994</v>
      </c>
      <c r="J65" t="s">
        <v>1279</v>
      </c>
      <c r="M65" s="5" t="s">
        <v>1003</v>
      </c>
    </row>
    <row r="66" spans="1:13" x14ac:dyDescent="0.2">
      <c r="A66">
        <v>153</v>
      </c>
      <c r="B66" t="b">
        <f>IF(OR(G66="NA",H66="wide_value"),"",TRUE)</f>
        <v>1</v>
      </c>
      <c r="C66" t="s">
        <v>24</v>
      </c>
      <c r="D66" t="str">
        <f>IF(F66&lt;&gt;"",VLOOKUP(F66,PHA4GEVars!$A$7:$B$241,2,FALSE),"")</f>
        <v>Environmental conditions and measurements</v>
      </c>
      <c r="E66" t="s">
        <v>1869</v>
      </c>
      <c r="F66" t="s">
        <v>53</v>
      </c>
      <c r="G66" t="s">
        <v>303</v>
      </c>
      <c r="H66" t="s">
        <v>974</v>
      </c>
      <c r="I66" t="s">
        <v>994</v>
      </c>
      <c r="J66" t="s">
        <v>1033</v>
      </c>
      <c r="M66" s="5" t="s">
        <v>1003</v>
      </c>
    </row>
    <row r="67" spans="1:13" x14ac:dyDescent="0.2">
      <c r="D67" t="str">
        <f>IF(F67&lt;&gt;"",VLOOKUP(F67,PHA4GEVars!$A$7:$B$241,2,FALSE),"")</f>
        <v/>
      </c>
    </row>
    <row r="68" spans="1:13" x14ac:dyDescent="0.2">
      <c r="A68">
        <v>155</v>
      </c>
      <c r="B68" t="b">
        <f>IF(OR(G68="NA",H68="wide_value"),"",TRUE)</f>
        <v>1</v>
      </c>
      <c r="C68" t="s">
        <v>24</v>
      </c>
      <c r="D68" t="str">
        <f>IF(F68&lt;&gt;"",VLOOKUP(F68,PHA4GEVars!$A$7:$B$241,2,FALSE),"")</f>
        <v>Environmental conditions and measurements</v>
      </c>
      <c r="E68" t="s">
        <v>1869</v>
      </c>
      <c r="F68" t="s">
        <v>54</v>
      </c>
      <c r="G68" t="s">
        <v>288</v>
      </c>
      <c r="H68" t="s">
        <v>974</v>
      </c>
      <c r="I68" t="s">
        <v>994</v>
      </c>
      <c r="J68" t="s">
        <v>1009</v>
      </c>
      <c r="M68" s="5" t="s">
        <v>1003</v>
      </c>
    </row>
    <row r="69" spans="1:13" x14ac:dyDescent="0.2">
      <c r="A69">
        <v>156</v>
      </c>
      <c r="B69" t="b">
        <f>IF(OR(G69="NA",H69="wide_value"),"",TRUE)</f>
        <v>1</v>
      </c>
      <c r="C69" t="s">
        <v>24</v>
      </c>
      <c r="D69" t="str">
        <f>IF(F69&lt;&gt;"",VLOOKUP(F69,PHA4GEVars!$A$7:$B$241,2,FALSE),"")</f>
        <v>Environmental conditions and measurements</v>
      </c>
      <c r="E69" t="s">
        <v>1869</v>
      </c>
      <c r="F69" t="s">
        <v>54</v>
      </c>
      <c r="G69" t="s">
        <v>289</v>
      </c>
      <c r="H69" t="s">
        <v>974</v>
      </c>
      <c r="I69" t="s">
        <v>994</v>
      </c>
      <c r="J69" t="s">
        <v>995</v>
      </c>
      <c r="M69" s="5" t="s">
        <v>1003</v>
      </c>
    </row>
    <row r="70" spans="1:13" x14ac:dyDescent="0.2">
      <c r="D70" t="str">
        <f>IF(F70&lt;&gt;"",VLOOKUP(F70,PHA4GEVars!$A$7:$B$241,2,FALSE),"")</f>
        <v/>
      </c>
      <c r="M70" s="5"/>
    </row>
    <row r="71" spans="1:13" x14ac:dyDescent="0.2">
      <c r="A71">
        <v>157</v>
      </c>
      <c r="B71" t="b">
        <f>IF(OR(G71="NA",H71="wide_value"),"",TRUE)</f>
        <v>1</v>
      </c>
      <c r="C71" t="s">
        <v>24</v>
      </c>
      <c r="D71" t="str">
        <f>IF(F71&lt;&gt;"",VLOOKUP(F71,PHA4GEVars!$A$7:$B$241,2,FALSE),"")</f>
        <v>Environmental conditions and measurements</v>
      </c>
      <c r="E71" t="s">
        <v>1869</v>
      </c>
      <c r="F71" t="s">
        <v>55</v>
      </c>
      <c r="G71" t="s">
        <v>288</v>
      </c>
      <c r="H71" t="s">
        <v>974</v>
      </c>
      <c r="I71" t="s">
        <v>994</v>
      </c>
      <c r="J71" t="s">
        <v>1009</v>
      </c>
      <c r="M71" s="5" t="s">
        <v>1003</v>
      </c>
    </row>
    <row r="72" spans="1:13" x14ac:dyDescent="0.2">
      <c r="A72">
        <v>158</v>
      </c>
      <c r="B72" t="b">
        <f>IF(OR(G72="NA",H72="wide_value"),"",TRUE)</f>
        <v>1</v>
      </c>
      <c r="C72" t="s">
        <v>24</v>
      </c>
      <c r="D72" t="str">
        <f>IF(F72&lt;&gt;"",VLOOKUP(F72,PHA4GEVars!$A$7:$B$241,2,FALSE),"")</f>
        <v>Environmental conditions and measurements</v>
      </c>
      <c r="E72" t="s">
        <v>1869</v>
      </c>
      <c r="F72" t="s">
        <v>55</v>
      </c>
      <c r="G72" t="s">
        <v>289</v>
      </c>
      <c r="H72" t="s">
        <v>974</v>
      </c>
      <c r="I72" t="s">
        <v>994</v>
      </c>
      <c r="J72" t="s">
        <v>995</v>
      </c>
      <c r="M72" s="5" t="s">
        <v>1003</v>
      </c>
    </row>
    <row r="73" spans="1:13" x14ac:dyDescent="0.2">
      <c r="D73" t="str">
        <f>IF(F73&lt;&gt;"",VLOOKUP(F73,PHA4GEVars!$A$7:$B$241,2,FALSE),"")</f>
        <v/>
      </c>
    </row>
    <row r="74" spans="1:13" ht="15" customHeight="1" x14ac:dyDescent="0.2">
      <c r="A74">
        <v>170</v>
      </c>
      <c r="B74" t="b">
        <f t="shared" ref="B74:B81" si="3">IF(OR(G74="NA",H74="wide_value"),"",TRUE)</f>
        <v>1</v>
      </c>
      <c r="C74" t="s">
        <v>24</v>
      </c>
      <c r="D74" t="str">
        <f>IF(F74&lt;&gt;"",VLOOKUP(F74,PHA4GEVars!$A$7:$B$241,2,FALSE),"")</f>
        <v>Environmental conditions and measurements</v>
      </c>
      <c r="E74" t="s">
        <v>1869</v>
      </c>
      <c r="F74" t="s">
        <v>1093</v>
      </c>
      <c r="G74" t="s">
        <v>290</v>
      </c>
      <c r="H74" t="s">
        <v>974</v>
      </c>
      <c r="I74" t="s">
        <v>994</v>
      </c>
      <c r="J74" t="s">
        <v>1001</v>
      </c>
      <c r="M74" s="5" t="s">
        <v>1003</v>
      </c>
    </row>
    <row r="75" spans="1:13" x14ac:dyDescent="0.2">
      <c r="A75">
        <v>171</v>
      </c>
      <c r="B75" t="b">
        <f t="shared" si="3"/>
        <v>1</v>
      </c>
      <c r="C75" t="s">
        <v>24</v>
      </c>
      <c r="D75" t="str">
        <f>IF(F75&lt;&gt;"",VLOOKUP(F75,PHA4GEVars!$A$7:$B$241,2,FALSE),"")</f>
        <v>Environmental conditions and measurements</v>
      </c>
      <c r="E75" t="s">
        <v>1869</v>
      </c>
      <c r="F75" t="s">
        <v>1093</v>
      </c>
      <c r="G75" t="s">
        <v>291</v>
      </c>
      <c r="H75" t="s">
        <v>974</v>
      </c>
      <c r="I75" t="s">
        <v>994</v>
      </c>
      <c r="J75" t="s">
        <v>1022</v>
      </c>
      <c r="M75" s="5" t="s">
        <v>1003</v>
      </c>
    </row>
    <row r="76" spans="1:13" x14ac:dyDescent="0.2">
      <c r="A76">
        <v>172</v>
      </c>
      <c r="B76" t="b">
        <f t="shared" si="3"/>
        <v>1</v>
      </c>
      <c r="C76" t="s">
        <v>24</v>
      </c>
      <c r="D76" t="str">
        <f>IF(F76&lt;&gt;"",VLOOKUP(F76,PHA4GEVars!$A$7:$B$241,2,FALSE),"")</f>
        <v>Environmental conditions and measurements</v>
      </c>
      <c r="E76" t="s">
        <v>1869</v>
      </c>
      <c r="F76" t="s">
        <v>1093</v>
      </c>
      <c r="G76" t="s">
        <v>292</v>
      </c>
      <c r="H76" t="s">
        <v>974</v>
      </c>
      <c r="I76" t="s">
        <v>994</v>
      </c>
      <c r="J76" t="s">
        <v>1002</v>
      </c>
      <c r="M76" s="5" t="s">
        <v>1003</v>
      </c>
    </row>
    <row r="77" spans="1:13" x14ac:dyDescent="0.2">
      <c r="A77">
        <v>173</v>
      </c>
      <c r="B77" t="b">
        <f t="shared" si="3"/>
        <v>1</v>
      </c>
      <c r="C77" t="s">
        <v>24</v>
      </c>
      <c r="D77" t="str">
        <f>IF(F77&lt;&gt;"",VLOOKUP(F77,PHA4GEVars!$A$7:$B$241,2,FALSE),"")</f>
        <v>Environmental conditions and measurements</v>
      </c>
      <c r="E77" t="s">
        <v>1869</v>
      </c>
      <c r="F77" t="s">
        <v>1093</v>
      </c>
      <c r="G77" t="s">
        <v>293</v>
      </c>
      <c r="H77" t="s">
        <v>974</v>
      </c>
      <c r="I77" t="s">
        <v>994</v>
      </c>
      <c r="J77" t="s">
        <v>1023</v>
      </c>
      <c r="M77" s="5" t="s">
        <v>1003</v>
      </c>
    </row>
    <row r="78" spans="1:13" x14ac:dyDescent="0.2">
      <c r="A78">
        <v>174</v>
      </c>
      <c r="B78" t="b">
        <f t="shared" si="3"/>
        <v>1</v>
      </c>
      <c r="C78" t="s">
        <v>24</v>
      </c>
      <c r="D78" t="str">
        <f>IF(F78&lt;&gt;"",VLOOKUP(F78,PHA4GEVars!$A$7:$B$241,2,FALSE),"")</f>
        <v>Environmental conditions and measurements</v>
      </c>
      <c r="E78" t="s">
        <v>1869</v>
      </c>
      <c r="F78" t="s">
        <v>1093</v>
      </c>
      <c r="G78" t="s">
        <v>294</v>
      </c>
      <c r="H78" t="s">
        <v>974</v>
      </c>
      <c r="I78" t="s">
        <v>994</v>
      </c>
      <c r="J78" t="s">
        <v>1024</v>
      </c>
      <c r="M78" s="5" t="s">
        <v>1003</v>
      </c>
    </row>
    <row r="79" spans="1:13" x14ac:dyDescent="0.2">
      <c r="A79">
        <v>175</v>
      </c>
      <c r="B79" t="b">
        <f t="shared" si="3"/>
        <v>1</v>
      </c>
      <c r="C79" t="s">
        <v>24</v>
      </c>
      <c r="D79" t="str">
        <f>IF(F79&lt;&gt;"",VLOOKUP(F79,PHA4GEVars!$A$7:$B$241,2,FALSE),"")</f>
        <v>Environmental conditions and measurements</v>
      </c>
      <c r="E79" t="s">
        <v>1869</v>
      </c>
      <c r="F79" t="s">
        <v>1093</v>
      </c>
      <c r="G79" t="s">
        <v>295</v>
      </c>
      <c r="H79" t="s">
        <v>974</v>
      </c>
      <c r="I79" t="s">
        <v>994</v>
      </c>
      <c r="J79" t="s">
        <v>1025</v>
      </c>
      <c r="M79" s="5" t="s">
        <v>1003</v>
      </c>
    </row>
    <row r="80" spans="1:13" x14ac:dyDescent="0.2">
      <c r="A80">
        <v>176</v>
      </c>
      <c r="B80" t="b">
        <f t="shared" si="3"/>
        <v>1</v>
      </c>
      <c r="C80" t="s">
        <v>24</v>
      </c>
      <c r="D80" t="str">
        <f>IF(F80&lt;&gt;"",VLOOKUP(F80,PHA4GEVars!$A$7:$B$241,2,FALSE),"")</f>
        <v>Environmental conditions and measurements</v>
      </c>
      <c r="E80" t="s">
        <v>1869</v>
      </c>
      <c r="F80" t="s">
        <v>1093</v>
      </c>
      <c r="G80" t="s">
        <v>1099</v>
      </c>
      <c r="H80" t="s">
        <v>974</v>
      </c>
      <c r="I80" t="s">
        <v>994</v>
      </c>
      <c r="J80" t="s">
        <v>1222</v>
      </c>
      <c r="M80" s="5" t="s">
        <v>1003</v>
      </c>
    </row>
    <row r="81" spans="1:13" x14ac:dyDescent="0.2">
      <c r="A81">
        <v>177</v>
      </c>
      <c r="B81" t="b">
        <f t="shared" si="3"/>
        <v>1</v>
      </c>
      <c r="C81" t="s">
        <v>24</v>
      </c>
      <c r="D81" t="str">
        <f>IF(F81&lt;&gt;"",VLOOKUP(F81,PHA4GEVars!$A$7:$B$241,2,FALSE),"")</f>
        <v>Environmental conditions and measurements</v>
      </c>
      <c r="E81" t="s">
        <v>1869</v>
      </c>
      <c r="F81" t="s">
        <v>1093</v>
      </c>
      <c r="G81" t="s">
        <v>1100</v>
      </c>
      <c r="H81" t="s">
        <v>974</v>
      </c>
      <c r="I81" t="s">
        <v>994</v>
      </c>
      <c r="J81" t="s">
        <v>1223</v>
      </c>
      <c r="M81" s="5" t="s">
        <v>1003</v>
      </c>
    </row>
    <row r="82" spans="1:13" x14ac:dyDescent="0.2">
      <c r="D82" t="str">
        <f>IF(F82&lt;&gt;"",VLOOKUP(F82,PHA4GEVars!$A$7:$B$241,2,FALSE),"")</f>
        <v/>
      </c>
    </row>
    <row r="83" spans="1:13" x14ac:dyDescent="0.2">
      <c r="A83">
        <v>180</v>
      </c>
      <c r="B83" t="b">
        <f>IF(OR(G83="NA",H83="wide_value"),"",TRUE)</f>
        <v>1</v>
      </c>
      <c r="C83" t="s">
        <v>24</v>
      </c>
      <c r="D83" t="str">
        <f>IF(F83&lt;&gt;"",VLOOKUP(F83,PHA4GEVars!$A$7:$B$241,2,FALSE),"")</f>
        <v>Environmental conditions and measurements</v>
      </c>
      <c r="E83" t="s">
        <v>1869</v>
      </c>
      <c r="F83" t="s">
        <v>57</v>
      </c>
      <c r="G83" t="s">
        <v>302</v>
      </c>
      <c r="H83" t="s">
        <v>974</v>
      </c>
      <c r="I83" t="s">
        <v>994</v>
      </c>
      <c r="J83" t="s">
        <v>1005</v>
      </c>
      <c r="M83" s="5" t="s">
        <v>1003</v>
      </c>
    </row>
    <row r="84" spans="1:13" x14ac:dyDescent="0.2">
      <c r="A84">
        <v>181</v>
      </c>
      <c r="B84" t="b">
        <f>IF(OR(G84="NA",H84="wide_value"),"",TRUE)</f>
        <v>1</v>
      </c>
      <c r="C84" t="s">
        <v>24</v>
      </c>
      <c r="D84" t="str">
        <f>IF(F84&lt;&gt;"",VLOOKUP(F84,PHA4GEVars!$A$7:$B$241,2,FALSE),"")</f>
        <v>Environmental conditions and measurements</v>
      </c>
      <c r="E84" t="s">
        <v>1869</v>
      </c>
      <c r="F84" t="s">
        <v>57</v>
      </c>
      <c r="G84" t="s">
        <v>303</v>
      </c>
      <c r="H84" t="s">
        <v>974</v>
      </c>
      <c r="I84" t="s">
        <v>994</v>
      </c>
      <c r="J84" t="s">
        <v>1033</v>
      </c>
      <c r="M84" s="5" t="s">
        <v>1003</v>
      </c>
    </row>
    <row r="85" spans="1:13" x14ac:dyDescent="0.2">
      <c r="D85" t="str">
        <f>IF(F85&lt;&gt;"",VLOOKUP(F85,PHA4GEVars!$A$7:$B$241,2,FALSE),"")</f>
        <v/>
      </c>
    </row>
    <row r="86" spans="1:13" x14ac:dyDescent="0.2">
      <c r="A86">
        <v>184</v>
      </c>
      <c r="B86" t="b">
        <f>IF(OR(G86="NA",H86="wide_value"),"",TRUE)</f>
        <v>1</v>
      </c>
      <c r="C86" t="s">
        <v>24</v>
      </c>
      <c r="D86" t="str">
        <f>IF(F86&lt;&gt;"",VLOOKUP(F86,PHA4GEVars!$A$7:$B$241,2,FALSE),"")</f>
        <v>Environmental conditions and measurements</v>
      </c>
      <c r="E86" t="s">
        <v>1869</v>
      </c>
      <c r="F86" t="s">
        <v>58</v>
      </c>
      <c r="G86" t="s">
        <v>298</v>
      </c>
      <c r="H86" t="s">
        <v>974</v>
      </c>
      <c r="I86" t="s">
        <v>994</v>
      </c>
      <c r="J86" t="s">
        <v>996</v>
      </c>
      <c r="M86" s="5" t="s">
        <v>1003</v>
      </c>
    </row>
    <row r="87" spans="1:13" x14ac:dyDescent="0.2">
      <c r="A87">
        <v>185</v>
      </c>
      <c r="B87" t="b">
        <f>IF(OR(G87="NA",H87="wide_value"),"",TRUE)</f>
        <v>1</v>
      </c>
      <c r="C87" t="s">
        <v>24</v>
      </c>
      <c r="D87" t="str">
        <f>IF(F87&lt;&gt;"",VLOOKUP(F87,PHA4GEVars!$A$7:$B$241,2,FALSE),"")</f>
        <v>Environmental conditions and measurements</v>
      </c>
      <c r="E87" t="s">
        <v>1869</v>
      </c>
      <c r="F87" t="s">
        <v>58</v>
      </c>
      <c r="G87" t="s">
        <v>303</v>
      </c>
      <c r="H87" t="s">
        <v>974</v>
      </c>
      <c r="I87" t="s">
        <v>994</v>
      </c>
      <c r="J87" t="s">
        <v>1033</v>
      </c>
      <c r="M87" s="5" t="s">
        <v>1003</v>
      </c>
    </row>
    <row r="88" spans="1:13" x14ac:dyDescent="0.2">
      <c r="A88">
        <v>186</v>
      </c>
      <c r="B88" t="b">
        <f>IF(OR(G88="NA",H88="wide_value"),"",TRUE)</f>
        <v>1</v>
      </c>
      <c r="C88" t="s">
        <v>24</v>
      </c>
      <c r="D88" t="str">
        <f>IF(F88&lt;&gt;"",VLOOKUP(F88,PHA4GEVars!$A$7:$B$241,2,FALSE),"")</f>
        <v>Environmental conditions and measurements</v>
      </c>
      <c r="E88" t="s">
        <v>1869</v>
      </c>
      <c r="F88" t="s">
        <v>58</v>
      </c>
      <c r="G88" t="s">
        <v>304</v>
      </c>
      <c r="H88" t="s">
        <v>974</v>
      </c>
      <c r="I88" t="s">
        <v>994</v>
      </c>
      <c r="J88" t="s">
        <v>1034</v>
      </c>
      <c r="M88" s="5" t="s">
        <v>1003</v>
      </c>
    </row>
    <row r="89" spans="1:13" x14ac:dyDescent="0.2">
      <c r="D89" t="str">
        <f>IF(F89&lt;&gt;"",VLOOKUP(F89,PHA4GEVars!$A$7:$B$241,2,FALSE),"")</f>
        <v/>
      </c>
    </row>
    <row r="90" spans="1:13" x14ac:dyDescent="0.2">
      <c r="A90">
        <v>189</v>
      </c>
      <c r="B90" t="b">
        <f>IF(OR(G90="NA",H90="wide_value"),"",TRUE)</f>
        <v>1</v>
      </c>
      <c r="C90" t="s">
        <v>24</v>
      </c>
      <c r="D90" t="str">
        <f>IF(F90&lt;&gt;"",VLOOKUP(F90,PHA4GEVars!$A$7:$B$241,2,FALSE),"")</f>
        <v>Environmental conditions and measurements</v>
      </c>
      <c r="E90" t="s">
        <v>1869</v>
      </c>
      <c r="F90" t="s">
        <v>59</v>
      </c>
      <c r="G90" t="s">
        <v>1167</v>
      </c>
      <c r="H90" t="s">
        <v>974</v>
      </c>
      <c r="I90" t="s">
        <v>994</v>
      </c>
      <c r="J90" t="s">
        <v>1280</v>
      </c>
      <c r="M90" s="5" t="s">
        <v>1003</v>
      </c>
    </row>
    <row r="91" spans="1:13" x14ac:dyDescent="0.2">
      <c r="A91">
        <v>190</v>
      </c>
      <c r="B91" t="b">
        <f>IF(OR(G91="NA",H91="wide_value"),"",TRUE)</f>
        <v>1</v>
      </c>
      <c r="C91" t="s">
        <v>24</v>
      </c>
      <c r="D91" t="str">
        <f>IF(F91&lt;&gt;"",VLOOKUP(F91,PHA4GEVars!$A$7:$B$241,2,FALSE),"")</f>
        <v>Environmental conditions and measurements</v>
      </c>
      <c r="E91" t="s">
        <v>1869</v>
      </c>
      <c r="F91" t="s">
        <v>59</v>
      </c>
      <c r="G91" t="s">
        <v>305</v>
      </c>
      <c r="H91" t="s">
        <v>974</v>
      </c>
      <c r="I91" t="s">
        <v>994</v>
      </c>
      <c r="J91" t="s">
        <v>1035</v>
      </c>
      <c r="M91" s="5" t="s">
        <v>1003</v>
      </c>
    </row>
    <row r="92" spans="1:13" x14ac:dyDescent="0.2">
      <c r="A92">
        <v>191</v>
      </c>
      <c r="B92" t="b">
        <f>IF(OR(G92="NA",H92="wide_value"),"",TRUE)</f>
        <v>1</v>
      </c>
      <c r="C92" t="s">
        <v>24</v>
      </c>
      <c r="D92" t="str">
        <f>IF(F92&lt;&gt;"",VLOOKUP(F92,PHA4GEVars!$A$7:$B$241,2,FALSE),"")</f>
        <v>Environmental conditions and measurements</v>
      </c>
      <c r="E92" t="s">
        <v>1869</v>
      </c>
      <c r="F92" t="s">
        <v>59</v>
      </c>
      <c r="G92" t="s">
        <v>306</v>
      </c>
      <c r="H92" t="s">
        <v>974</v>
      </c>
      <c r="I92" t="s">
        <v>994</v>
      </c>
      <c r="J92" t="s">
        <v>1036</v>
      </c>
      <c r="M92" s="5" t="s">
        <v>1003</v>
      </c>
    </row>
    <row r="93" spans="1:13" x14ac:dyDescent="0.2">
      <c r="A93">
        <v>192</v>
      </c>
      <c r="B93" t="b">
        <f>IF(OR(G93="NA",H93="wide_value"),"",TRUE)</f>
        <v>1</v>
      </c>
      <c r="C93" t="s">
        <v>24</v>
      </c>
      <c r="D93" t="str">
        <f>IF(F93&lt;&gt;"",VLOOKUP(F93,PHA4GEVars!$A$7:$B$241,2,FALSE),"")</f>
        <v>Environmental conditions and measurements</v>
      </c>
      <c r="E93" t="s">
        <v>1869</v>
      </c>
      <c r="F93" t="s">
        <v>59</v>
      </c>
      <c r="G93" t="s">
        <v>307</v>
      </c>
      <c r="H93" t="s">
        <v>974</v>
      </c>
      <c r="I93" t="s">
        <v>994</v>
      </c>
      <c r="J93" t="s">
        <v>1037</v>
      </c>
      <c r="M93" s="5" t="s">
        <v>1003</v>
      </c>
    </row>
    <row r="94" spans="1:13" x14ac:dyDescent="0.2">
      <c r="A94">
        <v>193</v>
      </c>
      <c r="B94" t="b">
        <f>IF(OR(G94="NA",H94="wide_value"),"",TRUE)</f>
        <v>1</v>
      </c>
      <c r="C94" t="s">
        <v>24</v>
      </c>
      <c r="D94" t="str">
        <f>IF(F94&lt;&gt;"",VLOOKUP(F94,PHA4GEVars!$A$7:$B$241,2,FALSE),"")</f>
        <v>Environmental conditions and measurements</v>
      </c>
      <c r="E94" t="s">
        <v>1869</v>
      </c>
      <c r="F94" t="s">
        <v>59</v>
      </c>
      <c r="G94" t="s">
        <v>308</v>
      </c>
      <c r="H94" t="s">
        <v>974</v>
      </c>
      <c r="I94" t="s">
        <v>994</v>
      </c>
      <c r="J94" t="s">
        <v>1038</v>
      </c>
      <c r="M94" s="5" t="s">
        <v>1003</v>
      </c>
    </row>
    <row r="95" spans="1:13" x14ac:dyDescent="0.2">
      <c r="D95" t="str">
        <f>IF(F95&lt;&gt;"",VLOOKUP(F95,PHA4GEVars!$A$7:$B$241,2,FALSE),"")</f>
        <v/>
      </c>
    </row>
    <row r="96" spans="1:13" x14ac:dyDescent="0.2">
      <c r="A96">
        <v>196</v>
      </c>
      <c r="B96" t="b">
        <f>IF(OR(G96="NA",H96="wide_value"),"",TRUE)</f>
        <v>1</v>
      </c>
      <c r="C96" t="s">
        <v>24</v>
      </c>
      <c r="D96" t="str">
        <f>IF(F96&lt;&gt;"",VLOOKUP(F96,PHA4GEVars!$A$7:$B$241,2,FALSE),"")</f>
        <v>Environmental conditions and measurements</v>
      </c>
      <c r="E96" t="s">
        <v>1869</v>
      </c>
      <c r="F96" t="s">
        <v>60</v>
      </c>
      <c r="G96" t="s">
        <v>302</v>
      </c>
      <c r="H96" t="s">
        <v>974</v>
      </c>
      <c r="I96" t="s">
        <v>994</v>
      </c>
      <c r="J96" t="s">
        <v>1005</v>
      </c>
      <c r="M96" s="5" t="s">
        <v>1003</v>
      </c>
    </row>
    <row r="97" spans="1:14" x14ac:dyDescent="0.2">
      <c r="A97">
        <v>197</v>
      </c>
      <c r="B97" t="b">
        <f>IF(OR(G97="NA",H97="wide_value"),"",TRUE)</f>
        <v>1</v>
      </c>
      <c r="C97" t="s">
        <v>24</v>
      </c>
      <c r="D97" t="str">
        <f>IF(F97&lt;&gt;"",VLOOKUP(F97,PHA4GEVars!$A$7:$B$241,2,FALSE),"")</f>
        <v>Environmental conditions and measurements</v>
      </c>
      <c r="E97" t="s">
        <v>1869</v>
      </c>
      <c r="F97" t="s">
        <v>60</v>
      </c>
      <c r="G97" t="s">
        <v>303</v>
      </c>
      <c r="H97" t="s">
        <v>974</v>
      </c>
      <c r="I97" t="s">
        <v>994</v>
      </c>
      <c r="J97" t="s">
        <v>1033</v>
      </c>
      <c r="M97" s="5" t="s">
        <v>1003</v>
      </c>
    </row>
    <row r="98" spans="1:14" x14ac:dyDescent="0.2">
      <c r="D98" t="str">
        <f>IF(F98&lt;&gt;"",VLOOKUP(F98,PHA4GEVars!$A$7:$B$241,2,FALSE),"")</f>
        <v/>
      </c>
    </row>
    <row r="99" spans="1:14" x14ac:dyDescent="0.2">
      <c r="A99">
        <v>200</v>
      </c>
      <c r="B99" t="b">
        <f>IF(OR(G99="NA",H99="wide_value"),"",TRUE)</f>
        <v>1</v>
      </c>
      <c r="C99" t="s">
        <v>24</v>
      </c>
      <c r="D99" t="str">
        <f>IF(F99&lt;&gt;"",VLOOKUP(F99,PHA4GEVars!$A$7:$B$241,2,FALSE),"")</f>
        <v>Environmental conditions and measurements</v>
      </c>
      <c r="E99" t="s">
        <v>1869</v>
      </c>
      <c r="F99" t="s">
        <v>61</v>
      </c>
      <c r="G99" t="s">
        <v>302</v>
      </c>
      <c r="H99" t="s">
        <v>974</v>
      </c>
      <c r="I99" t="s">
        <v>994</v>
      </c>
      <c r="J99" t="s">
        <v>1005</v>
      </c>
      <c r="M99" s="5" t="s">
        <v>1003</v>
      </c>
    </row>
    <row r="100" spans="1:14" x14ac:dyDescent="0.2">
      <c r="A100">
        <v>201</v>
      </c>
      <c r="B100" t="b">
        <f>IF(OR(G100="NA",H100="wide_value"),"",TRUE)</f>
        <v>1</v>
      </c>
      <c r="C100" t="s">
        <v>24</v>
      </c>
      <c r="D100" t="str">
        <f>IF(F100&lt;&gt;"",VLOOKUP(F100,PHA4GEVars!$A$7:$B$241,2,FALSE),"")</f>
        <v>Environmental conditions and measurements</v>
      </c>
      <c r="E100" t="s">
        <v>1869</v>
      </c>
      <c r="F100" t="s">
        <v>61</v>
      </c>
      <c r="G100" t="s">
        <v>303</v>
      </c>
      <c r="H100" t="s">
        <v>974</v>
      </c>
      <c r="I100" t="s">
        <v>994</v>
      </c>
      <c r="J100" t="s">
        <v>1033</v>
      </c>
      <c r="M100" s="5" t="s">
        <v>1003</v>
      </c>
    </row>
    <row r="101" spans="1:14" x14ac:dyDescent="0.2">
      <c r="D101" t="str">
        <f>IF(F101&lt;&gt;"",VLOOKUP(F101,PHA4GEVars!$A$7:$B$241,2,FALSE),"")</f>
        <v/>
      </c>
    </row>
    <row r="102" spans="1:14" x14ac:dyDescent="0.2">
      <c r="A102">
        <v>204</v>
      </c>
      <c r="B102" t="b">
        <f>IF(OR(G102="NA",H102="wide_value"),"",TRUE)</f>
        <v>1</v>
      </c>
      <c r="C102" t="s">
        <v>24</v>
      </c>
      <c r="D102" t="str">
        <f>IF(F102&lt;&gt;"",VLOOKUP(F102,PHA4GEVars!$A$7:$B$241,2,FALSE),"")</f>
        <v>Environmental conditions and measurements</v>
      </c>
      <c r="E102" t="s">
        <v>1869</v>
      </c>
      <c r="F102" t="s">
        <v>62</v>
      </c>
      <c r="G102" t="s">
        <v>296</v>
      </c>
      <c r="H102" t="s">
        <v>974</v>
      </c>
      <c r="I102" t="s">
        <v>994</v>
      </c>
      <c r="J102" t="s">
        <v>1006</v>
      </c>
      <c r="M102" s="5" t="s">
        <v>1003</v>
      </c>
    </row>
    <row r="103" spans="1:14" x14ac:dyDescent="0.2">
      <c r="A103">
        <v>205</v>
      </c>
      <c r="B103" t="b">
        <f>IF(OR(G103="NA",H103="wide_value"),"",TRUE)</f>
        <v>1</v>
      </c>
      <c r="C103" t="s">
        <v>24</v>
      </c>
      <c r="D103" t="str">
        <f>IF(F103&lt;&gt;"",VLOOKUP(F103,PHA4GEVars!$A$7:$B$241,2,FALSE),"")</f>
        <v>Environmental conditions and measurements</v>
      </c>
      <c r="E103" t="s">
        <v>1869</v>
      </c>
      <c r="F103" t="s">
        <v>62</v>
      </c>
      <c r="G103" t="s">
        <v>297</v>
      </c>
      <c r="H103" t="s">
        <v>974</v>
      </c>
      <c r="I103" t="s">
        <v>994</v>
      </c>
      <c r="J103" t="s">
        <v>1039</v>
      </c>
      <c r="M103" s="5" t="s">
        <v>1003</v>
      </c>
    </row>
    <row r="104" spans="1:14" x14ac:dyDescent="0.2">
      <c r="D104" t="str">
        <f>IF(F104&lt;&gt;"",VLOOKUP(F104,PHA4GEVars!$A$7:$B$241,2,FALSE),"")</f>
        <v/>
      </c>
    </row>
    <row r="105" spans="1:14" x14ac:dyDescent="0.2">
      <c r="A105">
        <v>207</v>
      </c>
      <c r="B105" t="b">
        <f>IF(OR(G105="NA",H105="wide_value"),"",TRUE)</f>
        <v>1</v>
      </c>
      <c r="C105" t="s">
        <v>24</v>
      </c>
      <c r="D105" t="str">
        <f>IF(F105&lt;&gt;"",VLOOKUP(F105,PHA4GEVars!$A$7:$B$241,2,FALSE),"")</f>
        <v>Environmental conditions and measurements</v>
      </c>
      <c r="E105" t="s">
        <v>1869</v>
      </c>
      <c r="F105" t="s">
        <v>142</v>
      </c>
      <c r="G105" t="s">
        <v>1966</v>
      </c>
      <c r="H105" t="s">
        <v>974</v>
      </c>
      <c r="I105" t="s">
        <v>1043</v>
      </c>
      <c r="J105" t="s">
        <v>329</v>
      </c>
      <c r="M105" s="5" t="s">
        <v>1367</v>
      </c>
    </row>
    <row r="106" spans="1:14" x14ac:dyDescent="0.2">
      <c r="D106" t="str">
        <f>IF(F106&lt;&gt;"",VLOOKUP(F106,PHA4GEVars!$A$7:$B$241,2,FALSE),"")</f>
        <v/>
      </c>
    </row>
    <row r="107" spans="1:14" x14ac:dyDescent="0.2">
      <c r="A107">
        <v>209</v>
      </c>
      <c r="B107" t="b">
        <f>IF(OR(G107="NA",H107="wide_value"),"",TRUE)</f>
        <v>1</v>
      </c>
      <c r="C107" t="s">
        <v>24</v>
      </c>
      <c r="D107" t="str">
        <f>IF(F107&lt;&gt;"",VLOOKUP(F107,PHA4GEVars!$A$7:$B$241,2,FALSE),"")</f>
        <v>Environmental conditions and measurements</v>
      </c>
      <c r="E107" t="s">
        <v>1869</v>
      </c>
      <c r="F107" t="s">
        <v>63</v>
      </c>
      <c r="G107" t="s">
        <v>328</v>
      </c>
      <c r="H107" t="s">
        <v>974</v>
      </c>
      <c r="I107" t="s">
        <v>994</v>
      </c>
      <c r="J107" t="s">
        <v>1040</v>
      </c>
      <c r="M107" s="5" t="s">
        <v>1003</v>
      </c>
    </row>
    <row r="108" spans="1:14" x14ac:dyDescent="0.2">
      <c r="D108" t="str">
        <f>IF(F108&lt;&gt;"",VLOOKUP(F108,PHA4GEVars!$A$7:$B$241,2,FALSE),"")</f>
        <v/>
      </c>
    </row>
    <row r="109" spans="1:14" x14ac:dyDescent="0.2">
      <c r="A109">
        <v>211</v>
      </c>
      <c r="B109" t="b">
        <f>IF(OR(G109="NA",H109="wide_value"),"",TRUE)</f>
        <v>1</v>
      </c>
      <c r="C109" t="s">
        <v>24</v>
      </c>
      <c r="D109" t="str">
        <f>IF(F109&lt;&gt;"",VLOOKUP(F109,PHA4GEVars!$A$7:$B$241,2,FALSE),"")</f>
        <v>Environmental conditions and measurements</v>
      </c>
      <c r="E109" t="s">
        <v>1869</v>
      </c>
      <c r="F109" t="s">
        <v>1910</v>
      </c>
      <c r="G109" t="s">
        <v>1967</v>
      </c>
      <c r="H109" t="s">
        <v>974</v>
      </c>
      <c r="I109" t="s">
        <v>994</v>
      </c>
      <c r="J109" t="s">
        <v>1282</v>
      </c>
      <c r="M109" s="5" t="s">
        <v>1003</v>
      </c>
      <c r="N109" t="s">
        <v>1923</v>
      </c>
    </row>
    <row r="110" spans="1:14" x14ac:dyDescent="0.2">
      <c r="A110">
        <v>212</v>
      </c>
      <c r="B110" t="b">
        <f>IF(OR(G110="NA",H110="wide_value"),"",TRUE)</f>
        <v>1</v>
      </c>
      <c r="C110" t="s">
        <v>24</v>
      </c>
      <c r="D110" t="str">
        <f>IF(F110&lt;&gt;"",VLOOKUP(F110,PHA4GEVars!$A$7:$B$241,2,FALSE),"")</f>
        <v>Environmental conditions and measurements</v>
      </c>
      <c r="E110" t="s">
        <v>1869</v>
      </c>
      <c r="F110" t="s">
        <v>1910</v>
      </c>
      <c r="G110" t="s">
        <v>1968</v>
      </c>
      <c r="H110" t="s">
        <v>974</v>
      </c>
      <c r="I110" t="s">
        <v>994</v>
      </c>
      <c r="J110" t="s">
        <v>1283</v>
      </c>
      <c r="M110" s="5" t="s">
        <v>1003</v>
      </c>
      <c r="N110" t="s">
        <v>1923</v>
      </c>
    </row>
    <row r="111" spans="1:14" x14ac:dyDescent="0.2">
      <c r="A111">
        <v>213</v>
      </c>
      <c r="B111" t="b">
        <f>IF(OR(G111="NA",H111="wide_value"),"",TRUE)</f>
        <v>1</v>
      </c>
      <c r="C111" t="s">
        <v>24</v>
      </c>
      <c r="D111" t="str">
        <f>IF(F111&lt;&gt;"",VLOOKUP(F111,PHA4GEVars!$A$7:$B$241,2,FALSE),"")</f>
        <v>Environmental conditions and measurements</v>
      </c>
      <c r="E111" t="s">
        <v>1869</v>
      </c>
      <c r="F111" t="s">
        <v>1910</v>
      </c>
      <c r="G111" t="s">
        <v>1854</v>
      </c>
      <c r="H111" t="s">
        <v>974</v>
      </c>
      <c r="I111" t="s">
        <v>994</v>
      </c>
      <c r="J111" t="s">
        <v>1284</v>
      </c>
      <c r="M111" s="5" t="s">
        <v>1003</v>
      </c>
      <c r="N111" t="s">
        <v>1923</v>
      </c>
    </row>
    <row r="112" spans="1:14" x14ac:dyDescent="0.2">
      <c r="A112">
        <v>214</v>
      </c>
      <c r="B112" t="b">
        <f>IF(OR(G112="NA",H112="wide_value"),"",TRUE)</f>
        <v>1</v>
      </c>
      <c r="C112" t="s">
        <v>24</v>
      </c>
      <c r="D112" t="str">
        <f>IF(F112&lt;&gt;"",VLOOKUP(F112,PHA4GEVars!$A$7:$B$241,2,FALSE),"")</f>
        <v>Environmental conditions and measurements</v>
      </c>
      <c r="E112" t="s">
        <v>1869</v>
      </c>
      <c r="F112" t="s">
        <v>1910</v>
      </c>
      <c r="G112" t="s">
        <v>1855</v>
      </c>
      <c r="H112" t="s">
        <v>974</v>
      </c>
      <c r="I112" t="s">
        <v>994</v>
      </c>
      <c r="J112" t="s">
        <v>1285</v>
      </c>
      <c r="M112" s="5" t="s">
        <v>1003</v>
      </c>
      <c r="N112" t="s">
        <v>1923</v>
      </c>
    </row>
    <row r="113" spans="1:14" x14ac:dyDescent="0.2">
      <c r="D113" t="str">
        <f>IF(F113&lt;&gt;"",VLOOKUP(F113,PHA4GEVars!$A$7:$B$241,2,FALSE),"")</f>
        <v/>
      </c>
    </row>
    <row r="114" spans="1:14" x14ac:dyDescent="0.2">
      <c r="A114">
        <v>237</v>
      </c>
      <c r="B114" t="b">
        <v>0</v>
      </c>
      <c r="C114" t="s">
        <v>134</v>
      </c>
      <c r="D114" t="str">
        <f>IF(F114&lt;&gt;"",VLOOKUP(F114,PHA4GEVars!$A$7:$B$241,2,FALSE),"")</f>
        <v>Pathogen diagnostic testing</v>
      </c>
      <c r="E114" t="s">
        <v>1869</v>
      </c>
      <c r="F114" t="s">
        <v>136</v>
      </c>
      <c r="G114" t="s">
        <v>325</v>
      </c>
      <c r="H114" t="s">
        <v>974</v>
      </c>
      <c r="I114" t="s">
        <v>994</v>
      </c>
      <c r="J114" t="s">
        <v>1000</v>
      </c>
      <c r="M114" s="5" t="s">
        <v>1003</v>
      </c>
      <c r="N114" t="s">
        <v>1954</v>
      </c>
    </row>
    <row r="115" spans="1:14" x14ac:dyDescent="0.2">
      <c r="A115">
        <v>238</v>
      </c>
      <c r="B115" t="b">
        <v>0</v>
      </c>
      <c r="C115" t="s">
        <v>134</v>
      </c>
      <c r="D115" t="str">
        <f>IF(F115&lt;&gt;"",VLOOKUP(F115,PHA4GEVars!$A$7:$B$241,2,FALSE),"")</f>
        <v>Pathogen diagnostic testing</v>
      </c>
      <c r="E115" t="s">
        <v>1869</v>
      </c>
      <c r="F115" t="s">
        <v>136</v>
      </c>
      <c r="G115" t="s">
        <v>326</v>
      </c>
      <c r="H115" t="s">
        <v>974</v>
      </c>
      <c r="I115" t="s">
        <v>994</v>
      </c>
      <c r="J115" t="s">
        <v>1020</v>
      </c>
      <c r="M115" s="5" t="s">
        <v>1003</v>
      </c>
    </row>
    <row r="116" spans="1:14" x14ac:dyDescent="0.2">
      <c r="A116">
        <v>239</v>
      </c>
      <c r="B116" t="b">
        <v>0</v>
      </c>
      <c r="C116" t="s">
        <v>134</v>
      </c>
      <c r="D116" t="str">
        <f>IF(F116&lt;&gt;"",VLOOKUP(F116,PHA4GEVars!$A$7:$B$241,2,FALSE),"")</f>
        <v>Pathogen diagnostic testing</v>
      </c>
      <c r="E116" t="s">
        <v>1869</v>
      </c>
      <c r="F116" t="s">
        <v>136</v>
      </c>
      <c r="G116" t="s">
        <v>330</v>
      </c>
      <c r="H116" t="s">
        <v>974</v>
      </c>
      <c r="I116" t="s">
        <v>994</v>
      </c>
      <c r="J116" t="s">
        <v>1015</v>
      </c>
      <c r="M116" s="5" t="s">
        <v>1003</v>
      </c>
    </row>
    <row r="117" spans="1:14" x14ac:dyDescent="0.2">
      <c r="A117">
        <v>240</v>
      </c>
      <c r="B117" t="b">
        <v>0</v>
      </c>
      <c r="C117" t="s">
        <v>134</v>
      </c>
      <c r="D117" t="str">
        <f>IF(F117&lt;&gt;"",VLOOKUP(F117,PHA4GEVars!$A$7:$B$241,2,FALSE),"")</f>
        <v>Pathogen diagnostic testing</v>
      </c>
      <c r="E117" t="s">
        <v>1869</v>
      </c>
      <c r="F117" t="s">
        <v>136</v>
      </c>
      <c r="G117" t="s">
        <v>331</v>
      </c>
      <c r="H117" t="s">
        <v>974</v>
      </c>
      <c r="I117" t="s">
        <v>994</v>
      </c>
      <c r="J117" t="s">
        <v>999</v>
      </c>
      <c r="M117" s="5" t="s">
        <v>1003</v>
      </c>
    </row>
    <row r="118" spans="1:14" x14ac:dyDescent="0.2">
      <c r="A118">
        <v>241</v>
      </c>
      <c r="B118" t="b">
        <v>0</v>
      </c>
      <c r="C118" t="s">
        <v>134</v>
      </c>
      <c r="D118" t="str">
        <f>IF(F118&lt;&gt;"",VLOOKUP(F118,PHA4GEVars!$A$7:$B$241,2,FALSE),"")</f>
        <v>Pathogen diagnostic testing</v>
      </c>
      <c r="E118" t="s">
        <v>1869</v>
      </c>
      <c r="F118" t="s">
        <v>136</v>
      </c>
      <c r="G118" t="s">
        <v>332</v>
      </c>
      <c r="H118" t="s">
        <v>974</v>
      </c>
      <c r="I118" t="s">
        <v>994</v>
      </c>
      <c r="J118" t="s">
        <v>1016</v>
      </c>
      <c r="M118" s="5" t="s">
        <v>1003</v>
      </c>
    </row>
    <row r="119" spans="1:14" x14ac:dyDescent="0.2">
      <c r="A119">
        <v>242</v>
      </c>
      <c r="B119" t="b">
        <v>0</v>
      </c>
      <c r="C119" t="s">
        <v>134</v>
      </c>
      <c r="D119" t="str">
        <f>IF(F119&lt;&gt;"",VLOOKUP(F119,PHA4GEVars!$A$7:$B$241,2,FALSE),"")</f>
        <v>Pathogen diagnostic testing</v>
      </c>
      <c r="E119" t="s">
        <v>1869</v>
      </c>
      <c r="F119" t="s">
        <v>136</v>
      </c>
      <c r="G119" t="s">
        <v>333</v>
      </c>
      <c r="H119" t="s">
        <v>974</v>
      </c>
      <c r="I119" t="s">
        <v>994</v>
      </c>
      <c r="J119" t="s">
        <v>1017</v>
      </c>
      <c r="M119" s="5" t="s">
        <v>1003</v>
      </c>
    </row>
    <row r="120" spans="1:14" x14ac:dyDescent="0.2">
      <c r="A120">
        <v>243</v>
      </c>
      <c r="B120" t="b">
        <v>0</v>
      </c>
      <c r="C120" t="s">
        <v>134</v>
      </c>
      <c r="D120" t="str">
        <f>IF(F120&lt;&gt;"",VLOOKUP(F120,PHA4GEVars!$A$7:$B$241,2,FALSE),"")</f>
        <v>Pathogen diagnostic testing</v>
      </c>
      <c r="E120" t="s">
        <v>1869</v>
      </c>
      <c r="F120" t="s">
        <v>136</v>
      </c>
      <c r="G120" t="s">
        <v>334</v>
      </c>
      <c r="H120" t="s">
        <v>974</v>
      </c>
      <c r="I120" t="s">
        <v>994</v>
      </c>
      <c r="J120" t="s">
        <v>1018</v>
      </c>
      <c r="M120" s="5" t="s">
        <v>1003</v>
      </c>
    </row>
    <row r="121" spans="1:14" x14ac:dyDescent="0.2">
      <c r="D121" t="str">
        <f>IF(F121&lt;&gt;"",VLOOKUP(F121,PHA4GEVars!$A$7:$B$241,2,FALSE),"")</f>
        <v/>
      </c>
    </row>
    <row r="122" spans="1:14" x14ac:dyDescent="0.2">
      <c r="A122">
        <v>650</v>
      </c>
      <c r="B122" t="b">
        <f t="shared" ref="B122:B128" si="4">IF(OR(G122="NA",H122="wide_value"),"",TRUE)</f>
        <v>1</v>
      </c>
      <c r="C122" t="s">
        <v>108</v>
      </c>
      <c r="D122" t="str">
        <f>IF(F122&lt;&gt;"",VLOOKUP(F122,PHA4GEVars!$A$7:$B$241,2,FALSE),"")</f>
        <v>Sample collection and processing</v>
      </c>
      <c r="E122" t="s">
        <v>1869</v>
      </c>
      <c r="F122" t="s">
        <v>114</v>
      </c>
      <c r="G122" t="s">
        <v>182</v>
      </c>
      <c r="H122" t="s">
        <v>974</v>
      </c>
      <c r="I122" t="s">
        <v>994</v>
      </c>
      <c r="J122" t="s">
        <v>1230</v>
      </c>
      <c r="M122" s="5" t="s">
        <v>1003</v>
      </c>
    </row>
    <row r="123" spans="1:14" x14ac:dyDescent="0.2">
      <c r="A123">
        <v>651</v>
      </c>
      <c r="B123" t="b">
        <f t="shared" si="4"/>
        <v>1</v>
      </c>
      <c r="C123" t="s">
        <v>108</v>
      </c>
      <c r="D123" t="str">
        <f>IF(F123&lt;&gt;"",VLOOKUP(F123,PHA4GEVars!$A$7:$B$241,2,FALSE),"")</f>
        <v>Sample collection and processing</v>
      </c>
      <c r="E123" t="s">
        <v>1869</v>
      </c>
      <c r="F123" t="s">
        <v>114</v>
      </c>
      <c r="G123" t="s">
        <v>183</v>
      </c>
      <c r="H123" t="s">
        <v>974</v>
      </c>
      <c r="I123" t="s">
        <v>994</v>
      </c>
      <c r="J123" t="s">
        <v>1231</v>
      </c>
      <c r="M123" s="5" t="s">
        <v>1003</v>
      </c>
    </row>
    <row r="124" spans="1:14" x14ac:dyDescent="0.2">
      <c r="A124">
        <v>652</v>
      </c>
      <c r="B124" t="b">
        <f t="shared" si="4"/>
        <v>1</v>
      </c>
      <c r="C124" t="s">
        <v>108</v>
      </c>
      <c r="D124" t="str">
        <f>IF(F124&lt;&gt;"",VLOOKUP(F124,PHA4GEVars!$A$7:$B$241,2,FALSE),"")</f>
        <v>Sample collection and processing</v>
      </c>
      <c r="E124" t="s">
        <v>1869</v>
      </c>
      <c r="F124" t="s">
        <v>114</v>
      </c>
      <c r="G124" t="s">
        <v>184</v>
      </c>
      <c r="H124" t="s">
        <v>974</v>
      </c>
      <c r="I124" t="s">
        <v>994</v>
      </c>
      <c r="J124" t="s">
        <v>1232</v>
      </c>
      <c r="M124" s="5" t="s">
        <v>1003</v>
      </c>
    </row>
    <row r="125" spans="1:14" x14ac:dyDescent="0.2">
      <c r="A125">
        <v>653</v>
      </c>
      <c r="B125" t="b">
        <f t="shared" si="4"/>
        <v>1</v>
      </c>
      <c r="C125" t="s">
        <v>108</v>
      </c>
      <c r="D125" t="str">
        <f>IF(F125&lt;&gt;"",VLOOKUP(F125,PHA4GEVars!$A$7:$B$241,2,FALSE),"")</f>
        <v>Sample collection and processing</v>
      </c>
      <c r="E125" t="s">
        <v>1869</v>
      </c>
      <c r="F125" t="s">
        <v>114</v>
      </c>
      <c r="G125" t="s">
        <v>185</v>
      </c>
      <c r="H125" t="s">
        <v>974</v>
      </c>
      <c r="I125" t="s">
        <v>994</v>
      </c>
      <c r="J125" t="s">
        <v>1233</v>
      </c>
      <c r="M125" s="5" t="s">
        <v>1003</v>
      </c>
    </row>
    <row r="126" spans="1:14" x14ac:dyDescent="0.2">
      <c r="A126">
        <v>654</v>
      </c>
      <c r="B126" t="b">
        <f t="shared" si="4"/>
        <v>1</v>
      </c>
      <c r="C126" t="s">
        <v>108</v>
      </c>
      <c r="D126" t="str">
        <f>IF(F126&lt;&gt;"",VLOOKUP(F126,PHA4GEVars!$A$7:$B$241,2,FALSE),"")</f>
        <v>Sample collection and processing</v>
      </c>
      <c r="E126" t="s">
        <v>1869</v>
      </c>
      <c r="F126" t="s">
        <v>114</v>
      </c>
      <c r="G126" t="s">
        <v>186</v>
      </c>
      <c r="H126" t="s">
        <v>974</v>
      </c>
      <c r="I126" t="s">
        <v>994</v>
      </c>
      <c r="J126" t="s">
        <v>1236</v>
      </c>
      <c r="M126" s="5" t="s">
        <v>1003</v>
      </c>
    </row>
    <row r="127" spans="1:14" x14ac:dyDescent="0.2">
      <c r="A127">
        <v>655</v>
      </c>
      <c r="B127" t="b">
        <f t="shared" si="4"/>
        <v>1</v>
      </c>
      <c r="C127" t="s">
        <v>108</v>
      </c>
      <c r="D127" t="str">
        <f>IF(F127&lt;&gt;"",VLOOKUP(F127,PHA4GEVars!$A$7:$B$241,2,FALSE),"")</f>
        <v>Sample collection and processing</v>
      </c>
      <c r="E127" t="s">
        <v>1869</v>
      </c>
      <c r="F127" t="s">
        <v>114</v>
      </c>
      <c r="G127" t="s">
        <v>187</v>
      </c>
      <c r="H127" t="s">
        <v>974</v>
      </c>
      <c r="I127" t="s">
        <v>994</v>
      </c>
      <c r="J127" t="s">
        <v>1234</v>
      </c>
      <c r="M127" s="5" t="s">
        <v>1003</v>
      </c>
    </row>
    <row r="128" spans="1:14" x14ac:dyDescent="0.2">
      <c r="A128">
        <v>656</v>
      </c>
      <c r="B128" t="b">
        <f t="shared" si="4"/>
        <v>1</v>
      </c>
      <c r="C128" t="s">
        <v>108</v>
      </c>
      <c r="D128" t="str">
        <f>IF(F128&lt;&gt;"",VLOOKUP(F128,PHA4GEVars!$A$7:$B$241,2,FALSE),"")</f>
        <v>Sample collection and processing</v>
      </c>
      <c r="E128" t="s">
        <v>1869</v>
      </c>
      <c r="F128" t="s">
        <v>114</v>
      </c>
      <c r="G128" t="s">
        <v>188</v>
      </c>
      <c r="H128" t="s">
        <v>974</v>
      </c>
      <c r="I128" t="s">
        <v>994</v>
      </c>
      <c r="J128" t="s">
        <v>1235</v>
      </c>
      <c r="M128" s="5" t="s">
        <v>1003</v>
      </c>
    </row>
    <row r="129" spans="1:13" x14ac:dyDescent="0.2">
      <c r="D129" t="str">
        <f>IF(F129&lt;&gt;"",VLOOKUP(F129,PHA4GEVars!$A$7:$B$241,2,FALSE),"")</f>
        <v/>
      </c>
    </row>
    <row r="130" spans="1:13" x14ac:dyDescent="0.2">
      <c r="A130">
        <v>660</v>
      </c>
      <c r="B130" t="b">
        <f>IF(OR(G130="NA",H130="wide_value"),"",TRUE)</f>
        <v>1</v>
      </c>
      <c r="C130" t="s">
        <v>108</v>
      </c>
      <c r="D130" t="str">
        <f>IF(F130&lt;&gt;"",VLOOKUP(F130,PHA4GEVars!$A$7:$B$241,2,FALSE),"")</f>
        <v>Sample collection and processing</v>
      </c>
      <c r="E130" t="s">
        <v>1869</v>
      </c>
      <c r="F130" t="s">
        <v>116</v>
      </c>
      <c r="G130" t="s">
        <v>197</v>
      </c>
      <c r="H130" t="s">
        <v>974</v>
      </c>
      <c r="I130" t="s">
        <v>994</v>
      </c>
      <c r="J130" t="s">
        <v>1239</v>
      </c>
      <c r="M130" s="5" t="s">
        <v>1003</v>
      </c>
    </row>
    <row r="131" spans="1:13" x14ac:dyDescent="0.2">
      <c r="A131">
        <v>661</v>
      </c>
      <c r="B131" t="b">
        <f>IF(OR(G131="NA",H131="wide_value"),"",TRUE)</f>
        <v>1</v>
      </c>
      <c r="C131" t="s">
        <v>108</v>
      </c>
      <c r="D131" t="str">
        <f>IF(F131&lt;&gt;"",VLOOKUP(F131,PHA4GEVars!$A$7:$B$241,2,FALSE),"")</f>
        <v>Sample collection and processing</v>
      </c>
      <c r="E131" t="s">
        <v>1869</v>
      </c>
      <c r="F131" t="s">
        <v>116</v>
      </c>
      <c r="G131" t="s">
        <v>198</v>
      </c>
      <c r="H131" t="s">
        <v>974</v>
      </c>
      <c r="I131" t="s">
        <v>994</v>
      </c>
      <c r="J131" t="s">
        <v>1238</v>
      </c>
      <c r="M131" s="5" t="s">
        <v>1003</v>
      </c>
    </row>
    <row r="132" spans="1:13" x14ac:dyDescent="0.2">
      <c r="A132">
        <v>662</v>
      </c>
      <c r="B132" t="b">
        <f>IF(OR(G132="NA",H132="wide_value"),"",TRUE)</f>
        <v>1</v>
      </c>
      <c r="C132" t="s">
        <v>108</v>
      </c>
      <c r="D132" t="str">
        <f>IF(F132&lt;&gt;"",VLOOKUP(F132,PHA4GEVars!$A$7:$B$241,2,FALSE),"")</f>
        <v>Sample collection and processing</v>
      </c>
      <c r="E132" t="s">
        <v>1869</v>
      </c>
      <c r="F132" t="s">
        <v>116</v>
      </c>
      <c r="G132" t="s">
        <v>199</v>
      </c>
      <c r="H132" t="s">
        <v>974</v>
      </c>
      <c r="I132" t="s">
        <v>994</v>
      </c>
      <c r="J132" t="s">
        <v>1237</v>
      </c>
      <c r="M132" s="5" t="s">
        <v>1003</v>
      </c>
    </row>
  </sheetData>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A163-F56B-CB4C-9B49-2D95046BEE78}">
  <dimension ref="A1:N8"/>
  <sheetViews>
    <sheetView workbookViewId="0">
      <selection activeCell="J5" sqref="J5"/>
    </sheetView>
  </sheetViews>
  <sheetFormatPr baseColWidth="10" defaultRowHeight="16" x14ac:dyDescent="0.2"/>
  <sheetData>
    <row r="1" spans="1:14" s="30" customFormat="1" x14ac:dyDescent="0.2">
      <c r="A1" s="30" t="s">
        <v>1443</v>
      </c>
      <c r="B1" s="30" t="s">
        <v>0</v>
      </c>
      <c r="C1" s="30" t="s">
        <v>10</v>
      </c>
      <c r="D1" s="30" t="s">
        <v>1883</v>
      </c>
      <c r="E1" s="30" t="s">
        <v>1</v>
      </c>
      <c r="F1" s="30" t="s">
        <v>2</v>
      </c>
      <c r="G1" s="30" t="s">
        <v>3</v>
      </c>
      <c r="H1" s="30" t="s">
        <v>4</v>
      </c>
      <c r="I1" s="30" t="s">
        <v>5</v>
      </c>
      <c r="J1" s="30" t="s">
        <v>6</v>
      </c>
      <c r="K1" s="30" t="s">
        <v>7</v>
      </c>
      <c r="L1" s="30" t="s">
        <v>8</v>
      </c>
      <c r="M1" s="30" t="s">
        <v>9</v>
      </c>
      <c r="N1" s="30" t="s">
        <v>1786</v>
      </c>
    </row>
    <row r="2" spans="1:14" x14ac:dyDescent="0.2">
      <c r="A2">
        <v>650</v>
      </c>
      <c r="B2" t="b">
        <f t="shared" ref="B2:B8" si="0">IF(OR(G2="NA",H2="wide_value"),"",TRUE)</f>
        <v>1</v>
      </c>
      <c r="C2" t="s">
        <v>108</v>
      </c>
      <c r="D2" t="str">
        <f>IF(F2&lt;&gt;"",VLOOKUP(F2,PHA4GEVars!$A$7:$B$241,2,FALSE),"")</f>
        <v>Sample collection and processing</v>
      </c>
      <c r="E2" t="s">
        <v>1869</v>
      </c>
      <c r="F2" t="s">
        <v>114</v>
      </c>
      <c r="G2" t="s">
        <v>182</v>
      </c>
      <c r="H2" t="s">
        <v>974</v>
      </c>
      <c r="I2" t="s">
        <v>994</v>
      </c>
      <c r="J2" t="s">
        <v>1230</v>
      </c>
      <c r="M2" s="5" t="s">
        <v>1003</v>
      </c>
    </row>
    <row r="3" spans="1:14" x14ac:dyDescent="0.2">
      <c r="A3">
        <v>651</v>
      </c>
      <c r="B3" t="b">
        <f t="shared" si="0"/>
        <v>1</v>
      </c>
      <c r="C3" t="s">
        <v>108</v>
      </c>
      <c r="D3" t="str">
        <f>IF(F3&lt;&gt;"",VLOOKUP(F3,PHA4GEVars!$A$7:$B$241,2,FALSE),"")</f>
        <v>Sample collection and processing</v>
      </c>
      <c r="E3" t="s">
        <v>1869</v>
      </c>
      <c r="F3" t="s">
        <v>114</v>
      </c>
      <c r="G3" t="s">
        <v>183</v>
      </c>
      <c r="H3" t="s">
        <v>974</v>
      </c>
      <c r="I3" t="s">
        <v>994</v>
      </c>
      <c r="J3" t="s">
        <v>1231</v>
      </c>
      <c r="M3" s="5" t="s">
        <v>1003</v>
      </c>
    </row>
    <row r="4" spans="1:14" x14ac:dyDescent="0.2">
      <c r="A4">
        <v>652</v>
      </c>
      <c r="B4" t="b">
        <f t="shared" si="0"/>
        <v>1</v>
      </c>
      <c r="C4" t="s">
        <v>108</v>
      </c>
      <c r="D4" t="str">
        <f>IF(F4&lt;&gt;"",VLOOKUP(F4,PHA4GEVars!$A$7:$B$241,2,FALSE),"")</f>
        <v>Sample collection and processing</v>
      </c>
      <c r="E4" t="s">
        <v>1869</v>
      </c>
      <c r="F4" t="s">
        <v>114</v>
      </c>
      <c r="G4" t="s">
        <v>184</v>
      </c>
      <c r="H4" t="s">
        <v>974</v>
      </c>
      <c r="I4" t="s">
        <v>994</v>
      </c>
      <c r="J4" t="s">
        <v>1232</v>
      </c>
      <c r="M4" s="5" t="s">
        <v>1003</v>
      </c>
    </row>
    <row r="5" spans="1:14" x14ac:dyDescent="0.2">
      <c r="A5">
        <v>653</v>
      </c>
      <c r="B5" t="b">
        <f t="shared" si="0"/>
        <v>1</v>
      </c>
      <c r="C5" t="s">
        <v>108</v>
      </c>
      <c r="D5" t="str">
        <f>IF(F5&lt;&gt;"",VLOOKUP(F5,PHA4GEVars!$A$7:$B$241,2,FALSE),"")</f>
        <v>Sample collection and processing</v>
      </c>
      <c r="E5" t="s">
        <v>1869</v>
      </c>
      <c r="F5" t="s">
        <v>114</v>
      </c>
      <c r="G5" t="s">
        <v>185</v>
      </c>
      <c r="H5" t="s">
        <v>974</v>
      </c>
      <c r="I5" t="s">
        <v>994</v>
      </c>
      <c r="J5" t="s">
        <v>1233</v>
      </c>
      <c r="M5" s="5" t="s">
        <v>1003</v>
      </c>
    </row>
    <row r="6" spans="1:14" x14ac:dyDescent="0.2">
      <c r="A6">
        <v>654</v>
      </c>
      <c r="B6" t="b">
        <f t="shared" si="0"/>
        <v>1</v>
      </c>
      <c r="C6" t="s">
        <v>108</v>
      </c>
      <c r="D6" t="str">
        <f>IF(F6&lt;&gt;"",VLOOKUP(F6,PHA4GEVars!$A$7:$B$241,2,FALSE),"")</f>
        <v>Sample collection and processing</v>
      </c>
      <c r="E6" t="s">
        <v>1869</v>
      </c>
      <c r="F6" t="s">
        <v>114</v>
      </c>
      <c r="G6" t="s">
        <v>186</v>
      </c>
      <c r="H6" t="s">
        <v>974</v>
      </c>
      <c r="I6" t="s">
        <v>994</v>
      </c>
      <c r="J6" t="s">
        <v>1236</v>
      </c>
      <c r="M6" s="5" t="s">
        <v>1003</v>
      </c>
    </row>
    <row r="7" spans="1:14" x14ac:dyDescent="0.2">
      <c r="A7">
        <v>655</v>
      </c>
      <c r="B7" t="b">
        <f t="shared" si="0"/>
        <v>1</v>
      </c>
      <c r="C7" t="s">
        <v>108</v>
      </c>
      <c r="D7" t="str">
        <f>IF(F7&lt;&gt;"",VLOOKUP(F7,PHA4GEVars!$A$7:$B$241,2,FALSE),"")</f>
        <v>Sample collection and processing</v>
      </c>
      <c r="E7" t="s">
        <v>1869</v>
      </c>
      <c r="F7" t="s">
        <v>114</v>
      </c>
      <c r="G7" t="s">
        <v>187</v>
      </c>
      <c r="H7" t="s">
        <v>974</v>
      </c>
      <c r="I7" t="s">
        <v>994</v>
      </c>
      <c r="J7" t="s">
        <v>1234</v>
      </c>
      <c r="M7" s="5" t="s">
        <v>1003</v>
      </c>
    </row>
    <row r="8" spans="1:14" x14ac:dyDescent="0.2">
      <c r="A8">
        <v>656</v>
      </c>
      <c r="B8" t="b">
        <f t="shared" si="0"/>
        <v>1</v>
      </c>
      <c r="C8" t="s">
        <v>108</v>
      </c>
      <c r="D8" t="str">
        <f>IF(F8&lt;&gt;"",VLOOKUP(F8,PHA4GEVars!$A$7:$B$241,2,FALSE),"")</f>
        <v>Sample collection and processing</v>
      </c>
      <c r="E8" t="s">
        <v>1869</v>
      </c>
      <c r="F8" t="s">
        <v>114</v>
      </c>
      <c r="G8" t="s">
        <v>188</v>
      </c>
      <c r="H8" t="s">
        <v>974</v>
      </c>
      <c r="I8" t="s">
        <v>994</v>
      </c>
      <c r="J8" t="s">
        <v>1235</v>
      </c>
      <c r="M8" s="5" t="s">
        <v>1003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75FE4-77C5-3B48-8438-CF28555CD51A}">
  <dimension ref="A1:P91"/>
  <sheetViews>
    <sheetView workbookViewId="0">
      <pane ySplit="1" topLeftCell="A52" activePane="bottomLeft" state="frozen"/>
      <selection pane="bottomLeft" activeCell="H16" sqref="H16"/>
    </sheetView>
  </sheetViews>
  <sheetFormatPr baseColWidth="10" defaultRowHeight="16" x14ac:dyDescent="0.2"/>
  <cols>
    <col min="1" max="1" width="9.33203125" customWidth="1"/>
    <col min="2" max="2" width="15" customWidth="1"/>
    <col min="3" max="3" width="10.5" customWidth="1"/>
    <col min="4" max="5" width="19" customWidth="1"/>
    <col min="6" max="6" width="13" customWidth="1"/>
    <col min="7" max="7" width="19.6640625" customWidth="1"/>
    <col min="8" max="8" width="41.5" customWidth="1"/>
    <col min="9" max="9" width="12" customWidth="1"/>
    <col min="10" max="10" width="6.6640625" customWidth="1"/>
    <col min="11" max="11" width="12.1640625" customWidth="1"/>
    <col min="12" max="13" width="21.83203125" customWidth="1"/>
    <col min="14" max="14" width="12.6640625" customWidth="1"/>
    <col min="15" max="15" width="16" customWidth="1"/>
  </cols>
  <sheetData>
    <row r="1" spans="1:16" s="30" customFormat="1" x14ac:dyDescent="0.2">
      <c r="A1" s="29" t="s">
        <v>1443</v>
      </c>
      <c r="B1" s="29" t="s">
        <v>1772</v>
      </c>
      <c r="C1" s="29" t="s">
        <v>0</v>
      </c>
      <c r="D1" s="29" t="s">
        <v>10</v>
      </c>
      <c r="E1" s="29" t="s">
        <v>1883</v>
      </c>
      <c r="F1" s="29" t="s">
        <v>1</v>
      </c>
      <c r="G1" s="29" t="s">
        <v>2</v>
      </c>
      <c r="H1" s="29" t="s">
        <v>3</v>
      </c>
      <c r="I1" s="29" t="s">
        <v>4</v>
      </c>
      <c r="J1" s="29" t="s">
        <v>1801</v>
      </c>
      <c r="K1" s="29" t="s">
        <v>5</v>
      </c>
      <c r="L1" s="29" t="s">
        <v>6</v>
      </c>
      <c r="M1" s="29" t="s">
        <v>1839</v>
      </c>
      <c r="N1" s="29" t="s">
        <v>8</v>
      </c>
      <c r="O1" s="29" t="s">
        <v>9</v>
      </c>
      <c r="P1" s="30" t="s">
        <v>1770</v>
      </c>
    </row>
    <row r="2" spans="1:16" x14ac:dyDescent="0.2">
      <c r="A2" s="28"/>
      <c r="B2" s="28" t="b">
        <v>1</v>
      </c>
      <c r="C2" s="28" t="b">
        <v>1</v>
      </c>
      <c r="D2" s="28"/>
      <c r="E2" t="str">
        <f>IF(G2&lt;&gt;"",VLOOKUP(G2,PHA4GEVars!$A$7:$B$241,2,FALSE),"")</f>
        <v/>
      </c>
      <c r="F2" s="28" t="s">
        <v>1869</v>
      </c>
      <c r="G2" s="28"/>
      <c r="H2" s="28"/>
      <c r="I2" s="28" t="s">
        <v>1682</v>
      </c>
      <c r="J2" s="28"/>
      <c r="K2" s="28" t="s">
        <v>1856</v>
      </c>
      <c r="L2" s="28"/>
      <c r="M2" s="28" t="s">
        <v>1857</v>
      </c>
      <c r="N2" s="28"/>
      <c r="O2" s="28"/>
    </row>
    <row r="3" spans="1:16" x14ac:dyDescent="0.2">
      <c r="A3" s="28"/>
      <c r="B3" s="28"/>
      <c r="C3" s="28"/>
      <c r="D3" s="28"/>
      <c r="E3" t="str">
        <f>IF(G3&lt;&gt;"",VLOOKUP(G3,PHA4GEVars!$A$7:$B$241,2,FALSE),"")</f>
        <v/>
      </c>
      <c r="F3" s="28"/>
      <c r="G3" s="28"/>
      <c r="H3" s="28"/>
      <c r="I3" s="28"/>
      <c r="J3" s="28"/>
      <c r="K3" s="28"/>
      <c r="L3" s="28"/>
      <c r="M3" s="28"/>
      <c r="N3" s="28"/>
      <c r="O3" s="28"/>
    </row>
    <row r="4" spans="1:16" x14ac:dyDescent="0.2">
      <c r="A4" s="28">
        <v>742</v>
      </c>
      <c r="B4" s="28" t="b">
        <v>1</v>
      </c>
      <c r="C4" s="28" t="b">
        <v>1</v>
      </c>
      <c r="D4" s="28" t="s">
        <v>16</v>
      </c>
      <c r="E4" t="str">
        <f>IF(G4&lt;&gt;"",VLOOKUP(G4,PHA4GEVars!$A$7:$B$241,2,FALSE),"")</f>
        <v>Sequence information</v>
      </c>
      <c r="F4" s="28" t="s">
        <v>1869</v>
      </c>
      <c r="G4" s="28" t="s">
        <v>19</v>
      </c>
      <c r="H4" s="28" t="s">
        <v>344</v>
      </c>
      <c r="I4" s="28" t="s">
        <v>1682</v>
      </c>
      <c r="J4" s="28"/>
      <c r="K4" s="28" t="s">
        <v>1189</v>
      </c>
      <c r="L4" s="28" t="s">
        <v>1730</v>
      </c>
      <c r="M4" s="28"/>
      <c r="N4" s="28"/>
      <c r="O4" s="31" t="s">
        <v>1731</v>
      </c>
    </row>
    <row r="5" spans="1:16" x14ac:dyDescent="0.2">
      <c r="A5" s="28">
        <v>743</v>
      </c>
      <c r="B5" s="28" t="b">
        <v>1</v>
      </c>
      <c r="C5" s="28" t="b">
        <v>1</v>
      </c>
      <c r="D5" s="28" t="s">
        <v>16</v>
      </c>
      <c r="E5" t="str">
        <f>IF(G5&lt;&gt;"",VLOOKUP(G5,PHA4GEVars!$A$7:$B$241,2,FALSE),"")</f>
        <v>Sequence information</v>
      </c>
      <c r="F5" s="28" t="s">
        <v>1869</v>
      </c>
      <c r="G5" s="28" t="s">
        <v>19</v>
      </c>
      <c r="H5" s="28" t="s">
        <v>355</v>
      </c>
      <c r="I5" s="28" t="s">
        <v>1682</v>
      </c>
      <c r="J5" s="28"/>
      <c r="K5" s="28" t="s">
        <v>1189</v>
      </c>
      <c r="L5" s="28" t="s">
        <v>1730</v>
      </c>
      <c r="M5" s="28"/>
      <c r="N5" s="28"/>
      <c r="O5" s="31" t="s">
        <v>1731</v>
      </c>
    </row>
    <row r="6" spans="1:16" x14ac:dyDescent="0.2">
      <c r="A6" s="28">
        <v>744</v>
      </c>
      <c r="B6" s="28" t="b">
        <v>1</v>
      </c>
      <c r="C6" s="28" t="b">
        <v>1</v>
      </c>
      <c r="D6" s="28" t="s">
        <v>16</v>
      </c>
      <c r="E6" t="str">
        <f>IF(G6&lt;&gt;"",VLOOKUP(G6,PHA4GEVars!$A$7:$B$241,2,FALSE),"")</f>
        <v>Sequence information</v>
      </c>
      <c r="F6" s="28" t="s">
        <v>1869</v>
      </c>
      <c r="G6" s="28" t="s">
        <v>19</v>
      </c>
      <c r="H6" s="28" t="s">
        <v>356</v>
      </c>
      <c r="I6" s="28" t="s">
        <v>1682</v>
      </c>
      <c r="J6" s="28"/>
      <c r="K6" s="28" t="s">
        <v>1189</v>
      </c>
      <c r="L6" s="28" t="s">
        <v>1730</v>
      </c>
      <c r="M6" s="28"/>
      <c r="N6" s="28"/>
      <c r="O6" s="31" t="s">
        <v>1731</v>
      </c>
    </row>
    <row r="7" spans="1:16" x14ac:dyDescent="0.2">
      <c r="A7" s="28">
        <v>745</v>
      </c>
      <c r="B7" s="28" t="b">
        <v>1</v>
      </c>
      <c r="C7" s="28" t="b">
        <v>1</v>
      </c>
      <c r="D7" s="28" t="s">
        <v>16</v>
      </c>
      <c r="E7" t="str">
        <f>IF(G7&lt;&gt;"",VLOOKUP(G7,PHA4GEVars!$A$7:$B$241,2,FALSE),"")</f>
        <v>Sequence information</v>
      </c>
      <c r="F7" s="28" t="s">
        <v>1869</v>
      </c>
      <c r="G7" s="28" t="s">
        <v>19</v>
      </c>
      <c r="H7" s="28" t="s">
        <v>357</v>
      </c>
      <c r="I7" s="28" t="s">
        <v>1682</v>
      </c>
      <c r="J7" s="28"/>
      <c r="K7" s="28" t="s">
        <v>1189</v>
      </c>
      <c r="L7" s="28" t="s">
        <v>1730</v>
      </c>
      <c r="M7" s="28"/>
      <c r="N7" s="28"/>
      <c r="O7" s="31" t="s">
        <v>1731</v>
      </c>
    </row>
    <row r="8" spans="1:16" x14ac:dyDescent="0.2">
      <c r="A8" s="28">
        <v>746</v>
      </c>
      <c r="B8" s="28" t="b">
        <v>1</v>
      </c>
      <c r="C8" s="28" t="b">
        <v>1</v>
      </c>
      <c r="D8" s="28" t="s">
        <v>16</v>
      </c>
      <c r="E8" t="str">
        <f>IF(G8&lt;&gt;"",VLOOKUP(G8,PHA4GEVars!$A$7:$B$241,2,FALSE),"")</f>
        <v>Sequence information</v>
      </c>
      <c r="F8" s="28" t="s">
        <v>1869</v>
      </c>
      <c r="G8" s="28" t="s">
        <v>19</v>
      </c>
      <c r="H8" s="28" t="s">
        <v>358</v>
      </c>
      <c r="I8" s="28" t="s">
        <v>1682</v>
      </c>
      <c r="J8" s="28"/>
      <c r="K8" s="28" t="s">
        <v>1189</v>
      </c>
      <c r="L8" s="28" t="s">
        <v>1730</v>
      </c>
      <c r="M8" s="28"/>
      <c r="N8" s="28"/>
      <c r="O8" s="31" t="s">
        <v>1731</v>
      </c>
    </row>
    <row r="9" spans="1:16" x14ac:dyDescent="0.2">
      <c r="A9" s="28">
        <v>747</v>
      </c>
      <c r="B9" s="28" t="b">
        <v>1</v>
      </c>
      <c r="C9" s="28" t="b">
        <v>1</v>
      </c>
      <c r="D9" s="28" t="s">
        <v>16</v>
      </c>
      <c r="E9" t="str">
        <f>IF(G9&lt;&gt;"",VLOOKUP(G9,PHA4GEVars!$A$7:$B$241,2,FALSE),"")</f>
        <v>Sequence information</v>
      </c>
      <c r="F9" s="28" t="s">
        <v>1869</v>
      </c>
      <c r="G9" s="28" t="s">
        <v>19</v>
      </c>
      <c r="H9" s="28" t="s">
        <v>359</v>
      </c>
      <c r="I9" s="28" t="s">
        <v>1682</v>
      </c>
      <c r="J9" s="28"/>
      <c r="K9" s="28" t="s">
        <v>1189</v>
      </c>
      <c r="L9" s="28" t="s">
        <v>1730</v>
      </c>
      <c r="M9" s="28"/>
      <c r="N9" s="28"/>
      <c r="O9" s="31" t="s">
        <v>1731</v>
      </c>
    </row>
    <row r="10" spans="1:16" x14ac:dyDescent="0.2">
      <c r="A10" s="28">
        <v>748</v>
      </c>
      <c r="B10" s="28" t="b">
        <v>1</v>
      </c>
      <c r="C10" s="28" t="b">
        <v>1</v>
      </c>
      <c r="D10" s="28" t="s">
        <v>16</v>
      </c>
      <c r="E10" t="str">
        <f>IF(G10&lt;&gt;"",VLOOKUP(G10,PHA4GEVars!$A$7:$B$241,2,FALSE),"")</f>
        <v>Sequence information</v>
      </c>
      <c r="F10" s="28" t="s">
        <v>1869</v>
      </c>
      <c r="G10" s="28" t="s">
        <v>19</v>
      </c>
      <c r="H10" s="28" t="s">
        <v>360</v>
      </c>
      <c r="I10" s="28" t="s">
        <v>1682</v>
      </c>
      <c r="J10" s="28"/>
      <c r="K10" s="28" t="s">
        <v>1189</v>
      </c>
      <c r="L10" s="28" t="s">
        <v>1730</v>
      </c>
      <c r="M10" s="28"/>
      <c r="N10" s="28"/>
      <c r="O10" s="31" t="s">
        <v>1731</v>
      </c>
    </row>
    <row r="11" spans="1:16" x14ac:dyDescent="0.2">
      <c r="A11" s="28">
        <v>749</v>
      </c>
      <c r="B11" s="28" t="b">
        <v>1</v>
      </c>
      <c r="C11" s="28" t="b">
        <v>1</v>
      </c>
      <c r="D11" s="28" t="s">
        <v>16</v>
      </c>
      <c r="E11" t="str">
        <f>IF(G11&lt;&gt;"",VLOOKUP(G11,PHA4GEVars!$A$7:$B$241,2,FALSE),"")</f>
        <v>Sequence information</v>
      </c>
      <c r="F11" s="28" t="s">
        <v>1869</v>
      </c>
      <c r="G11" s="28" t="s">
        <v>19</v>
      </c>
      <c r="H11" s="28" t="s">
        <v>361</v>
      </c>
      <c r="I11" s="28" t="s">
        <v>1682</v>
      </c>
      <c r="J11" s="28"/>
      <c r="K11" s="28" t="s">
        <v>1189</v>
      </c>
      <c r="L11" s="28" t="s">
        <v>1730</v>
      </c>
      <c r="M11" s="28"/>
      <c r="N11" s="28"/>
      <c r="O11" s="31" t="s">
        <v>1731</v>
      </c>
    </row>
    <row r="12" spans="1:16" x14ac:dyDescent="0.2">
      <c r="A12" s="28">
        <v>750</v>
      </c>
      <c r="B12" s="28" t="b">
        <v>1</v>
      </c>
      <c r="C12" s="28" t="b">
        <v>1</v>
      </c>
      <c r="D12" s="28" t="s">
        <v>16</v>
      </c>
      <c r="E12" t="str">
        <f>IF(G12&lt;&gt;"",VLOOKUP(G12,PHA4GEVars!$A$7:$B$241,2,FALSE),"")</f>
        <v>Sequence information</v>
      </c>
      <c r="F12" s="28" t="s">
        <v>1869</v>
      </c>
      <c r="G12" s="28" t="s">
        <v>19</v>
      </c>
      <c r="H12" s="28" t="s">
        <v>362</v>
      </c>
      <c r="I12" s="28" t="s">
        <v>1682</v>
      </c>
      <c r="J12" s="28"/>
      <c r="K12" s="28" t="s">
        <v>1189</v>
      </c>
      <c r="L12" s="28" t="s">
        <v>1730</v>
      </c>
      <c r="M12" s="28"/>
      <c r="N12" s="28"/>
      <c r="O12" s="31" t="s">
        <v>1731</v>
      </c>
    </row>
    <row r="13" spans="1:16" x14ac:dyDescent="0.2">
      <c r="A13" s="28">
        <v>751</v>
      </c>
      <c r="B13" s="28" t="b">
        <v>1</v>
      </c>
      <c r="C13" s="28" t="b">
        <v>1</v>
      </c>
      <c r="D13" s="28" t="s">
        <v>16</v>
      </c>
      <c r="E13" t="str">
        <f>IF(G13&lt;&gt;"",VLOOKUP(G13,PHA4GEVars!$A$7:$B$241,2,FALSE),"")</f>
        <v>Sequence information</v>
      </c>
      <c r="F13" s="28" t="s">
        <v>1869</v>
      </c>
      <c r="G13" s="28" t="s">
        <v>19</v>
      </c>
      <c r="H13" s="28" t="s">
        <v>363</v>
      </c>
      <c r="I13" s="28" t="s">
        <v>1682</v>
      </c>
      <c r="J13" s="28"/>
      <c r="K13" s="28" t="s">
        <v>1189</v>
      </c>
      <c r="L13" s="28" t="s">
        <v>1730</v>
      </c>
      <c r="M13" s="28"/>
      <c r="N13" s="28"/>
      <c r="O13" s="31" t="s">
        <v>1731</v>
      </c>
    </row>
    <row r="14" spans="1:16" x14ac:dyDescent="0.2">
      <c r="A14" s="28">
        <v>752</v>
      </c>
      <c r="B14" s="28" t="b">
        <v>1</v>
      </c>
      <c r="C14" s="28" t="b">
        <v>1</v>
      </c>
      <c r="D14" s="28" t="s">
        <v>16</v>
      </c>
      <c r="E14" t="str">
        <f>IF(G14&lt;&gt;"",VLOOKUP(G14,PHA4GEVars!$A$7:$B$241,2,FALSE),"")</f>
        <v>Sequence information</v>
      </c>
      <c r="F14" s="28" t="s">
        <v>1869</v>
      </c>
      <c r="G14" s="28" t="s">
        <v>19</v>
      </c>
      <c r="H14" s="28" t="s">
        <v>364</v>
      </c>
      <c r="I14" s="28" t="s">
        <v>1682</v>
      </c>
      <c r="J14" s="28"/>
      <c r="K14" s="28" t="s">
        <v>1189</v>
      </c>
      <c r="L14" s="28" t="s">
        <v>1730</v>
      </c>
      <c r="M14" s="28"/>
      <c r="N14" s="28"/>
      <c r="O14" s="31" t="s">
        <v>1731</v>
      </c>
    </row>
    <row r="15" spans="1:16" x14ac:dyDescent="0.2">
      <c r="A15" s="28">
        <v>753</v>
      </c>
      <c r="B15" s="28" t="b">
        <v>1</v>
      </c>
      <c r="C15" s="28" t="b">
        <v>1</v>
      </c>
      <c r="D15" s="28" t="s">
        <v>16</v>
      </c>
      <c r="E15" t="str">
        <f>IF(G15&lt;&gt;"",VLOOKUP(G15,PHA4GEVars!$A$7:$B$241,2,FALSE),"")</f>
        <v>Sequence information</v>
      </c>
      <c r="F15" s="28" t="s">
        <v>1869</v>
      </c>
      <c r="G15" s="28" t="s">
        <v>19</v>
      </c>
      <c r="H15" s="28" t="s">
        <v>365</v>
      </c>
      <c r="I15" s="28" t="s">
        <v>1682</v>
      </c>
      <c r="J15" s="28"/>
      <c r="K15" s="28" t="s">
        <v>1189</v>
      </c>
      <c r="L15" s="28" t="s">
        <v>1730</v>
      </c>
      <c r="M15" s="28"/>
      <c r="N15" s="28"/>
      <c r="O15" s="31" t="s">
        <v>1731</v>
      </c>
    </row>
    <row r="16" spans="1:16" x14ac:dyDescent="0.2">
      <c r="A16" s="28">
        <v>754</v>
      </c>
      <c r="B16" s="28" t="b">
        <v>1</v>
      </c>
      <c r="C16" s="28" t="b">
        <v>1</v>
      </c>
      <c r="D16" s="28" t="s">
        <v>16</v>
      </c>
      <c r="E16" t="str">
        <f>IF(G16&lt;&gt;"",VLOOKUP(G16,PHA4GEVars!$A$7:$B$241,2,FALSE),"")</f>
        <v>Sequence information</v>
      </c>
      <c r="F16" s="28" t="s">
        <v>1869</v>
      </c>
      <c r="G16" s="28" t="s">
        <v>19</v>
      </c>
      <c r="H16" s="28" t="s">
        <v>366</v>
      </c>
      <c r="I16" s="28" t="s">
        <v>1682</v>
      </c>
      <c r="J16" s="28"/>
      <c r="K16" s="28" t="s">
        <v>1189</v>
      </c>
      <c r="L16" s="28" t="s">
        <v>1730</v>
      </c>
      <c r="M16" s="28"/>
      <c r="N16" s="28"/>
      <c r="O16" s="31" t="s">
        <v>1731</v>
      </c>
    </row>
    <row r="17" spans="1:15" x14ac:dyDescent="0.2">
      <c r="A17" s="28">
        <v>755</v>
      </c>
      <c r="B17" s="28" t="b">
        <v>1</v>
      </c>
      <c r="C17" s="28" t="b">
        <v>1</v>
      </c>
      <c r="D17" s="28" t="s">
        <v>16</v>
      </c>
      <c r="E17" t="str">
        <f>IF(G17&lt;&gt;"",VLOOKUP(G17,PHA4GEVars!$A$7:$B$241,2,FALSE),"")</f>
        <v>Sequence information</v>
      </c>
      <c r="F17" s="28" t="s">
        <v>1869</v>
      </c>
      <c r="G17" s="28" t="s">
        <v>19</v>
      </c>
      <c r="H17" s="28" t="s">
        <v>367</v>
      </c>
      <c r="I17" s="28" t="s">
        <v>1682</v>
      </c>
      <c r="J17" s="28"/>
      <c r="K17" s="28" t="s">
        <v>1189</v>
      </c>
      <c r="L17" s="28" t="s">
        <v>1730</v>
      </c>
      <c r="M17" s="28"/>
      <c r="N17" s="28"/>
      <c r="O17" s="31" t="s">
        <v>1731</v>
      </c>
    </row>
    <row r="18" spans="1:15" x14ac:dyDescent="0.2">
      <c r="A18" s="28">
        <v>756</v>
      </c>
      <c r="B18" s="28" t="b">
        <v>1</v>
      </c>
      <c r="C18" s="28" t="b">
        <v>1</v>
      </c>
      <c r="D18" s="28" t="s">
        <v>16</v>
      </c>
      <c r="E18" t="str">
        <f>IF(G18&lt;&gt;"",VLOOKUP(G18,PHA4GEVars!$A$7:$B$241,2,FALSE),"")</f>
        <v>Sequence information</v>
      </c>
      <c r="F18" s="28" t="s">
        <v>1869</v>
      </c>
      <c r="G18" s="28" t="s">
        <v>19</v>
      </c>
      <c r="H18" s="28" t="s">
        <v>368</v>
      </c>
      <c r="I18" s="28" t="s">
        <v>1682</v>
      </c>
      <c r="J18" s="28"/>
      <c r="K18" s="28" t="s">
        <v>1189</v>
      </c>
      <c r="L18" s="28" t="s">
        <v>1730</v>
      </c>
      <c r="M18" s="28"/>
      <c r="N18" s="28"/>
      <c r="O18" s="31" t="s">
        <v>1731</v>
      </c>
    </row>
    <row r="19" spans="1:15" x14ac:dyDescent="0.2">
      <c r="A19" s="28">
        <v>757</v>
      </c>
      <c r="B19" s="28" t="b">
        <v>1</v>
      </c>
      <c r="C19" s="28" t="b">
        <v>1</v>
      </c>
      <c r="D19" s="28" t="s">
        <v>16</v>
      </c>
      <c r="E19" t="str">
        <f>IF(G19&lt;&gt;"",VLOOKUP(G19,PHA4GEVars!$A$7:$B$241,2,FALSE),"")</f>
        <v>Sequence information</v>
      </c>
      <c r="F19" s="28" t="s">
        <v>1869</v>
      </c>
      <c r="G19" s="28" t="s">
        <v>19</v>
      </c>
      <c r="H19" s="28" t="s">
        <v>369</v>
      </c>
      <c r="I19" s="28" t="s">
        <v>1682</v>
      </c>
      <c r="J19" s="28"/>
      <c r="K19" s="28" t="s">
        <v>1189</v>
      </c>
      <c r="L19" s="28" t="s">
        <v>1730</v>
      </c>
      <c r="M19" s="28"/>
      <c r="N19" s="28"/>
      <c r="O19" s="31" t="s">
        <v>1731</v>
      </c>
    </row>
    <row r="20" spans="1:15" x14ac:dyDescent="0.2">
      <c r="A20" s="28">
        <v>758</v>
      </c>
      <c r="B20" s="28" t="b">
        <v>1</v>
      </c>
      <c r="C20" s="28" t="b">
        <v>1</v>
      </c>
      <c r="D20" s="28" t="s">
        <v>16</v>
      </c>
      <c r="E20" t="str">
        <f>IF(G20&lt;&gt;"",VLOOKUP(G20,PHA4GEVars!$A$7:$B$241,2,FALSE),"")</f>
        <v>Sequence information</v>
      </c>
      <c r="F20" s="28" t="s">
        <v>1869</v>
      </c>
      <c r="G20" s="28" t="s">
        <v>19</v>
      </c>
      <c r="H20" s="28" t="s">
        <v>370</v>
      </c>
      <c r="I20" s="28" t="s">
        <v>1682</v>
      </c>
      <c r="J20" s="28"/>
      <c r="K20" s="28" t="s">
        <v>1189</v>
      </c>
      <c r="L20" s="28" t="s">
        <v>1730</v>
      </c>
      <c r="M20" s="28"/>
      <c r="N20" s="28"/>
      <c r="O20" s="31" t="s">
        <v>1731</v>
      </c>
    </row>
    <row r="21" spans="1:15" x14ac:dyDescent="0.2">
      <c r="A21" s="28">
        <v>759</v>
      </c>
      <c r="B21" s="28" t="b">
        <v>1</v>
      </c>
      <c r="C21" s="28" t="b">
        <v>1</v>
      </c>
      <c r="D21" s="28" t="s">
        <v>16</v>
      </c>
      <c r="E21" t="str">
        <f>IF(G21&lt;&gt;"",VLOOKUP(G21,PHA4GEVars!$A$7:$B$241,2,FALSE),"")</f>
        <v>Sequence information</v>
      </c>
      <c r="F21" s="28" t="s">
        <v>1869</v>
      </c>
      <c r="G21" s="28" t="s">
        <v>19</v>
      </c>
      <c r="H21" s="28" t="s">
        <v>371</v>
      </c>
      <c r="I21" s="28" t="s">
        <v>1682</v>
      </c>
      <c r="J21" s="28"/>
      <c r="K21" s="28" t="s">
        <v>1189</v>
      </c>
      <c r="L21" s="28" t="s">
        <v>1730</v>
      </c>
      <c r="M21" s="28"/>
      <c r="N21" s="28"/>
      <c r="O21" s="31" t="s">
        <v>1731</v>
      </c>
    </row>
    <row r="22" spans="1:15" x14ac:dyDescent="0.2">
      <c r="A22" s="28">
        <v>760</v>
      </c>
      <c r="B22" s="28" t="b">
        <v>1</v>
      </c>
      <c r="C22" s="28" t="b">
        <v>1</v>
      </c>
      <c r="D22" s="28" t="s">
        <v>16</v>
      </c>
      <c r="E22" t="str">
        <f>IF(G22&lt;&gt;"",VLOOKUP(G22,PHA4GEVars!$A$7:$B$241,2,FALSE),"")</f>
        <v>Sequence information</v>
      </c>
      <c r="F22" s="28" t="s">
        <v>1869</v>
      </c>
      <c r="G22" s="28" t="s">
        <v>19</v>
      </c>
      <c r="H22" s="28" t="s">
        <v>372</v>
      </c>
      <c r="I22" s="28" t="s">
        <v>1682</v>
      </c>
      <c r="J22" s="28"/>
      <c r="K22" s="28" t="s">
        <v>1189</v>
      </c>
      <c r="L22" s="28" t="s">
        <v>1730</v>
      </c>
      <c r="M22" s="28"/>
      <c r="N22" s="28"/>
      <c r="O22" s="31" t="s">
        <v>1731</v>
      </c>
    </row>
    <row r="23" spans="1:15" x14ac:dyDescent="0.2">
      <c r="A23" s="28">
        <v>761</v>
      </c>
      <c r="B23" s="28" t="b">
        <v>1</v>
      </c>
      <c r="C23" s="28" t="b">
        <v>1</v>
      </c>
      <c r="D23" s="28" t="s">
        <v>16</v>
      </c>
      <c r="E23" t="str">
        <f>IF(G23&lt;&gt;"",VLOOKUP(G23,PHA4GEVars!$A$7:$B$241,2,FALSE),"")</f>
        <v>Sequence information</v>
      </c>
      <c r="F23" s="28" t="s">
        <v>1869</v>
      </c>
      <c r="G23" s="28" t="s">
        <v>19</v>
      </c>
      <c r="H23" s="28" t="s">
        <v>373</v>
      </c>
      <c r="I23" s="28" t="s">
        <v>1682</v>
      </c>
      <c r="J23" s="28"/>
      <c r="K23" s="28" t="s">
        <v>1189</v>
      </c>
      <c r="L23" s="28" t="s">
        <v>1730</v>
      </c>
      <c r="M23" s="28"/>
      <c r="N23" s="28"/>
      <c r="O23" s="31" t="s">
        <v>1731</v>
      </c>
    </row>
    <row r="24" spans="1:15" x14ac:dyDescent="0.2">
      <c r="A24" s="28">
        <v>762</v>
      </c>
      <c r="B24" s="28" t="b">
        <v>1</v>
      </c>
      <c r="C24" s="28" t="b">
        <v>1</v>
      </c>
      <c r="D24" s="28" t="s">
        <v>16</v>
      </c>
      <c r="E24" t="str">
        <f>IF(G24&lt;&gt;"",VLOOKUP(G24,PHA4GEVars!$A$7:$B$241,2,FALSE),"")</f>
        <v>Sequence information</v>
      </c>
      <c r="F24" s="28" t="s">
        <v>1869</v>
      </c>
      <c r="G24" s="28" t="s">
        <v>19</v>
      </c>
      <c r="H24" s="28" t="s">
        <v>374</v>
      </c>
      <c r="I24" s="28" t="s">
        <v>1682</v>
      </c>
      <c r="J24" s="28"/>
      <c r="K24" s="28" t="s">
        <v>1189</v>
      </c>
      <c r="L24" s="28" t="s">
        <v>1730</v>
      </c>
      <c r="M24" s="28"/>
      <c r="N24" s="28"/>
      <c r="O24" s="31" t="s">
        <v>1731</v>
      </c>
    </row>
    <row r="25" spans="1:15" x14ac:dyDescent="0.2">
      <c r="A25" s="28">
        <v>763</v>
      </c>
      <c r="B25" s="28" t="b">
        <v>1</v>
      </c>
      <c r="C25" s="28" t="b">
        <v>1</v>
      </c>
      <c r="D25" s="28" t="s">
        <v>16</v>
      </c>
      <c r="E25" t="str">
        <f>IF(G25&lt;&gt;"",VLOOKUP(G25,PHA4GEVars!$A$7:$B$241,2,FALSE),"")</f>
        <v>Sequence information</v>
      </c>
      <c r="F25" s="28" t="s">
        <v>1869</v>
      </c>
      <c r="G25" s="28" t="s">
        <v>19</v>
      </c>
      <c r="H25" s="28" t="s">
        <v>375</v>
      </c>
      <c r="I25" s="28" t="s">
        <v>1682</v>
      </c>
      <c r="J25" s="28"/>
      <c r="K25" s="28" t="s">
        <v>1189</v>
      </c>
      <c r="L25" s="28" t="s">
        <v>1730</v>
      </c>
      <c r="M25" s="28"/>
      <c r="N25" s="28"/>
      <c r="O25" s="31" t="s">
        <v>1731</v>
      </c>
    </row>
    <row r="26" spans="1:15" x14ac:dyDescent="0.2">
      <c r="A26" s="28">
        <v>764</v>
      </c>
      <c r="B26" s="28" t="b">
        <v>1</v>
      </c>
      <c r="C26" s="28" t="b">
        <v>1</v>
      </c>
      <c r="D26" s="28" t="s">
        <v>16</v>
      </c>
      <c r="E26" t="str">
        <f>IF(G26&lt;&gt;"",VLOOKUP(G26,PHA4GEVars!$A$7:$B$241,2,FALSE),"")</f>
        <v>Sequence information</v>
      </c>
      <c r="F26" s="28" t="s">
        <v>1869</v>
      </c>
      <c r="G26" s="28" t="s">
        <v>19</v>
      </c>
      <c r="H26" s="28" t="s">
        <v>376</v>
      </c>
      <c r="I26" s="28" t="s">
        <v>1682</v>
      </c>
      <c r="J26" s="28"/>
      <c r="K26" s="28" t="s">
        <v>1189</v>
      </c>
      <c r="L26" s="28" t="s">
        <v>1730</v>
      </c>
      <c r="M26" s="28"/>
      <c r="N26" s="28"/>
      <c r="O26" s="31" t="s">
        <v>1731</v>
      </c>
    </row>
    <row r="27" spans="1:15" x14ac:dyDescent="0.2">
      <c r="A27" s="28">
        <v>765</v>
      </c>
      <c r="B27" s="28" t="b">
        <v>1</v>
      </c>
      <c r="C27" s="28" t="b">
        <v>1</v>
      </c>
      <c r="D27" s="28" t="s">
        <v>16</v>
      </c>
      <c r="E27" t="str">
        <f>IF(G27&lt;&gt;"",VLOOKUP(G27,PHA4GEVars!$A$7:$B$241,2,FALSE),"")</f>
        <v>Sequence information</v>
      </c>
      <c r="F27" s="28" t="s">
        <v>1869</v>
      </c>
      <c r="G27" s="28" t="s">
        <v>19</v>
      </c>
      <c r="H27" s="28" t="s">
        <v>377</v>
      </c>
      <c r="I27" s="28" t="s">
        <v>1682</v>
      </c>
      <c r="J27" s="28"/>
      <c r="K27" s="28" t="s">
        <v>1189</v>
      </c>
      <c r="L27" s="28" t="s">
        <v>1730</v>
      </c>
      <c r="M27" s="28"/>
      <c r="N27" s="28"/>
      <c r="O27" s="31" t="s">
        <v>1731</v>
      </c>
    </row>
    <row r="28" spans="1:15" x14ac:dyDescent="0.2">
      <c r="A28" s="28">
        <v>766</v>
      </c>
      <c r="B28" s="28" t="b">
        <v>1</v>
      </c>
      <c r="C28" s="28" t="b">
        <v>1</v>
      </c>
      <c r="D28" s="28" t="s">
        <v>16</v>
      </c>
      <c r="E28" t="str">
        <f>IF(G28&lt;&gt;"",VLOOKUP(G28,PHA4GEVars!$A$7:$B$241,2,FALSE),"")</f>
        <v>Sequence information</v>
      </c>
      <c r="F28" s="28" t="s">
        <v>1869</v>
      </c>
      <c r="G28" s="28" t="s">
        <v>19</v>
      </c>
      <c r="H28" s="28" t="s">
        <v>378</v>
      </c>
      <c r="I28" s="28" t="s">
        <v>1682</v>
      </c>
      <c r="J28" s="28"/>
      <c r="K28" s="28" t="s">
        <v>1189</v>
      </c>
      <c r="L28" s="28" t="s">
        <v>1730</v>
      </c>
      <c r="M28" s="28"/>
      <c r="N28" s="28"/>
      <c r="O28" s="31" t="s">
        <v>1731</v>
      </c>
    </row>
    <row r="29" spans="1:15" x14ac:dyDescent="0.2">
      <c r="A29" s="28">
        <v>767</v>
      </c>
      <c r="B29" s="28" t="b">
        <v>1</v>
      </c>
      <c r="C29" s="28" t="b">
        <v>1</v>
      </c>
      <c r="D29" s="28" t="s">
        <v>16</v>
      </c>
      <c r="E29" t="str">
        <f>IF(G29&lt;&gt;"",VLOOKUP(G29,PHA4GEVars!$A$7:$B$241,2,FALSE),"")</f>
        <v>Sequence information</v>
      </c>
      <c r="F29" s="28" t="s">
        <v>1869</v>
      </c>
      <c r="G29" s="28" t="s">
        <v>19</v>
      </c>
      <c r="H29" s="28" t="s">
        <v>379</v>
      </c>
      <c r="I29" s="28" t="s">
        <v>1682</v>
      </c>
      <c r="J29" s="28"/>
      <c r="K29" s="28" t="s">
        <v>1189</v>
      </c>
      <c r="L29" s="28" t="s">
        <v>1730</v>
      </c>
      <c r="M29" s="28"/>
      <c r="N29" s="28"/>
      <c r="O29" s="31" t="s">
        <v>1731</v>
      </c>
    </row>
    <row r="30" spans="1:15" x14ac:dyDescent="0.2">
      <c r="A30" s="28">
        <v>768</v>
      </c>
      <c r="B30" s="28" t="b">
        <v>1</v>
      </c>
      <c r="C30" s="28" t="b">
        <v>1</v>
      </c>
      <c r="D30" s="28" t="s">
        <v>16</v>
      </c>
      <c r="E30" t="str">
        <f>IF(G30&lt;&gt;"",VLOOKUP(G30,PHA4GEVars!$A$7:$B$241,2,FALSE),"")</f>
        <v>Sequence information</v>
      </c>
      <c r="F30" s="28" t="s">
        <v>1869</v>
      </c>
      <c r="G30" s="28" t="s">
        <v>19</v>
      </c>
      <c r="H30" s="28" t="s">
        <v>380</v>
      </c>
      <c r="I30" s="28" t="s">
        <v>1682</v>
      </c>
      <c r="J30" s="28"/>
      <c r="K30" s="28" t="s">
        <v>1189</v>
      </c>
      <c r="L30" s="28" t="s">
        <v>1730</v>
      </c>
      <c r="M30" s="28"/>
      <c r="N30" s="28"/>
      <c r="O30" s="31" t="s">
        <v>1731</v>
      </c>
    </row>
    <row r="31" spans="1:15" x14ac:dyDescent="0.2">
      <c r="A31" s="28">
        <v>769</v>
      </c>
      <c r="B31" s="28" t="b">
        <v>1</v>
      </c>
      <c r="C31" s="28" t="b">
        <v>1</v>
      </c>
      <c r="D31" s="28" t="s">
        <v>16</v>
      </c>
      <c r="E31" t="str">
        <f>IF(G31&lt;&gt;"",VLOOKUP(G31,PHA4GEVars!$A$7:$B$241,2,FALSE),"")</f>
        <v>Sequence information</v>
      </c>
      <c r="F31" s="28" t="s">
        <v>1869</v>
      </c>
      <c r="G31" s="28" t="s">
        <v>19</v>
      </c>
      <c r="H31" s="28" t="s">
        <v>381</v>
      </c>
      <c r="I31" s="28" t="s">
        <v>1682</v>
      </c>
      <c r="J31" s="28"/>
      <c r="K31" s="28" t="s">
        <v>1189</v>
      </c>
      <c r="L31" s="28" t="s">
        <v>1730</v>
      </c>
      <c r="M31" s="28"/>
      <c r="N31" s="28"/>
      <c r="O31" s="31" t="s">
        <v>1731</v>
      </c>
    </row>
    <row r="32" spans="1:15" x14ac:dyDescent="0.2">
      <c r="A32" s="28">
        <v>770</v>
      </c>
      <c r="B32" s="28" t="b">
        <v>1</v>
      </c>
      <c r="C32" s="28" t="b">
        <v>1</v>
      </c>
      <c r="D32" s="28" t="s">
        <v>16</v>
      </c>
      <c r="E32" t="str">
        <f>IF(G32&lt;&gt;"",VLOOKUP(G32,PHA4GEVars!$A$7:$B$241,2,FALSE),"")</f>
        <v>Sequence information</v>
      </c>
      <c r="F32" s="28" t="s">
        <v>1869</v>
      </c>
      <c r="G32" s="28" t="s">
        <v>19</v>
      </c>
      <c r="H32" s="28" t="s">
        <v>382</v>
      </c>
      <c r="I32" s="28" t="s">
        <v>1682</v>
      </c>
      <c r="J32" s="28"/>
      <c r="K32" s="28" t="s">
        <v>1189</v>
      </c>
      <c r="L32" s="28" t="s">
        <v>1730</v>
      </c>
      <c r="M32" s="28"/>
      <c r="N32" s="28"/>
      <c r="O32" s="31" t="s">
        <v>1731</v>
      </c>
    </row>
    <row r="33" spans="1:15" x14ac:dyDescent="0.2">
      <c r="A33" s="28">
        <v>771</v>
      </c>
      <c r="B33" s="28" t="b">
        <v>1</v>
      </c>
      <c r="C33" s="28" t="b">
        <v>1</v>
      </c>
      <c r="D33" s="28" t="s">
        <v>16</v>
      </c>
      <c r="E33" t="str">
        <f>IF(G33&lt;&gt;"",VLOOKUP(G33,PHA4GEVars!$A$7:$B$241,2,FALSE),"")</f>
        <v>Sequence information</v>
      </c>
      <c r="F33" s="28" t="s">
        <v>1869</v>
      </c>
      <c r="G33" s="28" t="s">
        <v>19</v>
      </c>
      <c r="H33" s="28" t="s">
        <v>383</v>
      </c>
      <c r="I33" s="28" t="s">
        <v>1682</v>
      </c>
      <c r="J33" s="28"/>
      <c r="K33" s="28" t="s">
        <v>1189</v>
      </c>
      <c r="L33" s="28" t="s">
        <v>1730</v>
      </c>
      <c r="M33" s="28"/>
      <c r="N33" s="28"/>
      <c r="O33" s="31" t="s">
        <v>1731</v>
      </c>
    </row>
    <row r="34" spans="1:15" x14ac:dyDescent="0.2">
      <c r="A34" s="28">
        <v>772</v>
      </c>
      <c r="B34" s="28" t="b">
        <v>1</v>
      </c>
      <c r="C34" s="28" t="b">
        <v>1</v>
      </c>
      <c r="D34" s="28" t="s">
        <v>16</v>
      </c>
      <c r="E34" t="str">
        <f>IF(G34&lt;&gt;"",VLOOKUP(G34,PHA4GEVars!$A$7:$B$241,2,FALSE),"")</f>
        <v>Sequence information</v>
      </c>
      <c r="F34" s="28" t="s">
        <v>1869</v>
      </c>
      <c r="G34" s="28" t="s">
        <v>19</v>
      </c>
      <c r="H34" s="28" t="s">
        <v>384</v>
      </c>
      <c r="I34" s="28" t="s">
        <v>1682</v>
      </c>
      <c r="J34" s="28"/>
      <c r="K34" s="28" t="s">
        <v>1189</v>
      </c>
      <c r="L34" s="28" t="s">
        <v>1730</v>
      </c>
      <c r="M34" s="28"/>
      <c r="N34" s="28"/>
      <c r="O34" s="31" t="s">
        <v>1731</v>
      </c>
    </row>
    <row r="35" spans="1:15" x14ac:dyDescent="0.2">
      <c r="A35" s="28">
        <v>773</v>
      </c>
      <c r="B35" s="28" t="b">
        <v>1</v>
      </c>
      <c r="C35" s="28" t="b">
        <v>1</v>
      </c>
      <c r="D35" s="28" t="s">
        <v>16</v>
      </c>
      <c r="E35" t="str">
        <f>IF(G35&lt;&gt;"",VLOOKUP(G35,PHA4GEVars!$A$7:$B$241,2,FALSE),"")</f>
        <v>Sequence information</v>
      </c>
      <c r="F35" s="28" t="s">
        <v>1869</v>
      </c>
      <c r="G35" s="28" t="s">
        <v>19</v>
      </c>
      <c r="H35" s="28" t="s">
        <v>346</v>
      </c>
      <c r="I35" s="28" t="s">
        <v>1682</v>
      </c>
      <c r="J35" s="28"/>
      <c r="K35" s="28" t="s">
        <v>1189</v>
      </c>
      <c r="L35" s="28" t="s">
        <v>1730</v>
      </c>
      <c r="M35" s="28"/>
      <c r="N35" s="28"/>
      <c r="O35" s="31" t="s">
        <v>1731</v>
      </c>
    </row>
    <row r="36" spans="1:15" x14ac:dyDescent="0.2">
      <c r="A36" s="28">
        <v>774</v>
      </c>
      <c r="B36" s="28" t="b">
        <v>1</v>
      </c>
      <c r="C36" s="28" t="b">
        <v>1</v>
      </c>
      <c r="D36" s="28" t="s">
        <v>16</v>
      </c>
      <c r="E36" t="str">
        <f>IF(G36&lt;&gt;"",VLOOKUP(G36,PHA4GEVars!$A$7:$B$241,2,FALSE),"")</f>
        <v>Sequence information</v>
      </c>
      <c r="F36" s="28" t="s">
        <v>1869</v>
      </c>
      <c r="G36" s="28" t="s">
        <v>19</v>
      </c>
      <c r="H36" s="28" t="s">
        <v>385</v>
      </c>
      <c r="I36" s="28" t="s">
        <v>1682</v>
      </c>
      <c r="J36" s="28"/>
      <c r="K36" s="28" t="s">
        <v>1189</v>
      </c>
      <c r="L36" s="28" t="s">
        <v>1730</v>
      </c>
      <c r="M36" s="28"/>
      <c r="N36" s="28"/>
      <c r="O36" s="31" t="s">
        <v>1731</v>
      </c>
    </row>
    <row r="37" spans="1:15" x14ac:dyDescent="0.2">
      <c r="A37" s="28">
        <v>775</v>
      </c>
      <c r="B37" s="28" t="b">
        <v>1</v>
      </c>
      <c r="C37" s="28" t="b">
        <v>1</v>
      </c>
      <c r="D37" s="28" t="s">
        <v>16</v>
      </c>
      <c r="E37" t="str">
        <f>IF(G37&lt;&gt;"",VLOOKUP(G37,PHA4GEVars!$A$7:$B$241,2,FALSE),"")</f>
        <v>Sequence information</v>
      </c>
      <c r="F37" s="28" t="s">
        <v>1869</v>
      </c>
      <c r="G37" s="28" t="s">
        <v>19</v>
      </c>
      <c r="H37" s="28" t="s">
        <v>386</v>
      </c>
      <c r="I37" s="28" t="s">
        <v>1682</v>
      </c>
      <c r="J37" s="28"/>
      <c r="K37" s="28" t="s">
        <v>1189</v>
      </c>
      <c r="L37" s="28" t="s">
        <v>1730</v>
      </c>
      <c r="M37" s="28"/>
      <c r="N37" s="28"/>
      <c r="O37" s="31" t="s">
        <v>1731</v>
      </c>
    </row>
    <row r="38" spans="1:15" x14ac:dyDescent="0.2">
      <c r="A38" s="28">
        <v>776</v>
      </c>
      <c r="B38" s="28" t="b">
        <v>1</v>
      </c>
      <c r="C38" s="28" t="b">
        <v>1</v>
      </c>
      <c r="D38" s="28" t="s">
        <v>16</v>
      </c>
      <c r="E38" t="str">
        <f>IF(G38&lt;&gt;"",VLOOKUP(G38,PHA4GEVars!$A$7:$B$241,2,FALSE),"")</f>
        <v>Sequence information</v>
      </c>
      <c r="F38" s="28" t="s">
        <v>1869</v>
      </c>
      <c r="G38" s="28" t="s">
        <v>19</v>
      </c>
      <c r="H38" s="28" t="s">
        <v>387</v>
      </c>
      <c r="I38" s="28" t="s">
        <v>1682</v>
      </c>
      <c r="J38" s="28"/>
      <c r="K38" s="28" t="s">
        <v>1189</v>
      </c>
      <c r="L38" s="28" t="s">
        <v>1730</v>
      </c>
      <c r="M38" s="28"/>
      <c r="N38" s="28"/>
      <c r="O38" s="31" t="s">
        <v>1731</v>
      </c>
    </row>
    <row r="39" spans="1:15" x14ac:dyDescent="0.2">
      <c r="A39" s="28">
        <v>777</v>
      </c>
      <c r="B39" s="28" t="b">
        <v>1</v>
      </c>
      <c r="C39" s="28" t="b">
        <v>1</v>
      </c>
      <c r="D39" s="28" t="s">
        <v>16</v>
      </c>
      <c r="E39" t="str">
        <f>IF(G39&lt;&gt;"",VLOOKUP(G39,PHA4GEVars!$A$7:$B$241,2,FALSE),"")</f>
        <v>Sequence information</v>
      </c>
      <c r="F39" s="28" t="s">
        <v>1869</v>
      </c>
      <c r="G39" s="28" t="s">
        <v>19</v>
      </c>
      <c r="H39" s="28" t="s">
        <v>388</v>
      </c>
      <c r="I39" s="28" t="s">
        <v>1682</v>
      </c>
      <c r="J39" s="28"/>
      <c r="K39" s="28" t="s">
        <v>1189</v>
      </c>
      <c r="L39" s="28" t="s">
        <v>1730</v>
      </c>
      <c r="M39" s="28"/>
      <c r="N39" s="28"/>
      <c r="O39" s="31" t="s">
        <v>1731</v>
      </c>
    </row>
    <row r="40" spans="1:15" x14ac:dyDescent="0.2">
      <c r="A40" s="28">
        <v>778</v>
      </c>
      <c r="B40" s="28" t="b">
        <v>1</v>
      </c>
      <c r="C40" s="28" t="b">
        <v>1</v>
      </c>
      <c r="D40" s="28" t="s">
        <v>16</v>
      </c>
      <c r="E40" t="str">
        <f>IF(G40&lt;&gt;"",VLOOKUP(G40,PHA4GEVars!$A$7:$B$241,2,FALSE),"")</f>
        <v>Sequence information</v>
      </c>
      <c r="F40" s="28" t="s">
        <v>1869</v>
      </c>
      <c r="G40" s="28" t="s">
        <v>19</v>
      </c>
      <c r="H40" s="28" t="s">
        <v>389</v>
      </c>
      <c r="I40" s="28" t="s">
        <v>1682</v>
      </c>
      <c r="J40" s="28"/>
      <c r="K40" s="28" t="s">
        <v>1189</v>
      </c>
      <c r="L40" s="28" t="s">
        <v>1730</v>
      </c>
      <c r="M40" s="28"/>
      <c r="N40" s="28"/>
      <c r="O40" s="31" t="s">
        <v>1731</v>
      </c>
    </row>
    <row r="41" spans="1:15" x14ac:dyDescent="0.2">
      <c r="A41" s="28">
        <v>779</v>
      </c>
      <c r="B41" s="28" t="b">
        <v>1</v>
      </c>
      <c r="C41" s="28" t="b">
        <v>1</v>
      </c>
      <c r="D41" s="28" t="s">
        <v>16</v>
      </c>
      <c r="E41" t="str">
        <f>IF(G41&lt;&gt;"",VLOOKUP(G41,PHA4GEVars!$A$7:$B$241,2,FALSE),"")</f>
        <v>Sequence information</v>
      </c>
      <c r="F41" s="28" t="s">
        <v>1869</v>
      </c>
      <c r="G41" s="28" t="s">
        <v>19</v>
      </c>
      <c r="H41" s="28" t="s">
        <v>390</v>
      </c>
      <c r="I41" s="28" t="s">
        <v>1682</v>
      </c>
      <c r="J41" s="28"/>
      <c r="K41" s="28" t="s">
        <v>1189</v>
      </c>
      <c r="L41" s="28" t="s">
        <v>1730</v>
      </c>
      <c r="M41" s="28"/>
      <c r="N41" s="28"/>
      <c r="O41" s="31" t="s">
        <v>1731</v>
      </c>
    </row>
    <row r="42" spans="1:15" x14ac:dyDescent="0.2">
      <c r="A42" s="28">
        <v>780</v>
      </c>
      <c r="B42" s="28" t="b">
        <v>1</v>
      </c>
      <c r="C42" s="28" t="b">
        <v>1</v>
      </c>
      <c r="D42" s="28" t="s">
        <v>16</v>
      </c>
      <c r="E42" t="str">
        <f>IF(G42&lt;&gt;"",VLOOKUP(G42,PHA4GEVars!$A$7:$B$241,2,FALSE),"")</f>
        <v>Sequence information</v>
      </c>
      <c r="F42" s="28" t="s">
        <v>1869</v>
      </c>
      <c r="G42" s="28" t="s">
        <v>19</v>
      </c>
      <c r="H42" s="28" t="s">
        <v>391</v>
      </c>
      <c r="I42" s="28" t="s">
        <v>1682</v>
      </c>
      <c r="J42" s="28"/>
      <c r="K42" s="28" t="s">
        <v>1189</v>
      </c>
      <c r="L42" s="28" t="s">
        <v>1730</v>
      </c>
      <c r="M42" s="28"/>
      <c r="N42" s="28"/>
      <c r="O42" s="31" t="s">
        <v>1731</v>
      </c>
    </row>
    <row r="43" spans="1:15" x14ac:dyDescent="0.2">
      <c r="A43" s="28">
        <v>781</v>
      </c>
      <c r="B43" s="28" t="b">
        <v>1</v>
      </c>
      <c r="C43" s="28" t="b">
        <v>1</v>
      </c>
      <c r="D43" s="28" t="s">
        <v>16</v>
      </c>
      <c r="E43" t="str">
        <f>IF(G43&lt;&gt;"",VLOOKUP(G43,PHA4GEVars!$A$7:$B$241,2,FALSE),"")</f>
        <v>Sequence information</v>
      </c>
      <c r="F43" s="28" t="s">
        <v>1869</v>
      </c>
      <c r="G43" s="28" t="s">
        <v>19</v>
      </c>
      <c r="H43" s="28" t="s">
        <v>392</v>
      </c>
      <c r="I43" s="28" t="s">
        <v>1682</v>
      </c>
      <c r="J43" s="28"/>
      <c r="K43" s="28" t="s">
        <v>1189</v>
      </c>
      <c r="L43" s="28" t="s">
        <v>1730</v>
      </c>
      <c r="M43" s="28"/>
      <c r="N43" s="28"/>
      <c r="O43" s="31" t="s">
        <v>1731</v>
      </c>
    </row>
    <row r="44" spans="1:15" x14ac:dyDescent="0.2">
      <c r="A44" s="28">
        <v>782</v>
      </c>
      <c r="B44" s="28" t="b">
        <v>1</v>
      </c>
      <c r="C44" s="28" t="b">
        <v>1</v>
      </c>
      <c r="D44" s="28" t="s">
        <v>16</v>
      </c>
      <c r="E44" t="str">
        <f>IF(G44&lt;&gt;"",VLOOKUP(G44,PHA4GEVars!$A$7:$B$241,2,FALSE),"")</f>
        <v>Sequence information</v>
      </c>
      <c r="F44" s="28" t="s">
        <v>1869</v>
      </c>
      <c r="G44" s="28" t="s">
        <v>19</v>
      </c>
      <c r="H44" s="28" t="s">
        <v>393</v>
      </c>
      <c r="I44" s="28" t="s">
        <v>1682</v>
      </c>
      <c r="J44" s="28"/>
      <c r="K44" s="28" t="s">
        <v>1189</v>
      </c>
      <c r="L44" s="28" t="s">
        <v>1730</v>
      </c>
      <c r="M44" s="28"/>
      <c r="N44" s="28"/>
      <c r="O44" s="31" t="s">
        <v>1731</v>
      </c>
    </row>
    <row r="45" spans="1:15" x14ac:dyDescent="0.2">
      <c r="A45" s="28">
        <v>783</v>
      </c>
      <c r="B45" s="28" t="b">
        <v>1</v>
      </c>
      <c r="C45" s="28" t="b">
        <v>1</v>
      </c>
      <c r="D45" s="28" t="s">
        <v>16</v>
      </c>
      <c r="E45" t="str">
        <f>IF(G45&lt;&gt;"",VLOOKUP(G45,PHA4GEVars!$A$7:$B$241,2,FALSE),"")</f>
        <v>Sequence information</v>
      </c>
      <c r="F45" s="28" t="s">
        <v>1869</v>
      </c>
      <c r="G45" s="28" t="s">
        <v>19</v>
      </c>
      <c r="H45" s="28" t="s">
        <v>1677</v>
      </c>
      <c r="I45" s="28" t="s">
        <v>1682</v>
      </c>
      <c r="J45" s="28"/>
      <c r="K45" s="28" t="s">
        <v>1189</v>
      </c>
      <c r="L45" s="28" t="s">
        <v>1730</v>
      </c>
      <c r="M45" s="28"/>
      <c r="N45" s="28"/>
      <c r="O45" s="31" t="s">
        <v>1731</v>
      </c>
    </row>
    <row r="46" spans="1:15" x14ac:dyDescent="0.2">
      <c r="A46" s="28">
        <v>784</v>
      </c>
      <c r="B46" s="28" t="b">
        <v>1</v>
      </c>
      <c r="C46" s="28" t="b">
        <v>1</v>
      </c>
      <c r="D46" s="28" t="s">
        <v>16</v>
      </c>
      <c r="E46" t="str">
        <f>IF(G46&lt;&gt;"",VLOOKUP(G46,PHA4GEVars!$A$7:$B$241,2,FALSE),"")</f>
        <v>Sequence information</v>
      </c>
      <c r="F46" s="28" t="s">
        <v>1869</v>
      </c>
      <c r="G46" s="28" t="s">
        <v>19</v>
      </c>
      <c r="H46" s="28" t="s">
        <v>1678</v>
      </c>
      <c r="I46" s="28" t="s">
        <v>1682</v>
      </c>
      <c r="J46" s="28"/>
      <c r="K46" s="28" t="s">
        <v>1189</v>
      </c>
      <c r="L46" s="28" t="s">
        <v>1730</v>
      </c>
      <c r="M46" s="28"/>
      <c r="N46" s="28"/>
      <c r="O46" s="31" t="s">
        <v>1731</v>
      </c>
    </row>
    <row r="47" spans="1:15" x14ac:dyDescent="0.2">
      <c r="A47" s="28">
        <v>785</v>
      </c>
      <c r="B47" s="28" t="b">
        <v>1</v>
      </c>
      <c r="C47" s="28" t="b">
        <v>1</v>
      </c>
      <c r="D47" s="28" t="s">
        <v>16</v>
      </c>
      <c r="E47" t="str">
        <f>IF(G47&lt;&gt;"",VLOOKUP(G47,PHA4GEVars!$A$7:$B$241,2,FALSE),"")</f>
        <v>Sequence information</v>
      </c>
      <c r="F47" s="28" t="s">
        <v>1869</v>
      </c>
      <c r="G47" s="28" t="s">
        <v>19</v>
      </c>
      <c r="H47" s="28" t="s">
        <v>1168</v>
      </c>
      <c r="I47" s="28" t="s">
        <v>1682</v>
      </c>
      <c r="J47" s="28"/>
      <c r="K47" s="28" t="s">
        <v>1189</v>
      </c>
      <c r="L47" s="28" t="s">
        <v>1730</v>
      </c>
      <c r="M47" s="28"/>
      <c r="N47" s="28"/>
      <c r="O47" s="31" t="s">
        <v>1731</v>
      </c>
    </row>
    <row r="48" spans="1:15" x14ac:dyDescent="0.2">
      <c r="A48" s="28">
        <v>786</v>
      </c>
      <c r="B48" s="28" t="b">
        <v>1</v>
      </c>
      <c r="C48" s="28" t="b">
        <v>1</v>
      </c>
      <c r="D48" s="28" t="s">
        <v>16</v>
      </c>
      <c r="E48" t="str">
        <f>IF(G48&lt;&gt;"",VLOOKUP(G48,PHA4GEVars!$A$7:$B$241,2,FALSE),"")</f>
        <v>Sequence information</v>
      </c>
      <c r="F48" s="28" t="s">
        <v>1869</v>
      </c>
      <c r="G48" s="28" t="s">
        <v>19</v>
      </c>
      <c r="H48" s="28" t="s">
        <v>394</v>
      </c>
      <c r="I48" s="28" t="s">
        <v>1682</v>
      </c>
      <c r="J48" s="28"/>
      <c r="K48" s="28" t="s">
        <v>1189</v>
      </c>
      <c r="L48" s="28" t="s">
        <v>1730</v>
      </c>
      <c r="M48" s="28"/>
      <c r="N48" s="28"/>
      <c r="O48" s="31" t="s">
        <v>1731</v>
      </c>
    </row>
    <row r="49" spans="1:15" x14ac:dyDescent="0.2">
      <c r="A49" s="28">
        <v>787</v>
      </c>
      <c r="B49" s="28" t="b">
        <v>1</v>
      </c>
      <c r="C49" s="28" t="b">
        <v>1</v>
      </c>
      <c r="D49" s="28" t="s">
        <v>16</v>
      </c>
      <c r="E49" t="str">
        <f>IF(G49&lt;&gt;"",VLOOKUP(G49,PHA4GEVars!$A$7:$B$241,2,FALSE),"")</f>
        <v>Sequence information</v>
      </c>
      <c r="F49" s="28" t="s">
        <v>1869</v>
      </c>
      <c r="G49" s="28" t="s">
        <v>19</v>
      </c>
      <c r="H49" s="28" t="s">
        <v>1169</v>
      </c>
      <c r="I49" s="28" t="s">
        <v>1682</v>
      </c>
      <c r="J49" s="28"/>
      <c r="K49" s="28" t="s">
        <v>1189</v>
      </c>
      <c r="L49" s="28" t="s">
        <v>1730</v>
      </c>
      <c r="M49" s="28"/>
      <c r="N49" s="28"/>
      <c r="O49" s="31" t="s">
        <v>1731</v>
      </c>
    </row>
    <row r="50" spans="1:15" x14ac:dyDescent="0.2">
      <c r="A50" s="28">
        <v>788</v>
      </c>
      <c r="B50" s="28" t="b">
        <v>1</v>
      </c>
      <c r="C50" s="28" t="b">
        <v>1</v>
      </c>
      <c r="D50" s="28" t="s">
        <v>16</v>
      </c>
      <c r="E50" t="str">
        <f>IF(G50&lt;&gt;"",VLOOKUP(G50,PHA4GEVars!$A$7:$B$241,2,FALSE),"")</f>
        <v>Sequence information</v>
      </c>
      <c r="F50" s="28" t="s">
        <v>1869</v>
      </c>
      <c r="G50" s="28" t="s">
        <v>19</v>
      </c>
      <c r="H50" s="28" t="s">
        <v>1170</v>
      </c>
      <c r="I50" s="28" t="s">
        <v>1682</v>
      </c>
      <c r="J50" s="28"/>
      <c r="K50" s="28" t="s">
        <v>1189</v>
      </c>
      <c r="L50" s="28" t="s">
        <v>1730</v>
      </c>
      <c r="M50" s="28"/>
      <c r="N50" s="28"/>
      <c r="O50" s="31" t="s">
        <v>1731</v>
      </c>
    </row>
    <row r="51" spans="1:15" x14ac:dyDescent="0.2">
      <c r="A51" s="28">
        <v>789</v>
      </c>
      <c r="B51" s="28" t="b">
        <v>1</v>
      </c>
      <c r="C51" s="28" t="b">
        <v>1</v>
      </c>
      <c r="D51" s="28" t="s">
        <v>16</v>
      </c>
      <c r="E51" t="str">
        <f>IF(G51&lt;&gt;"",VLOOKUP(G51,PHA4GEVars!$A$7:$B$241,2,FALSE),"")</f>
        <v>Sequence information</v>
      </c>
      <c r="F51" s="28" t="s">
        <v>1869</v>
      </c>
      <c r="G51" s="28" t="s">
        <v>19</v>
      </c>
      <c r="H51" s="28" t="s">
        <v>1171</v>
      </c>
      <c r="I51" s="28" t="s">
        <v>1682</v>
      </c>
      <c r="J51" s="28"/>
      <c r="K51" s="28" t="s">
        <v>1189</v>
      </c>
      <c r="L51" s="28" t="s">
        <v>1730</v>
      </c>
      <c r="M51" s="28"/>
      <c r="N51" s="28"/>
      <c r="O51" s="31" t="s">
        <v>1731</v>
      </c>
    </row>
    <row r="52" spans="1:15" x14ac:dyDescent="0.2">
      <c r="A52" s="28">
        <v>790</v>
      </c>
      <c r="B52" s="28" t="b">
        <v>1</v>
      </c>
      <c r="C52" s="28" t="b">
        <v>1</v>
      </c>
      <c r="D52" s="28" t="s">
        <v>16</v>
      </c>
      <c r="E52" t="str">
        <f>IF(G52&lt;&gt;"",VLOOKUP(G52,PHA4GEVars!$A$7:$B$241,2,FALSE),"")</f>
        <v>Sequence information</v>
      </c>
      <c r="F52" s="28" t="s">
        <v>1869</v>
      </c>
      <c r="G52" s="28" t="s">
        <v>19</v>
      </c>
      <c r="H52" s="28" t="s">
        <v>1172</v>
      </c>
      <c r="I52" s="28" t="s">
        <v>1682</v>
      </c>
      <c r="J52" s="28"/>
      <c r="K52" s="28" t="s">
        <v>1189</v>
      </c>
      <c r="L52" s="28" t="s">
        <v>1730</v>
      </c>
      <c r="M52" s="28"/>
      <c r="N52" s="28"/>
      <c r="O52" s="31" t="s">
        <v>1731</v>
      </c>
    </row>
    <row r="53" spans="1:15" x14ac:dyDescent="0.2">
      <c r="A53" s="28">
        <v>791</v>
      </c>
      <c r="B53" s="28" t="b">
        <v>1</v>
      </c>
      <c r="C53" s="28" t="b">
        <v>1</v>
      </c>
      <c r="D53" s="28" t="s">
        <v>16</v>
      </c>
      <c r="E53" t="str">
        <f>IF(G53&lt;&gt;"",VLOOKUP(G53,PHA4GEVars!$A$7:$B$241,2,FALSE),"")</f>
        <v>Sequence information</v>
      </c>
      <c r="F53" s="28" t="s">
        <v>1869</v>
      </c>
      <c r="G53" s="28" t="s">
        <v>19</v>
      </c>
      <c r="H53" s="28" t="s">
        <v>1173</v>
      </c>
      <c r="I53" s="28" t="s">
        <v>1682</v>
      </c>
      <c r="J53" s="28"/>
      <c r="K53" s="28" t="s">
        <v>1189</v>
      </c>
      <c r="L53" s="28" t="s">
        <v>1730</v>
      </c>
      <c r="M53" s="28"/>
      <c r="N53" s="28"/>
      <c r="O53" s="31" t="s">
        <v>1731</v>
      </c>
    </row>
    <row r="54" spans="1:15" x14ac:dyDescent="0.2">
      <c r="A54" s="28">
        <v>792</v>
      </c>
      <c r="B54" s="28" t="b">
        <v>1</v>
      </c>
      <c r="C54" s="28" t="b">
        <v>1</v>
      </c>
      <c r="D54" s="28" t="s">
        <v>16</v>
      </c>
      <c r="E54" t="str">
        <f>IF(G54&lt;&gt;"",VLOOKUP(G54,PHA4GEVars!$A$7:$B$241,2,FALSE),"")</f>
        <v>Sequence information</v>
      </c>
      <c r="F54" s="28" t="s">
        <v>1869</v>
      </c>
      <c r="G54" s="28" t="s">
        <v>19</v>
      </c>
      <c r="H54" s="28" t="s">
        <v>1174</v>
      </c>
      <c r="I54" s="28" t="s">
        <v>1682</v>
      </c>
      <c r="J54" s="28"/>
      <c r="K54" s="28" t="s">
        <v>1189</v>
      </c>
      <c r="L54" s="28" t="s">
        <v>1730</v>
      </c>
      <c r="M54" s="28"/>
      <c r="N54" s="28"/>
      <c r="O54" s="31" t="s">
        <v>1731</v>
      </c>
    </row>
    <row r="55" spans="1:15" x14ac:dyDescent="0.2">
      <c r="A55" s="28">
        <v>793</v>
      </c>
      <c r="B55" s="28" t="b">
        <v>1</v>
      </c>
      <c r="C55" s="28" t="b">
        <v>1</v>
      </c>
      <c r="D55" s="28" t="s">
        <v>16</v>
      </c>
      <c r="E55" t="str">
        <f>IF(G55&lt;&gt;"",VLOOKUP(G55,PHA4GEVars!$A$7:$B$241,2,FALSE),"")</f>
        <v>Sequence information</v>
      </c>
      <c r="F55" s="28" t="s">
        <v>1869</v>
      </c>
      <c r="G55" s="28" t="s">
        <v>19</v>
      </c>
      <c r="H55" s="28" t="s">
        <v>395</v>
      </c>
      <c r="I55" s="28" t="s">
        <v>1682</v>
      </c>
      <c r="J55" s="28"/>
      <c r="K55" s="28" t="s">
        <v>1189</v>
      </c>
      <c r="L55" s="28" t="s">
        <v>1730</v>
      </c>
      <c r="M55" s="28"/>
      <c r="N55" s="28"/>
      <c r="O55" s="31" t="s">
        <v>1731</v>
      </c>
    </row>
    <row r="56" spans="1:15" x14ac:dyDescent="0.2">
      <c r="A56" s="28">
        <v>794</v>
      </c>
      <c r="B56" s="28" t="b">
        <v>1</v>
      </c>
      <c r="C56" s="28" t="b">
        <v>1</v>
      </c>
      <c r="D56" s="28" t="s">
        <v>16</v>
      </c>
      <c r="E56" t="str">
        <f>IF(G56&lt;&gt;"",VLOOKUP(G56,PHA4GEVars!$A$7:$B$241,2,FALSE),"")</f>
        <v>Sequence information</v>
      </c>
      <c r="F56" s="28" t="s">
        <v>1869</v>
      </c>
      <c r="G56" s="28" t="s">
        <v>19</v>
      </c>
      <c r="H56" s="28" t="s">
        <v>396</v>
      </c>
      <c r="I56" s="28" t="s">
        <v>1682</v>
      </c>
      <c r="J56" s="28"/>
      <c r="K56" s="28" t="s">
        <v>1189</v>
      </c>
      <c r="L56" s="28" t="s">
        <v>1730</v>
      </c>
      <c r="M56" s="28"/>
      <c r="N56" s="28"/>
      <c r="O56" s="31" t="s">
        <v>1731</v>
      </c>
    </row>
    <row r="57" spans="1:15" x14ac:dyDescent="0.2">
      <c r="A57" s="28">
        <v>795</v>
      </c>
      <c r="B57" s="28" t="b">
        <v>1</v>
      </c>
      <c r="C57" s="28" t="b">
        <v>1</v>
      </c>
      <c r="D57" s="28" t="s">
        <v>16</v>
      </c>
      <c r="E57" t="str">
        <f>IF(G57&lt;&gt;"",VLOOKUP(G57,PHA4GEVars!$A$7:$B$241,2,FALSE),"")</f>
        <v>Sequence information</v>
      </c>
      <c r="F57" s="28" t="s">
        <v>1869</v>
      </c>
      <c r="G57" s="28" t="s">
        <v>19</v>
      </c>
      <c r="H57" s="28" t="s">
        <v>397</v>
      </c>
      <c r="I57" s="28" t="s">
        <v>1682</v>
      </c>
      <c r="J57" s="28"/>
      <c r="K57" s="28" t="s">
        <v>1189</v>
      </c>
      <c r="L57" s="28" t="s">
        <v>1730</v>
      </c>
      <c r="M57" s="28"/>
      <c r="N57" s="28"/>
      <c r="O57" s="31" t="s">
        <v>1731</v>
      </c>
    </row>
    <row r="58" spans="1:15" x14ac:dyDescent="0.2">
      <c r="A58" s="28">
        <v>796</v>
      </c>
      <c r="B58" s="28" t="b">
        <v>1</v>
      </c>
      <c r="C58" s="28" t="b">
        <v>1</v>
      </c>
      <c r="D58" s="28" t="s">
        <v>16</v>
      </c>
      <c r="E58" t="str">
        <f>IF(G58&lt;&gt;"",VLOOKUP(G58,PHA4GEVars!$A$7:$B$241,2,FALSE),"")</f>
        <v>Sequence information</v>
      </c>
      <c r="F58" s="28" t="s">
        <v>1869</v>
      </c>
      <c r="G58" s="28" t="s">
        <v>19</v>
      </c>
      <c r="H58" s="28" t="s">
        <v>398</v>
      </c>
      <c r="I58" s="28" t="s">
        <v>1682</v>
      </c>
      <c r="J58" s="28"/>
      <c r="K58" s="28" t="s">
        <v>1189</v>
      </c>
      <c r="L58" s="28" t="s">
        <v>1730</v>
      </c>
      <c r="M58" s="28"/>
      <c r="N58" s="28"/>
      <c r="O58" s="31" t="s">
        <v>1731</v>
      </c>
    </row>
    <row r="59" spans="1:15" x14ac:dyDescent="0.2">
      <c r="A59" s="28">
        <v>797</v>
      </c>
      <c r="B59" s="28" t="b">
        <v>1</v>
      </c>
      <c r="C59" s="28" t="b">
        <v>1</v>
      </c>
      <c r="D59" s="28" t="s">
        <v>16</v>
      </c>
      <c r="E59" t="str">
        <f>IF(G59&lt;&gt;"",VLOOKUP(G59,PHA4GEVars!$A$7:$B$241,2,FALSE),"")</f>
        <v>Sequence information</v>
      </c>
      <c r="F59" s="28" t="s">
        <v>1869</v>
      </c>
      <c r="G59" s="28" t="s">
        <v>19</v>
      </c>
      <c r="H59" s="28" t="s">
        <v>399</v>
      </c>
      <c r="I59" s="28" t="s">
        <v>1682</v>
      </c>
      <c r="J59" s="28"/>
      <c r="K59" s="28" t="s">
        <v>1189</v>
      </c>
      <c r="L59" s="28" t="s">
        <v>1730</v>
      </c>
      <c r="M59" s="28"/>
      <c r="N59" s="28"/>
      <c r="O59" s="31" t="s">
        <v>1731</v>
      </c>
    </row>
    <row r="60" spans="1:15" x14ac:dyDescent="0.2">
      <c r="A60" s="28">
        <v>798</v>
      </c>
      <c r="B60" s="28" t="b">
        <v>1</v>
      </c>
      <c r="C60" s="28" t="b">
        <v>1</v>
      </c>
      <c r="D60" s="28" t="s">
        <v>16</v>
      </c>
      <c r="E60" t="str">
        <f>IF(G60&lt;&gt;"",VLOOKUP(G60,PHA4GEVars!$A$7:$B$241,2,FALSE),"")</f>
        <v>Sequence information</v>
      </c>
      <c r="F60" s="28" t="s">
        <v>1869</v>
      </c>
      <c r="G60" s="28" t="s">
        <v>19</v>
      </c>
      <c r="H60" s="28" t="s">
        <v>400</v>
      </c>
      <c r="I60" s="28" t="s">
        <v>1682</v>
      </c>
      <c r="J60" s="28"/>
      <c r="K60" s="28" t="s">
        <v>1189</v>
      </c>
      <c r="L60" s="28" t="s">
        <v>1730</v>
      </c>
      <c r="M60" s="28"/>
      <c r="N60" s="28"/>
      <c r="O60" s="31" t="s">
        <v>1731</v>
      </c>
    </row>
    <row r="61" spans="1:15" x14ac:dyDescent="0.2">
      <c r="A61" s="28">
        <v>799</v>
      </c>
      <c r="B61" s="28" t="b">
        <v>1</v>
      </c>
      <c r="C61" s="28" t="b">
        <v>1</v>
      </c>
      <c r="D61" s="28" t="s">
        <v>16</v>
      </c>
      <c r="E61" t="str">
        <f>IF(G61&lt;&gt;"",VLOOKUP(G61,PHA4GEVars!$A$7:$B$241,2,FALSE),"")</f>
        <v>Sequence information</v>
      </c>
      <c r="F61" s="28" t="s">
        <v>1869</v>
      </c>
      <c r="G61" s="28" t="s">
        <v>19</v>
      </c>
      <c r="H61" s="28" t="s">
        <v>401</v>
      </c>
      <c r="I61" s="28" t="s">
        <v>1682</v>
      </c>
      <c r="J61" s="28"/>
      <c r="K61" s="28" t="s">
        <v>1189</v>
      </c>
      <c r="L61" s="28" t="s">
        <v>1730</v>
      </c>
      <c r="M61" s="28"/>
      <c r="N61" s="28"/>
      <c r="O61" s="31" t="s">
        <v>1731</v>
      </c>
    </row>
    <row r="62" spans="1:15" x14ac:dyDescent="0.2">
      <c r="A62" s="28">
        <v>800</v>
      </c>
      <c r="B62" s="28" t="b">
        <v>1</v>
      </c>
      <c r="C62" s="28" t="b">
        <v>1</v>
      </c>
      <c r="D62" s="28" t="s">
        <v>16</v>
      </c>
      <c r="E62" t="str">
        <f>IF(G62&lt;&gt;"",VLOOKUP(G62,PHA4GEVars!$A$7:$B$241,2,FALSE),"")</f>
        <v>Sequence information</v>
      </c>
      <c r="F62" s="28" t="s">
        <v>1869</v>
      </c>
      <c r="G62" s="28" t="s">
        <v>19</v>
      </c>
      <c r="H62" s="28" t="s">
        <v>402</v>
      </c>
      <c r="I62" s="28" t="s">
        <v>1682</v>
      </c>
      <c r="J62" s="28"/>
      <c r="K62" s="28" t="s">
        <v>1189</v>
      </c>
      <c r="L62" s="28" t="s">
        <v>1730</v>
      </c>
      <c r="M62" s="28"/>
      <c r="N62" s="28"/>
      <c r="O62" s="31" t="s">
        <v>1731</v>
      </c>
    </row>
    <row r="63" spans="1:15" x14ac:dyDescent="0.2">
      <c r="A63" s="28">
        <v>801</v>
      </c>
      <c r="B63" s="28" t="b">
        <v>1</v>
      </c>
      <c r="C63" s="28" t="b">
        <v>1</v>
      </c>
      <c r="D63" s="28" t="s">
        <v>16</v>
      </c>
      <c r="E63" t="str">
        <f>IF(G63&lt;&gt;"",VLOOKUP(G63,PHA4GEVars!$A$7:$B$241,2,FALSE),"")</f>
        <v>Sequence information</v>
      </c>
      <c r="F63" s="28" t="s">
        <v>1869</v>
      </c>
      <c r="G63" s="28" t="s">
        <v>19</v>
      </c>
      <c r="H63" s="28" t="s">
        <v>403</v>
      </c>
      <c r="I63" s="28" t="s">
        <v>1682</v>
      </c>
      <c r="J63" s="28"/>
      <c r="K63" s="28" t="s">
        <v>1189</v>
      </c>
      <c r="L63" s="28" t="s">
        <v>1730</v>
      </c>
      <c r="M63" s="28"/>
      <c r="N63" s="28"/>
      <c r="O63" s="31" t="s">
        <v>1731</v>
      </c>
    </row>
    <row r="64" spans="1:15" x14ac:dyDescent="0.2">
      <c r="A64" s="28">
        <v>802</v>
      </c>
      <c r="B64" s="28" t="b">
        <v>1</v>
      </c>
      <c r="C64" s="28" t="b">
        <v>1</v>
      </c>
      <c r="D64" s="28" t="s">
        <v>16</v>
      </c>
      <c r="E64" t="str">
        <f>IF(G64&lt;&gt;"",VLOOKUP(G64,PHA4GEVars!$A$7:$B$241,2,FALSE),"")</f>
        <v>Sequence information</v>
      </c>
      <c r="F64" s="28" t="s">
        <v>1869</v>
      </c>
      <c r="G64" s="28" t="s">
        <v>19</v>
      </c>
      <c r="H64" s="28" t="s">
        <v>1679</v>
      </c>
      <c r="I64" s="28" t="s">
        <v>1682</v>
      </c>
      <c r="J64" s="28"/>
      <c r="K64" s="28" t="s">
        <v>1189</v>
      </c>
      <c r="L64" s="28" t="s">
        <v>1730</v>
      </c>
      <c r="M64" s="28"/>
      <c r="N64" s="28"/>
      <c r="O64" s="31" t="s">
        <v>1731</v>
      </c>
    </row>
    <row r="65" spans="1:15" x14ac:dyDescent="0.2">
      <c r="A65" s="28">
        <v>803</v>
      </c>
      <c r="B65" s="28" t="b">
        <v>1</v>
      </c>
      <c r="C65" s="28" t="b">
        <v>1</v>
      </c>
      <c r="D65" s="28" t="s">
        <v>16</v>
      </c>
      <c r="E65" t="str">
        <f>IF(G65&lt;&gt;"",VLOOKUP(G65,PHA4GEVars!$A$7:$B$241,2,FALSE),"")</f>
        <v>Sequence information</v>
      </c>
      <c r="F65" s="28" t="s">
        <v>1869</v>
      </c>
      <c r="G65" s="28" t="s">
        <v>19</v>
      </c>
      <c r="H65" s="28" t="s">
        <v>404</v>
      </c>
      <c r="I65" s="28" t="s">
        <v>1682</v>
      </c>
      <c r="J65" s="28"/>
      <c r="K65" s="28" t="s">
        <v>1189</v>
      </c>
      <c r="L65" s="28" t="s">
        <v>1730</v>
      </c>
      <c r="M65" s="28"/>
      <c r="N65" s="28"/>
      <c r="O65" s="31" t="s">
        <v>1731</v>
      </c>
    </row>
    <row r="66" spans="1:15" x14ac:dyDescent="0.2">
      <c r="A66" s="28">
        <v>804</v>
      </c>
      <c r="B66" s="28" t="b">
        <v>1</v>
      </c>
      <c r="C66" s="28" t="b">
        <v>1</v>
      </c>
      <c r="D66" s="28" t="s">
        <v>16</v>
      </c>
      <c r="E66" t="str">
        <f>IF(G66&lt;&gt;"",VLOOKUP(G66,PHA4GEVars!$A$7:$B$241,2,FALSE),"")</f>
        <v>Sequence information</v>
      </c>
      <c r="F66" s="28" t="s">
        <v>1869</v>
      </c>
      <c r="G66" s="28" t="s">
        <v>19</v>
      </c>
      <c r="H66" s="28" t="s">
        <v>405</v>
      </c>
      <c r="I66" s="28" t="s">
        <v>1682</v>
      </c>
      <c r="J66" s="28"/>
      <c r="K66" s="28" t="s">
        <v>1189</v>
      </c>
      <c r="L66" s="28" t="s">
        <v>1730</v>
      </c>
      <c r="M66" s="28"/>
      <c r="N66" s="28"/>
      <c r="O66" s="31" t="s">
        <v>1731</v>
      </c>
    </row>
    <row r="67" spans="1:15" x14ac:dyDescent="0.2">
      <c r="A67" s="28">
        <v>805</v>
      </c>
      <c r="B67" s="28" t="b">
        <v>1</v>
      </c>
      <c r="C67" s="28" t="b">
        <v>1</v>
      </c>
      <c r="D67" s="28" t="s">
        <v>16</v>
      </c>
      <c r="E67" t="str">
        <f>IF(G67&lt;&gt;"",VLOOKUP(G67,PHA4GEVars!$A$7:$B$241,2,FALSE),"")</f>
        <v>Sequence information</v>
      </c>
      <c r="F67" s="28" t="s">
        <v>1869</v>
      </c>
      <c r="G67" s="28" t="s">
        <v>19</v>
      </c>
      <c r="H67" s="28" t="s">
        <v>406</v>
      </c>
      <c r="I67" s="28" t="s">
        <v>1682</v>
      </c>
      <c r="J67" s="28"/>
      <c r="K67" s="28" t="s">
        <v>1189</v>
      </c>
      <c r="L67" s="28" t="s">
        <v>1730</v>
      </c>
      <c r="M67" s="28"/>
      <c r="N67" s="28"/>
      <c r="O67" s="31" t="s">
        <v>1731</v>
      </c>
    </row>
    <row r="68" spans="1:15" x14ac:dyDescent="0.2">
      <c r="A68" s="28">
        <v>806</v>
      </c>
      <c r="B68" s="28" t="b">
        <v>1</v>
      </c>
      <c r="C68" s="28" t="b">
        <v>1</v>
      </c>
      <c r="D68" s="28" t="s">
        <v>16</v>
      </c>
      <c r="E68" t="str">
        <f>IF(G68&lt;&gt;"",VLOOKUP(G68,PHA4GEVars!$A$7:$B$241,2,FALSE),"")</f>
        <v>Sequence information</v>
      </c>
      <c r="F68" s="28" t="s">
        <v>1869</v>
      </c>
      <c r="G68" s="28" t="s">
        <v>19</v>
      </c>
      <c r="H68" s="28" t="s">
        <v>407</v>
      </c>
      <c r="I68" s="28" t="s">
        <v>1682</v>
      </c>
      <c r="J68" s="28"/>
      <c r="K68" s="28" t="s">
        <v>1189</v>
      </c>
      <c r="L68" s="28" t="s">
        <v>1730</v>
      </c>
      <c r="M68" s="28"/>
      <c r="N68" s="28"/>
      <c r="O68" s="31" t="s">
        <v>1731</v>
      </c>
    </row>
    <row r="69" spans="1:15" x14ac:dyDescent="0.2">
      <c r="A69" s="28">
        <v>807</v>
      </c>
      <c r="B69" s="28" t="b">
        <v>1</v>
      </c>
      <c r="C69" s="28" t="b">
        <v>1</v>
      </c>
      <c r="D69" s="28" t="s">
        <v>16</v>
      </c>
      <c r="E69" t="str">
        <f>IF(G69&lt;&gt;"",VLOOKUP(G69,PHA4GEVars!$A$7:$B$241,2,FALSE),"")</f>
        <v>Sequence information</v>
      </c>
      <c r="F69" s="28" t="s">
        <v>1869</v>
      </c>
      <c r="G69" s="28" t="s">
        <v>19</v>
      </c>
      <c r="H69" s="28" t="s">
        <v>408</v>
      </c>
      <c r="I69" s="28" t="s">
        <v>1682</v>
      </c>
      <c r="J69" s="28"/>
      <c r="K69" s="28" t="s">
        <v>1189</v>
      </c>
      <c r="L69" s="28" t="s">
        <v>1730</v>
      </c>
      <c r="M69" s="28"/>
      <c r="N69" s="28"/>
      <c r="O69" s="31" t="s">
        <v>1731</v>
      </c>
    </row>
    <row r="70" spans="1:15" x14ac:dyDescent="0.2">
      <c r="A70" s="28">
        <v>808</v>
      </c>
      <c r="B70" s="28" t="b">
        <v>1</v>
      </c>
      <c r="C70" s="28" t="b">
        <v>1</v>
      </c>
      <c r="D70" s="28" t="s">
        <v>16</v>
      </c>
      <c r="E70" t="str">
        <f>IF(G70&lt;&gt;"",VLOOKUP(G70,PHA4GEVars!$A$7:$B$241,2,FALSE),"")</f>
        <v>Sequence information</v>
      </c>
      <c r="F70" s="28" t="s">
        <v>1869</v>
      </c>
      <c r="G70" s="28" t="s">
        <v>19</v>
      </c>
      <c r="H70" s="28" t="s">
        <v>409</v>
      </c>
      <c r="I70" s="28" t="s">
        <v>1682</v>
      </c>
      <c r="J70" s="28"/>
      <c r="K70" s="28" t="s">
        <v>1189</v>
      </c>
      <c r="L70" s="28" t="s">
        <v>1730</v>
      </c>
      <c r="M70" s="28"/>
      <c r="N70" s="28"/>
      <c r="O70" s="31" t="s">
        <v>1731</v>
      </c>
    </row>
    <row r="71" spans="1:15" x14ac:dyDescent="0.2">
      <c r="A71" s="28">
        <v>809</v>
      </c>
      <c r="B71" s="28" t="b">
        <v>1</v>
      </c>
      <c r="C71" s="28" t="b">
        <v>1</v>
      </c>
      <c r="D71" s="28" t="s">
        <v>16</v>
      </c>
      <c r="E71" t="str">
        <f>IF(G71&lt;&gt;"",VLOOKUP(G71,PHA4GEVars!$A$7:$B$241,2,FALSE),"")</f>
        <v>Sequence information</v>
      </c>
      <c r="F71" s="28" t="s">
        <v>1869</v>
      </c>
      <c r="G71" s="28" t="s">
        <v>19</v>
      </c>
      <c r="H71" s="28" t="s">
        <v>1680</v>
      </c>
      <c r="I71" s="28" t="s">
        <v>1682</v>
      </c>
      <c r="J71" s="28"/>
      <c r="K71" s="28" t="s">
        <v>1189</v>
      </c>
      <c r="L71" s="28" t="s">
        <v>1730</v>
      </c>
      <c r="M71" s="28"/>
      <c r="N71" s="28"/>
      <c r="O71" s="31" t="s">
        <v>1731</v>
      </c>
    </row>
    <row r="72" spans="1:15" x14ac:dyDescent="0.2">
      <c r="A72" s="28">
        <v>810</v>
      </c>
      <c r="B72" s="28" t="b">
        <v>1</v>
      </c>
      <c r="C72" s="28" t="b">
        <v>1</v>
      </c>
      <c r="D72" s="28" t="s">
        <v>16</v>
      </c>
      <c r="E72" t="str">
        <f>IF(G72&lt;&gt;"",VLOOKUP(G72,PHA4GEVars!$A$7:$B$241,2,FALSE),"")</f>
        <v>Sequence information</v>
      </c>
      <c r="F72" s="28" t="s">
        <v>1869</v>
      </c>
      <c r="G72" s="28" t="s">
        <v>19</v>
      </c>
      <c r="H72" s="28" t="s">
        <v>1681</v>
      </c>
      <c r="I72" s="28" t="s">
        <v>1682</v>
      </c>
      <c r="J72" s="28"/>
      <c r="K72" s="28" t="s">
        <v>1189</v>
      </c>
      <c r="L72" s="28" t="s">
        <v>1730</v>
      </c>
      <c r="M72" s="28"/>
      <c r="N72" s="28"/>
      <c r="O72" s="31" t="s">
        <v>1731</v>
      </c>
    </row>
    <row r="73" spans="1:15" x14ac:dyDescent="0.2">
      <c r="A73" s="28">
        <v>811</v>
      </c>
      <c r="B73" s="28" t="b">
        <v>1</v>
      </c>
      <c r="C73" s="28" t="b">
        <v>1</v>
      </c>
      <c r="D73" s="28" t="s">
        <v>16</v>
      </c>
      <c r="E73" t="str">
        <f>IF(G73&lt;&gt;"",VLOOKUP(G73,PHA4GEVars!$A$7:$B$241,2,FALSE),"")</f>
        <v>Sequence information</v>
      </c>
      <c r="F73" s="28" t="s">
        <v>1869</v>
      </c>
      <c r="G73" s="28" t="s">
        <v>19</v>
      </c>
      <c r="H73" s="28" t="s">
        <v>1175</v>
      </c>
      <c r="I73" s="28" t="s">
        <v>1682</v>
      </c>
      <c r="J73" s="28"/>
      <c r="K73" s="28" t="s">
        <v>1189</v>
      </c>
      <c r="L73" s="28" t="s">
        <v>1730</v>
      </c>
      <c r="M73" s="28"/>
      <c r="N73" s="28"/>
      <c r="O73" s="31" t="s">
        <v>1731</v>
      </c>
    </row>
    <row r="74" spans="1:15" x14ac:dyDescent="0.2">
      <c r="A74" s="28">
        <v>812</v>
      </c>
      <c r="B74" s="28" t="b">
        <v>1</v>
      </c>
      <c r="C74" s="28" t="b">
        <v>1</v>
      </c>
      <c r="D74" s="28" t="s">
        <v>16</v>
      </c>
      <c r="E74" t="str">
        <f>IF(G74&lt;&gt;"",VLOOKUP(G74,PHA4GEVars!$A$7:$B$241,2,FALSE),"")</f>
        <v>Sequence information</v>
      </c>
      <c r="F74" s="28" t="s">
        <v>1869</v>
      </c>
      <c r="G74" s="28" t="s">
        <v>19</v>
      </c>
      <c r="H74" s="28" t="s">
        <v>410</v>
      </c>
      <c r="I74" s="28" t="s">
        <v>1682</v>
      </c>
      <c r="J74" s="28"/>
      <c r="K74" s="28" t="s">
        <v>1189</v>
      </c>
      <c r="L74" s="28" t="s">
        <v>1730</v>
      </c>
      <c r="M74" s="28"/>
      <c r="N74" s="28"/>
      <c r="O74" s="31" t="s">
        <v>1731</v>
      </c>
    </row>
    <row r="75" spans="1:15" x14ac:dyDescent="0.2">
      <c r="A75" s="28">
        <v>813</v>
      </c>
      <c r="B75" s="28" t="b">
        <v>1</v>
      </c>
      <c r="C75" s="28" t="b">
        <v>1</v>
      </c>
      <c r="D75" s="28" t="s">
        <v>16</v>
      </c>
      <c r="E75" t="str">
        <f>IF(G75&lt;&gt;"",VLOOKUP(G75,PHA4GEVars!$A$7:$B$241,2,FALSE),"")</f>
        <v>Sequence information</v>
      </c>
      <c r="F75" s="28" t="s">
        <v>1869</v>
      </c>
      <c r="G75" s="28" t="s">
        <v>19</v>
      </c>
      <c r="H75" s="28" t="s">
        <v>411</v>
      </c>
      <c r="I75" s="28" t="s">
        <v>1682</v>
      </c>
      <c r="J75" s="28"/>
      <c r="K75" s="28" t="s">
        <v>1189</v>
      </c>
      <c r="L75" s="28" t="s">
        <v>1730</v>
      </c>
      <c r="M75" s="28"/>
      <c r="N75" s="28"/>
      <c r="O75" s="31" t="s">
        <v>1731</v>
      </c>
    </row>
    <row r="76" spans="1:15" x14ac:dyDescent="0.2">
      <c r="A76" s="28">
        <v>814</v>
      </c>
      <c r="B76" s="28" t="b">
        <v>1</v>
      </c>
      <c r="C76" s="28" t="b">
        <v>1</v>
      </c>
      <c r="D76" s="28" t="s">
        <v>16</v>
      </c>
      <c r="E76" t="str">
        <f>IF(G76&lt;&gt;"",VLOOKUP(G76,PHA4GEVars!$A$7:$B$241,2,FALSE),"")</f>
        <v>Sequence information</v>
      </c>
      <c r="F76" s="28" t="s">
        <v>1869</v>
      </c>
      <c r="G76" s="28" t="s">
        <v>19</v>
      </c>
      <c r="H76" s="28" t="s">
        <v>412</v>
      </c>
      <c r="I76" s="28" t="s">
        <v>1682</v>
      </c>
      <c r="J76" s="28"/>
      <c r="K76" s="28" t="s">
        <v>1189</v>
      </c>
      <c r="L76" s="28" t="s">
        <v>1730</v>
      </c>
      <c r="M76" s="28"/>
      <c r="N76" s="28"/>
      <c r="O76" s="31" t="s">
        <v>1731</v>
      </c>
    </row>
    <row r="77" spans="1:15" x14ac:dyDescent="0.2">
      <c r="A77" s="28">
        <v>815</v>
      </c>
      <c r="B77" s="28" t="b">
        <v>1</v>
      </c>
      <c r="C77" s="28" t="b">
        <v>1</v>
      </c>
      <c r="D77" s="28" t="s">
        <v>16</v>
      </c>
      <c r="E77" t="str">
        <f>IF(G77&lt;&gt;"",VLOOKUP(G77,PHA4GEVars!$A$7:$B$241,2,FALSE),"")</f>
        <v>Sequence information</v>
      </c>
      <c r="F77" s="28" t="s">
        <v>1869</v>
      </c>
      <c r="G77" s="28" t="s">
        <v>19</v>
      </c>
      <c r="H77" s="28" t="s">
        <v>413</v>
      </c>
      <c r="I77" s="28" t="s">
        <v>1682</v>
      </c>
      <c r="J77" s="28"/>
      <c r="K77" s="28" t="s">
        <v>1189</v>
      </c>
      <c r="L77" s="28" t="s">
        <v>1730</v>
      </c>
      <c r="M77" s="28"/>
      <c r="N77" s="28"/>
      <c r="O77" s="31" t="s">
        <v>1731</v>
      </c>
    </row>
    <row r="78" spans="1:15" x14ac:dyDescent="0.2">
      <c r="A78" s="28">
        <v>816</v>
      </c>
      <c r="B78" s="28" t="b">
        <v>1</v>
      </c>
      <c r="C78" s="28" t="b">
        <v>1</v>
      </c>
      <c r="D78" s="28" t="s">
        <v>16</v>
      </c>
      <c r="E78" t="str">
        <f>IF(G78&lt;&gt;"",VLOOKUP(G78,PHA4GEVars!$A$7:$B$241,2,FALSE),"")</f>
        <v>Sequence information</v>
      </c>
      <c r="F78" s="28" t="s">
        <v>1869</v>
      </c>
      <c r="G78" s="28" t="s">
        <v>19</v>
      </c>
      <c r="H78" s="28" t="s">
        <v>414</v>
      </c>
      <c r="I78" s="28" t="s">
        <v>1682</v>
      </c>
      <c r="J78" s="28"/>
      <c r="K78" s="28" t="s">
        <v>1189</v>
      </c>
      <c r="L78" s="28" t="s">
        <v>1730</v>
      </c>
      <c r="M78" s="28"/>
      <c r="N78" s="28"/>
      <c r="O78" s="31" t="s">
        <v>1731</v>
      </c>
    </row>
    <row r="79" spans="1:15" x14ac:dyDescent="0.2">
      <c r="A79" s="28">
        <v>817</v>
      </c>
      <c r="B79" s="28" t="b">
        <v>1</v>
      </c>
      <c r="C79" s="28" t="b">
        <v>1</v>
      </c>
      <c r="D79" s="28" t="s">
        <v>16</v>
      </c>
      <c r="E79" t="str">
        <f>IF(G79&lt;&gt;"",VLOOKUP(G79,PHA4GEVars!$A$7:$B$241,2,FALSE),"")</f>
        <v>Sequence information</v>
      </c>
      <c r="F79" s="28" t="s">
        <v>1869</v>
      </c>
      <c r="G79" s="28" t="s">
        <v>19</v>
      </c>
      <c r="H79" s="28" t="s">
        <v>415</v>
      </c>
      <c r="I79" s="28" t="s">
        <v>1682</v>
      </c>
      <c r="J79" s="28"/>
      <c r="K79" s="28" t="s">
        <v>1189</v>
      </c>
      <c r="L79" s="28" t="s">
        <v>1730</v>
      </c>
      <c r="M79" s="28"/>
      <c r="N79" s="28"/>
      <c r="O79" s="31" t="s">
        <v>1731</v>
      </c>
    </row>
    <row r="80" spans="1:15" x14ac:dyDescent="0.2">
      <c r="A80" s="28"/>
      <c r="B80" s="28"/>
      <c r="C80" s="28"/>
      <c r="D80" s="28"/>
      <c r="E80" t="str">
        <f>IF(G80&lt;&gt;"",VLOOKUP(G80,PHA4GEVars!$A$7:$B$241,2,FALSE),"")</f>
        <v/>
      </c>
      <c r="F80" s="28"/>
      <c r="G80" s="28"/>
      <c r="H80" s="28"/>
      <c r="I80" s="28"/>
      <c r="J80" s="28"/>
      <c r="K80" s="28"/>
      <c r="L80" s="28"/>
      <c r="M80" s="28"/>
      <c r="N80" s="28"/>
      <c r="O80" s="31"/>
    </row>
    <row r="81" spans="1:15" x14ac:dyDescent="0.2">
      <c r="A81" s="28">
        <v>818</v>
      </c>
      <c r="B81" s="28" t="b">
        <v>1</v>
      </c>
      <c r="C81" s="28" t="b">
        <v>1</v>
      </c>
      <c r="D81" s="28" t="s">
        <v>16</v>
      </c>
      <c r="E81" t="str">
        <f>IF(G81&lt;&gt;"",VLOOKUP(G81,PHA4GEVars!$A$7:$B$241,2,FALSE),"")</f>
        <v>Sequence information</v>
      </c>
      <c r="F81" s="28" t="s">
        <v>1869</v>
      </c>
      <c r="G81" s="28" t="s">
        <v>115</v>
      </c>
      <c r="H81" s="28" t="s">
        <v>344</v>
      </c>
      <c r="I81" s="28" t="s">
        <v>1682</v>
      </c>
      <c r="J81" s="28"/>
      <c r="K81" s="28" t="s">
        <v>1683</v>
      </c>
      <c r="L81" s="28" t="s">
        <v>1732</v>
      </c>
      <c r="M81" s="28"/>
      <c r="N81" s="28"/>
      <c r="O81" s="31" t="s">
        <v>1684</v>
      </c>
    </row>
    <row r="82" spans="1:15" x14ac:dyDescent="0.2">
      <c r="A82" s="28">
        <v>819</v>
      </c>
      <c r="B82" s="28" t="b">
        <v>1</v>
      </c>
      <c r="C82" s="28" t="b">
        <v>1</v>
      </c>
      <c r="D82" s="28" t="s">
        <v>16</v>
      </c>
      <c r="E82" t="str">
        <f>IF(G82&lt;&gt;"",VLOOKUP(G82,PHA4GEVars!$A$7:$B$241,2,FALSE),"")</f>
        <v>Sequence information</v>
      </c>
      <c r="F82" s="28" t="s">
        <v>1869</v>
      </c>
      <c r="G82" s="28" t="s">
        <v>115</v>
      </c>
      <c r="H82" s="28" t="s">
        <v>345</v>
      </c>
      <c r="I82" s="28" t="s">
        <v>1682</v>
      </c>
      <c r="J82" s="28"/>
      <c r="K82" s="28" t="s">
        <v>1683</v>
      </c>
      <c r="L82" s="28" t="s">
        <v>1732</v>
      </c>
      <c r="M82" s="28"/>
      <c r="N82" s="28"/>
      <c r="O82" s="31" t="s">
        <v>1684</v>
      </c>
    </row>
    <row r="83" spans="1:15" x14ac:dyDescent="0.2">
      <c r="A83" s="28">
        <v>820</v>
      </c>
      <c r="B83" s="28" t="b">
        <v>1</v>
      </c>
      <c r="C83" s="28" t="b">
        <v>1</v>
      </c>
      <c r="D83" s="28" t="s">
        <v>16</v>
      </c>
      <c r="E83" t="str">
        <f>IF(G83&lt;&gt;"",VLOOKUP(G83,PHA4GEVars!$A$7:$B$241,2,FALSE),"")</f>
        <v>Sequence information</v>
      </c>
      <c r="F83" s="28" t="s">
        <v>1869</v>
      </c>
      <c r="G83" s="28" t="s">
        <v>115</v>
      </c>
      <c r="H83" s="28" t="s">
        <v>346</v>
      </c>
      <c r="I83" s="28" t="s">
        <v>1682</v>
      </c>
      <c r="J83" s="28"/>
      <c r="K83" s="28" t="s">
        <v>1683</v>
      </c>
      <c r="L83" s="28" t="s">
        <v>1732</v>
      </c>
      <c r="M83" s="28"/>
      <c r="N83" s="28"/>
      <c r="O83" s="31" t="s">
        <v>1684</v>
      </c>
    </row>
    <row r="84" spans="1:15" x14ac:dyDescent="0.2">
      <c r="A84" s="28">
        <v>821</v>
      </c>
      <c r="B84" s="28" t="b">
        <v>1</v>
      </c>
      <c r="C84" s="28" t="b">
        <v>1</v>
      </c>
      <c r="D84" s="28" t="s">
        <v>16</v>
      </c>
      <c r="E84" t="str">
        <f>IF(G84&lt;&gt;"",VLOOKUP(G84,PHA4GEVars!$A$7:$B$241,2,FALSE),"")</f>
        <v>Sequence information</v>
      </c>
      <c r="F84" s="28" t="s">
        <v>1869</v>
      </c>
      <c r="G84" s="28" t="s">
        <v>115</v>
      </c>
      <c r="H84" s="28" t="s">
        <v>347</v>
      </c>
      <c r="I84" s="28" t="s">
        <v>1682</v>
      </c>
      <c r="J84" s="28"/>
      <c r="K84" s="28" t="s">
        <v>1683</v>
      </c>
      <c r="L84" s="28" t="s">
        <v>1732</v>
      </c>
      <c r="M84" s="28"/>
      <c r="N84" s="28"/>
      <c r="O84" s="31" t="s">
        <v>1684</v>
      </c>
    </row>
    <row r="85" spans="1:15" x14ac:dyDescent="0.2">
      <c r="A85" s="28">
        <v>822</v>
      </c>
      <c r="B85" s="28" t="b">
        <v>1</v>
      </c>
      <c r="C85" s="28" t="b">
        <v>1</v>
      </c>
      <c r="D85" s="28" t="s">
        <v>16</v>
      </c>
      <c r="E85" t="str">
        <f>IF(G85&lt;&gt;"",VLOOKUP(G85,PHA4GEVars!$A$7:$B$241,2,FALSE),"")</f>
        <v>Sequence information</v>
      </c>
      <c r="F85" s="28" t="s">
        <v>1869</v>
      </c>
      <c r="G85" s="28" t="s">
        <v>115</v>
      </c>
      <c r="H85" s="28" t="s">
        <v>348</v>
      </c>
      <c r="I85" s="28" t="s">
        <v>1682</v>
      </c>
      <c r="J85" s="28"/>
      <c r="K85" s="28" t="s">
        <v>1683</v>
      </c>
      <c r="L85" s="28" t="s">
        <v>1732</v>
      </c>
      <c r="M85" s="28"/>
      <c r="N85" s="28"/>
      <c r="O85" s="31" t="s">
        <v>1684</v>
      </c>
    </row>
    <row r="86" spans="1:15" x14ac:dyDescent="0.2">
      <c r="A86" s="28">
        <v>823</v>
      </c>
      <c r="B86" s="28" t="b">
        <v>1</v>
      </c>
      <c r="C86" s="28" t="b">
        <v>1</v>
      </c>
      <c r="D86" s="28" t="s">
        <v>16</v>
      </c>
      <c r="E86" t="str">
        <f>IF(G86&lt;&gt;"",VLOOKUP(G86,PHA4GEVars!$A$7:$B$241,2,FALSE),"")</f>
        <v>Sequence information</v>
      </c>
      <c r="F86" s="28" t="s">
        <v>1869</v>
      </c>
      <c r="G86" s="28" t="s">
        <v>115</v>
      </c>
      <c r="H86" s="28" t="s">
        <v>349</v>
      </c>
      <c r="I86" s="28" t="s">
        <v>1682</v>
      </c>
      <c r="J86" s="28"/>
      <c r="K86" s="28" t="s">
        <v>1683</v>
      </c>
      <c r="L86" s="28" t="s">
        <v>1732</v>
      </c>
      <c r="M86" s="28"/>
      <c r="N86" s="28"/>
      <c r="O86" s="31" t="s">
        <v>1684</v>
      </c>
    </row>
    <row r="87" spans="1:15" x14ac:dyDescent="0.2">
      <c r="A87" s="28">
        <v>824</v>
      </c>
      <c r="B87" s="28" t="b">
        <v>1</v>
      </c>
      <c r="C87" s="28" t="b">
        <v>1</v>
      </c>
      <c r="D87" s="28" t="s">
        <v>16</v>
      </c>
      <c r="E87" t="str">
        <f>IF(G87&lt;&gt;"",VLOOKUP(G87,PHA4GEVars!$A$7:$B$241,2,FALSE),"")</f>
        <v>Sequence information</v>
      </c>
      <c r="F87" s="28" t="s">
        <v>1869</v>
      </c>
      <c r="G87" s="28" t="s">
        <v>115</v>
      </c>
      <c r="H87" s="28" t="s">
        <v>350</v>
      </c>
      <c r="I87" s="28" t="s">
        <v>1682</v>
      </c>
      <c r="J87" s="28"/>
      <c r="K87" s="28" t="s">
        <v>1683</v>
      </c>
      <c r="L87" s="28" t="s">
        <v>1732</v>
      </c>
      <c r="M87" s="28"/>
      <c r="N87" s="28"/>
      <c r="O87" s="31" t="s">
        <v>1684</v>
      </c>
    </row>
    <row r="88" spans="1:15" x14ac:dyDescent="0.2">
      <c r="A88" s="28">
        <v>825</v>
      </c>
      <c r="B88" s="28" t="b">
        <v>1</v>
      </c>
      <c r="C88" s="28" t="b">
        <v>1</v>
      </c>
      <c r="D88" s="28" t="s">
        <v>16</v>
      </c>
      <c r="E88" t="str">
        <f>IF(G88&lt;&gt;"",VLOOKUP(G88,PHA4GEVars!$A$7:$B$241,2,FALSE),"")</f>
        <v>Sequence information</v>
      </c>
      <c r="F88" s="28" t="s">
        <v>1869</v>
      </c>
      <c r="G88" s="28" t="s">
        <v>115</v>
      </c>
      <c r="H88" s="28" t="s">
        <v>351</v>
      </c>
      <c r="I88" s="28" t="s">
        <v>1682</v>
      </c>
      <c r="J88" s="28"/>
      <c r="K88" s="28" t="s">
        <v>1683</v>
      </c>
      <c r="L88" s="28" t="s">
        <v>1732</v>
      </c>
      <c r="M88" s="28"/>
      <c r="N88" s="28"/>
      <c r="O88" s="31" t="s">
        <v>1684</v>
      </c>
    </row>
    <row r="89" spans="1:15" x14ac:dyDescent="0.2">
      <c r="A89" s="28">
        <v>826</v>
      </c>
      <c r="B89" s="28" t="b">
        <v>1</v>
      </c>
      <c r="C89" s="28" t="b">
        <v>1</v>
      </c>
      <c r="D89" s="28" t="s">
        <v>16</v>
      </c>
      <c r="E89" t="str">
        <f>IF(G89&lt;&gt;"",VLOOKUP(G89,PHA4GEVars!$A$7:$B$241,2,FALSE),"")</f>
        <v>Sequence information</v>
      </c>
      <c r="F89" s="28" t="s">
        <v>1869</v>
      </c>
      <c r="G89" s="28" t="s">
        <v>115</v>
      </c>
      <c r="H89" s="28" t="s">
        <v>352</v>
      </c>
      <c r="I89" s="28" t="s">
        <v>1682</v>
      </c>
      <c r="J89" s="28"/>
      <c r="K89" s="28" t="s">
        <v>1683</v>
      </c>
      <c r="L89" s="28" t="s">
        <v>1732</v>
      </c>
      <c r="M89" s="28"/>
      <c r="N89" s="28"/>
      <c r="O89" s="31" t="s">
        <v>1684</v>
      </c>
    </row>
    <row r="90" spans="1:15" x14ac:dyDescent="0.2">
      <c r="A90" s="28">
        <v>827</v>
      </c>
      <c r="B90" s="28" t="b">
        <v>1</v>
      </c>
      <c r="C90" s="28" t="b">
        <v>1</v>
      </c>
      <c r="D90" s="28" t="s">
        <v>16</v>
      </c>
      <c r="E90" t="str">
        <f>IF(G90&lt;&gt;"",VLOOKUP(G90,PHA4GEVars!$A$7:$B$241,2,FALSE),"")</f>
        <v>Sequence information</v>
      </c>
      <c r="F90" s="28" t="s">
        <v>1869</v>
      </c>
      <c r="G90" s="28" t="s">
        <v>115</v>
      </c>
      <c r="H90" s="28" t="s">
        <v>353</v>
      </c>
      <c r="I90" s="28" t="s">
        <v>1682</v>
      </c>
      <c r="J90" s="28"/>
      <c r="K90" s="28" t="s">
        <v>1683</v>
      </c>
      <c r="L90" s="28" t="s">
        <v>1732</v>
      </c>
      <c r="M90" s="28"/>
      <c r="N90" s="28"/>
      <c r="O90" s="31" t="s">
        <v>1684</v>
      </c>
    </row>
    <row r="91" spans="1:15" x14ac:dyDescent="0.2">
      <c r="A91" s="28">
        <v>828</v>
      </c>
      <c r="B91" s="28" t="b">
        <v>1</v>
      </c>
      <c r="C91" s="28" t="b">
        <v>1</v>
      </c>
      <c r="D91" s="28" t="s">
        <v>16</v>
      </c>
      <c r="E91" t="str">
        <f>IF(G91&lt;&gt;"",VLOOKUP(G91,PHA4GEVars!$A$7:$B$241,2,FALSE),"")</f>
        <v>Sequence information</v>
      </c>
      <c r="F91" s="28" t="s">
        <v>1869</v>
      </c>
      <c r="G91" s="28" t="s">
        <v>115</v>
      </c>
      <c r="H91" s="28" t="s">
        <v>354</v>
      </c>
      <c r="I91" s="28" t="s">
        <v>1682</v>
      </c>
      <c r="J91" s="28"/>
      <c r="K91" s="28" t="s">
        <v>1683</v>
      </c>
      <c r="L91" s="28" t="s">
        <v>1732</v>
      </c>
      <c r="M91" s="28"/>
      <c r="N91" s="28"/>
      <c r="O91" s="31" t="s">
        <v>1684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1AF9-53D8-3941-B1D1-62DBC57C6BFA}">
  <dimension ref="A1:P2"/>
  <sheetViews>
    <sheetView workbookViewId="0">
      <pane ySplit="1" topLeftCell="A2" activePane="bottomLeft" state="frozen"/>
      <selection pane="bottomLeft" activeCell="C3" sqref="C3"/>
    </sheetView>
  </sheetViews>
  <sheetFormatPr baseColWidth="10" defaultRowHeight="16" x14ac:dyDescent="0.2"/>
  <cols>
    <col min="1" max="1" width="9.33203125" customWidth="1"/>
    <col min="2" max="2" width="15" customWidth="1"/>
    <col min="3" max="3" width="10.5" customWidth="1"/>
    <col min="4" max="5" width="26.83203125" customWidth="1"/>
    <col min="6" max="6" width="13" customWidth="1"/>
    <col min="7" max="7" width="25.33203125" customWidth="1"/>
    <col min="8" max="8" width="13.1640625" customWidth="1"/>
    <col min="9" max="9" width="12" customWidth="1"/>
    <col min="10" max="10" width="6.6640625" customWidth="1"/>
    <col min="11" max="11" width="10.5" customWidth="1"/>
    <col min="12" max="12" width="27.5" customWidth="1"/>
    <col min="13" max="13" width="7.5" customWidth="1"/>
    <col min="14" max="14" width="12.6640625" customWidth="1"/>
    <col min="15" max="15" width="68.6640625" customWidth="1"/>
    <col min="16" max="16" width="46.5" customWidth="1"/>
  </cols>
  <sheetData>
    <row r="1" spans="1:16" s="30" customFormat="1" x14ac:dyDescent="0.2">
      <c r="A1" s="30" t="s">
        <v>1443</v>
      </c>
      <c r="B1" s="30" t="s">
        <v>1772</v>
      </c>
      <c r="C1" s="30" t="s">
        <v>0</v>
      </c>
      <c r="D1" s="30" t="s">
        <v>10</v>
      </c>
      <c r="E1" s="30" t="s">
        <v>1883</v>
      </c>
      <c r="F1" s="30" t="s">
        <v>1</v>
      </c>
      <c r="G1" s="30" t="s">
        <v>2</v>
      </c>
      <c r="H1" s="30" t="s">
        <v>3</v>
      </c>
      <c r="I1" s="30" t="s">
        <v>4</v>
      </c>
      <c r="J1" s="30" t="s">
        <v>1801</v>
      </c>
      <c r="K1" s="30" t="s">
        <v>5</v>
      </c>
      <c r="L1" s="30" t="s">
        <v>6</v>
      </c>
      <c r="M1" s="30" t="s">
        <v>1779</v>
      </c>
      <c r="N1" s="30" t="s">
        <v>8</v>
      </c>
      <c r="O1" s="30" t="s">
        <v>9</v>
      </c>
      <c r="P1" s="30" t="s">
        <v>1770</v>
      </c>
    </row>
    <row r="2" spans="1:16" x14ac:dyDescent="0.2">
      <c r="A2">
        <v>47</v>
      </c>
      <c r="B2" t="b">
        <v>1</v>
      </c>
      <c r="C2" t="b">
        <v>0</v>
      </c>
      <c r="D2" t="s">
        <v>130</v>
      </c>
      <c r="E2" t="str">
        <f>IF(G2&lt;&gt;"",VLOOKUP(G2,PHA4GEVars!$A$7:$B$241,2,FALSE),"")</f>
        <v>Contributor acknowledgement</v>
      </c>
      <c r="F2" t="s">
        <v>1869</v>
      </c>
      <c r="G2" t="s">
        <v>131</v>
      </c>
      <c r="H2" t="s">
        <v>458</v>
      </c>
      <c r="I2" t="s">
        <v>1188</v>
      </c>
      <c r="K2" t="s">
        <v>1189</v>
      </c>
      <c r="L2" t="s">
        <v>1190</v>
      </c>
      <c r="O2" s="5" t="s">
        <v>1191</v>
      </c>
      <c r="P2" s="30" t="s">
        <v>1926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087D-05B8-484D-8712-2C5B4B568867}">
  <dimension ref="A1:K3"/>
  <sheetViews>
    <sheetView workbookViewId="0">
      <pane ySplit="1" topLeftCell="A2" activePane="bottomLeft" state="frozen"/>
      <selection pane="bottomLeft" activeCell="H2" sqref="H2:H3"/>
    </sheetView>
  </sheetViews>
  <sheetFormatPr baseColWidth="10" defaultRowHeight="16" x14ac:dyDescent="0.2"/>
  <cols>
    <col min="1" max="1" width="9" bestFit="1" customWidth="1"/>
    <col min="2" max="2" width="27.6640625" bestFit="1" customWidth="1"/>
    <col min="3" max="3" width="15.5" bestFit="1" customWidth="1"/>
    <col min="4" max="4" width="25.1640625" bestFit="1" customWidth="1"/>
    <col min="5" max="5" width="15.33203125" bestFit="1" customWidth="1"/>
    <col min="6" max="6" width="15" bestFit="1" customWidth="1"/>
    <col min="7" max="7" width="13.83203125" bestFit="1" customWidth="1"/>
    <col min="8" max="8" width="25.1640625" bestFit="1" customWidth="1"/>
    <col min="9" max="9" width="28" bestFit="1" customWidth="1"/>
    <col min="10" max="10" width="52.6640625" bestFit="1" customWidth="1"/>
    <col min="11" max="11" width="48.33203125" bestFit="1" customWidth="1"/>
  </cols>
  <sheetData>
    <row r="1" spans="1:11" s="30" customFormat="1" x14ac:dyDescent="0.2">
      <c r="A1" s="30" t="s">
        <v>0</v>
      </c>
      <c r="B1" s="30" t="s">
        <v>1883</v>
      </c>
      <c r="C1" s="29" t="s">
        <v>1</v>
      </c>
      <c r="D1" s="29" t="s">
        <v>2</v>
      </c>
      <c r="E1" s="29" t="s">
        <v>3</v>
      </c>
      <c r="F1" s="29" t="s">
        <v>4</v>
      </c>
      <c r="G1" s="19" t="s">
        <v>1042</v>
      </c>
      <c r="H1" s="19" t="s">
        <v>1988</v>
      </c>
      <c r="I1" s="19" t="s">
        <v>1867</v>
      </c>
      <c r="J1" s="19" t="s">
        <v>9</v>
      </c>
      <c r="K1" s="30" t="s">
        <v>1786</v>
      </c>
    </row>
    <row r="2" spans="1:11" x14ac:dyDescent="0.2">
      <c r="A2" t="b">
        <v>1</v>
      </c>
      <c r="B2" t="str">
        <f>IF(D2&lt;&gt;"",VLOOKUP(D2,PHA4GEVars!$A$7:$B$241,2,FALSE),"")</f>
        <v>Database identifiers</v>
      </c>
      <c r="C2" t="s">
        <v>1869</v>
      </c>
      <c r="D2" t="s">
        <v>1102</v>
      </c>
      <c r="F2" t="s">
        <v>1188</v>
      </c>
      <c r="H2" t="s">
        <v>1102</v>
      </c>
      <c r="I2" t="s">
        <v>1217</v>
      </c>
      <c r="J2" s="5" t="s">
        <v>1218</v>
      </c>
      <c r="K2" t="s">
        <v>1774</v>
      </c>
    </row>
    <row r="3" spans="1:11" x14ac:dyDescent="0.2">
      <c r="A3" t="b">
        <v>1</v>
      </c>
      <c r="B3" t="str">
        <f>IF(D3&lt;&gt;"",VLOOKUP(D3,PHA4GEVars!$A$7:$B$241,2,FALSE),"")</f>
        <v>Strain and isolation information</v>
      </c>
      <c r="C3" t="s">
        <v>1869</v>
      </c>
      <c r="D3" t="s">
        <v>1124</v>
      </c>
      <c r="F3" t="s">
        <v>1188</v>
      </c>
      <c r="H3" t="s">
        <v>1124</v>
      </c>
      <c r="I3" t="s">
        <v>1508</v>
      </c>
      <c r="J3" s="5" t="s">
        <v>1689</v>
      </c>
      <c r="K3" t="s">
        <v>1774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03FA-19AE-C146-9865-7A1697985DDA}">
  <dimension ref="A1:L6"/>
  <sheetViews>
    <sheetView workbookViewId="0">
      <pane ySplit="1" topLeftCell="A2" activePane="bottomLeft" state="frozen"/>
      <selection pane="bottomLeft" activeCell="J3" sqref="J3"/>
    </sheetView>
  </sheetViews>
  <sheetFormatPr baseColWidth="10" defaultRowHeight="16" x14ac:dyDescent="0.2"/>
  <cols>
    <col min="2" max="2" width="28.83203125" bestFit="1" customWidth="1"/>
    <col min="3" max="3" width="15.5" customWidth="1"/>
    <col min="4" max="4" width="29.5" bestFit="1" customWidth="1"/>
    <col min="5" max="5" width="15.33203125" customWidth="1"/>
    <col min="6" max="6" width="15" customWidth="1"/>
    <col min="7" max="7" width="13.83203125" customWidth="1"/>
    <col min="8" max="8" width="23.1640625" bestFit="1" customWidth="1"/>
    <col min="9" max="9" width="32.33203125" bestFit="1" customWidth="1"/>
    <col min="10" max="10" width="19" customWidth="1"/>
    <col min="11" max="11" width="14.5" bestFit="1" customWidth="1"/>
    <col min="12" max="12" width="16.6640625" customWidth="1"/>
  </cols>
  <sheetData>
    <row r="1" spans="1:12" s="30" customFormat="1" x14ac:dyDescent="0.2">
      <c r="A1" s="30" t="s">
        <v>0</v>
      </c>
      <c r="B1" s="30" t="s">
        <v>1883</v>
      </c>
      <c r="C1" s="29" t="s">
        <v>1</v>
      </c>
      <c r="D1" s="29" t="s">
        <v>2</v>
      </c>
      <c r="E1" s="29" t="s">
        <v>3</v>
      </c>
      <c r="F1" s="29" t="s">
        <v>4</v>
      </c>
      <c r="G1" s="19" t="s">
        <v>1042</v>
      </c>
      <c r="H1" s="19" t="s">
        <v>1866</v>
      </c>
      <c r="I1" s="19" t="s">
        <v>1863</v>
      </c>
      <c r="J1" s="19" t="s">
        <v>1864</v>
      </c>
      <c r="K1" s="19" t="s">
        <v>1865</v>
      </c>
      <c r="L1" s="19" t="s">
        <v>9</v>
      </c>
    </row>
    <row r="2" spans="1:12" x14ac:dyDescent="0.2">
      <c r="B2" t="str">
        <f>IF(D2&lt;&gt;"",VLOOKUP(D2,PHA4GEVars!$A$7:$B$241,2,FALSE),"")</f>
        <v/>
      </c>
      <c r="C2" t="s">
        <v>1870</v>
      </c>
    </row>
    <row r="3" spans="1:12" ht="320" x14ac:dyDescent="0.2">
      <c r="A3" t="b">
        <v>1</v>
      </c>
      <c r="B3" t="str">
        <f>IF(D3&lt;&gt;"",VLOOKUP(D3,PHA4GEVars!$A$7:$B$241,2,FALSE),"")</f>
        <v>Sample collection and processing</v>
      </c>
      <c r="C3" t="s">
        <v>1869</v>
      </c>
      <c r="D3" t="s">
        <v>109</v>
      </c>
      <c r="F3" t="s">
        <v>1228</v>
      </c>
      <c r="H3" t="s">
        <v>1269</v>
      </c>
      <c r="I3" t="s">
        <v>1332</v>
      </c>
      <c r="J3" s="44" t="s">
        <v>1944</v>
      </c>
      <c r="K3" s="44" t="s">
        <v>1945</v>
      </c>
    </row>
    <row r="4" spans="1:12" x14ac:dyDescent="0.2">
      <c r="A4" t="b">
        <v>1</v>
      </c>
      <c r="B4" t="str">
        <f>IF(D4&lt;&gt;"",VLOOKUP(D4,PHA4GEVars!$A$7:$B$241,2,FALSE),"")</f>
        <v>Sequence information</v>
      </c>
      <c r="C4" t="s">
        <v>1869</v>
      </c>
      <c r="D4" t="s">
        <v>17</v>
      </c>
      <c r="F4" t="s">
        <v>1228</v>
      </c>
      <c r="H4" t="s">
        <v>1506</v>
      </c>
      <c r="I4" t="s">
        <v>1505</v>
      </c>
    </row>
    <row r="5" spans="1:12" ht="304" x14ac:dyDescent="0.2">
      <c r="A5" t="b">
        <v>1</v>
      </c>
      <c r="B5" t="str">
        <f>IF(D5&lt;&gt;"",VLOOKUP(D5,PHA4GEVars!$A$7:$B$241,2,FALSE),"")</f>
        <v>Sequence information</v>
      </c>
      <c r="C5" t="s">
        <v>1869</v>
      </c>
      <c r="D5" t="s">
        <v>1132</v>
      </c>
      <c r="F5" t="s">
        <v>1228</v>
      </c>
      <c r="H5" t="s">
        <v>1667</v>
      </c>
      <c r="I5" t="s">
        <v>1510</v>
      </c>
      <c r="J5" s="44" t="s">
        <v>1946</v>
      </c>
      <c r="K5" s="44" t="s">
        <v>1947</v>
      </c>
    </row>
    <row r="6" spans="1:12" ht="304" x14ac:dyDescent="0.2">
      <c r="A6" t="b">
        <v>1</v>
      </c>
      <c r="B6" t="str">
        <f>IF(D6&lt;&gt;"",VLOOKUP(D6,PHA4GEVars!$A$7:$B$241,2,FALSE),"")</f>
        <v>Strain and isolation information</v>
      </c>
      <c r="C6" t="s">
        <v>1869</v>
      </c>
      <c r="D6" t="s">
        <v>1125</v>
      </c>
      <c r="F6" t="s">
        <v>1228</v>
      </c>
      <c r="H6" t="s">
        <v>1507</v>
      </c>
      <c r="I6" t="s">
        <v>1509</v>
      </c>
      <c r="J6" s="44" t="s">
        <v>1948</v>
      </c>
      <c r="K6" s="44" t="s">
        <v>1949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A0FBE-662C-E84E-B01A-37A99B13F6CC}">
  <dimension ref="A1:AF5"/>
  <sheetViews>
    <sheetView topLeftCell="L1" workbookViewId="0">
      <pane ySplit="1" topLeftCell="A2" activePane="bottomLeft" state="frozen"/>
      <selection pane="bottomLeft" activeCell="P3" sqref="P3"/>
    </sheetView>
  </sheetViews>
  <sheetFormatPr baseColWidth="10" defaultRowHeight="16" x14ac:dyDescent="0.2"/>
  <cols>
    <col min="1" max="1" width="9.33203125" customWidth="1"/>
    <col min="2" max="2" width="15" customWidth="1"/>
    <col min="3" max="3" width="10.5" customWidth="1"/>
    <col min="4" max="5" width="28.5" customWidth="1"/>
    <col min="6" max="6" width="13" customWidth="1"/>
    <col min="7" max="7" width="34.1640625" customWidth="1"/>
    <col min="8" max="8" width="39" customWidth="1"/>
    <col min="9" max="9" width="12" customWidth="1"/>
    <col min="10" max="10" width="6.6640625" customWidth="1"/>
    <col min="11" max="11" width="11.83203125" customWidth="1"/>
    <col min="12" max="12" width="36.1640625" customWidth="1"/>
    <col min="13" max="13" width="7.5" customWidth="1"/>
    <col min="14" max="14" width="44.33203125" customWidth="1"/>
    <col min="15" max="15" width="70.83203125" customWidth="1"/>
    <col min="16" max="16" width="114.6640625" customWidth="1"/>
  </cols>
  <sheetData>
    <row r="1" spans="1:32" s="30" customFormat="1" x14ac:dyDescent="0.2">
      <c r="A1" s="29" t="s">
        <v>1443</v>
      </c>
      <c r="B1" s="29" t="s">
        <v>1772</v>
      </c>
      <c r="C1" s="29" t="s">
        <v>0</v>
      </c>
      <c r="D1" s="29" t="s">
        <v>10</v>
      </c>
      <c r="E1" s="29" t="s">
        <v>1883</v>
      </c>
      <c r="F1" s="29" t="s">
        <v>1</v>
      </c>
      <c r="G1" s="29" t="s">
        <v>2</v>
      </c>
      <c r="H1" s="29" t="s">
        <v>3</v>
      </c>
      <c r="I1" s="29" t="s">
        <v>4</v>
      </c>
      <c r="J1" s="29" t="s">
        <v>1801</v>
      </c>
      <c r="K1" s="29" t="s">
        <v>5</v>
      </c>
      <c r="L1" s="29" t="s">
        <v>6</v>
      </c>
      <c r="M1" s="29" t="s">
        <v>1779</v>
      </c>
      <c r="N1" s="29" t="s">
        <v>8</v>
      </c>
      <c r="O1" s="29" t="s">
        <v>9</v>
      </c>
      <c r="P1" s="29" t="s">
        <v>1770</v>
      </c>
      <c r="Q1" s="29"/>
      <c r="R1" s="29"/>
      <c r="S1" s="29"/>
      <c r="T1" s="29"/>
      <c r="U1" s="29"/>
      <c r="V1" s="29"/>
      <c r="W1" s="29"/>
      <c r="X1" s="29"/>
      <c r="Y1" s="29"/>
      <c r="Z1" s="29"/>
      <c r="AA1" s="29"/>
      <c r="AB1" s="29"/>
      <c r="AC1" s="29"/>
      <c r="AD1" s="29"/>
      <c r="AE1" s="29"/>
      <c r="AF1" s="29"/>
    </row>
    <row r="2" spans="1:32" x14ac:dyDescent="0.2">
      <c r="A2" s="28">
        <v>335</v>
      </c>
      <c r="B2" s="28" t="b">
        <v>1</v>
      </c>
      <c r="C2" s="28" t="b">
        <v>1</v>
      </c>
      <c r="D2" s="28" t="s">
        <v>108</v>
      </c>
      <c r="E2" t="str">
        <f>IF(G2&lt;&gt;"",VLOOKUP(G2,PHA4GEVars!$A$7:$B$241,2,FALSE),"")</f>
        <v>Sample collection and processing</v>
      </c>
      <c r="F2" s="28" t="s">
        <v>1869</v>
      </c>
      <c r="G2" s="28" t="s">
        <v>1895</v>
      </c>
      <c r="H2" s="28" t="s">
        <v>458</v>
      </c>
      <c r="I2" s="28" t="s">
        <v>1225</v>
      </c>
      <c r="J2" s="28"/>
      <c r="K2" s="28" t="s">
        <v>9</v>
      </c>
      <c r="L2" s="28" t="s">
        <v>1789</v>
      </c>
      <c r="M2" s="28"/>
      <c r="N2" s="28"/>
      <c r="O2" s="36"/>
      <c r="P2" s="28"/>
      <c r="Q2" s="28"/>
      <c r="R2" s="28"/>
      <c r="S2" s="28"/>
      <c r="T2" s="28"/>
      <c r="U2" s="28"/>
      <c r="V2" s="28"/>
      <c r="W2" s="28"/>
      <c r="X2" s="28"/>
      <c r="Y2" s="28"/>
      <c r="Z2" s="28"/>
      <c r="AA2" s="28"/>
      <c r="AB2" s="28"/>
      <c r="AC2" s="28"/>
      <c r="AD2" s="28"/>
      <c r="AE2" s="28"/>
      <c r="AF2" s="28"/>
    </row>
    <row r="3" spans="1:32" x14ac:dyDescent="0.2">
      <c r="A3" s="28">
        <v>337</v>
      </c>
      <c r="B3" s="28" t="b">
        <v>1</v>
      </c>
      <c r="C3" s="28" t="b">
        <v>1</v>
      </c>
      <c r="D3" s="28" t="s">
        <v>108</v>
      </c>
      <c r="E3" t="str">
        <f>IF(G3&lt;&gt;"",VLOOKUP(G3,PHA4GEVars!$A$7:$B$241,2,FALSE),"")</f>
        <v>Sample collection and processing</v>
      </c>
      <c r="F3" s="28" t="s">
        <v>1869</v>
      </c>
      <c r="G3" s="28" t="s">
        <v>1896</v>
      </c>
      <c r="H3" s="28" t="s">
        <v>458</v>
      </c>
      <c r="I3" s="28" t="s">
        <v>1225</v>
      </c>
      <c r="J3" s="28"/>
      <c r="K3" s="28" t="s">
        <v>1327</v>
      </c>
      <c r="L3" s="28" t="s">
        <v>1326</v>
      </c>
      <c r="M3" s="28"/>
      <c r="N3" s="28"/>
      <c r="O3" s="31" t="s">
        <v>1328</v>
      </c>
      <c r="P3" s="28" t="s">
        <v>1790</v>
      </c>
      <c r="Q3" s="28"/>
      <c r="R3" s="28"/>
      <c r="S3" s="28"/>
      <c r="T3" s="28"/>
      <c r="U3" s="28"/>
      <c r="V3" s="28"/>
      <c r="W3" s="28"/>
      <c r="X3" s="28"/>
      <c r="Y3" s="28"/>
      <c r="Z3" s="28"/>
      <c r="AA3" s="28"/>
      <c r="AB3" s="28"/>
      <c r="AC3" s="28"/>
      <c r="AD3" s="28"/>
      <c r="AE3" s="28"/>
      <c r="AF3" s="28"/>
    </row>
    <row r="4" spans="1:32" x14ac:dyDescent="0.2">
      <c r="A4" s="28"/>
      <c r="B4" s="28" t="b">
        <v>1</v>
      </c>
      <c r="C4" s="28" t="b">
        <v>1</v>
      </c>
      <c r="D4" s="28" t="s">
        <v>108</v>
      </c>
      <c r="E4" t="str">
        <f>IF(G4&lt;&gt;"",VLOOKUP(G4,PHA4GEVars!$A$7:$B$241,2,FALSE),"")</f>
        <v>Sample collection and processing</v>
      </c>
      <c r="F4" s="28" t="s">
        <v>1869</v>
      </c>
      <c r="G4" s="28" t="s">
        <v>1893</v>
      </c>
      <c r="H4" s="46"/>
      <c r="I4" s="28" t="s">
        <v>1225</v>
      </c>
      <c r="J4" s="28"/>
      <c r="K4" s="28" t="s">
        <v>1226</v>
      </c>
      <c r="L4" s="28" t="s">
        <v>1873</v>
      </c>
      <c r="M4" s="28"/>
      <c r="N4" s="28"/>
      <c r="O4" s="31"/>
      <c r="P4" s="28"/>
      <c r="Q4" s="28"/>
      <c r="R4" s="28"/>
      <c r="S4" s="28"/>
      <c r="T4" s="28"/>
      <c r="U4" s="28"/>
      <c r="V4" s="28"/>
      <c r="W4" s="28"/>
      <c r="X4" s="28"/>
      <c r="Y4" s="28"/>
      <c r="Z4" s="28"/>
      <c r="AA4" s="28"/>
      <c r="AB4" s="28"/>
      <c r="AC4" s="28"/>
      <c r="AD4" s="28"/>
      <c r="AE4" s="28"/>
      <c r="AF4" s="28"/>
    </row>
    <row r="5" spans="1:32" x14ac:dyDescent="0.2">
      <c r="A5" s="28">
        <v>609</v>
      </c>
      <c r="B5" s="28" t="b">
        <v>1</v>
      </c>
      <c r="C5" s="28" t="b">
        <v>1</v>
      </c>
      <c r="D5" s="28" t="s">
        <v>108</v>
      </c>
      <c r="E5" t="str">
        <f>IF(G5&lt;&gt;"",VLOOKUP(G5,PHA4GEVars!$A$7:$B$241,2,FALSE),"")</f>
        <v>Sample collection and processing</v>
      </c>
      <c r="F5" s="28" t="s">
        <v>1869</v>
      </c>
      <c r="G5" s="28" t="s">
        <v>1894</v>
      </c>
      <c r="H5" s="46" t="s">
        <v>458</v>
      </c>
      <c r="I5" s="28" t="s">
        <v>1225</v>
      </c>
      <c r="J5" s="28"/>
      <c r="K5" s="28" t="s">
        <v>1329</v>
      </c>
      <c r="L5" s="28" t="s">
        <v>1330</v>
      </c>
      <c r="M5" s="28"/>
      <c r="N5" s="28"/>
      <c r="O5" s="31" t="s">
        <v>1331</v>
      </c>
      <c r="P5" s="28" t="s">
        <v>1791</v>
      </c>
      <c r="Q5" s="28"/>
      <c r="R5" s="28"/>
      <c r="S5" s="28"/>
      <c r="T5" s="28"/>
      <c r="U5" s="28"/>
      <c r="V5" s="28"/>
      <c r="W5" s="28"/>
      <c r="X5" s="28"/>
      <c r="Y5" s="28"/>
      <c r="Z5" s="28"/>
      <c r="AA5" s="28"/>
      <c r="AB5" s="28"/>
      <c r="AC5" s="28"/>
      <c r="AD5" s="28"/>
      <c r="AE5" s="28"/>
      <c r="AF5" s="28"/>
    </row>
  </sheetData>
  <pageMargins left="0.7" right="0.7" top="0.75" bottom="0.75" header="0.3" footer="0.3"/>
  <pageSetup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5D1A3-5738-7443-A984-3973687D3D7B}">
  <dimension ref="A1:N272"/>
  <sheetViews>
    <sheetView workbookViewId="0">
      <pane ySplit="1" topLeftCell="A2" activePane="bottomLeft" state="frozen"/>
      <selection pane="bottomLeft" activeCell="I1" sqref="I1"/>
    </sheetView>
  </sheetViews>
  <sheetFormatPr baseColWidth="10" defaultRowHeight="16" x14ac:dyDescent="0.2"/>
  <cols>
    <col min="1" max="1" width="9.6640625" bestFit="1" customWidth="1"/>
    <col min="2" max="2" width="9" bestFit="1" customWidth="1"/>
    <col min="3" max="3" width="28.83203125" bestFit="1" customWidth="1"/>
    <col min="4" max="4" width="28.83203125" customWidth="1"/>
    <col min="5" max="5" width="10.6640625" bestFit="1" customWidth="1"/>
    <col min="6" max="6" width="21.1640625" bestFit="1" customWidth="1"/>
    <col min="7" max="7" width="39" bestFit="1" customWidth="1"/>
    <col min="8" max="8" width="10.33203125" bestFit="1" customWidth="1"/>
    <col min="9" max="9" width="12" bestFit="1" customWidth="1"/>
    <col min="10" max="10" width="11.1640625" bestFit="1" customWidth="1"/>
    <col min="11" max="11" width="9.5" bestFit="1" customWidth="1"/>
    <col min="12" max="12" width="46.1640625" bestFit="1" customWidth="1"/>
    <col min="13" max="13" width="73.33203125" bestFit="1" customWidth="1"/>
    <col min="14" max="14" width="12" bestFit="1" customWidth="1"/>
  </cols>
  <sheetData>
    <row r="1" spans="1:14" s="30" customFormat="1" x14ac:dyDescent="0.2">
      <c r="A1" s="30" t="s">
        <v>1443</v>
      </c>
      <c r="B1" s="30" t="s">
        <v>0</v>
      </c>
      <c r="C1" s="30" t="s">
        <v>10</v>
      </c>
      <c r="D1" s="30" t="s">
        <v>1883</v>
      </c>
      <c r="E1" s="30" t="s">
        <v>1</v>
      </c>
      <c r="F1" s="30" t="s">
        <v>2</v>
      </c>
      <c r="G1" s="30" t="s">
        <v>3</v>
      </c>
      <c r="H1" s="30" t="s">
        <v>4</v>
      </c>
      <c r="I1" s="30" t="s">
        <v>1984</v>
      </c>
      <c r="J1" s="30" t="s">
        <v>6</v>
      </c>
      <c r="K1" s="30" t="s">
        <v>7</v>
      </c>
      <c r="L1" s="30" t="s">
        <v>8</v>
      </c>
      <c r="M1" s="30" t="s">
        <v>9</v>
      </c>
      <c r="N1" s="30" t="s">
        <v>1786</v>
      </c>
    </row>
    <row r="2" spans="1:14" x14ac:dyDescent="0.2">
      <c r="A2">
        <v>338</v>
      </c>
      <c r="B2" t="b">
        <f t="shared" ref="B2:B65" si="0">IF(OR(G2="NA",H2="wide_value"),"",TRUE)</f>
        <v>1</v>
      </c>
      <c r="C2" t="s">
        <v>108</v>
      </c>
      <c r="D2" t="str">
        <f>IF(F2&lt;&gt;"",VLOOKUP(F2,PHA4GEVars!$A$7:$B$241,2,FALSE),"")</f>
        <v>Sample collection and processing</v>
      </c>
      <c r="E2" t="s">
        <v>1869</v>
      </c>
      <c r="F2" t="s">
        <v>1893</v>
      </c>
      <c r="G2" s="45" t="s">
        <v>460</v>
      </c>
      <c r="H2" t="s">
        <v>1225</v>
      </c>
      <c r="I2" t="s">
        <v>1226</v>
      </c>
      <c r="J2" s="28" t="s">
        <v>459</v>
      </c>
      <c r="M2" s="5" t="s">
        <v>1227</v>
      </c>
      <c r="N2" t="s">
        <v>1874</v>
      </c>
    </row>
    <row r="3" spans="1:14" x14ac:dyDescent="0.2">
      <c r="A3">
        <v>339</v>
      </c>
      <c r="B3" t="b">
        <f t="shared" si="0"/>
        <v>1</v>
      </c>
      <c r="C3" t="s">
        <v>108</v>
      </c>
      <c r="D3" t="str">
        <f>IF(F3&lt;&gt;"",VLOOKUP(F3,PHA4GEVars!$A$7:$B$241,2,FALSE),"")</f>
        <v>Sample collection and processing</v>
      </c>
      <c r="E3" t="s">
        <v>1869</v>
      </c>
      <c r="F3" t="s">
        <v>1893</v>
      </c>
      <c r="G3" s="45" t="s">
        <v>462</v>
      </c>
      <c r="H3" t="s">
        <v>1225</v>
      </c>
      <c r="I3" t="s">
        <v>1226</v>
      </c>
      <c r="J3" s="28" t="s">
        <v>461</v>
      </c>
      <c r="M3" s="5" t="s">
        <v>1227</v>
      </c>
      <c r="N3" t="s">
        <v>1874</v>
      </c>
    </row>
    <row r="4" spans="1:14" x14ac:dyDescent="0.2">
      <c r="A4">
        <v>340</v>
      </c>
      <c r="B4" t="b">
        <f t="shared" si="0"/>
        <v>1</v>
      </c>
      <c r="C4" t="s">
        <v>108</v>
      </c>
      <c r="D4" t="str">
        <f>IF(F4&lt;&gt;"",VLOOKUP(F4,PHA4GEVars!$A$7:$B$241,2,FALSE),"")</f>
        <v>Sample collection and processing</v>
      </c>
      <c r="E4" t="s">
        <v>1869</v>
      </c>
      <c r="F4" t="s">
        <v>1893</v>
      </c>
      <c r="G4" s="45" t="s">
        <v>464</v>
      </c>
      <c r="H4" t="s">
        <v>1225</v>
      </c>
      <c r="I4" t="s">
        <v>1226</v>
      </c>
      <c r="J4" s="28" t="s">
        <v>463</v>
      </c>
      <c r="M4" s="5" t="s">
        <v>1227</v>
      </c>
      <c r="N4" t="s">
        <v>1874</v>
      </c>
    </row>
    <row r="5" spans="1:14" x14ac:dyDescent="0.2">
      <c r="A5">
        <v>341</v>
      </c>
      <c r="B5" t="b">
        <f t="shared" si="0"/>
        <v>1</v>
      </c>
      <c r="C5" t="s">
        <v>108</v>
      </c>
      <c r="D5" t="str">
        <f>IF(F5&lt;&gt;"",VLOOKUP(F5,PHA4GEVars!$A$7:$B$241,2,FALSE),"")</f>
        <v>Sample collection and processing</v>
      </c>
      <c r="E5" t="s">
        <v>1869</v>
      </c>
      <c r="F5" t="s">
        <v>1893</v>
      </c>
      <c r="G5" s="45" t="s">
        <v>466</v>
      </c>
      <c r="H5" t="s">
        <v>1225</v>
      </c>
      <c r="I5" t="s">
        <v>1226</v>
      </c>
      <c r="J5" s="28" t="s">
        <v>465</v>
      </c>
      <c r="M5" s="5" t="s">
        <v>1227</v>
      </c>
      <c r="N5" t="s">
        <v>1874</v>
      </c>
    </row>
    <row r="6" spans="1:14" x14ac:dyDescent="0.2">
      <c r="A6">
        <v>342</v>
      </c>
      <c r="B6" t="b">
        <f t="shared" si="0"/>
        <v>1</v>
      </c>
      <c r="C6" t="s">
        <v>108</v>
      </c>
      <c r="D6" t="str">
        <f>IF(F6&lt;&gt;"",VLOOKUP(F6,PHA4GEVars!$A$7:$B$241,2,FALSE),"")</f>
        <v>Sample collection and processing</v>
      </c>
      <c r="E6" t="s">
        <v>1869</v>
      </c>
      <c r="F6" t="s">
        <v>1893</v>
      </c>
      <c r="G6" s="45" t="s">
        <v>468</v>
      </c>
      <c r="H6" t="s">
        <v>1225</v>
      </c>
      <c r="I6" t="s">
        <v>1226</v>
      </c>
      <c r="J6" s="28" t="s">
        <v>467</v>
      </c>
      <c r="M6" s="5" t="s">
        <v>1227</v>
      </c>
      <c r="N6" t="s">
        <v>1874</v>
      </c>
    </row>
    <row r="7" spans="1:14" x14ac:dyDescent="0.2">
      <c r="A7">
        <v>343</v>
      </c>
      <c r="B7" t="b">
        <f t="shared" si="0"/>
        <v>1</v>
      </c>
      <c r="C7" t="s">
        <v>108</v>
      </c>
      <c r="D7" t="str">
        <f>IF(F7&lt;&gt;"",VLOOKUP(F7,PHA4GEVars!$A$7:$B$241,2,FALSE),"")</f>
        <v>Sample collection and processing</v>
      </c>
      <c r="E7" t="s">
        <v>1869</v>
      </c>
      <c r="F7" t="s">
        <v>1893</v>
      </c>
      <c r="G7" s="45" t="s">
        <v>470</v>
      </c>
      <c r="H7" t="s">
        <v>1225</v>
      </c>
      <c r="I7" t="s">
        <v>1226</v>
      </c>
      <c r="J7" s="28" t="s">
        <v>469</v>
      </c>
      <c r="M7" s="5" t="s">
        <v>1227</v>
      </c>
      <c r="N7" t="s">
        <v>1874</v>
      </c>
    </row>
    <row r="8" spans="1:14" x14ac:dyDescent="0.2">
      <c r="A8">
        <v>344</v>
      </c>
      <c r="B8" t="b">
        <f t="shared" si="0"/>
        <v>1</v>
      </c>
      <c r="C8" t="s">
        <v>108</v>
      </c>
      <c r="D8" t="str">
        <f>IF(F8&lt;&gt;"",VLOOKUP(F8,PHA4GEVars!$A$7:$B$241,2,FALSE),"")</f>
        <v>Sample collection and processing</v>
      </c>
      <c r="E8" t="s">
        <v>1869</v>
      </c>
      <c r="F8" t="s">
        <v>1893</v>
      </c>
      <c r="G8" s="45" t="s">
        <v>472</v>
      </c>
      <c r="H8" t="s">
        <v>1225</v>
      </c>
      <c r="I8" t="s">
        <v>1226</v>
      </c>
      <c r="J8" s="28" t="s">
        <v>471</v>
      </c>
      <c r="M8" s="5" t="s">
        <v>1227</v>
      </c>
      <c r="N8" t="s">
        <v>1874</v>
      </c>
    </row>
    <row r="9" spans="1:14" x14ac:dyDescent="0.2">
      <c r="A9">
        <v>345</v>
      </c>
      <c r="B9" t="b">
        <f t="shared" si="0"/>
        <v>1</v>
      </c>
      <c r="C9" t="s">
        <v>108</v>
      </c>
      <c r="D9" t="str">
        <f>IF(F9&lt;&gt;"",VLOOKUP(F9,PHA4GEVars!$A$7:$B$241,2,FALSE),"")</f>
        <v>Sample collection and processing</v>
      </c>
      <c r="E9" t="s">
        <v>1869</v>
      </c>
      <c r="F9" t="s">
        <v>1893</v>
      </c>
      <c r="G9" s="45" t="s">
        <v>474</v>
      </c>
      <c r="H9" t="s">
        <v>1225</v>
      </c>
      <c r="I9" t="s">
        <v>1226</v>
      </c>
      <c r="J9" s="28" t="s">
        <v>473</v>
      </c>
      <c r="M9" s="5" t="s">
        <v>1227</v>
      </c>
      <c r="N9" t="s">
        <v>1874</v>
      </c>
    </row>
    <row r="10" spans="1:14" x14ac:dyDescent="0.2">
      <c r="A10">
        <v>346</v>
      </c>
      <c r="B10" t="b">
        <f t="shared" si="0"/>
        <v>1</v>
      </c>
      <c r="C10" t="s">
        <v>108</v>
      </c>
      <c r="D10" t="str">
        <f>IF(F10&lt;&gt;"",VLOOKUP(F10,PHA4GEVars!$A$7:$B$241,2,FALSE),"")</f>
        <v>Sample collection and processing</v>
      </c>
      <c r="E10" t="s">
        <v>1869</v>
      </c>
      <c r="F10" t="s">
        <v>1893</v>
      </c>
      <c r="G10" s="45" t="s">
        <v>476</v>
      </c>
      <c r="H10" t="s">
        <v>1225</v>
      </c>
      <c r="I10" t="s">
        <v>1226</v>
      </c>
      <c r="J10" s="28" t="s">
        <v>475</v>
      </c>
      <c r="M10" s="5" t="s">
        <v>1227</v>
      </c>
      <c r="N10" t="s">
        <v>1874</v>
      </c>
    </row>
    <row r="11" spans="1:14" x14ac:dyDescent="0.2">
      <c r="A11">
        <v>347</v>
      </c>
      <c r="B11" t="b">
        <f t="shared" si="0"/>
        <v>1</v>
      </c>
      <c r="C11" t="s">
        <v>108</v>
      </c>
      <c r="D11" t="str">
        <f>IF(F11&lt;&gt;"",VLOOKUP(F11,PHA4GEVars!$A$7:$B$241,2,FALSE),"")</f>
        <v>Sample collection and processing</v>
      </c>
      <c r="E11" t="s">
        <v>1869</v>
      </c>
      <c r="F11" t="s">
        <v>1893</v>
      </c>
      <c r="G11" s="45" t="s">
        <v>478</v>
      </c>
      <c r="H11" t="s">
        <v>1225</v>
      </c>
      <c r="I11" t="s">
        <v>1226</v>
      </c>
      <c r="J11" s="28" t="s">
        <v>477</v>
      </c>
      <c r="M11" s="5" t="s">
        <v>1227</v>
      </c>
      <c r="N11" t="s">
        <v>1874</v>
      </c>
    </row>
    <row r="12" spans="1:14" x14ac:dyDescent="0.2">
      <c r="A12">
        <v>348</v>
      </c>
      <c r="B12" t="b">
        <f t="shared" si="0"/>
        <v>1</v>
      </c>
      <c r="C12" t="s">
        <v>108</v>
      </c>
      <c r="D12" t="str">
        <f>IF(F12&lt;&gt;"",VLOOKUP(F12,PHA4GEVars!$A$7:$B$241,2,FALSE),"")</f>
        <v>Sample collection and processing</v>
      </c>
      <c r="E12" t="s">
        <v>1869</v>
      </c>
      <c r="F12" t="s">
        <v>1893</v>
      </c>
      <c r="G12" s="45" t="s">
        <v>480</v>
      </c>
      <c r="H12" t="s">
        <v>1225</v>
      </c>
      <c r="I12" t="s">
        <v>1226</v>
      </c>
      <c r="J12" s="28" t="s">
        <v>479</v>
      </c>
      <c r="M12" s="5" t="s">
        <v>1227</v>
      </c>
      <c r="N12" t="s">
        <v>1874</v>
      </c>
    </row>
    <row r="13" spans="1:14" x14ac:dyDescent="0.2">
      <c r="A13">
        <v>349</v>
      </c>
      <c r="B13" t="b">
        <f t="shared" si="0"/>
        <v>1</v>
      </c>
      <c r="C13" t="s">
        <v>108</v>
      </c>
      <c r="D13" t="str">
        <f>IF(F13&lt;&gt;"",VLOOKUP(F13,PHA4GEVars!$A$7:$B$241,2,FALSE),"")</f>
        <v>Sample collection and processing</v>
      </c>
      <c r="E13" t="s">
        <v>1869</v>
      </c>
      <c r="F13" t="s">
        <v>1893</v>
      </c>
      <c r="G13" s="45" t="s">
        <v>482</v>
      </c>
      <c r="H13" t="s">
        <v>1225</v>
      </c>
      <c r="I13" t="s">
        <v>1226</v>
      </c>
      <c r="J13" s="28" t="s">
        <v>481</v>
      </c>
      <c r="M13" s="5" t="s">
        <v>1227</v>
      </c>
      <c r="N13" t="s">
        <v>1874</v>
      </c>
    </row>
    <row r="14" spans="1:14" x14ac:dyDescent="0.2">
      <c r="A14">
        <v>350</v>
      </c>
      <c r="B14" t="b">
        <f t="shared" si="0"/>
        <v>1</v>
      </c>
      <c r="C14" t="s">
        <v>108</v>
      </c>
      <c r="D14" t="str">
        <f>IF(F14&lt;&gt;"",VLOOKUP(F14,PHA4GEVars!$A$7:$B$241,2,FALSE),"")</f>
        <v>Sample collection and processing</v>
      </c>
      <c r="E14" t="s">
        <v>1869</v>
      </c>
      <c r="F14" t="s">
        <v>1893</v>
      </c>
      <c r="G14" s="45" t="s">
        <v>483</v>
      </c>
      <c r="H14" t="s">
        <v>1225</v>
      </c>
      <c r="I14" t="s">
        <v>1226</v>
      </c>
      <c r="J14" t="s">
        <v>1450</v>
      </c>
      <c r="L14" t="s">
        <v>1451</v>
      </c>
      <c r="M14" s="5" t="s">
        <v>1227</v>
      </c>
      <c r="N14" t="s">
        <v>1874</v>
      </c>
    </row>
    <row r="15" spans="1:14" x14ac:dyDescent="0.2">
      <c r="A15">
        <v>351</v>
      </c>
      <c r="B15" t="b">
        <f t="shared" si="0"/>
        <v>1</v>
      </c>
      <c r="C15" t="s">
        <v>108</v>
      </c>
      <c r="D15" t="str">
        <f>IF(F15&lt;&gt;"",VLOOKUP(F15,PHA4GEVars!$A$7:$B$241,2,FALSE),"")</f>
        <v>Sample collection and processing</v>
      </c>
      <c r="E15" t="s">
        <v>1869</v>
      </c>
      <c r="F15" t="s">
        <v>1893</v>
      </c>
      <c r="G15" s="45" t="s">
        <v>485</v>
      </c>
      <c r="H15" t="s">
        <v>1225</v>
      </c>
      <c r="I15" t="s">
        <v>1226</v>
      </c>
      <c r="J15" s="28" t="s">
        <v>484</v>
      </c>
      <c r="M15" s="5" t="s">
        <v>1227</v>
      </c>
      <c r="N15" t="s">
        <v>1874</v>
      </c>
    </row>
    <row r="16" spans="1:14" x14ac:dyDescent="0.2">
      <c r="A16">
        <v>352</v>
      </c>
      <c r="B16" t="b">
        <f t="shared" si="0"/>
        <v>1</v>
      </c>
      <c r="C16" t="s">
        <v>108</v>
      </c>
      <c r="D16" t="str">
        <f>IF(F16&lt;&gt;"",VLOOKUP(F16,PHA4GEVars!$A$7:$B$241,2,FALSE),"")</f>
        <v>Sample collection and processing</v>
      </c>
      <c r="E16" t="s">
        <v>1869</v>
      </c>
      <c r="F16" t="s">
        <v>1893</v>
      </c>
      <c r="G16" s="45" t="s">
        <v>487</v>
      </c>
      <c r="H16" t="s">
        <v>1225</v>
      </c>
      <c r="I16" t="s">
        <v>1226</v>
      </c>
      <c r="J16" s="28" t="s">
        <v>486</v>
      </c>
      <c r="M16" s="5" t="s">
        <v>1227</v>
      </c>
      <c r="N16" t="s">
        <v>1874</v>
      </c>
    </row>
    <row r="17" spans="1:14" x14ac:dyDescent="0.2">
      <c r="A17">
        <v>353</v>
      </c>
      <c r="B17" t="b">
        <f t="shared" si="0"/>
        <v>1</v>
      </c>
      <c r="C17" t="s">
        <v>108</v>
      </c>
      <c r="D17" t="str">
        <f>IF(F17&lt;&gt;"",VLOOKUP(F17,PHA4GEVars!$A$7:$B$241,2,FALSE),"")</f>
        <v>Sample collection and processing</v>
      </c>
      <c r="E17" t="s">
        <v>1869</v>
      </c>
      <c r="F17" t="s">
        <v>1893</v>
      </c>
      <c r="G17" s="45" t="s">
        <v>489</v>
      </c>
      <c r="H17" t="s">
        <v>1225</v>
      </c>
      <c r="I17" t="s">
        <v>1226</v>
      </c>
      <c r="J17" s="28" t="s">
        <v>488</v>
      </c>
      <c r="M17" s="5" t="s">
        <v>1227</v>
      </c>
      <c r="N17" t="s">
        <v>1874</v>
      </c>
    </row>
    <row r="18" spans="1:14" x14ac:dyDescent="0.2">
      <c r="A18">
        <v>354</v>
      </c>
      <c r="B18" t="b">
        <f t="shared" si="0"/>
        <v>1</v>
      </c>
      <c r="C18" t="s">
        <v>108</v>
      </c>
      <c r="D18" t="str">
        <f>IF(F18&lt;&gt;"",VLOOKUP(F18,PHA4GEVars!$A$7:$B$241,2,FALSE),"")</f>
        <v>Sample collection and processing</v>
      </c>
      <c r="E18" t="s">
        <v>1869</v>
      </c>
      <c r="F18" t="s">
        <v>1893</v>
      </c>
      <c r="G18" s="45" t="s">
        <v>491</v>
      </c>
      <c r="H18" t="s">
        <v>1225</v>
      </c>
      <c r="I18" t="s">
        <v>1226</v>
      </c>
      <c r="J18" s="28" t="s">
        <v>490</v>
      </c>
      <c r="M18" s="5" t="s">
        <v>1227</v>
      </c>
      <c r="N18" t="s">
        <v>1874</v>
      </c>
    </row>
    <row r="19" spans="1:14" x14ac:dyDescent="0.2">
      <c r="A19">
        <v>355</v>
      </c>
      <c r="B19" t="b">
        <f t="shared" si="0"/>
        <v>1</v>
      </c>
      <c r="C19" t="s">
        <v>108</v>
      </c>
      <c r="D19" t="str">
        <f>IF(F19&lt;&gt;"",VLOOKUP(F19,PHA4GEVars!$A$7:$B$241,2,FALSE),"")</f>
        <v>Sample collection and processing</v>
      </c>
      <c r="E19" t="s">
        <v>1869</v>
      </c>
      <c r="F19" t="s">
        <v>1893</v>
      </c>
      <c r="G19" s="45" t="s">
        <v>493</v>
      </c>
      <c r="H19" t="s">
        <v>1225</v>
      </c>
      <c r="I19" t="s">
        <v>1226</v>
      </c>
      <c r="J19" s="28" t="s">
        <v>492</v>
      </c>
      <c r="M19" s="5" t="s">
        <v>1227</v>
      </c>
      <c r="N19" t="s">
        <v>1874</v>
      </c>
    </row>
    <row r="20" spans="1:14" x14ac:dyDescent="0.2">
      <c r="A20">
        <v>356</v>
      </c>
      <c r="B20" t="b">
        <f t="shared" si="0"/>
        <v>1</v>
      </c>
      <c r="C20" t="s">
        <v>108</v>
      </c>
      <c r="D20" t="str">
        <f>IF(F20&lt;&gt;"",VLOOKUP(F20,PHA4GEVars!$A$7:$B$241,2,FALSE),"")</f>
        <v>Sample collection and processing</v>
      </c>
      <c r="E20" t="s">
        <v>1869</v>
      </c>
      <c r="F20" t="s">
        <v>1893</v>
      </c>
      <c r="G20" s="45" t="s">
        <v>494</v>
      </c>
      <c r="H20" t="s">
        <v>1225</v>
      </c>
      <c r="I20" t="s">
        <v>1226</v>
      </c>
      <c r="J20" s="28" t="s">
        <v>1452</v>
      </c>
      <c r="L20" t="s">
        <v>1453</v>
      </c>
      <c r="M20" s="5" t="s">
        <v>1227</v>
      </c>
      <c r="N20" t="s">
        <v>1874</v>
      </c>
    </row>
    <row r="21" spans="1:14" x14ac:dyDescent="0.2">
      <c r="A21">
        <v>357</v>
      </c>
      <c r="B21" t="b">
        <f t="shared" si="0"/>
        <v>1</v>
      </c>
      <c r="C21" t="s">
        <v>108</v>
      </c>
      <c r="D21" t="str">
        <f>IF(F21&lt;&gt;"",VLOOKUP(F21,PHA4GEVars!$A$7:$B$241,2,FALSE),"")</f>
        <v>Sample collection and processing</v>
      </c>
      <c r="E21" t="s">
        <v>1869</v>
      </c>
      <c r="F21" t="s">
        <v>1893</v>
      </c>
      <c r="G21" s="45" t="s">
        <v>496</v>
      </c>
      <c r="H21" t="s">
        <v>1225</v>
      </c>
      <c r="I21" t="s">
        <v>1226</v>
      </c>
      <c r="J21" s="28" t="s">
        <v>495</v>
      </c>
      <c r="M21" s="5" t="s">
        <v>1227</v>
      </c>
      <c r="N21" t="s">
        <v>1874</v>
      </c>
    </row>
    <row r="22" spans="1:14" x14ac:dyDescent="0.2">
      <c r="A22">
        <v>358</v>
      </c>
      <c r="B22" t="b">
        <f t="shared" si="0"/>
        <v>1</v>
      </c>
      <c r="C22" t="s">
        <v>108</v>
      </c>
      <c r="D22" t="str">
        <f>IF(F22&lt;&gt;"",VLOOKUP(F22,PHA4GEVars!$A$7:$B$241,2,FALSE),"")</f>
        <v>Sample collection and processing</v>
      </c>
      <c r="E22" t="s">
        <v>1869</v>
      </c>
      <c r="F22" t="s">
        <v>1893</v>
      </c>
      <c r="G22" s="45" t="s">
        <v>498</v>
      </c>
      <c r="H22" t="s">
        <v>1225</v>
      </c>
      <c r="I22" t="s">
        <v>1226</v>
      </c>
      <c r="J22" s="28" t="s">
        <v>497</v>
      </c>
      <c r="M22" s="5" t="s">
        <v>1227</v>
      </c>
      <c r="N22" t="s">
        <v>1874</v>
      </c>
    </row>
    <row r="23" spans="1:14" x14ac:dyDescent="0.2">
      <c r="A23">
        <v>359</v>
      </c>
      <c r="B23" t="b">
        <f t="shared" si="0"/>
        <v>1</v>
      </c>
      <c r="C23" t="s">
        <v>108</v>
      </c>
      <c r="D23" t="str">
        <f>IF(F23&lt;&gt;"",VLOOKUP(F23,PHA4GEVars!$A$7:$B$241,2,FALSE),"")</f>
        <v>Sample collection and processing</v>
      </c>
      <c r="E23" t="s">
        <v>1869</v>
      </c>
      <c r="F23" t="s">
        <v>1893</v>
      </c>
      <c r="G23" s="45" t="s">
        <v>499</v>
      </c>
      <c r="H23" t="s">
        <v>1225</v>
      </c>
      <c r="I23" t="s">
        <v>1226</v>
      </c>
      <c r="J23" s="28" t="s">
        <v>1454</v>
      </c>
      <c r="L23" t="s">
        <v>1455</v>
      </c>
      <c r="M23" s="5" t="s">
        <v>1227</v>
      </c>
      <c r="N23" t="s">
        <v>1874</v>
      </c>
    </row>
    <row r="24" spans="1:14" x14ac:dyDescent="0.2">
      <c r="A24">
        <v>360</v>
      </c>
      <c r="B24" t="b">
        <f t="shared" si="0"/>
        <v>1</v>
      </c>
      <c r="C24" t="s">
        <v>108</v>
      </c>
      <c r="D24" t="str">
        <f>IF(F24&lt;&gt;"",VLOOKUP(F24,PHA4GEVars!$A$7:$B$241,2,FALSE),"")</f>
        <v>Sample collection and processing</v>
      </c>
      <c r="E24" t="s">
        <v>1869</v>
      </c>
      <c r="F24" t="s">
        <v>1893</v>
      </c>
      <c r="G24" s="45" t="s">
        <v>501</v>
      </c>
      <c r="H24" t="s">
        <v>1225</v>
      </c>
      <c r="I24" t="s">
        <v>1226</v>
      </c>
      <c r="J24" s="28" t="s">
        <v>500</v>
      </c>
      <c r="M24" s="5" t="s">
        <v>1227</v>
      </c>
      <c r="N24" t="s">
        <v>1874</v>
      </c>
    </row>
    <row r="25" spans="1:14" x14ac:dyDescent="0.2">
      <c r="A25">
        <v>361</v>
      </c>
      <c r="B25" t="b">
        <f t="shared" si="0"/>
        <v>1</v>
      </c>
      <c r="C25" t="s">
        <v>108</v>
      </c>
      <c r="D25" t="str">
        <f>IF(F25&lt;&gt;"",VLOOKUP(F25,PHA4GEVars!$A$7:$B$241,2,FALSE),"")</f>
        <v>Sample collection and processing</v>
      </c>
      <c r="E25" t="s">
        <v>1869</v>
      </c>
      <c r="F25" t="s">
        <v>1893</v>
      </c>
      <c r="G25" s="45" t="s">
        <v>503</v>
      </c>
      <c r="H25" t="s">
        <v>1225</v>
      </c>
      <c r="I25" t="s">
        <v>1226</v>
      </c>
      <c r="J25" s="28" t="s">
        <v>502</v>
      </c>
      <c r="M25" s="5" t="s">
        <v>1227</v>
      </c>
      <c r="N25" t="s">
        <v>1874</v>
      </c>
    </row>
    <row r="26" spans="1:14" x14ac:dyDescent="0.2">
      <c r="A26">
        <v>362</v>
      </c>
      <c r="B26" t="b">
        <f t="shared" si="0"/>
        <v>1</v>
      </c>
      <c r="C26" t="s">
        <v>108</v>
      </c>
      <c r="D26" t="str">
        <f>IF(F26&lt;&gt;"",VLOOKUP(F26,PHA4GEVars!$A$7:$B$241,2,FALSE),"")</f>
        <v>Sample collection and processing</v>
      </c>
      <c r="E26" t="s">
        <v>1869</v>
      </c>
      <c r="F26" t="s">
        <v>1893</v>
      </c>
      <c r="G26" s="45" t="s">
        <v>505</v>
      </c>
      <c r="H26" t="s">
        <v>1225</v>
      </c>
      <c r="I26" t="s">
        <v>1226</v>
      </c>
      <c r="J26" s="28" t="s">
        <v>504</v>
      </c>
      <c r="M26" s="5" t="s">
        <v>1227</v>
      </c>
      <c r="N26" t="s">
        <v>1874</v>
      </c>
    </row>
    <row r="27" spans="1:14" x14ac:dyDescent="0.2">
      <c r="A27">
        <v>363</v>
      </c>
      <c r="B27" t="b">
        <f t="shared" si="0"/>
        <v>1</v>
      </c>
      <c r="C27" t="s">
        <v>108</v>
      </c>
      <c r="D27" t="str">
        <f>IF(F27&lt;&gt;"",VLOOKUP(F27,PHA4GEVars!$A$7:$B$241,2,FALSE),"")</f>
        <v>Sample collection and processing</v>
      </c>
      <c r="E27" t="s">
        <v>1869</v>
      </c>
      <c r="F27" t="s">
        <v>1893</v>
      </c>
      <c r="G27" s="45" t="s">
        <v>507</v>
      </c>
      <c r="H27" t="s">
        <v>1225</v>
      </c>
      <c r="I27" t="s">
        <v>1226</v>
      </c>
      <c r="J27" s="28" t="s">
        <v>506</v>
      </c>
      <c r="M27" s="5" t="s">
        <v>1227</v>
      </c>
      <c r="N27" t="s">
        <v>1874</v>
      </c>
    </row>
    <row r="28" spans="1:14" x14ac:dyDescent="0.2">
      <c r="A28">
        <v>364</v>
      </c>
      <c r="B28" t="b">
        <f t="shared" si="0"/>
        <v>1</v>
      </c>
      <c r="C28" t="s">
        <v>108</v>
      </c>
      <c r="D28" t="str">
        <f>IF(F28&lt;&gt;"",VLOOKUP(F28,PHA4GEVars!$A$7:$B$241,2,FALSE),"")</f>
        <v>Sample collection and processing</v>
      </c>
      <c r="E28" t="s">
        <v>1869</v>
      </c>
      <c r="F28" t="s">
        <v>1893</v>
      </c>
      <c r="G28" s="45" t="s">
        <v>509</v>
      </c>
      <c r="H28" t="s">
        <v>1225</v>
      </c>
      <c r="I28" t="s">
        <v>1226</v>
      </c>
      <c r="J28" s="28" t="s">
        <v>508</v>
      </c>
      <c r="M28" s="5" t="s">
        <v>1227</v>
      </c>
      <c r="N28" t="s">
        <v>1874</v>
      </c>
    </row>
    <row r="29" spans="1:14" x14ac:dyDescent="0.2">
      <c r="A29">
        <v>365</v>
      </c>
      <c r="B29" t="b">
        <f t="shared" si="0"/>
        <v>1</v>
      </c>
      <c r="C29" t="s">
        <v>108</v>
      </c>
      <c r="D29" t="str">
        <f>IF(F29&lt;&gt;"",VLOOKUP(F29,PHA4GEVars!$A$7:$B$241,2,FALSE),"")</f>
        <v>Sample collection and processing</v>
      </c>
      <c r="E29" t="s">
        <v>1869</v>
      </c>
      <c r="F29" t="s">
        <v>1893</v>
      </c>
      <c r="G29" s="45" t="s">
        <v>511</v>
      </c>
      <c r="H29" t="s">
        <v>1225</v>
      </c>
      <c r="I29" t="s">
        <v>1226</v>
      </c>
      <c r="J29" s="28" t="s">
        <v>510</v>
      </c>
      <c r="M29" s="5" t="s">
        <v>1227</v>
      </c>
      <c r="N29" t="s">
        <v>1874</v>
      </c>
    </row>
    <row r="30" spans="1:14" x14ac:dyDescent="0.2">
      <c r="A30">
        <v>366</v>
      </c>
      <c r="B30" t="b">
        <f t="shared" si="0"/>
        <v>1</v>
      </c>
      <c r="C30" t="s">
        <v>108</v>
      </c>
      <c r="D30" t="str">
        <f>IF(F30&lt;&gt;"",VLOOKUP(F30,PHA4GEVars!$A$7:$B$241,2,FALSE),"")</f>
        <v>Sample collection and processing</v>
      </c>
      <c r="E30" t="s">
        <v>1869</v>
      </c>
      <c r="F30" t="s">
        <v>1893</v>
      </c>
      <c r="G30" s="45" t="s">
        <v>513</v>
      </c>
      <c r="H30" t="s">
        <v>1225</v>
      </c>
      <c r="I30" t="s">
        <v>1226</v>
      </c>
      <c r="J30" s="28" t="s">
        <v>512</v>
      </c>
      <c r="M30" s="5" t="s">
        <v>1227</v>
      </c>
      <c r="N30" t="s">
        <v>1874</v>
      </c>
    </row>
    <row r="31" spans="1:14" x14ac:dyDescent="0.2">
      <c r="A31">
        <v>367</v>
      </c>
      <c r="B31" t="b">
        <f t="shared" si="0"/>
        <v>1</v>
      </c>
      <c r="C31" t="s">
        <v>108</v>
      </c>
      <c r="D31" t="str">
        <f>IF(F31&lt;&gt;"",VLOOKUP(F31,PHA4GEVars!$A$7:$B$241,2,FALSE),"")</f>
        <v>Sample collection and processing</v>
      </c>
      <c r="E31" t="s">
        <v>1869</v>
      </c>
      <c r="F31" t="s">
        <v>1893</v>
      </c>
      <c r="G31" s="45" t="s">
        <v>515</v>
      </c>
      <c r="H31" t="s">
        <v>1225</v>
      </c>
      <c r="I31" t="s">
        <v>1226</v>
      </c>
      <c r="J31" s="28" t="s">
        <v>514</v>
      </c>
      <c r="M31" s="5" t="s">
        <v>1227</v>
      </c>
      <c r="N31" t="s">
        <v>1874</v>
      </c>
    </row>
    <row r="32" spans="1:14" x14ac:dyDescent="0.2">
      <c r="A32">
        <v>368</v>
      </c>
      <c r="B32" t="b">
        <f t="shared" si="0"/>
        <v>1</v>
      </c>
      <c r="C32" t="s">
        <v>108</v>
      </c>
      <c r="D32" t="str">
        <f>IF(F32&lt;&gt;"",VLOOKUP(F32,PHA4GEVars!$A$7:$B$241,2,FALSE),"")</f>
        <v>Sample collection and processing</v>
      </c>
      <c r="E32" t="s">
        <v>1869</v>
      </c>
      <c r="F32" t="s">
        <v>1893</v>
      </c>
      <c r="G32" s="45" t="s">
        <v>517</v>
      </c>
      <c r="H32" t="s">
        <v>1225</v>
      </c>
      <c r="I32" t="s">
        <v>1226</v>
      </c>
      <c r="J32" s="28" t="s">
        <v>516</v>
      </c>
      <c r="M32" s="5" t="s">
        <v>1227</v>
      </c>
      <c r="N32" t="s">
        <v>1874</v>
      </c>
    </row>
    <row r="33" spans="1:14" x14ac:dyDescent="0.2">
      <c r="A33">
        <v>369</v>
      </c>
      <c r="B33" t="b">
        <f t="shared" si="0"/>
        <v>1</v>
      </c>
      <c r="C33" t="s">
        <v>108</v>
      </c>
      <c r="D33" t="str">
        <f>IF(F33&lt;&gt;"",VLOOKUP(F33,PHA4GEVars!$A$7:$B$241,2,FALSE),"")</f>
        <v>Sample collection and processing</v>
      </c>
      <c r="E33" t="s">
        <v>1869</v>
      </c>
      <c r="F33" t="s">
        <v>1893</v>
      </c>
      <c r="G33" s="45" t="s">
        <v>519</v>
      </c>
      <c r="H33" t="s">
        <v>1225</v>
      </c>
      <c r="I33" t="s">
        <v>1226</v>
      </c>
      <c r="J33" s="28" t="s">
        <v>518</v>
      </c>
      <c r="M33" s="5" t="s">
        <v>1227</v>
      </c>
      <c r="N33" t="s">
        <v>1874</v>
      </c>
    </row>
    <row r="34" spans="1:14" x14ac:dyDescent="0.2">
      <c r="A34">
        <v>370</v>
      </c>
      <c r="B34" t="b">
        <f t="shared" si="0"/>
        <v>1</v>
      </c>
      <c r="C34" t="s">
        <v>108</v>
      </c>
      <c r="D34" t="str">
        <f>IF(F34&lt;&gt;"",VLOOKUP(F34,PHA4GEVars!$A$7:$B$241,2,FALSE),"")</f>
        <v>Sample collection and processing</v>
      </c>
      <c r="E34" t="s">
        <v>1869</v>
      </c>
      <c r="F34" t="s">
        <v>1893</v>
      </c>
      <c r="G34" s="45" t="s">
        <v>521</v>
      </c>
      <c r="H34" t="s">
        <v>1225</v>
      </c>
      <c r="I34" t="s">
        <v>1226</v>
      </c>
      <c r="J34" s="28" t="s">
        <v>520</v>
      </c>
      <c r="M34" s="5" t="s">
        <v>1227</v>
      </c>
      <c r="N34" t="s">
        <v>1874</v>
      </c>
    </row>
    <row r="35" spans="1:14" x14ac:dyDescent="0.2">
      <c r="A35">
        <v>371</v>
      </c>
      <c r="B35" t="b">
        <f t="shared" si="0"/>
        <v>1</v>
      </c>
      <c r="C35" t="s">
        <v>108</v>
      </c>
      <c r="D35" t="str">
        <f>IF(F35&lt;&gt;"",VLOOKUP(F35,PHA4GEVars!$A$7:$B$241,2,FALSE),"")</f>
        <v>Sample collection and processing</v>
      </c>
      <c r="E35" t="s">
        <v>1869</v>
      </c>
      <c r="F35" t="s">
        <v>1893</v>
      </c>
      <c r="G35" s="45" t="s">
        <v>523</v>
      </c>
      <c r="H35" t="s">
        <v>1225</v>
      </c>
      <c r="I35" t="s">
        <v>1226</v>
      </c>
      <c r="J35" s="28" t="s">
        <v>522</v>
      </c>
      <c r="M35" s="5" t="s">
        <v>1227</v>
      </c>
      <c r="N35" t="s">
        <v>1874</v>
      </c>
    </row>
    <row r="36" spans="1:14" x14ac:dyDescent="0.2">
      <c r="A36">
        <v>372</v>
      </c>
      <c r="B36" t="b">
        <f t="shared" si="0"/>
        <v>1</v>
      </c>
      <c r="C36" t="s">
        <v>108</v>
      </c>
      <c r="D36" t="str">
        <f>IF(F36&lt;&gt;"",VLOOKUP(F36,PHA4GEVars!$A$7:$B$241,2,FALSE),"")</f>
        <v>Sample collection and processing</v>
      </c>
      <c r="E36" t="s">
        <v>1869</v>
      </c>
      <c r="F36" t="s">
        <v>1893</v>
      </c>
      <c r="G36" s="45" t="s">
        <v>525</v>
      </c>
      <c r="H36" t="s">
        <v>1225</v>
      </c>
      <c r="I36" t="s">
        <v>1226</v>
      </c>
      <c r="J36" s="28" t="s">
        <v>524</v>
      </c>
      <c r="M36" s="5" t="s">
        <v>1227</v>
      </c>
      <c r="N36" t="s">
        <v>1874</v>
      </c>
    </row>
    <row r="37" spans="1:14" x14ac:dyDescent="0.2">
      <c r="A37">
        <v>373</v>
      </c>
      <c r="B37" t="b">
        <f t="shared" si="0"/>
        <v>1</v>
      </c>
      <c r="C37" t="s">
        <v>108</v>
      </c>
      <c r="D37" t="str">
        <f>IF(F37&lt;&gt;"",VLOOKUP(F37,PHA4GEVars!$A$7:$B$241,2,FALSE),"")</f>
        <v>Sample collection and processing</v>
      </c>
      <c r="E37" t="s">
        <v>1869</v>
      </c>
      <c r="F37" t="s">
        <v>1893</v>
      </c>
      <c r="G37" s="45" t="s">
        <v>527</v>
      </c>
      <c r="H37" t="s">
        <v>1225</v>
      </c>
      <c r="I37" t="s">
        <v>1226</v>
      </c>
      <c r="J37" s="28" t="s">
        <v>526</v>
      </c>
      <c r="M37" s="5" t="s">
        <v>1227</v>
      </c>
      <c r="N37" t="s">
        <v>1874</v>
      </c>
    </row>
    <row r="38" spans="1:14" x14ac:dyDescent="0.2">
      <c r="A38">
        <v>374</v>
      </c>
      <c r="B38" t="b">
        <f t="shared" si="0"/>
        <v>1</v>
      </c>
      <c r="C38" t="s">
        <v>108</v>
      </c>
      <c r="D38" t="str">
        <f>IF(F38&lt;&gt;"",VLOOKUP(F38,PHA4GEVars!$A$7:$B$241,2,FALSE),"")</f>
        <v>Sample collection and processing</v>
      </c>
      <c r="E38" t="s">
        <v>1869</v>
      </c>
      <c r="F38" t="s">
        <v>1893</v>
      </c>
      <c r="G38" s="45" t="s">
        <v>529</v>
      </c>
      <c r="H38" t="s">
        <v>1225</v>
      </c>
      <c r="I38" t="s">
        <v>1226</v>
      </c>
      <c r="J38" s="28" t="s">
        <v>528</v>
      </c>
      <c r="M38" s="5" t="s">
        <v>1227</v>
      </c>
      <c r="N38" t="s">
        <v>1874</v>
      </c>
    </row>
    <row r="39" spans="1:14" x14ac:dyDescent="0.2">
      <c r="A39">
        <v>375</v>
      </c>
      <c r="B39" t="b">
        <f t="shared" si="0"/>
        <v>1</v>
      </c>
      <c r="C39" t="s">
        <v>108</v>
      </c>
      <c r="D39" t="str">
        <f>IF(F39&lt;&gt;"",VLOOKUP(F39,PHA4GEVars!$A$7:$B$241,2,FALSE),"")</f>
        <v>Sample collection and processing</v>
      </c>
      <c r="E39" t="s">
        <v>1869</v>
      </c>
      <c r="F39" t="s">
        <v>1893</v>
      </c>
      <c r="G39" s="45" t="s">
        <v>531</v>
      </c>
      <c r="H39" t="s">
        <v>1225</v>
      </c>
      <c r="I39" t="s">
        <v>1226</v>
      </c>
      <c r="J39" s="28" t="s">
        <v>530</v>
      </c>
      <c r="M39" s="5" t="s">
        <v>1227</v>
      </c>
      <c r="N39" t="s">
        <v>1874</v>
      </c>
    </row>
    <row r="40" spans="1:14" x14ac:dyDescent="0.2">
      <c r="A40">
        <v>376</v>
      </c>
      <c r="B40" t="b">
        <f t="shared" si="0"/>
        <v>1</v>
      </c>
      <c r="C40" t="s">
        <v>108</v>
      </c>
      <c r="D40" t="str">
        <f>IF(F40&lt;&gt;"",VLOOKUP(F40,PHA4GEVars!$A$7:$B$241,2,FALSE),"")</f>
        <v>Sample collection and processing</v>
      </c>
      <c r="E40" t="s">
        <v>1869</v>
      </c>
      <c r="F40" t="s">
        <v>1893</v>
      </c>
      <c r="G40" s="45" t="s">
        <v>533</v>
      </c>
      <c r="H40" t="s">
        <v>1225</v>
      </c>
      <c r="I40" t="s">
        <v>1226</v>
      </c>
      <c r="J40" s="28" t="s">
        <v>532</v>
      </c>
      <c r="M40" s="5" t="s">
        <v>1227</v>
      </c>
      <c r="N40" t="s">
        <v>1874</v>
      </c>
    </row>
    <row r="41" spans="1:14" x14ac:dyDescent="0.2">
      <c r="A41">
        <v>377</v>
      </c>
      <c r="B41" t="b">
        <f t="shared" si="0"/>
        <v>1</v>
      </c>
      <c r="C41" t="s">
        <v>108</v>
      </c>
      <c r="D41" t="str">
        <f>IF(F41&lt;&gt;"",VLOOKUP(F41,PHA4GEVars!$A$7:$B$241,2,FALSE),"")</f>
        <v>Sample collection and processing</v>
      </c>
      <c r="E41" t="s">
        <v>1869</v>
      </c>
      <c r="F41" t="s">
        <v>1893</v>
      </c>
      <c r="G41" s="45" t="s">
        <v>535</v>
      </c>
      <c r="H41" t="s">
        <v>1225</v>
      </c>
      <c r="I41" t="s">
        <v>1226</v>
      </c>
      <c r="J41" s="28" t="s">
        <v>534</v>
      </c>
      <c r="M41" s="5" t="s">
        <v>1227</v>
      </c>
      <c r="N41" t="s">
        <v>1874</v>
      </c>
    </row>
    <row r="42" spans="1:14" x14ac:dyDescent="0.2">
      <c r="A42">
        <v>378</v>
      </c>
      <c r="B42" t="b">
        <f t="shared" si="0"/>
        <v>1</v>
      </c>
      <c r="C42" t="s">
        <v>108</v>
      </c>
      <c r="D42" t="str">
        <f>IF(F42&lt;&gt;"",VLOOKUP(F42,PHA4GEVars!$A$7:$B$241,2,FALSE),"")</f>
        <v>Sample collection and processing</v>
      </c>
      <c r="E42" t="s">
        <v>1869</v>
      </c>
      <c r="F42" t="s">
        <v>1893</v>
      </c>
      <c r="G42" s="45" t="s">
        <v>537</v>
      </c>
      <c r="H42" t="s">
        <v>1225</v>
      </c>
      <c r="I42" t="s">
        <v>1226</v>
      </c>
      <c r="J42" s="28" t="s">
        <v>536</v>
      </c>
      <c r="M42" s="5" t="s">
        <v>1227</v>
      </c>
      <c r="N42" t="s">
        <v>1874</v>
      </c>
    </row>
    <row r="43" spans="1:14" x14ac:dyDescent="0.2">
      <c r="A43">
        <v>379</v>
      </c>
      <c r="B43" t="b">
        <f t="shared" si="0"/>
        <v>1</v>
      </c>
      <c r="C43" t="s">
        <v>108</v>
      </c>
      <c r="D43" t="str">
        <f>IF(F43&lt;&gt;"",VLOOKUP(F43,PHA4GEVars!$A$7:$B$241,2,FALSE),"")</f>
        <v>Sample collection and processing</v>
      </c>
      <c r="E43" t="s">
        <v>1869</v>
      </c>
      <c r="F43" t="s">
        <v>1893</v>
      </c>
      <c r="G43" s="45" t="s">
        <v>539</v>
      </c>
      <c r="H43" t="s">
        <v>1225</v>
      </c>
      <c r="I43" t="s">
        <v>1226</v>
      </c>
      <c r="J43" s="28" t="s">
        <v>538</v>
      </c>
      <c r="M43" s="5" t="s">
        <v>1227</v>
      </c>
      <c r="N43" t="s">
        <v>1874</v>
      </c>
    </row>
    <row r="44" spans="1:14" x14ac:dyDescent="0.2">
      <c r="A44">
        <v>380</v>
      </c>
      <c r="B44" t="b">
        <f t="shared" si="0"/>
        <v>1</v>
      </c>
      <c r="C44" t="s">
        <v>108</v>
      </c>
      <c r="D44" t="str">
        <f>IF(F44&lt;&gt;"",VLOOKUP(F44,PHA4GEVars!$A$7:$B$241,2,FALSE),"")</f>
        <v>Sample collection and processing</v>
      </c>
      <c r="E44" t="s">
        <v>1869</v>
      </c>
      <c r="F44" t="s">
        <v>1893</v>
      </c>
      <c r="G44" s="45" t="s">
        <v>541</v>
      </c>
      <c r="H44" t="s">
        <v>1225</v>
      </c>
      <c r="I44" t="s">
        <v>1226</v>
      </c>
      <c r="J44" s="28" t="s">
        <v>540</v>
      </c>
      <c r="M44" s="5" t="s">
        <v>1227</v>
      </c>
      <c r="N44" t="s">
        <v>1874</v>
      </c>
    </row>
    <row r="45" spans="1:14" x14ac:dyDescent="0.2">
      <c r="A45">
        <v>381</v>
      </c>
      <c r="B45" t="b">
        <f t="shared" si="0"/>
        <v>1</v>
      </c>
      <c r="C45" t="s">
        <v>108</v>
      </c>
      <c r="D45" t="str">
        <f>IF(F45&lt;&gt;"",VLOOKUP(F45,PHA4GEVars!$A$7:$B$241,2,FALSE),"")</f>
        <v>Sample collection and processing</v>
      </c>
      <c r="E45" t="s">
        <v>1869</v>
      </c>
      <c r="F45" t="s">
        <v>1893</v>
      </c>
      <c r="G45" s="45" t="s">
        <v>543</v>
      </c>
      <c r="H45" t="s">
        <v>1225</v>
      </c>
      <c r="I45" t="s">
        <v>1226</v>
      </c>
      <c r="J45" s="28" t="s">
        <v>542</v>
      </c>
      <c r="M45" s="5" t="s">
        <v>1227</v>
      </c>
      <c r="N45" t="s">
        <v>1874</v>
      </c>
    </row>
    <row r="46" spans="1:14" x14ac:dyDescent="0.2">
      <c r="A46">
        <v>382</v>
      </c>
      <c r="B46" t="b">
        <f t="shared" si="0"/>
        <v>1</v>
      </c>
      <c r="C46" t="s">
        <v>108</v>
      </c>
      <c r="D46" t="str">
        <f>IF(F46&lt;&gt;"",VLOOKUP(F46,PHA4GEVars!$A$7:$B$241,2,FALSE),"")</f>
        <v>Sample collection and processing</v>
      </c>
      <c r="E46" t="s">
        <v>1869</v>
      </c>
      <c r="F46" t="s">
        <v>1893</v>
      </c>
      <c r="G46" s="45" t="s">
        <v>545</v>
      </c>
      <c r="H46" t="s">
        <v>1225</v>
      </c>
      <c r="I46" t="s">
        <v>1226</v>
      </c>
      <c r="J46" s="28" t="s">
        <v>544</v>
      </c>
      <c r="M46" s="5" t="s">
        <v>1227</v>
      </c>
      <c r="N46" t="s">
        <v>1874</v>
      </c>
    </row>
    <row r="47" spans="1:14" x14ac:dyDescent="0.2">
      <c r="A47">
        <v>383</v>
      </c>
      <c r="B47" t="b">
        <f t="shared" si="0"/>
        <v>1</v>
      </c>
      <c r="C47" t="s">
        <v>108</v>
      </c>
      <c r="D47" t="str">
        <f>IF(F47&lt;&gt;"",VLOOKUP(F47,PHA4GEVars!$A$7:$B$241,2,FALSE),"")</f>
        <v>Sample collection and processing</v>
      </c>
      <c r="E47" t="s">
        <v>1869</v>
      </c>
      <c r="F47" t="s">
        <v>1893</v>
      </c>
      <c r="G47" s="45" t="s">
        <v>547</v>
      </c>
      <c r="H47" t="s">
        <v>1225</v>
      </c>
      <c r="I47" t="s">
        <v>1226</v>
      </c>
      <c r="J47" s="28" t="s">
        <v>546</v>
      </c>
      <c r="M47" s="5" t="s">
        <v>1227</v>
      </c>
      <c r="N47" t="s">
        <v>1874</v>
      </c>
    </row>
    <row r="48" spans="1:14" x14ac:dyDescent="0.2">
      <c r="A48">
        <v>384</v>
      </c>
      <c r="B48" t="b">
        <f t="shared" si="0"/>
        <v>1</v>
      </c>
      <c r="C48" t="s">
        <v>108</v>
      </c>
      <c r="D48" t="str">
        <f>IF(F48&lt;&gt;"",VLOOKUP(F48,PHA4GEVars!$A$7:$B$241,2,FALSE),"")</f>
        <v>Sample collection and processing</v>
      </c>
      <c r="E48" t="s">
        <v>1869</v>
      </c>
      <c r="F48" t="s">
        <v>1893</v>
      </c>
      <c r="G48" s="45" t="s">
        <v>549</v>
      </c>
      <c r="H48" t="s">
        <v>1225</v>
      </c>
      <c r="I48" t="s">
        <v>1226</v>
      </c>
      <c r="J48" s="28" t="s">
        <v>548</v>
      </c>
      <c r="M48" s="5" t="s">
        <v>1227</v>
      </c>
      <c r="N48" t="s">
        <v>1874</v>
      </c>
    </row>
    <row r="49" spans="1:14" x14ac:dyDescent="0.2">
      <c r="A49">
        <v>385</v>
      </c>
      <c r="B49" t="b">
        <f t="shared" si="0"/>
        <v>1</v>
      </c>
      <c r="C49" t="s">
        <v>108</v>
      </c>
      <c r="D49" t="str">
        <f>IF(F49&lt;&gt;"",VLOOKUP(F49,PHA4GEVars!$A$7:$B$241,2,FALSE),"")</f>
        <v>Sample collection and processing</v>
      </c>
      <c r="E49" t="s">
        <v>1869</v>
      </c>
      <c r="F49" t="s">
        <v>1893</v>
      </c>
      <c r="G49" s="45" t="s">
        <v>551</v>
      </c>
      <c r="H49" t="s">
        <v>1225</v>
      </c>
      <c r="I49" t="s">
        <v>1226</v>
      </c>
      <c r="J49" s="28" t="s">
        <v>550</v>
      </c>
      <c r="M49" s="5" t="s">
        <v>1227</v>
      </c>
      <c r="N49" t="s">
        <v>1874</v>
      </c>
    </row>
    <row r="50" spans="1:14" x14ac:dyDescent="0.2">
      <c r="A50">
        <v>386</v>
      </c>
      <c r="B50" t="b">
        <f t="shared" si="0"/>
        <v>1</v>
      </c>
      <c r="C50" t="s">
        <v>108</v>
      </c>
      <c r="D50" t="str">
        <f>IF(F50&lt;&gt;"",VLOOKUP(F50,PHA4GEVars!$A$7:$B$241,2,FALSE),"")</f>
        <v>Sample collection and processing</v>
      </c>
      <c r="E50" t="s">
        <v>1869</v>
      </c>
      <c r="F50" t="s">
        <v>1893</v>
      </c>
      <c r="G50" s="45" t="s">
        <v>553</v>
      </c>
      <c r="H50" t="s">
        <v>1225</v>
      </c>
      <c r="I50" t="s">
        <v>1226</v>
      </c>
      <c r="J50" s="28" t="s">
        <v>552</v>
      </c>
      <c r="M50" s="5" t="s">
        <v>1227</v>
      </c>
      <c r="N50" t="s">
        <v>1874</v>
      </c>
    </row>
    <row r="51" spans="1:14" x14ac:dyDescent="0.2">
      <c r="A51">
        <v>387</v>
      </c>
      <c r="B51" t="b">
        <f t="shared" si="0"/>
        <v>1</v>
      </c>
      <c r="C51" t="s">
        <v>108</v>
      </c>
      <c r="D51" t="str">
        <f>IF(F51&lt;&gt;"",VLOOKUP(F51,PHA4GEVars!$A$7:$B$241,2,FALSE),"")</f>
        <v>Sample collection and processing</v>
      </c>
      <c r="E51" t="s">
        <v>1869</v>
      </c>
      <c r="F51" t="s">
        <v>1893</v>
      </c>
      <c r="G51" s="45" t="s">
        <v>554</v>
      </c>
      <c r="H51" t="s">
        <v>1225</v>
      </c>
      <c r="I51" t="s">
        <v>1226</v>
      </c>
      <c r="J51" s="28" t="s">
        <v>1456</v>
      </c>
      <c r="L51" t="s">
        <v>1455</v>
      </c>
      <c r="M51" s="5" t="s">
        <v>1227</v>
      </c>
      <c r="N51" t="s">
        <v>1874</v>
      </c>
    </row>
    <row r="52" spans="1:14" x14ac:dyDescent="0.2">
      <c r="A52">
        <v>388</v>
      </c>
      <c r="B52" t="b">
        <f t="shared" si="0"/>
        <v>1</v>
      </c>
      <c r="C52" t="s">
        <v>108</v>
      </c>
      <c r="D52" t="str">
        <f>IF(F52&lt;&gt;"",VLOOKUP(F52,PHA4GEVars!$A$7:$B$241,2,FALSE),"")</f>
        <v>Sample collection and processing</v>
      </c>
      <c r="E52" t="s">
        <v>1869</v>
      </c>
      <c r="F52" t="s">
        <v>1893</v>
      </c>
      <c r="G52" s="45" t="s">
        <v>556</v>
      </c>
      <c r="H52" t="s">
        <v>1225</v>
      </c>
      <c r="I52" t="s">
        <v>1226</v>
      </c>
      <c r="J52" s="28" t="s">
        <v>555</v>
      </c>
      <c r="M52" s="5" t="s">
        <v>1227</v>
      </c>
      <c r="N52" t="s">
        <v>1874</v>
      </c>
    </row>
    <row r="53" spans="1:14" x14ac:dyDescent="0.2">
      <c r="A53">
        <v>389</v>
      </c>
      <c r="B53" t="b">
        <f t="shared" si="0"/>
        <v>1</v>
      </c>
      <c r="C53" t="s">
        <v>108</v>
      </c>
      <c r="D53" t="str">
        <f>IF(F53&lt;&gt;"",VLOOKUP(F53,PHA4GEVars!$A$7:$B$241,2,FALSE),"")</f>
        <v>Sample collection and processing</v>
      </c>
      <c r="E53" t="s">
        <v>1869</v>
      </c>
      <c r="F53" t="s">
        <v>1893</v>
      </c>
      <c r="G53" s="45" t="s">
        <v>558</v>
      </c>
      <c r="H53" t="s">
        <v>1225</v>
      </c>
      <c r="I53" t="s">
        <v>1226</v>
      </c>
      <c r="J53" s="28" t="s">
        <v>557</v>
      </c>
      <c r="M53" s="5" t="s">
        <v>1227</v>
      </c>
      <c r="N53" t="s">
        <v>1874</v>
      </c>
    </row>
    <row r="54" spans="1:14" x14ac:dyDescent="0.2">
      <c r="A54">
        <v>390</v>
      </c>
      <c r="B54" t="b">
        <f t="shared" si="0"/>
        <v>1</v>
      </c>
      <c r="C54" t="s">
        <v>108</v>
      </c>
      <c r="D54" t="str">
        <f>IF(F54&lt;&gt;"",VLOOKUP(F54,PHA4GEVars!$A$7:$B$241,2,FALSE),"")</f>
        <v>Sample collection and processing</v>
      </c>
      <c r="E54" t="s">
        <v>1869</v>
      </c>
      <c r="F54" t="s">
        <v>1893</v>
      </c>
      <c r="G54" s="45" t="s">
        <v>560</v>
      </c>
      <c r="H54" t="s">
        <v>1225</v>
      </c>
      <c r="I54" t="s">
        <v>1226</v>
      </c>
      <c r="J54" s="28" t="s">
        <v>559</v>
      </c>
      <c r="M54" s="5" t="s">
        <v>1227</v>
      </c>
      <c r="N54" t="s">
        <v>1874</v>
      </c>
    </row>
    <row r="55" spans="1:14" x14ac:dyDescent="0.2">
      <c r="A55">
        <v>391</v>
      </c>
      <c r="B55" t="b">
        <f t="shared" si="0"/>
        <v>1</v>
      </c>
      <c r="C55" t="s">
        <v>108</v>
      </c>
      <c r="D55" t="str">
        <f>IF(F55&lt;&gt;"",VLOOKUP(F55,PHA4GEVars!$A$7:$B$241,2,FALSE),"")</f>
        <v>Sample collection and processing</v>
      </c>
      <c r="E55" t="s">
        <v>1869</v>
      </c>
      <c r="F55" t="s">
        <v>1893</v>
      </c>
      <c r="G55" s="45" t="s">
        <v>562</v>
      </c>
      <c r="H55" t="s">
        <v>1225</v>
      </c>
      <c r="I55" t="s">
        <v>1226</v>
      </c>
      <c r="J55" s="28" t="s">
        <v>561</v>
      </c>
      <c r="M55" s="5" t="s">
        <v>1227</v>
      </c>
      <c r="N55" t="s">
        <v>1874</v>
      </c>
    </row>
    <row r="56" spans="1:14" x14ac:dyDescent="0.2">
      <c r="A56">
        <v>392</v>
      </c>
      <c r="B56" t="b">
        <f t="shared" si="0"/>
        <v>1</v>
      </c>
      <c r="C56" t="s">
        <v>108</v>
      </c>
      <c r="D56" t="str">
        <f>IF(F56&lt;&gt;"",VLOOKUP(F56,PHA4GEVars!$A$7:$B$241,2,FALSE),"")</f>
        <v>Sample collection and processing</v>
      </c>
      <c r="E56" t="s">
        <v>1869</v>
      </c>
      <c r="F56" t="s">
        <v>1893</v>
      </c>
      <c r="G56" s="45" t="s">
        <v>563</v>
      </c>
      <c r="H56" t="s">
        <v>1225</v>
      </c>
      <c r="I56" t="s">
        <v>1226</v>
      </c>
      <c r="J56" s="28" t="s">
        <v>1457</v>
      </c>
      <c r="L56" t="s">
        <v>1451</v>
      </c>
      <c r="M56" s="5" t="s">
        <v>1227</v>
      </c>
      <c r="N56" t="s">
        <v>1874</v>
      </c>
    </row>
    <row r="57" spans="1:14" x14ac:dyDescent="0.2">
      <c r="A57">
        <v>393</v>
      </c>
      <c r="B57" t="b">
        <f t="shared" si="0"/>
        <v>1</v>
      </c>
      <c r="C57" t="s">
        <v>108</v>
      </c>
      <c r="D57" t="str">
        <f>IF(F57&lt;&gt;"",VLOOKUP(F57,PHA4GEVars!$A$7:$B$241,2,FALSE),"")</f>
        <v>Sample collection and processing</v>
      </c>
      <c r="E57" t="s">
        <v>1869</v>
      </c>
      <c r="F57" t="s">
        <v>1893</v>
      </c>
      <c r="G57" s="45" t="s">
        <v>565</v>
      </c>
      <c r="H57" t="s">
        <v>1225</v>
      </c>
      <c r="I57" t="s">
        <v>1226</v>
      </c>
      <c r="J57" s="28" t="s">
        <v>564</v>
      </c>
      <c r="M57" s="5" t="s">
        <v>1227</v>
      </c>
      <c r="N57" t="s">
        <v>1874</v>
      </c>
    </row>
    <row r="58" spans="1:14" x14ac:dyDescent="0.2">
      <c r="A58">
        <v>394</v>
      </c>
      <c r="B58" t="b">
        <f t="shared" si="0"/>
        <v>1</v>
      </c>
      <c r="C58" t="s">
        <v>108</v>
      </c>
      <c r="D58" t="str">
        <f>IF(F58&lt;&gt;"",VLOOKUP(F58,PHA4GEVars!$A$7:$B$241,2,FALSE),"")</f>
        <v>Sample collection and processing</v>
      </c>
      <c r="E58" t="s">
        <v>1869</v>
      </c>
      <c r="F58" t="s">
        <v>1893</v>
      </c>
      <c r="G58" s="45" t="s">
        <v>567</v>
      </c>
      <c r="H58" t="s">
        <v>1225</v>
      </c>
      <c r="I58" t="s">
        <v>1226</v>
      </c>
      <c r="J58" s="28" t="s">
        <v>566</v>
      </c>
      <c r="M58" s="5" t="s">
        <v>1227</v>
      </c>
      <c r="N58" t="s">
        <v>1874</v>
      </c>
    </row>
    <row r="59" spans="1:14" x14ac:dyDescent="0.2">
      <c r="A59">
        <v>395</v>
      </c>
      <c r="B59" t="b">
        <f t="shared" si="0"/>
        <v>1</v>
      </c>
      <c r="C59" t="s">
        <v>108</v>
      </c>
      <c r="D59" t="str">
        <f>IF(F59&lt;&gt;"",VLOOKUP(F59,PHA4GEVars!$A$7:$B$241,2,FALSE),"")</f>
        <v>Sample collection and processing</v>
      </c>
      <c r="E59" t="s">
        <v>1869</v>
      </c>
      <c r="F59" t="s">
        <v>1893</v>
      </c>
      <c r="G59" s="45" t="s">
        <v>569</v>
      </c>
      <c r="H59" t="s">
        <v>1225</v>
      </c>
      <c r="I59" t="s">
        <v>1226</v>
      </c>
      <c r="J59" s="28" t="s">
        <v>568</v>
      </c>
      <c r="M59" s="5" t="s">
        <v>1227</v>
      </c>
      <c r="N59" t="s">
        <v>1874</v>
      </c>
    </row>
    <row r="60" spans="1:14" x14ac:dyDescent="0.2">
      <c r="A60">
        <v>396</v>
      </c>
      <c r="B60" t="b">
        <f t="shared" si="0"/>
        <v>1</v>
      </c>
      <c r="C60" t="s">
        <v>108</v>
      </c>
      <c r="D60" t="str">
        <f>IF(F60&lt;&gt;"",VLOOKUP(F60,PHA4GEVars!$A$7:$B$241,2,FALSE),"")</f>
        <v>Sample collection and processing</v>
      </c>
      <c r="E60" t="s">
        <v>1869</v>
      </c>
      <c r="F60" t="s">
        <v>1893</v>
      </c>
      <c r="G60" s="45" t="s">
        <v>571</v>
      </c>
      <c r="H60" t="s">
        <v>1225</v>
      </c>
      <c r="I60" t="s">
        <v>1226</v>
      </c>
      <c r="J60" s="28" t="s">
        <v>570</v>
      </c>
      <c r="M60" s="5" t="s">
        <v>1227</v>
      </c>
      <c r="N60" t="s">
        <v>1874</v>
      </c>
    </row>
    <row r="61" spans="1:14" x14ac:dyDescent="0.2">
      <c r="A61">
        <v>397</v>
      </c>
      <c r="B61" t="b">
        <f t="shared" si="0"/>
        <v>1</v>
      </c>
      <c r="C61" t="s">
        <v>108</v>
      </c>
      <c r="D61" t="str">
        <f>IF(F61&lt;&gt;"",VLOOKUP(F61,PHA4GEVars!$A$7:$B$241,2,FALSE),"")</f>
        <v>Sample collection and processing</v>
      </c>
      <c r="E61" t="s">
        <v>1869</v>
      </c>
      <c r="F61" t="s">
        <v>1893</v>
      </c>
      <c r="G61" s="45" t="s">
        <v>573</v>
      </c>
      <c r="H61" t="s">
        <v>1225</v>
      </c>
      <c r="I61" t="s">
        <v>1226</v>
      </c>
      <c r="J61" s="28" t="s">
        <v>572</v>
      </c>
      <c r="M61" s="5" t="s">
        <v>1227</v>
      </c>
      <c r="N61" t="s">
        <v>1874</v>
      </c>
    </row>
    <row r="62" spans="1:14" x14ac:dyDescent="0.2">
      <c r="A62">
        <v>398</v>
      </c>
      <c r="B62" t="b">
        <f t="shared" si="0"/>
        <v>1</v>
      </c>
      <c r="C62" t="s">
        <v>108</v>
      </c>
      <c r="D62" t="str">
        <f>IF(F62&lt;&gt;"",VLOOKUP(F62,PHA4GEVars!$A$7:$B$241,2,FALSE),"")</f>
        <v>Sample collection and processing</v>
      </c>
      <c r="E62" t="s">
        <v>1869</v>
      </c>
      <c r="F62" t="s">
        <v>1893</v>
      </c>
      <c r="G62" s="45" t="s">
        <v>575</v>
      </c>
      <c r="H62" t="s">
        <v>1225</v>
      </c>
      <c r="I62" t="s">
        <v>1226</v>
      </c>
      <c r="J62" s="28" t="s">
        <v>574</v>
      </c>
      <c r="M62" s="5" t="s">
        <v>1227</v>
      </c>
      <c r="N62" t="s">
        <v>1874</v>
      </c>
    </row>
    <row r="63" spans="1:14" x14ac:dyDescent="0.2">
      <c r="A63">
        <v>399</v>
      </c>
      <c r="B63" t="b">
        <f t="shared" si="0"/>
        <v>1</v>
      </c>
      <c r="C63" t="s">
        <v>108</v>
      </c>
      <c r="D63" t="str">
        <f>IF(F63&lt;&gt;"",VLOOKUP(F63,PHA4GEVars!$A$7:$B$241,2,FALSE),"")</f>
        <v>Sample collection and processing</v>
      </c>
      <c r="E63" t="s">
        <v>1869</v>
      </c>
      <c r="F63" t="s">
        <v>1893</v>
      </c>
      <c r="G63" s="45" t="s">
        <v>577</v>
      </c>
      <c r="H63" t="s">
        <v>1225</v>
      </c>
      <c r="I63" t="s">
        <v>1226</v>
      </c>
      <c r="J63" s="28" t="s">
        <v>576</v>
      </c>
      <c r="M63" s="5" t="s">
        <v>1227</v>
      </c>
      <c r="N63" t="s">
        <v>1874</v>
      </c>
    </row>
    <row r="64" spans="1:14" x14ac:dyDescent="0.2">
      <c r="A64">
        <v>400</v>
      </c>
      <c r="B64" t="b">
        <f t="shared" si="0"/>
        <v>1</v>
      </c>
      <c r="C64" t="s">
        <v>108</v>
      </c>
      <c r="D64" t="str">
        <f>IF(F64&lt;&gt;"",VLOOKUP(F64,PHA4GEVars!$A$7:$B$241,2,FALSE),"")</f>
        <v>Sample collection and processing</v>
      </c>
      <c r="E64" t="s">
        <v>1869</v>
      </c>
      <c r="F64" t="s">
        <v>1893</v>
      </c>
      <c r="G64" s="45" t="s">
        <v>579</v>
      </c>
      <c r="H64" t="s">
        <v>1225</v>
      </c>
      <c r="I64" t="s">
        <v>1226</v>
      </c>
      <c r="J64" s="28" t="s">
        <v>578</v>
      </c>
      <c r="M64" s="5" t="s">
        <v>1227</v>
      </c>
      <c r="N64" t="s">
        <v>1874</v>
      </c>
    </row>
    <row r="65" spans="1:14" x14ac:dyDescent="0.2">
      <c r="A65">
        <v>401</v>
      </c>
      <c r="B65" t="b">
        <f t="shared" si="0"/>
        <v>1</v>
      </c>
      <c r="C65" t="s">
        <v>108</v>
      </c>
      <c r="D65" t="str">
        <f>IF(F65&lt;&gt;"",VLOOKUP(F65,PHA4GEVars!$A$7:$B$241,2,FALSE),"")</f>
        <v>Sample collection and processing</v>
      </c>
      <c r="E65" t="s">
        <v>1869</v>
      </c>
      <c r="F65" t="s">
        <v>1893</v>
      </c>
      <c r="G65" s="45" t="s">
        <v>581</v>
      </c>
      <c r="H65" t="s">
        <v>1225</v>
      </c>
      <c r="I65" t="s">
        <v>1226</v>
      </c>
      <c r="J65" s="28" t="s">
        <v>580</v>
      </c>
      <c r="M65" s="5" t="s">
        <v>1227</v>
      </c>
      <c r="N65" t="s">
        <v>1874</v>
      </c>
    </row>
    <row r="66" spans="1:14" x14ac:dyDescent="0.2">
      <c r="A66">
        <v>402</v>
      </c>
      <c r="B66" t="b">
        <f t="shared" ref="B66:B129" si="1">IF(OR(G66="NA",H66="wide_value"),"",TRUE)</f>
        <v>1</v>
      </c>
      <c r="C66" t="s">
        <v>108</v>
      </c>
      <c r="D66" t="str">
        <f>IF(F66&lt;&gt;"",VLOOKUP(F66,PHA4GEVars!$A$7:$B$241,2,FALSE),"")</f>
        <v>Sample collection and processing</v>
      </c>
      <c r="E66" t="s">
        <v>1869</v>
      </c>
      <c r="F66" t="s">
        <v>1893</v>
      </c>
      <c r="G66" s="45" t="s">
        <v>583</v>
      </c>
      <c r="H66" t="s">
        <v>1225</v>
      </c>
      <c r="I66" t="s">
        <v>1226</v>
      </c>
      <c r="J66" s="28" t="s">
        <v>582</v>
      </c>
      <c r="M66" s="5" t="s">
        <v>1227</v>
      </c>
      <c r="N66" t="s">
        <v>1874</v>
      </c>
    </row>
    <row r="67" spans="1:14" x14ac:dyDescent="0.2">
      <c r="A67">
        <v>403</v>
      </c>
      <c r="B67" t="b">
        <f t="shared" si="1"/>
        <v>1</v>
      </c>
      <c r="C67" t="s">
        <v>108</v>
      </c>
      <c r="D67" t="str">
        <f>IF(F67&lt;&gt;"",VLOOKUP(F67,PHA4GEVars!$A$7:$B$241,2,FALSE),"")</f>
        <v>Sample collection and processing</v>
      </c>
      <c r="E67" t="s">
        <v>1869</v>
      </c>
      <c r="F67" t="s">
        <v>1893</v>
      </c>
      <c r="G67" s="45" t="s">
        <v>585</v>
      </c>
      <c r="H67" t="s">
        <v>1225</v>
      </c>
      <c r="I67" t="s">
        <v>1226</v>
      </c>
      <c r="J67" s="28" t="s">
        <v>584</v>
      </c>
      <c r="M67" s="5" t="s">
        <v>1227</v>
      </c>
      <c r="N67" t="s">
        <v>1874</v>
      </c>
    </row>
    <row r="68" spans="1:14" x14ac:dyDescent="0.2">
      <c r="A68">
        <v>404</v>
      </c>
      <c r="B68" t="b">
        <f t="shared" si="1"/>
        <v>1</v>
      </c>
      <c r="C68" t="s">
        <v>108</v>
      </c>
      <c r="D68" t="str">
        <f>IF(F68&lt;&gt;"",VLOOKUP(F68,PHA4GEVars!$A$7:$B$241,2,FALSE),"")</f>
        <v>Sample collection and processing</v>
      </c>
      <c r="E68" t="s">
        <v>1869</v>
      </c>
      <c r="F68" t="s">
        <v>1893</v>
      </c>
      <c r="G68" s="45" t="s">
        <v>587</v>
      </c>
      <c r="H68" t="s">
        <v>1225</v>
      </c>
      <c r="I68" t="s">
        <v>1226</v>
      </c>
      <c r="J68" s="28" t="s">
        <v>586</v>
      </c>
      <c r="M68" s="5" t="s">
        <v>1227</v>
      </c>
      <c r="N68" t="s">
        <v>1874</v>
      </c>
    </row>
    <row r="69" spans="1:14" x14ac:dyDescent="0.2">
      <c r="A69">
        <v>405</v>
      </c>
      <c r="B69" t="b">
        <f t="shared" si="1"/>
        <v>1</v>
      </c>
      <c r="C69" t="s">
        <v>108</v>
      </c>
      <c r="D69" t="str">
        <f>IF(F69&lt;&gt;"",VLOOKUP(F69,PHA4GEVars!$A$7:$B$241,2,FALSE),"")</f>
        <v>Sample collection and processing</v>
      </c>
      <c r="E69" t="s">
        <v>1869</v>
      </c>
      <c r="F69" t="s">
        <v>1893</v>
      </c>
      <c r="G69" s="45" t="s">
        <v>589</v>
      </c>
      <c r="H69" t="s">
        <v>1225</v>
      </c>
      <c r="I69" t="s">
        <v>1226</v>
      </c>
      <c r="J69" s="28" t="s">
        <v>588</v>
      </c>
      <c r="M69" s="5" t="s">
        <v>1227</v>
      </c>
      <c r="N69" t="s">
        <v>1874</v>
      </c>
    </row>
    <row r="70" spans="1:14" x14ac:dyDescent="0.2">
      <c r="A70">
        <v>406</v>
      </c>
      <c r="B70" t="b">
        <f t="shared" si="1"/>
        <v>1</v>
      </c>
      <c r="C70" t="s">
        <v>108</v>
      </c>
      <c r="D70" t="str">
        <f>IF(F70&lt;&gt;"",VLOOKUP(F70,PHA4GEVars!$A$7:$B$241,2,FALSE),"")</f>
        <v>Sample collection and processing</v>
      </c>
      <c r="E70" t="s">
        <v>1869</v>
      </c>
      <c r="F70" t="s">
        <v>1893</v>
      </c>
      <c r="G70" s="45" t="s">
        <v>591</v>
      </c>
      <c r="H70" t="s">
        <v>1225</v>
      </c>
      <c r="I70" t="s">
        <v>1226</v>
      </c>
      <c r="J70" s="28" t="s">
        <v>590</v>
      </c>
      <c r="M70" s="5" t="s">
        <v>1227</v>
      </c>
      <c r="N70" t="s">
        <v>1874</v>
      </c>
    </row>
    <row r="71" spans="1:14" x14ac:dyDescent="0.2">
      <c r="A71">
        <v>407</v>
      </c>
      <c r="B71" t="b">
        <f t="shared" si="1"/>
        <v>1</v>
      </c>
      <c r="C71" t="s">
        <v>108</v>
      </c>
      <c r="D71" t="str">
        <f>IF(F71&lt;&gt;"",VLOOKUP(F71,PHA4GEVars!$A$7:$B$241,2,FALSE),"")</f>
        <v>Sample collection and processing</v>
      </c>
      <c r="E71" t="s">
        <v>1869</v>
      </c>
      <c r="F71" t="s">
        <v>1893</v>
      </c>
      <c r="G71" s="45" t="s">
        <v>593</v>
      </c>
      <c r="H71" t="s">
        <v>1225</v>
      </c>
      <c r="I71" t="s">
        <v>1226</v>
      </c>
      <c r="J71" s="28" t="s">
        <v>592</v>
      </c>
      <c r="M71" s="5" t="s">
        <v>1227</v>
      </c>
      <c r="N71" t="s">
        <v>1874</v>
      </c>
    </row>
    <row r="72" spans="1:14" x14ac:dyDescent="0.2">
      <c r="A72">
        <v>408</v>
      </c>
      <c r="B72" t="b">
        <f t="shared" si="1"/>
        <v>1</v>
      </c>
      <c r="C72" t="s">
        <v>108</v>
      </c>
      <c r="D72" t="str">
        <f>IF(F72&lt;&gt;"",VLOOKUP(F72,PHA4GEVars!$A$7:$B$241,2,FALSE),"")</f>
        <v>Sample collection and processing</v>
      </c>
      <c r="E72" t="s">
        <v>1869</v>
      </c>
      <c r="F72" t="s">
        <v>1893</v>
      </c>
      <c r="G72" s="45" t="s">
        <v>595</v>
      </c>
      <c r="H72" t="s">
        <v>1225</v>
      </c>
      <c r="I72" t="s">
        <v>1226</v>
      </c>
      <c r="J72" s="28" t="s">
        <v>594</v>
      </c>
      <c r="M72" s="5" t="s">
        <v>1227</v>
      </c>
      <c r="N72" t="s">
        <v>1874</v>
      </c>
    </row>
    <row r="73" spans="1:14" x14ac:dyDescent="0.2">
      <c r="A73">
        <v>409</v>
      </c>
      <c r="B73" t="b">
        <f t="shared" si="1"/>
        <v>1</v>
      </c>
      <c r="C73" t="s">
        <v>108</v>
      </c>
      <c r="D73" t="str">
        <f>IF(F73&lt;&gt;"",VLOOKUP(F73,PHA4GEVars!$A$7:$B$241,2,FALSE),"")</f>
        <v>Sample collection and processing</v>
      </c>
      <c r="E73" t="s">
        <v>1869</v>
      </c>
      <c r="F73" t="s">
        <v>1893</v>
      </c>
      <c r="G73" s="45" t="s">
        <v>597</v>
      </c>
      <c r="H73" t="s">
        <v>1225</v>
      </c>
      <c r="I73" t="s">
        <v>1226</v>
      </c>
      <c r="J73" s="28" t="s">
        <v>596</v>
      </c>
      <c r="M73" s="5" t="s">
        <v>1227</v>
      </c>
      <c r="N73" t="s">
        <v>1874</v>
      </c>
    </row>
    <row r="74" spans="1:14" x14ac:dyDescent="0.2">
      <c r="A74">
        <v>410</v>
      </c>
      <c r="B74" t="b">
        <f t="shared" si="1"/>
        <v>1</v>
      </c>
      <c r="C74" t="s">
        <v>108</v>
      </c>
      <c r="D74" t="str">
        <f>IF(F74&lt;&gt;"",VLOOKUP(F74,PHA4GEVars!$A$7:$B$241,2,FALSE),"")</f>
        <v>Sample collection and processing</v>
      </c>
      <c r="E74" t="s">
        <v>1869</v>
      </c>
      <c r="F74" t="s">
        <v>1893</v>
      </c>
      <c r="G74" s="45" t="s">
        <v>599</v>
      </c>
      <c r="H74" t="s">
        <v>1225</v>
      </c>
      <c r="I74" t="s">
        <v>1226</v>
      </c>
      <c r="J74" s="28" t="s">
        <v>598</v>
      </c>
      <c r="M74" s="5" t="s">
        <v>1227</v>
      </c>
      <c r="N74" t="s">
        <v>1874</v>
      </c>
    </row>
    <row r="75" spans="1:14" x14ac:dyDescent="0.2">
      <c r="A75">
        <v>411</v>
      </c>
      <c r="B75" t="b">
        <f t="shared" si="1"/>
        <v>1</v>
      </c>
      <c r="C75" t="s">
        <v>108</v>
      </c>
      <c r="D75" t="str">
        <f>IF(F75&lt;&gt;"",VLOOKUP(F75,PHA4GEVars!$A$7:$B$241,2,FALSE),"")</f>
        <v>Sample collection and processing</v>
      </c>
      <c r="E75" t="s">
        <v>1869</v>
      </c>
      <c r="F75" t="s">
        <v>1893</v>
      </c>
      <c r="G75" s="45" t="s">
        <v>601</v>
      </c>
      <c r="H75" t="s">
        <v>1225</v>
      </c>
      <c r="I75" t="s">
        <v>1226</v>
      </c>
      <c r="J75" s="28" t="s">
        <v>600</v>
      </c>
      <c r="M75" s="5" t="s">
        <v>1227</v>
      </c>
      <c r="N75" t="s">
        <v>1874</v>
      </c>
    </row>
    <row r="76" spans="1:14" x14ac:dyDescent="0.2">
      <c r="A76">
        <v>412</v>
      </c>
      <c r="B76" t="b">
        <f t="shared" si="1"/>
        <v>1</v>
      </c>
      <c r="C76" t="s">
        <v>108</v>
      </c>
      <c r="D76" t="str">
        <f>IF(F76&lt;&gt;"",VLOOKUP(F76,PHA4GEVars!$A$7:$B$241,2,FALSE),"")</f>
        <v>Sample collection and processing</v>
      </c>
      <c r="E76" t="s">
        <v>1869</v>
      </c>
      <c r="F76" t="s">
        <v>1893</v>
      </c>
      <c r="G76" s="45" t="s">
        <v>603</v>
      </c>
      <c r="H76" t="s">
        <v>1225</v>
      </c>
      <c r="I76" t="s">
        <v>1226</v>
      </c>
      <c r="J76" s="28" t="s">
        <v>602</v>
      </c>
      <c r="M76" s="5" t="s">
        <v>1227</v>
      </c>
      <c r="N76" t="s">
        <v>1874</v>
      </c>
    </row>
    <row r="77" spans="1:14" x14ac:dyDescent="0.2">
      <c r="A77">
        <v>413</v>
      </c>
      <c r="B77" t="b">
        <f t="shared" si="1"/>
        <v>1</v>
      </c>
      <c r="C77" t="s">
        <v>108</v>
      </c>
      <c r="D77" t="str">
        <f>IF(F77&lt;&gt;"",VLOOKUP(F77,PHA4GEVars!$A$7:$B$241,2,FALSE),"")</f>
        <v>Sample collection and processing</v>
      </c>
      <c r="E77" t="s">
        <v>1869</v>
      </c>
      <c r="F77" t="s">
        <v>1893</v>
      </c>
      <c r="G77" s="45" t="s">
        <v>604</v>
      </c>
      <c r="H77" t="s">
        <v>1225</v>
      </c>
      <c r="I77" t="s">
        <v>1226</v>
      </c>
      <c r="J77" s="28" t="s">
        <v>1458</v>
      </c>
      <c r="L77" t="s">
        <v>1455</v>
      </c>
      <c r="M77" s="5" t="s">
        <v>1227</v>
      </c>
      <c r="N77" t="s">
        <v>1874</v>
      </c>
    </row>
    <row r="78" spans="1:14" x14ac:dyDescent="0.2">
      <c r="A78">
        <v>414</v>
      </c>
      <c r="B78" t="b">
        <f t="shared" si="1"/>
        <v>1</v>
      </c>
      <c r="C78" t="s">
        <v>108</v>
      </c>
      <c r="D78" t="str">
        <f>IF(F78&lt;&gt;"",VLOOKUP(F78,PHA4GEVars!$A$7:$B$241,2,FALSE),"")</f>
        <v>Sample collection and processing</v>
      </c>
      <c r="E78" t="s">
        <v>1869</v>
      </c>
      <c r="F78" t="s">
        <v>1893</v>
      </c>
      <c r="G78" s="45" t="s">
        <v>606</v>
      </c>
      <c r="H78" t="s">
        <v>1225</v>
      </c>
      <c r="I78" t="s">
        <v>1226</v>
      </c>
      <c r="J78" s="28" t="s">
        <v>605</v>
      </c>
      <c r="M78" s="5" t="s">
        <v>1227</v>
      </c>
      <c r="N78" t="s">
        <v>1874</v>
      </c>
    </row>
    <row r="79" spans="1:14" x14ac:dyDescent="0.2">
      <c r="A79">
        <v>415</v>
      </c>
      <c r="B79" t="b">
        <f t="shared" si="1"/>
        <v>1</v>
      </c>
      <c r="C79" t="s">
        <v>108</v>
      </c>
      <c r="D79" t="str">
        <f>IF(F79&lt;&gt;"",VLOOKUP(F79,PHA4GEVars!$A$7:$B$241,2,FALSE),"")</f>
        <v>Sample collection and processing</v>
      </c>
      <c r="E79" t="s">
        <v>1869</v>
      </c>
      <c r="F79" t="s">
        <v>1893</v>
      </c>
      <c r="G79" s="45" t="s">
        <v>608</v>
      </c>
      <c r="H79" t="s">
        <v>1225</v>
      </c>
      <c r="I79" t="s">
        <v>1226</v>
      </c>
      <c r="J79" s="28" t="s">
        <v>607</v>
      </c>
      <c r="M79" s="5" t="s">
        <v>1227</v>
      </c>
      <c r="N79" t="s">
        <v>1874</v>
      </c>
    </row>
    <row r="80" spans="1:14" x14ac:dyDescent="0.2">
      <c r="A80">
        <v>416</v>
      </c>
      <c r="B80" t="b">
        <f t="shared" si="1"/>
        <v>1</v>
      </c>
      <c r="C80" t="s">
        <v>108</v>
      </c>
      <c r="D80" t="str">
        <f>IF(F80&lt;&gt;"",VLOOKUP(F80,PHA4GEVars!$A$7:$B$241,2,FALSE),"")</f>
        <v>Sample collection and processing</v>
      </c>
      <c r="E80" t="s">
        <v>1869</v>
      </c>
      <c r="F80" t="s">
        <v>1893</v>
      </c>
      <c r="G80" s="45" t="s">
        <v>610</v>
      </c>
      <c r="H80" t="s">
        <v>1225</v>
      </c>
      <c r="I80" t="s">
        <v>1226</v>
      </c>
      <c r="J80" s="28" t="s">
        <v>609</v>
      </c>
      <c r="M80" s="5" t="s">
        <v>1227</v>
      </c>
      <c r="N80" t="s">
        <v>1874</v>
      </c>
    </row>
    <row r="81" spans="1:14" x14ac:dyDescent="0.2">
      <c r="A81">
        <v>417</v>
      </c>
      <c r="B81" t="b">
        <f t="shared" si="1"/>
        <v>1</v>
      </c>
      <c r="C81" t="s">
        <v>108</v>
      </c>
      <c r="D81" t="str">
        <f>IF(F81&lt;&gt;"",VLOOKUP(F81,PHA4GEVars!$A$7:$B$241,2,FALSE),"")</f>
        <v>Sample collection and processing</v>
      </c>
      <c r="E81" t="s">
        <v>1869</v>
      </c>
      <c r="F81" t="s">
        <v>1893</v>
      </c>
      <c r="G81" s="45" t="s">
        <v>612</v>
      </c>
      <c r="H81" t="s">
        <v>1225</v>
      </c>
      <c r="I81" t="s">
        <v>1226</v>
      </c>
      <c r="J81" s="28" t="s">
        <v>611</v>
      </c>
      <c r="M81" s="5" t="s">
        <v>1227</v>
      </c>
      <c r="N81" t="s">
        <v>1874</v>
      </c>
    </row>
    <row r="82" spans="1:14" x14ac:dyDescent="0.2">
      <c r="A82">
        <v>418</v>
      </c>
      <c r="B82" t="b">
        <f t="shared" si="1"/>
        <v>1</v>
      </c>
      <c r="C82" t="s">
        <v>108</v>
      </c>
      <c r="D82" t="str">
        <f>IF(F82&lt;&gt;"",VLOOKUP(F82,PHA4GEVars!$A$7:$B$241,2,FALSE),"")</f>
        <v>Sample collection and processing</v>
      </c>
      <c r="E82" t="s">
        <v>1869</v>
      </c>
      <c r="F82" t="s">
        <v>1893</v>
      </c>
      <c r="G82" s="45" t="s">
        <v>614</v>
      </c>
      <c r="H82" t="s">
        <v>1225</v>
      </c>
      <c r="I82" t="s">
        <v>1226</v>
      </c>
      <c r="J82" s="28" t="s">
        <v>613</v>
      </c>
      <c r="M82" s="5" t="s">
        <v>1227</v>
      </c>
      <c r="N82" t="s">
        <v>1874</v>
      </c>
    </row>
    <row r="83" spans="1:14" x14ac:dyDescent="0.2">
      <c r="A83">
        <v>419</v>
      </c>
      <c r="B83" t="b">
        <f t="shared" si="1"/>
        <v>1</v>
      </c>
      <c r="C83" t="s">
        <v>108</v>
      </c>
      <c r="D83" t="str">
        <f>IF(F83&lt;&gt;"",VLOOKUP(F83,PHA4GEVars!$A$7:$B$241,2,FALSE),"")</f>
        <v>Sample collection and processing</v>
      </c>
      <c r="E83" t="s">
        <v>1869</v>
      </c>
      <c r="F83" t="s">
        <v>1893</v>
      </c>
      <c r="G83" s="45" t="s">
        <v>616</v>
      </c>
      <c r="H83" t="s">
        <v>1225</v>
      </c>
      <c r="I83" t="s">
        <v>1226</v>
      </c>
      <c r="J83" s="28" t="s">
        <v>615</v>
      </c>
      <c r="M83" s="5" t="s">
        <v>1227</v>
      </c>
      <c r="N83" t="s">
        <v>1874</v>
      </c>
    </row>
    <row r="84" spans="1:14" x14ac:dyDescent="0.2">
      <c r="A84">
        <v>420</v>
      </c>
      <c r="B84" t="b">
        <f t="shared" si="1"/>
        <v>1</v>
      </c>
      <c r="C84" t="s">
        <v>108</v>
      </c>
      <c r="D84" t="str">
        <f>IF(F84&lt;&gt;"",VLOOKUP(F84,PHA4GEVars!$A$7:$B$241,2,FALSE),"")</f>
        <v>Sample collection and processing</v>
      </c>
      <c r="E84" t="s">
        <v>1869</v>
      </c>
      <c r="F84" t="s">
        <v>1893</v>
      </c>
      <c r="G84" s="45" t="s">
        <v>618</v>
      </c>
      <c r="H84" t="s">
        <v>1225</v>
      </c>
      <c r="I84" t="s">
        <v>1226</v>
      </c>
      <c r="J84" s="28" t="s">
        <v>617</v>
      </c>
      <c r="M84" s="5" t="s">
        <v>1227</v>
      </c>
      <c r="N84" t="s">
        <v>1874</v>
      </c>
    </row>
    <row r="85" spans="1:14" x14ac:dyDescent="0.2">
      <c r="A85">
        <v>421</v>
      </c>
      <c r="B85" t="b">
        <f t="shared" si="1"/>
        <v>1</v>
      </c>
      <c r="C85" t="s">
        <v>108</v>
      </c>
      <c r="D85" t="str">
        <f>IF(F85&lt;&gt;"",VLOOKUP(F85,PHA4GEVars!$A$7:$B$241,2,FALSE),"")</f>
        <v>Sample collection and processing</v>
      </c>
      <c r="E85" t="s">
        <v>1869</v>
      </c>
      <c r="F85" t="s">
        <v>1893</v>
      </c>
      <c r="G85" s="45" t="s">
        <v>620</v>
      </c>
      <c r="H85" t="s">
        <v>1225</v>
      </c>
      <c r="I85" t="s">
        <v>1226</v>
      </c>
      <c r="J85" s="28" t="s">
        <v>619</v>
      </c>
      <c r="M85" s="5" t="s">
        <v>1227</v>
      </c>
      <c r="N85" t="s">
        <v>1874</v>
      </c>
    </row>
    <row r="86" spans="1:14" x14ac:dyDescent="0.2">
      <c r="A86">
        <v>422</v>
      </c>
      <c r="B86" t="b">
        <f t="shared" si="1"/>
        <v>1</v>
      </c>
      <c r="C86" t="s">
        <v>108</v>
      </c>
      <c r="D86" t="str">
        <f>IF(F86&lt;&gt;"",VLOOKUP(F86,PHA4GEVars!$A$7:$B$241,2,FALSE),"")</f>
        <v>Sample collection and processing</v>
      </c>
      <c r="E86" t="s">
        <v>1869</v>
      </c>
      <c r="F86" t="s">
        <v>1893</v>
      </c>
      <c r="G86" s="45" t="s">
        <v>622</v>
      </c>
      <c r="H86" t="s">
        <v>1225</v>
      </c>
      <c r="I86" t="s">
        <v>1226</v>
      </c>
      <c r="J86" s="28" t="s">
        <v>621</v>
      </c>
      <c r="M86" s="5" t="s">
        <v>1227</v>
      </c>
      <c r="N86" t="s">
        <v>1874</v>
      </c>
    </row>
    <row r="87" spans="1:14" x14ac:dyDescent="0.2">
      <c r="A87">
        <v>423</v>
      </c>
      <c r="B87" t="b">
        <f t="shared" si="1"/>
        <v>1</v>
      </c>
      <c r="C87" t="s">
        <v>108</v>
      </c>
      <c r="D87" t="str">
        <f>IF(F87&lt;&gt;"",VLOOKUP(F87,PHA4GEVars!$A$7:$B$241,2,FALSE),"")</f>
        <v>Sample collection and processing</v>
      </c>
      <c r="E87" t="s">
        <v>1869</v>
      </c>
      <c r="F87" t="s">
        <v>1893</v>
      </c>
      <c r="G87" s="45" t="s">
        <v>624</v>
      </c>
      <c r="H87" t="s">
        <v>1225</v>
      </c>
      <c r="I87" t="s">
        <v>1226</v>
      </c>
      <c r="J87" s="28" t="s">
        <v>623</v>
      </c>
      <c r="M87" s="5" t="s">
        <v>1227</v>
      </c>
      <c r="N87" t="s">
        <v>1874</v>
      </c>
    </row>
    <row r="88" spans="1:14" x14ac:dyDescent="0.2">
      <c r="A88">
        <v>424</v>
      </c>
      <c r="B88" t="b">
        <f t="shared" si="1"/>
        <v>1</v>
      </c>
      <c r="C88" t="s">
        <v>108</v>
      </c>
      <c r="D88" t="str">
        <f>IF(F88&lt;&gt;"",VLOOKUP(F88,PHA4GEVars!$A$7:$B$241,2,FALSE),"")</f>
        <v>Sample collection and processing</v>
      </c>
      <c r="E88" t="s">
        <v>1869</v>
      </c>
      <c r="F88" t="s">
        <v>1893</v>
      </c>
      <c r="G88" s="45" t="s">
        <v>625</v>
      </c>
      <c r="H88" t="s">
        <v>1225</v>
      </c>
      <c r="I88" t="s">
        <v>1226</v>
      </c>
      <c r="J88" s="28" t="s">
        <v>1459</v>
      </c>
      <c r="L88" t="s">
        <v>1463</v>
      </c>
      <c r="M88" s="5" t="s">
        <v>1227</v>
      </c>
      <c r="N88" t="s">
        <v>1874</v>
      </c>
    </row>
    <row r="89" spans="1:14" x14ac:dyDescent="0.2">
      <c r="A89">
        <v>425</v>
      </c>
      <c r="B89" t="b">
        <f t="shared" si="1"/>
        <v>1</v>
      </c>
      <c r="C89" t="s">
        <v>108</v>
      </c>
      <c r="D89" t="str">
        <f>IF(F89&lt;&gt;"",VLOOKUP(F89,PHA4GEVars!$A$7:$B$241,2,FALSE),"")</f>
        <v>Sample collection and processing</v>
      </c>
      <c r="E89" t="s">
        <v>1869</v>
      </c>
      <c r="F89" t="s">
        <v>1893</v>
      </c>
      <c r="G89" s="45" t="s">
        <v>627</v>
      </c>
      <c r="H89" t="s">
        <v>1225</v>
      </c>
      <c r="I89" t="s">
        <v>1226</v>
      </c>
      <c r="J89" s="28" t="s">
        <v>626</v>
      </c>
      <c r="M89" s="5" t="s">
        <v>1227</v>
      </c>
      <c r="N89" t="s">
        <v>1874</v>
      </c>
    </row>
    <row r="90" spans="1:14" x14ac:dyDescent="0.2">
      <c r="A90">
        <v>426</v>
      </c>
      <c r="B90" t="b">
        <f t="shared" si="1"/>
        <v>1</v>
      </c>
      <c r="C90" t="s">
        <v>108</v>
      </c>
      <c r="D90" t="str">
        <f>IF(F90&lt;&gt;"",VLOOKUP(F90,PHA4GEVars!$A$7:$B$241,2,FALSE),"")</f>
        <v>Sample collection and processing</v>
      </c>
      <c r="E90" t="s">
        <v>1869</v>
      </c>
      <c r="F90" t="s">
        <v>1893</v>
      </c>
      <c r="G90" s="45" t="s">
        <v>629</v>
      </c>
      <c r="H90" t="s">
        <v>1225</v>
      </c>
      <c r="I90" t="s">
        <v>1226</v>
      </c>
      <c r="J90" s="28" t="s">
        <v>628</v>
      </c>
      <c r="M90" s="5" t="s">
        <v>1227</v>
      </c>
      <c r="N90" t="s">
        <v>1874</v>
      </c>
    </row>
    <row r="91" spans="1:14" x14ac:dyDescent="0.2">
      <c r="A91">
        <v>427</v>
      </c>
      <c r="B91" t="b">
        <f t="shared" si="1"/>
        <v>1</v>
      </c>
      <c r="C91" t="s">
        <v>108</v>
      </c>
      <c r="D91" t="str">
        <f>IF(F91&lt;&gt;"",VLOOKUP(F91,PHA4GEVars!$A$7:$B$241,2,FALSE),"")</f>
        <v>Sample collection and processing</v>
      </c>
      <c r="E91" t="s">
        <v>1869</v>
      </c>
      <c r="F91" t="s">
        <v>1893</v>
      </c>
      <c r="G91" s="45" t="s">
        <v>631</v>
      </c>
      <c r="H91" t="s">
        <v>1225</v>
      </c>
      <c r="I91" t="s">
        <v>1226</v>
      </c>
      <c r="J91" s="28" t="s">
        <v>630</v>
      </c>
      <c r="M91" s="5" t="s">
        <v>1227</v>
      </c>
      <c r="N91" t="s">
        <v>1874</v>
      </c>
    </row>
    <row r="92" spans="1:14" x14ac:dyDescent="0.2">
      <c r="A92">
        <v>428</v>
      </c>
      <c r="B92" t="b">
        <f t="shared" si="1"/>
        <v>1</v>
      </c>
      <c r="C92" t="s">
        <v>108</v>
      </c>
      <c r="D92" t="str">
        <f>IF(F92&lt;&gt;"",VLOOKUP(F92,PHA4GEVars!$A$7:$B$241,2,FALSE),"")</f>
        <v>Sample collection and processing</v>
      </c>
      <c r="E92" t="s">
        <v>1869</v>
      </c>
      <c r="F92" t="s">
        <v>1893</v>
      </c>
      <c r="G92" s="45" t="s">
        <v>633</v>
      </c>
      <c r="H92" t="s">
        <v>1225</v>
      </c>
      <c r="I92" t="s">
        <v>1226</v>
      </c>
      <c r="J92" s="28" t="s">
        <v>632</v>
      </c>
      <c r="M92" s="5" t="s">
        <v>1227</v>
      </c>
      <c r="N92" t="s">
        <v>1874</v>
      </c>
    </row>
    <row r="93" spans="1:14" x14ac:dyDescent="0.2">
      <c r="A93">
        <v>429</v>
      </c>
      <c r="B93" t="b">
        <f t="shared" si="1"/>
        <v>1</v>
      </c>
      <c r="C93" t="s">
        <v>108</v>
      </c>
      <c r="D93" t="str">
        <f>IF(F93&lt;&gt;"",VLOOKUP(F93,PHA4GEVars!$A$7:$B$241,2,FALSE),"")</f>
        <v>Sample collection and processing</v>
      </c>
      <c r="E93" t="s">
        <v>1869</v>
      </c>
      <c r="F93" t="s">
        <v>1893</v>
      </c>
      <c r="G93" s="45" t="s">
        <v>634</v>
      </c>
      <c r="H93" t="s">
        <v>1225</v>
      </c>
      <c r="I93" t="s">
        <v>1226</v>
      </c>
      <c r="J93" s="28" t="s">
        <v>1460</v>
      </c>
      <c r="L93" t="s">
        <v>1455</v>
      </c>
      <c r="M93" s="5" t="s">
        <v>1227</v>
      </c>
      <c r="N93" t="s">
        <v>1874</v>
      </c>
    </row>
    <row r="94" spans="1:14" x14ac:dyDescent="0.2">
      <c r="A94">
        <v>430</v>
      </c>
      <c r="B94" t="b">
        <f t="shared" si="1"/>
        <v>1</v>
      </c>
      <c r="C94" t="s">
        <v>108</v>
      </c>
      <c r="D94" t="str">
        <f>IF(F94&lt;&gt;"",VLOOKUP(F94,PHA4GEVars!$A$7:$B$241,2,FALSE),"")</f>
        <v>Sample collection and processing</v>
      </c>
      <c r="E94" t="s">
        <v>1869</v>
      </c>
      <c r="F94" t="s">
        <v>1893</v>
      </c>
      <c r="G94" s="45" t="s">
        <v>636</v>
      </c>
      <c r="H94" t="s">
        <v>1225</v>
      </c>
      <c r="I94" t="s">
        <v>1226</v>
      </c>
      <c r="J94" s="28" t="s">
        <v>635</v>
      </c>
      <c r="M94" s="5" t="s">
        <v>1227</v>
      </c>
      <c r="N94" t="s">
        <v>1874</v>
      </c>
    </row>
    <row r="95" spans="1:14" x14ac:dyDescent="0.2">
      <c r="A95">
        <v>431</v>
      </c>
      <c r="B95" t="b">
        <f t="shared" si="1"/>
        <v>1</v>
      </c>
      <c r="C95" t="s">
        <v>108</v>
      </c>
      <c r="D95" t="str">
        <f>IF(F95&lt;&gt;"",VLOOKUP(F95,PHA4GEVars!$A$7:$B$241,2,FALSE),"")</f>
        <v>Sample collection and processing</v>
      </c>
      <c r="E95" t="s">
        <v>1869</v>
      </c>
      <c r="F95" t="s">
        <v>1893</v>
      </c>
      <c r="G95" s="45" t="s">
        <v>638</v>
      </c>
      <c r="H95" t="s">
        <v>1225</v>
      </c>
      <c r="I95" t="s">
        <v>1226</v>
      </c>
      <c r="J95" s="28" t="s">
        <v>637</v>
      </c>
      <c r="M95" s="5" t="s">
        <v>1227</v>
      </c>
      <c r="N95" t="s">
        <v>1874</v>
      </c>
    </row>
    <row r="96" spans="1:14" x14ac:dyDescent="0.2">
      <c r="A96">
        <v>432</v>
      </c>
      <c r="B96" t="b">
        <f t="shared" si="1"/>
        <v>1</v>
      </c>
      <c r="C96" t="s">
        <v>108</v>
      </c>
      <c r="D96" t="str">
        <f>IF(F96&lt;&gt;"",VLOOKUP(F96,PHA4GEVars!$A$7:$B$241,2,FALSE),"")</f>
        <v>Sample collection and processing</v>
      </c>
      <c r="E96" t="s">
        <v>1869</v>
      </c>
      <c r="F96" t="s">
        <v>1893</v>
      </c>
      <c r="G96" s="45" t="s">
        <v>640</v>
      </c>
      <c r="H96" t="s">
        <v>1225</v>
      </c>
      <c r="I96" t="s">
        <v>1226</v>
      </c>
      <c r="J96" s="28" t="s">
        <v>639</v>
      </c>
      <c r="M96" s="5" t="s">
        <v>1227</v>
      </c>
      <c r="N96" t="s">
        <v>1874</v>
      </c>
    </row>
    <row r="97" spans="1:14" x14ac:dyDescent="0.2">
      <c r="A97">
        <v>433</v>
      </c>
      <c r="B97" t="b">
        <f t="shared" si="1"/>
        <v>1</v>
      </c>
      <c r="C97" t="s">
        <v>108</v>
      </c>
      <c r="D97" t="str">
        <f>IF(F97&lt;&gt;"",VLOOKUP(F97,PHA4GEVars!$A$7:$B$241,2,FALSE),"")</f>
        <v>Sample collection and processing</v>
      </c>
      <c r="E97" t="s">
        <v>1869</v>
      </c>
      <c r="F97" t="s">
        <v>1893</v>
      </c>
      <c r="G97" s="45" t="s">
        <v>642</v>
      </c>
      <c r="H97" t="s">
        <v>1225</v>
      </c>
      <c r="I97" t="s">
        <v>1226</v>
      </c>
      <c r="J97" s="28" t="s">
        <v>641</v>
      </c>
      <c r="M97" s="5" t="s">
        <v>1227</v>
      </c>
      <c r="N97" t="s">
        <v>1874</v>
      </c>
    </row>
    <row r="98" spans="1:14" x14ac:dyDescent="0.2">
      <c r="A98">
        <v>434</v>
      </c>
      <c r="B98" t="b">
        <f t="shared" si="1"/>
        <v>1</v>
      </c>
      <c r="C98" t="s">
        <v>108</v>
      </c>
      <c r="D98" t="str">
        <f>IF(F98&lt;&gt;"",VLOOKUP(F98,PHA4GEVars!$A$7:$B$241,2,FALSE),"")</f>
        <v>Sample collection and processing</v>
      </c>
      <c r="E98" t="s">
        <v>1869</v>
      </c>
      <c r="F98" t="s">
        <v>1893</v>
      </c>
      <c r="G98" s="45" t="s">
        <v>644</v>
      </c>
      <c r="H98" t="s">
        <v>1225</v>
      </c>
      <c r="I98" t="s">
        <v>1226</v>
      </c>
      <c r="J98" s="28" t="s">
        <v>643</v>
      </c>
      <c r="M98" s="5" t="s">
        <v>1227</v>
      </c>
      <c r="N98" t="s">
        <v>1874</v>
      </c>
    </row>
    <row r="99" spans="1:14" x14ac:dyDescent="0.2">
      <c r="A99">
        <v>435</v>
      </c>
      <c r="B99" t="b">
        <f t="shared" si="1"/>
        <v>1</v>
      </c>
      <c r="C99" t="s">
        <v>108</v>
      </c>
      <c r="D99" t="str">
        <f>IF(F99&lt;&gt;"",VLOOKUP(F99,PHA4GEVars!$A$7:$B$241,2,FALSE),"")</f>
        <v>Sample collection and processing</v>
      </c>
      <c r="E99" t="s">
        <v>1869</v>
      </c>
      <c r="F99" t="s">
        <v>1893</v>
      </c>
      <c r="G99" s="45" t="s">
        <v>646</v>
      </c>
      <c r="H99" t="s">
        <v>1225</v>
      </c>
      <c r="I99" t="s">
        <v>1226</v>
      </c>
      <c r="J99" s="28" t="s">
        <v>645</v>
      </c>
      <c r="M99" s="5" t="s">
        <v>1227</v>
      </c>
      <c r="N99" t="s">
        <v>1874</v>
      </c>
    </row>
    <row r="100" spans="1:14" x14ac:dyDescent="0.2">
      <c r="A100">
        <v>436</v>
      </c>
      <c r="B100" t="b">
        <f t="shared" si="1"/>
        <v>1</v>
      </c>
      <c r="C100" t="s">
        <v>108</v>
      </c>
      <c r="D100" t="str">
        <f>IF(F100&lt;&gt;"",VLOOKUP(F100,PHA4GEVars!$A$7:$B$241,2,FALSE),"")</f>
        <v>Sample collection and processing</v>
      </c>
      <c r="E100" t="s">
        <v>1869</v>
      </c>
      <c r="F100" t="s">
        <v>1893</v>
      </c>
      <c r="G100" s="45" t="s">
        <v>648</v>
      </c>
      <c r="H100" t="s">
        <v>1225</v>
      </c>
      <c r="I100" t="s">
        <v>1226</v>
      </c>
      <c r="J100" s="28" t="s">
        <v>647</v>
      </c>
      <c r="M100" s="5" t="s">
        <v>1227</v>
      </c>
      <c r="N100" t="s">
        <v>1874</v>
      </c>
    </row>
    <row r="101" spans="1:14" x14ac:dyDescent="0.2">
      <c r="A101">
        <v>437</v>
      </c>
      <c r="B101" t="b">
        <f t="shared" si="1"/>
        <v>1</v>
      </c>
      <c r="C101" t="s">
        <v>108</v>
      </c>
      <c r="D101" t="str">
        <f>IF(F101&lt;&gt;"",VLOOKUP(F101,PHA4GEVars!$A$7:$B$241,2,FALSE),"")</f>
        <v>Sample collection and processing</v>
      </c>
      <c r="E101" t="s">
        <v>1869</v>
      </c>
      <c r="F101" t="s">
        <v>1893</v>
      </c>
      <c r="G101" s="45" t="s">
        <v>650</v>
      </c>
      <c r="H101" t="s">
        <v>1225</v>
      </c>
      <c r="I101" t="s">
        <v>1226</v>
      </c>
      <c r="J101" s="28" t="s">
        <v>649</v>
      </c>
      <c r="M101" s="5" t="s">
        <v>1227</v>
      </c>
      <c r="N101" t="s">
        <v>1874</v>
      </c>
    </row>
    <row r="102" spans="1:14" x14ac:dyDescent="0.2">
      <c r="A102">
        <v>438</v>
      </c>
      <c r="B102" t="b">
        <f t="shared" si="1"/>
        <v>1</v>
      </c>
      <c r="C102" t="s">
        <v>108</v>
      </c>
      <c r="D102" t="str">
        <f>IF(F102&lt;&gt;"",VLOOKUP(F102,PHA4GEVars!$A$7:$B$241,2,FALSE),"")</f>
        <v>Sample collection and processing</v>
      </c>
      <c r="E102" t="s">
        <v>1869</v>
      </c>
      <c r="F102" t="s">
        <v>1893</v>
      </c>
      <c r="G102" s="45" t="s">
        <v>652</v>
      </c>
      <c r="H102" t="s">
        <v>1225</v>
      </c>
      <c r="I102" t="s">
        <v>1226</v>
      </c>
      <c r="J102" s="28" t="s">
        <v>651</v>
      </c>
      <c r="M102" s="5" t="s">
        <v>1227</v>
      </c>
      <c r="N102" t="s">
        <v>1874</v>
      </c>
    </row>
    <row r="103" spans="1:14" x14ac:dyDescent="0.2">
      <c r="A103">
        <v>439</v>
      </c>
      <c r="B103" t="b">
        <f t="shared" si="1"/>
        <v>1</v>
      </c>
      <c r="C103" t="s">
        <v>108</v>
      </c>
      <c r="D103" t="str">
        <f>IF(F103&lt;&gt;"",VLOOKUP(F103,PHA4GEVars!$A$7:$B$241,2,FALSE),"")</f>
        <v>Sample collection and processing</v>
      </c>
      <c r="E103" t="s">
        <v>1869</v>
      </c>
      <c r="F103" t="s">
        <v>1893</v>
      </c>
      <c r="G103" s="45" t="s">
        <v>654</v>
      </c>
      <c r="H103" t="s">
        <v>1225</v>
      </c>
      <c r="I103" t="s">
        <v>1226</v>
      </c>
      <c r="J103" s="28" t="s">
        <v>653</v>
      </c>
      <c r="M103" s="5" t="s">
        <v>1227</v>
      </c>
      <c r="N103" t="s">
        <v>1874</v>
      </c>
    </row>
    <row r="104" spans="1:14" x14ac:dyDescent="0.2">
      <c r="A104">
        <v>440</v>
      </c>
      <c r="B104" t="b">
        <f t="shared" si="1"/>
        <v>1</v>
      </c>
      <c r="C104" t="s">
        <v>108</v>
      </c>
      <c r="D104" t="str">
        <f>IF(F104&lt;&gt;"",VLOOKUP(F104,PHA4GEVars!$A$7:$B$241,2,FALSE),"")</f>
        <v>Sample collection and processing</v>
      </c>
      <c r="E104" t="s">
        <v>1869</v>
      </c>
      <c r="F104" t="s">
        <v>1893</v>
      </c>
      <c r="G104" s="45" t="s">
        <v>656</v>
      </c>
      <c r="H104" t="s">
        <v>1225</v>
      </c>
      <c r="I104" t="s">
        <v>1226</v>
      </c>
      <c r="J104" s="28" t="s">
        <v>655</v>
      </c>
      <c r="M104" s="5" t="s">
        <v>1227</v>
      </c>
      <c r="N104" t="s">
        <v>1874</v>
      </c>
    </row>
    <row r="105" spans="1:14" x14ac:dyDescent="0.2">
      <c r="A105">
        <v>441</v>
      </c>
      <c r="B105" t="b">
        <f t="shared" si="1"/>
        <v>1</v>
      </c>
      <c r="C105" t="s">
        <v>108</v>
      </c>
      <c r="D105" t="str">
        <f>IF(F105&lt;&gt;"",VLOOKUP(F105,PHA4GEVars!$A$7:$B$241,2,FALSE),"")</f>
        <v>Sample collection and processing</v>
      </c>
      <c r="E105" t="s">
        <v>1869</v>
      </c>
      <c r="F105" t="s">
        <v>1893</v>
      </c>
      <c r="G105" s="45" t="s">
        <v>658</v>
      </c>
      <c r="H105" t="s">
        <v>1225</v>
      </c>
      <c r="I105" t="s">
        <v>1226</v>
      </c>
      <c r="J105" s="28" t="s">
        <v>657</v>
      </c>
      <c r="M105" s="5" t="s">
        <v>1227</v>
      </c>
      <c r="N105" t="s">
        <v>1874</v>
      </c>
    </row>
    <row r="106" spans="1:14" x14ac:dyDescent="0.2">
      <c r="A106">
        <v>442</v>
      </c>
      <c r="B106" t="b">
        <f t="shared" si="1"/>
        <v>1</v>
      </c>
      <c r="C106" t="s">
        <v>108</v>
      </c>
      <c r="D106" t="str">
        <f>IF(F106&lt;&gt;"",VLOOKUP(F106,PHA4GEVars!$A$7:$B$241,2,FALSE),"")</f>
        <v>Sample collection and processing</v>
      </c>
      <c r="E106" t="s">
        <v>1869</v>
      </c>
      <c r="F106" t="s">
        <v>1893</v>
      </c>
      <c r="G106" s="45" t="s">
        <v>660</v>
      </c>
      <c r="H106" t="s">
        <v>1225</v>
      </c>
      <c r="I106" t="s">
        <v>1226</v>
      </c>
      <c r="J106" s="28" t="s">
        <v>659</v>
      </c>
      <c r="M106" s="5" t="s">
        <v>1227</v>
      </c>
      <c r="N106" t="s">
        <v>1874</v>
      </c>
    </row>
    <row r="107" spans="1:14" x14ac:dyDescent="0.2">
      <c r="A107">
        <v>443</v>
      </c>
      <c r="B107" t="b">
        <f t="shared" si="1"/>
        <v>1</v>
      </c>
      <c r="C107" t="s">
        <v>108</v>
      </c>
      <c r="D107" t="str">
        <f>IF(F107&lt;&gt;"",VLOOKUP(F107,PHA4GEVars!$A$7:$B$241,2,FALSE),"")</f>
        <v>Sample collection and processing</v>
      </c>
      <c r="E107" t="s">
        <v>1869</v>
      </c>
      <c r="F107" t="s">
        <v>1893</v>
      </c>
      <c r="G107" s="45" t="s">
        <v>662</v>
      </c>
      <c r="H107" t="s">
        <v>1225</v>
      </c>
      <c r="I107" t="s">
        <v>1226</v>
      </c>
      <c r="J107" s="28" t="s">
        <v>661</v>
      </c>
      <c r="M107" s="5" t="s">
        <v>1227</v>
      </c>
      <c r="N107" t="s">
        <v>1874</v>
      </c>
    </row>
    <row r="108" spans="1:14" x14ac:dyDescent="0.2">
      <c r="A108">
        <v>444</v>
      </c>
      <c r="B108" t="b">
        <f t="shared" si="1"/>
        <v>1</v>
      </c>
      <c r="C108" t="s">
        <v>108</v>
      </c>
      <c r="D108" t="str">
        <f>IF(F108&lt;&gt;"",VLOOKUP(F108,PHA4GEVars!$A$7:$B$241,2,FALSE),"")</f>
        <v>Sample collection and processing</v>
      </c>
      <c r="E108" t="s">
        <v>1869</v>
      </c>
      <c r="F108" t="s">
        <v>1893</v>
      </c>
      <c r="G108" s="45" t="s">
        <v>663</v>
      </c>
      <c r="H108" t="s">
        <v>1225</v>
      </c>
      <c r="I108" t="s">
        <v>1226</v>
      </c>
      <c r="J108" s="28" t="s">
        <v>1461</v>
      </c>
      <c r="L108" t="s">
        <v>1453</v>
      </c>
      <c r="M108" s="5" t="s">
        <v>1227</v>
      </c>
      <c r="N108" t="s">
        <v>1874</v>
      </c>
    </row>
    <row r="109" spans="1:14" x14ac:dyDescent="0.2">
      <c r="A109">
        <v>445</v>
      </c>
      <c r="B109" t="b">
        <f t="shared" si="1"/>
        <v>1</v>
      </c>
      <c r="C109" t="s">
        <v>108</v>
      </c>
      <c r="D109" t="str">
        <f>IF(F109&lt;&gt;"",VLOOKUP(F109,PHA4GEVars!$A$7:$B$241,2,FALSE),"")</f>
        <v>Sample collection and processing</v>
      </c>
      <c r="E109" t="s">
        <v>1869</v>
      </c>
      <c r="F109" t="s">
        <v>1893</v>
      </c>
      <c r="G109" s="45" t="s">
        <v>665</v>
      </c>
      <c r="H109" t="s">
        <v>1225</v>
      </c>
      <c r="I109" t="s">
        <v>1226</v>
      </c>
      <c r="J109" s="28" t="s">
        <v>664</v>
      </c>
      <c r="M109" s="5" t="s">
        <v>1227</v>
      </c>
      <c r="N109" t="s">
        <v>1874</v>
      </c>
    </row>
    <row r="110" spans="1:14" x14ac:dyDescent="0.2">
      <c r="A110">
        <v>446</v>
      </c>
      <c r="B110" t="b">
        <f t="shared" si="1"/>
        <v>1</v>
      </c>
      <c r="C110" t="s">
        <v>108</v>
      </c>
      <c r="D110" t="str">
        <f>IF(F110&lt;&gt;"",VLOOKUP(F110,PHA4GEVars!$A$7:$B$241,2,FALSE),"")</f>
        <v>Sample collection and processing</v>
      </c>
      <c r="E110" t="s">
        <v>1869</v>
      </c>
      <c r="F110" t="s">
        <v>1893</v>
      </c>
      <c r="G110" s="45" t="s">
        <v>667</v>
      </c>
      <c r="H110" t="s">
        <v>1225</v>
      </c>
      <c r="I110" t="s">
        <v>1226</v>
      </c>
      <c r="J110" s="28" t="s">
        <v>666</v>
      </c>
      <c r="M110" s="5" t="s">
        <v>1227</v>
      </c>
      <c r="N110" t="s">
        <v>1874</v>
      </c>
    </row>
    <row r="111" spans="1:14" x14ac:dyDescent="0.2">
      <c r="A111">
        <v>447</v>
      </c>
      <c r="B111" t="b">
        <f t="shared" si="1"/>
        <v>1</v>
      </c>
      <c r="C111" t="s">
        <v>108</v>
      </c>
      <c r="D111" t="str">
        <f>IF(F111&lt;&gt;"",VLOOKUP(F111,PHA4GEVars!$A$7:$B$241,2,FALSE),"")</f>
        <v>Sample collection and processing</v>
      </c>
      <c r="E111" t="s">
        <v>1869</v>
      </c>
      <c r="F111" t="s">
        <v>1893</v>
      </c>
      <c r="G111" s="45" t="s">
        <v>669</v>
      </c>
      <c r="H111" t="s">
        <v>1225</v>
      </c>
      <c r="I111" t="s">
        <v>1226</v>
      </c>
      <c r="J111" s="28" t="s">
        <v>668</v>
      </c>
      <c r="M111" s="5" t="s">
        <v>1227</v>
      </c>
      <c r="N111" t="s">
        <v>1874</v>
      </c>
    </row>
    <row r="112" spans="1:14" x14ac:dyDescent="0.2">
      <c r="A112">
        <v>448</v>
      </c>
      <c r="B112" t="b">
        <f t="shared" si="1"/>
        <v>1</v>
      </c>
      <c r="C112" t="s">
        <v>108</v>
      </c>
      <c r="D112" t="str">
        <f>IF(F112&lt;&gt;"",VLOOKUP(F112,PHA4GEVars!$A$7:$B$241,2,FALSE),"")</f>
        <v>Sample collection and processing</v>
      </c>
      <c r="E112" t="s">
        <v>1869</v>
      </c>
      <c r="F112" t="s">
        <v>1893</v>
      </c>
      <c r="G112" s="45" t="s">
        <v>671</v>
      </c>
      <c r="H112" t="s">
        <v>1225</v>
      </c>
      <c r="I112" t="s">
        <v>1226</v>
      </c>
      <c r="J112" s="28" t="s">
        <v>670</v>
      </c>
      <c r="M112" s="5" t="s">
        <v>1227</v>
      </c>
      <c r="N112" t="s">
        <v>1874</v>
      </c>
    </row>
    <row r="113" spans="1:14" x14ac:dyDescent="0.2">
      <c r="A113">
        <v>449</v>
      </c>
      <c r="B113" t="b">
        <f t="shared" si="1"/>
        <v>1</v>
      </c>
      <c r="C113" t="s">
        <v>108</v>
      </c>
      <c r="D113" t="str">
        <f>IF(F113&lt;&gt;"",VLOOKUP(F113,PHA4GEVars!$A$7:$B$241,2,FALSE),"")</f>
        <v>Sample collection and processing</v>
      </c>
      <c r="E113" t="s">
        <v>1869</v>
      </c>
      <c r="F113" t="s">
        <v>1893</v>
      </c>
      <c r="G113" s="45" t="s">
        <v>673</v>
      </c>
      <c r="H113" t="s">
        <v>1225</v>
      </c>
      <c r="I113" t="s">
        <v>1226</v>
      </c>
      <c r="J113" s="28" t="s">
        <v>672</v>
      </c>
      <c r="M113" s="5" t="s">
        <v>1227</v>
      </c>
      <c r="N113" t="s">
        <v>1874</v>
      </c>
    </row>
    <row r="114" spans="1:14" x14ac:dyDescent="0.2">
      <c r="A114">
        <v>450</v>
      </c>
      <c r="B114" t="b">
        <f t="shared" si="1"/>
        <v>1</v>
      </c>
      <c r="C114" t="s">
        <v>108</v>
      </c>
      <c r="D114" t="str">
        <f>IF(F114&lt;&gt;"",VLOOKUP(F114,PHA4GEVars!$A$7:$B$241,2,FALSE),"")</f>
        <v>Sample collection and processing</v>
      </c>
      <c r="E114" t="s">
        <v>1869</v>
      </c>
      <c r="F114" t="s">
        <v>1893</v>
      </c>
      <c r="G114" s="45" t="s">
        <v>675</v>
      </c>
      <c r="H114" t="s">
        <v>1225</v>
      </c>
      <c r="I114" t="s">
        <v>1226</v>
      </c>
      <c r="J114" s="28" t="s">
        <v>674</v>
      </c>
      <c r="M114" s="5" t="s">
        <v>1227</v>
      </c>
      <c r="N114" t="s">
        <v>1874</v>
      </c>
    </row>
    <row r="115" spans="1:14" x14ac:dyDescent="0.2">
      <c r="A115">
        <v>451</v>
      </c>
      <c r="B115" t="b">
        <f t="shared" si="1"/>
        <v>1</v>
      </c>
      <c r="C115" t="s">
        <v>108</v>
      </c>
      <c r="D115" t="str">
        <f>IF(F115&lt;&gt;"",VLOOKUP(F115,PHA4GEVars!$A$7:$B$241,2,FALSE),"")</f>
        <v>Sample collection and processing</v>
      </c>
      <c r="E115" t="s">
        <v>1869</v>
      </c>
      <c r="F115" t="s">
        <v>1893</v>
      </c>
      <c r="G115" s="45" t="s">
        <v>677</v>
      </c>
      <c r="H115" t="s">
        <v>1225</v>
      </c>
      <c r="I115" t="s">
        <v>1226</v>
      </c>
      <c r="J115" s="28" t="s">
        <v>676</v>
      </c>
      <c r="M115" s="5" t="s">
        <v>1227</v>
      </c>
      <c r="N115" t="s">
        <v>1874</v>
      </c>
    </row>
    <row r="116" spans="1:14" x14ac:dyDescent="0.2">
      <c r="A116">
        <v>452</v>
      </c>
      <c r="B116" t="b">
        <f t="shared" si="1"/>
        <v>1</v>
      </c>
      <c r="C116" t="s">
        <v>108</v>
      </c>
      <c r="D116" t="str">
        <f>IF(F116&lt;&gt;"",VLOOKUP(F116,PHA4GEVars!$A$7:$B$241,2,FALSE),"")</f>
        <v>Sample collection and processing</v>
      </c>
      <c r="E116" t="s">
        <v>1869</v>
      </c>
      <c r="F116" t="s">
        <v>1893</v>
      </c>
      <c r="G116" s="45" t="s">
        <v>679</v>
      </c>
      <c r="H116" t="s">
        <v>1225</v>
      </c>
      <c r="I116" t="s">
        <v>1226</v>
      </c>
      <c r="J116" s="28" t="s">
        <v>678</v>
      </c>
      <c r="M116" s="5" t="s">
        <v>1227</v>
      </c>
      <c r="N116" t="s">
        <v>1874</v>
      </c>
    </row>
    <row r="117" spans="1:14" x14ac:dyDescent="0.2">
      <c r="A117">
        <v>453</v>
      </c>
      <c r="B117" t="b">
        <f t="shared" si="1"/>
        <v>1</v>
      </c>
      <c r="C117" t="s">
        <v>108</v>
      </c>
      <c r="D117" t="str">
        <f>IF(F117&lt;&gt;"",VLOOKUP(F117,PHA4GEVars!$A$7:$B$241,2,FALSE),"")</f>
        <v>Sample collection and processing</v>
      </c>
      <c r="E117" t="s">
        <v>1869</v>
      </c>
      <c r="F117" t="s">
        <v>1893</v>
      </c>
      <c r="G117" s="45" t="s">
        <v>681</v>
      </c>
      <c r="H117" t="s">
        <v>1225</v>
      </c>
      <c r="I117" t="s">
        <v>1226</v>
      </c>
      <c r="J117" s="28" t="s">
        <v>680</v>
      </c>
      <c r="M117" s="5" t="s">
        <v>1227</v>
      </c>
      <c r="N117" t="s">
        <v>1874</v>
      </c>
    </row>
    <row r="118" spans="1:14" x14ac:dyDescent="0.2">
      <c r="A118">
        <v>454</v>
      </c>
      <c r="B118" t="b">
        <f t="shared" si="1"/>
        <v>1</v>
      </c>
      <c r="C118" t="s">
        <v>108</v>
      </c>
      <c r="D118" t="str">
        <f>IF(F118&lt;&gt;"",VLOOKUP(F118,PHA4GEVars!$A$7:$B$241,2,FALSE),"")</f>
        <v>Sample collection and processing</v>
      </c>
      <c r="E118" t="s">
        <v>1869</v>
      </c>
      <c r="F118" t="s">
        <v>1893</v>
      </c>
      <c r="G118" s="45" t="s">
        <v>683</v>
      </c>
      <c r="H118" t="s">
        <v>1225</v>
      </c>
      <c r="I118" t="s">
        <v>1226</v>
      </c>
      <c r="J118" s="28" t="s">
        <v>682</v>
      </c>
      <c r="M118" s="5" t="s">
        <v>1227</v>
      </c>
      <c r="N118" t="s">
        <v>1874</v>
      </c>
    </row>
    <row r="119" spans="1:14" x14ac:dyDescent="0.2">
      <c r="A119">
        <v>455</v>
      </c>
      <c r="B119" t="b">
        <f t="shared" si="1"/>
        <v>1</v>
      </c>
      <c r="C119" t="s">
        <v>108</v>
      </c>
      <c r="D119" t="str">
        <f>IF(F119&lt;&gt;"",VLOOKUP(F119,PHA4GEVars!$A$7:$B$241,2,FALSE),"")</f>
        <v>Sample collection and processing</v>
      </c>
      <c r="E119" t="s">
        <v>1869</v>
      </c>
      <c r="F119" t="s">
        <v>1893</v>
      </c>
      <c r="G119" s="45" t="s">
        <v>685</v>
      </c>
      <c r="H119" t="s">
        <v>1225</v>
      </c>
      <c r="I119" t="s">
        <v>1226</v>
      </c>
      <c r="J119" s="28" t="s">
        <v>684</v>
      </c>
      <c r="M119" s="5" t="s">
        <v>1227</v>
      </c>
      <c r="N119" t="s">
        <v>1874</v>
      </c>
    </row>
    <row r="120" spans="1:14" x14ac:dyDescent="0.2">
      <c r="A120">
        <v>456</v>
      </c>
      <c r="B120" t="b">
        <f t="shared" si="1"/>
        <v>1</v>
      </c>
      <c r="C120" t="s">
        <v>108</v>
      </c>
      <c r="D120" t="str">
        <f>IF(F120&lt;&gt;"",VLOOKUP(F120,PHA4GEVars!$A$7:$B$241,2,FALSE),"")</f>
        <v>Sample collection and processing</v>
      </c>
      <c r="E120" t="s">
        <v>1869</v>
      </c>
      <c r="F120" t="s">
        <v>1893</v>
      </c>
      <c r="G120" s="45" t="s">
        <v>686</v>
      </c>
      <c r="H120" t="s">
        <v>1225</v>
      </c>
      <c r="I120" t="s">
        <v>1226</v>
      </c>
      <c r="J120" s="28" t="s">
        <v>902</v>
      </c>
      <c r="M120" s="5" t="s">
        <v>1227</v>
      </c>
      <c r="N120" t="s">
        <v>1874</v>
      </c>
    </row>
    <row r="121" spans="1:14" x14ac:dyDescent="0.2">
      <c r="A121">
        <v>457</v>
      </c>
      <c r="B121" t="b">
        <f t="shared" si="1"/>
        <v>1</v>
      </c>
      <c r="C121" t="s">
        <v>108</v>
      </c>
      <c r="D121" t="str">
        <f>IF(F121&lt;&gt;"",VLOOKUP(F121,PHA4GEVars!$A$7:$B$241,2,FALSE),"")</f>
        <v>Sample collection and processing</v>
      </c>
      <c r="E121" t="s">
        <v>1869</v>
      </c>
      <c r="F121" t="s">
        <v>1893</v>
      </c>
      <c r="G121" s="45" t="s">
        <v>688</v>
      </c>
      <c r="H121" t="s">
        <v>1225</v>
      </c>
      <c r="I121" t="s">
        <v>1226</v>
      </c>
      <c r="J121" s="28" t="s">
        <v>687</v>
      </c>
      <c r="M121" s="5" t="s">
        <v>1227</v>
      </c>
      <c r="N121" t="s">
        <v>1874</v>
      </c>
    </row>
    <row r="122" spans="1:14" x14ac:dyDescent="0.2">
      <c r="A122">
        <v>458</v>
      </c>
      <c r="B122" t="b">
        <f t="shared" si="1"/>
        <v>1</v>
      </c>
      <c r="C122" t="s">
        <v>108</v>
      </c>
      <c r="D122" t="str">
        <f>IF(F122&lt;&gt;"",VLOOKUP(F122,PHA4GEVars!$A$7:$B$241,2,FALSE),"")</f>
        <v>Sample collection and processing</v>
      </c>
      <c r="E122" t="s">
        <v>1869</v>
      </c>
      <c r="F122" t="s">
        <v>1893</v>
      </c>
      <c r="G122" s="45" t="s">
        <v>689</v>
      </c>
      <c r="H122" t="s">
        <v>1225</v>
      </c>
      <c r="I122" t="s">
        <v>1226</v>
      </c>
      <c r="J122" s="28" t="s">
        <v>1462</v>
      </c>
      <c r="L122" t="s">
        <v>1453</v>
      </c>
      <c r="M122" s="5" t="s">
        <v>1227</v>
      </c>
      <c r="N122" t="s">
        <v>1874</v>
      </c>
    </row>
    <row r="123" spans="1:14" x14ac:dyDescent="0.2">
      <c r="A123">
        <v>459</v>
      </c>
      <c r="B123" t="b">
        <f t="shared" si="1"/>
        <v>1</v>
      </c>
      <c r="C123" t="s">
        <v>108</v>
      </c>
      <c r="D123" t="str">
        <f>IF(F123&lt;&gt;"",VLOOKUP(F123,PHA4GEVars!$A$7:$B$241,2,FALSE),"")</f>
        <v>Sample collection and processing</v>
      </c>
      <c r="E123" t="s">
        <v>1869</v>
      </c>
      <c r="F123" t="s">
        <v>1893</v>
      </c>
      <c r="G123" s="45" t="s">
        <v>691</v>
      </c>
      <c r="H123" t="s">
        <v>1225</v>
      </c>
      <c r="I123" t="s">
        <v>1226</v>
      </c>
      <c r="J123" s="28" t="s">
        <v>690</v>
      </c>
      <c r="M123" s="5" t="s">
        <v>1227</v>
      </c>
      <c r="N123" t="s">
        <v>1874</v>
      </c>
    </row>
    <row r="124" spans="1:14" x14ac:dyDescent="0.2">
      <c r="A124">
        <v>460</v>
      </c>
      <c r="B124" t="b">
        <f t="shared" si="1"/>
        <v>1</v>
      </c>
      <c r="C124" t="s">
        <v>108</v>
      </c>
      <c r="D124" t="str">
        <f>IF(F124&lt;&gt;"",VLOOKUP(F124,PHA4GEVars!$A$7:$B$241,2,FALSE),"")</f>
        <v>Sample collection and processing</v>
      </c>
      <c r="E124" t="s">
        <v>1869</v>
      </c>
      <c r="F124" t="s">
        <v>1893</v>
      </c>
      <c r="G124" s="45" t="s">
        <v>692</v>
      </c>
      <c r="H124" t="s">
        <v>1225</v>
      </c>
      <c r="I124" t="s">
        <v>1226</v>
      </c>
      <c r="J124" s="28" t="s">
        <v>1464</v>
      </c>
      <c r="L124" t="s">
        <v>1453</v>
      </c>
      <c r="M124" s="5" t="s">
        <v>1227</v>
      </c>
      <c r="N124" t="s">
        <v>1874</v>
      </c>
    </row>
    <row r="125" spans="1:14" x14ac:dyDescent="0.2">
      <c r="A125">
        <v>461</v>
      </c>
      <c r="B125" t="b">
        <f t="shared" si="1"/>
        <v>1</v>
      </c>
      <c r="C125" t="s">
        <v>108</v>
      </c>
      <c r="D125" t="str">
        <f>IF(F125&lt;&gt;"",VLOOKUP(F125,PHA4GEVars!$A$7:$B$241,2,FALSE),"")</f>
        <v>Sample collection and processing</v>
      </c>
      <c r="E125" t="s">
        <v>1869</v>
      </c>
      <c r="F125" t="s">
        <v>1893</v>
      </c>
      <c r="G125" s="45" t="s">
        <v>694</v>
      </c>
      <c r="H125" t="s">
        <v>1225</v>
      </c>
      <c r="I125" t="s">
        <v>1226</v>
      </c>
      <c r="J125" s="28" t="s">
        <v>693</v>
      </c>
      <c r="M125" s="5" t="s">
        <v>1227</v>
      </c>
      <c r="N125" t="s">
        <v>1874</v>
      </c>
    </row>
    <row r="126" spans="1:14" x14ac:dyDescent="0.2">
      <c r="A126">
        <v>462</v>
      </c>
      <c r="B126" t="b">
        <f t="shared" si="1"/>
        <v>1</v>
      </c>
      <c r="C126" t="s">
        <v>108</v>
      </c>
      <c r="D126" t="str">
        <f>IF(F126&lt;&gt;"",VLOOKUP(F126,PHA4GEVars!$A$7:$B$241,2,FALSE),"")</f>
        <v>Sample collection and processing</v>
      </c>
      <c r="E126" t="s">
        <v>1869</v>
      </c>
      <c r="F126" t="s">
        <v>1893</v>
      </c>
      <c r="G126" s="45" t="s">
        <v>695</v>
      </c>
      <c r="H126" t="s">
        <v>1225</v>
      </c>
      <c r="I126" s="28" t="s">
        <v>1226</v>
      </c>
      <c r="J126" s="28" t="s">
        <v>1465</v>
      </c>
      <c r="L126" t="s">
        <v>1455</v>
      </c>
      <c r="M126" s="5" t="s">
        <v>1227</v>
      </c>
      <c r="N126" t="s">
        <v>1874</v>
      </c>
    </row>
    <row r="127" spans="1:14" x14ac:dyDescent="0.2">
      <c r="A127">
        <v>463</v>
      </c>
      <c r="B127" t="b">
        <f t="shared" si="1"/>
        <v>1</v>
      </c>
      <c r="C127" t="s">
        <v>108</v>
      </c>
      <c r="D127" t="str">
        <f>IF(F127&lt;&gt;"",VLOOKUP(F127,PHA4GEVars!$A$7:$B$241,2,FALSE),"")</f>
        <v>Sample collection and processing</v>
      </c>
      <c r="E127" t="s">
        <v>1869</v>
      </c>
      <c r="F127" t="s">
        <v>1893</v>
      </c>
      <c r="G127" s="45" t="s">
        <v>697</v>
      </c>
      <c r="H127" t="s">
        <v>1225</v>
      </c>
      <c r="I127" t="s">
        <v>1226</v>
      </c>
      <c r="J127" s="28" t="s">
        <v>696</v>
      </c>
      <c r="M127" s="5" t="s">
        <v>1227</v>
      </c>
      <c r="N127" t="s">
        <v>1874</v>
      </c>
    </row>
    <row r="128" spans="1:14" x14ac:dyDescent="0.2">
      <c r="A128">
        <v>464</v>
      </c>
      <c r="B128" t="b">
        <f t="shared" si="1"/>
        <v>1</v>
      </c>
      <c r="C128" t="s">
        <v>108</v>
      </c>
      <c r="D128" t="str">
        <f>IF(F128&lt;&gt;"",VLOOKUP(F128,PHA4GEVars!$A$7:$B$241,2,FALSE),"")</f>
        <v>Sample collection and processing</v>
      </c>
      <c r="E128" t="s">
        <v>1869</v>
      </c>
      <c r="F128" t="s">
        <v>1893</v>
      </c>
      <c r="G128" s="45" t="s">
        <v>699</v>
      </c>
      <c r="H128" t="s">
        <v>1225</v>
      </c>
      <c r="I128" t="s">
        <v>1226</v>
      </c>
      <c r="J128" s="28" t="s">
        <v>698</v>
      </c>
      <c r="M128" s="5" t="s">
        <v>1227</v>
      </c>
      <c r="N128" t="s">
        <v>1874</v>
      </c>
    </row>
    <row r="129" spans="1:14" x14ac:dyDescent="0.2">
      <c r="A129">
        <v>465</v>
      </c>
      <c r="B129" t="b">
        <f t="shared" si="1"/>
        <v>1</v>
      </c>
      <c r="C129" t="s">
        <v>108</v>
      </c>
      <c r="D129" t="str">
        <f>IF(F129&lt;&gt;"",VLOOKUP(F129,PHA4GEVars!$A$7:$B$241,2,FALSE),"")</f>
        <v>Sample collection and processing</v>
      </c>
      <c r="E129" t="s">
        <v>1869</v>
      </c>
      <c r="F129" t="s">
        <v>1893</v>
      </c>
      <c r="G129" s="45" t="s">
        <v>700</v>
      </c>
      <c r="H129" t="s">
        <v>1225</v>
      </c>
      <c r="I129" s="28" t="s">
        <v>1226</v>
      </c>
      <c r="J129" s="28" t="s">
        <v>1466</v>
      </c>
      <c r="L129" t="s">
        <v>1455</v>
      </c>
      <c r="M129" s="5" t="s">
        <v>1227</v>
      </c>
      <c r="N129" t="s">
        <v>1874</v>
      </c>
    </row>
    <row r="130" spans="1:14" x14ac:dyDescent="0.2">
      <c r="A130">
        <v>466</v>
      </c>
      <c r="B130" t="b">
        <f t="shared" ref="B130:B193" si="2">IF(OR(G130="NA",H130="wide_value"),"",TRUE)</f>
        <v>1</v>
      </c>
      <c r="C130" t="s">
        <v>108</v>
      </c>
      <c r="D130" t="str">
        <f>IF(F130&lt;&gt;"",VLOOKUP(F130,PHA4GEVars!$A$7:$B$241,2,FALSE),"")</f>
        <v>Sample collection and processing</v>
      </c>
      <c r="E130" t="s">
        <v>1869</v>
      </c>
      <c r="F130" t="s">
        <v>1893</v>
      </c>
      <c r="G130" s="45" t="s">
        <v>701</v>
      </c>
      <c r="H130" t="s">
        <v>1225</v>
      </c>
      <c r="I130" s="28" t="s">
        <v>1226</v>
      </c>
      <c r="J130" s="28" t="s">
        <v>1467</v>
      </c>
      <c r="L130" t="s">
        <v>1453</v>
      </c>
      <c r="M130" s="5" t="s">
        <v>1227</v>
      </c>
      <c r="N130" t="s">
        <v>1874</v>
      </c>
    </row>
    <row r="131" spans="1:14" x14ac:dyDescent="0.2">
      <c r="A131">
        <v>467</v>
      </c>
      <c r="B131" t="b">
        <f t="shared" si="2"/>
        <v>1</v>
      </c>
      <c r="C131" t="s">
        <v>108</v>
      </c>
      <c r="D131" t="str">
        <f>IF(F131&lt;&gt;"",VLOOKUP(F131,PHA4GEVars!$A$7:$B$241,2,FALSE),"")</f>
        <v>Sample collection and processing</v>
      </c>
      <c r="E131" t="s">
        <v>1869</v>
      </c>
      <c r="F131" t="s">
        <v>1893</v>
      </c>
      <c r="G131" s="45" t="s">
        <v>703</v>
      </c>
      <c r="H131" t="s">
        <v>1225</v>
      </c>
      <c r="I131" t="s">
        <v>1226</v>
      </c>
      <c r="J131" s="28" t="s">
        <v>702</v>
      </c>
      <c r="M131" s="5" t="s">
        <v>1227</v>
      </c>
      <c r="N131" t="s">
        <v>1874</v>
      </c>
    </row>
    <row r="132" spans="1:14" x14ac:dyDescent="0.2">
      <c r="A132">
        <v>468</v>
      </c>
      <c r="B132" t="b">
        <f t="shared" si="2"/>
        <v>1</v>
      </c>
      <c r="C132" t="s">
        <v>108</v>
      </c>
      <c r="D132" t="str">
        <f>IF(F132&lt;&gt;"",VLOOKUP(F132,PHA4GEVars!$A$7:$B$241,2,FALSE),"")</f>
        <v>Sample collection and processing</v>
      </c>
      <c r="E132" t="s">
        <v>1869</v>
      </c>
      <c r="F132" t="s">
        <v>1893</v>
      </c>
      <c r="G132" s="45" t="s">
        <v>705</v>
      </c>
      <c r="H132" t="s">
        <v>1225</v>
      </c>
      <c r="I132" t="s">
        <v>1226</v>
      </c>
      <c r="J132" s="28" t="s">
        <v>704</v>
      </c>
      <c r="M132" s="5" t="s">
        <v>1227</v>
      </c>
      <c r="N132" t="s">
        <v>1874</v>
      </c>
    </row>
    <row r="133" spans="1:14" x14ac:dyDescent="0.2">
      <c r="A133">
        <v>469</v>
      </c>
      <c r="B133" t="b">
        <f t="shared" si="2"/>
        <v>1</v>
      </c>
      <c r="C133" t="s">
        <v>108</v>
      </c>
      <c r="D133" t="str">
        <f>IF(F133&lt;&gt;"",VLOOKUP(F133,PHA4GEVars!$A$7:$B$241,2,FALSE),"")</f>
        <v>Sample collection and processing</v>
      </c>
      <c r="E133" t="s">
        <v>1869</v>
      </c>
      <c r="F133" t="s">
        <v>1893</v>
      </c>
      <c r="G133" s="45" t="s">
        <v>707</v>
      </c>
      <c r="H133" t="s">
        <v>1225</v>
      </c>
      <c r="I133" t="s">
        <v>1226</v>
      </c>
      <c r="J133" s="28" t="s">
        <v>706</v>
      </c>
      <c r="M133" s="5" t="s">
        <v>1227</v>
      </c>
      <c r="N133" t="s">
        <v>1874</v>
      </c>
    </row>
    <row r="134" spans="1:14" x14ac:dyDescent="0.2">
      <c r="A134">
        <v>470</v>
      </c>
      <c r="B134" t="b">
        <f t="shared" si="2"/>
        <v>1</v>
      </c>
      <c r="C134" t="s">
        <v>108</v>
      </c>
      <c r="D134" t="str">
        <f>IF(F134&lt;&gt;"",VLOOKUP(F134,PHA4GEVars!$A$7:$B$241,2,FALSE),"")</f>
        <v>Sample collection and processing</v>
      </c>
      <c r="E134" t="s">
        <v>1869</v>
      </c>
      <c r="F134" t="s">
        <v>1893</v>
      </c>
      <c r="G134" s="45" t="s">
        <v>709</v>
      </c>
      <c r="H134" t="s">
        <v>1225</v>
      </c>
      <c r="I134" t="s">
        <v>1226</v>
      </c>
      <c r="J134" s="28" t="s">
        <v>708</v>
      </c>
      <c r="M134" s="5" t="s">
        <v>1227</v>
      </c>
      <c r="N134" t="s">
        <v>1874</v>
      </c>
    </row>
    <row r="135" spans="1:14" x14ac:dyDescent="0.2">
      <c r="A135">
        <v>471</v>
      </c>
      <c r="B135" t="b">
        <f t="shared" si="2"/>
        <v>1</v>
      </c>
      <c r="C135" t="s">
        <v>108</v>
      </c>
      <c r="D135" t="str">
        <f>IF(F135&lt;&gt;"",VLOOKUP(F135,PHA4GEVars!$A$7:$B$241,2,FALSE),"")</f>
        <v>Sample collection and processing</v>
      </c>
      <c r="E135" t="s">
        <v>1869</v>
      </c>
      <c r="F135" t="s">
        <v>1893</v>
      </c>
      <c r="G135" s="45" t="s">
        <v>711</v>
      </c>
      <c r="H135" t="s">
        <v>1225</v>
      </c>
      <c r="I135" t="s">
        <v>1226</v>
      </c>
      <c r="J135" s="28" t="s">
        <v>710</v>
      </c>
      <c r="M135" s="5" t="s">
        <v>1227</v>
      </c>
      <c r="N135" t="s">
        <v>1874</v>
      </c>
    </row>
    <row r="136" spans="1:14" x14ac:dyDescent="0.2">
      <c r="A136">
        <v>472</v>
      </c>
      <c r="B136" t="b">
        <f t="shared" si="2"/>
        <v>1</v>
      </c>
      <c r="C136" t="s">
        <v>108</v>
      </c>
      <c r="D136" t="str">
        <f>IF(F136&lt;&gt;"",VLOOKUP(F136,PHA4GEVars!$A$7:$B$241,2,FALSE),"")</f>
        <v>Sample collection and processing</v>
      </c>
      <c r="E136" t="s">
        <v>1869</v>
      </c>
      <c r="F136" t="s">
        <v>1893</v>
      </c>
      <c r="G136" s="45" t="s">
        <v>713</v>
      </c>
      <c r="H136" t="s">
        <v>1225</v>
      </c>
      <c r="I136" t="s">
        <v>1226</v>
      </c>
      <c r="J136" s="28" t="s">
        <v>712</v>
      </c>
      <c r="M136" s="5" t="s">
        <v>1227</v>
      </c>
      <c r="N136" t="s">
        <v>1874</v>
      </c>
    </row>
    <row r="137" spans="1:14" x14ac:dyDescent="0.2">
      <c r="A137">
        <v>473</v>
      </c>
      <c r="B137" t="b">
        <f t="shared" si="2"/>
        <v>1</v>
      </c>
      <c r="C137" t="s">
        <v>108</v>
      </c>
      <c r="D137" t="str">
        <f>IF(F137&lt;&gt;"",VLOOKUP(F137,PHA4GEVars!$A$7:$B$241,2,FALSE),"")</f>
        <v>Sample collection and processing</v>
      </c>
      <c r="E137" t="s">
        <v>1869</v>
      </c>
      <c r="F137" t="s">
        <v>1893</v>
      </c>
      <c r="G137" s="45" t="s">
        <v>715</v>
      </c>
      <c r="H137" t="s">
        <v>1225</v>
      </c>
      <c r="I137" t="s">
        <v>1226</v>
      </c>
      <c r="J137" s="28" t="s">
        <v>714</v>
      </c>
      <c r="M137" s="5" t="s">
        <v>1227</v>
      </c>
      <c r="N137" t="s">
        <v>1874</v>
      </c>
    </row>
    <row r="138" spans="1:14" x14ac:dyDescent="0.2">
      <c r="A138">
        <v>474</v>
      </c>
      <c r="B138" t="b">
        <f t="shared" si="2"/>
        <v>1</v>
      </c>
      <c r="C138" t="s">
        <v>108</v>
      </c>
      <c r="D138" t="str">
        <f>IF(F138&lt;&gt;"",VLOOKUP(F138,PHA4GEVars!$A$7:$B$241,2,FALSE),"")</f>
        <v>Sample collection and processing</v>
      </c>
      <c r="E138" t="s">
        <v>1869</v>
      </c>
      <c r="F138" t="s">
        <v>1893</v>
      </c>
      <c r="G138" s="45" t="s">
        <v>717</v>
      </c>
      <c r="H138" t="s">
        <v>1225</v>
      </c>
      <c r="I138" t="s">
        <v>1226</v>
      </c>
      <c r="J138" s="28" t="s">
        <v>716</v>
      </c>
      <c r="M138" s="5" t="s">
        <v>1227</v>
      </c>
      <c r="N138" t="s">
        <v>1874</v>
      </c>
    </row>
    <row r="139" spans="1:14" x14ac:dyDescent="0.2">
      <c r="A139">
        <v>475</v>
      </c>
      <c r="B139" t="b">
        <f t="shared" si="2"/>
        <v>1</v>
      </c>
      <c r="C139" t="s">
        <v>108</v>
      </c>
      <c r="D139" t="str">
        <f>IF(F139&lt;&gt;"",VLOOKUP(F139,PHA4GEVars!$A$7:$B$241,2,FALSE),"")</f>
        <v>Sample collection and processing</v>
      </c>
      <c r="E139" t="s">
        <v>1869</v>
      </c>
      <c r="F139" t="s">
        <v>1893</v>
      </c>
      <c r="G139" s="45" t="s">
        <v>719</v>
      </c>
      <c r="H139" t="s">
        <v>1225</v>
      </c>
      <c r="I139" t="s">
        <v>1226</v>
      </c>
      <c r="J139" s="28" t="s">
        <v>718</v>
      </c>
      <c r="M139" s="5" t="s">
        <v>1227</v>
      </c>
      <c r="N139" t="s">
        <v>1874</v>
      </c>
    </row>
    <row r="140" spans="1:14" x14ac:dyDescent="0.2">
      <c r="A140">
        <v>476</v>
      </c>
      <c r="B140" t="b">
        <f t="shared" si="2"/>
        <v>1</v>
      </c>
      <c r="C140" t="s">
        <v>108</v>
      </c>
      <c r="D140" t="str">
        <f>IF(F140&lt;&gt;"",VLOOKUP(F140,PHA4GEVars!$A$7:$B$241,2,FALSE),"")</f>
        <v>Sample collection and processing</v>
      </c>
      <c r="E140" t="s">
        <v>1869</v>
      </c>
      <c r="F140" t="s">
        <v>1893</v>
      </c>
      <c r="G140" s="45" t="s">
        <v>721</v>
      </c>
      <c r="H140" t="s">
        <v>1225</v>
      </c>
      <c r="I140" t="s">
        <v>1226</v>
      </c>
      <c r="J140" s="28" t="s">
        <v>720</v>
      </c>
      <c r="M140" s="5" t="s">
        <v>1227</v>
      </c>
      <c r="N140" t="s">
        <v>1874</v>
      </c>
    </row>
    <row r="141" spans="1:14" x14ac:dyDescent="0.2">
      <c r="A141">
        <v>477</v>
      </c>
      <c r="B141" t="b">
        <f t="shared" si="2"/>
        <v>1</v>
      </c>
      <c r="C141" t="s">
        <v>108</v>
      </c>
      <c r="D141" t="str">
        <f>IF(F141&lt;&gt;"",VLOOKUP(F141,PHA4GEVars!$A$7:$B$241,2,FALSE),"")</f>
        <v>Sample collection and processing</v>
      </c>
      <c r="E141" t="s">
        <v>1869</v>
      </c>
      <c r="F141" t="s">
        <v>1893</v>
      </c>
      <c r="G141" s="45" t="s">
        <v>723</v>
      </c>
      <c r="H141" t="s">
        <v>1225</v>
      </c>
      <c r="I141" t="s">
        <v>1226</v>
      </c>
      <c r="J141" s="28" t="s">
        <v>722</v>
      </c>
      <c r="M141" s="5" t="s">
        <v>1227</v>
      </c>
      <c r="N141" t="s">
        <v>1874</v>
      </c>
    </row>
    <row r="142" spans="1:14" x14ac:dyDescent="0.2">
      <c r="A142">
        <v>478</v>
      </c>
      <c r="B142" t="b">
        <f t="shared" si="2"/>
        <v>1</v>
      </c>
      <c r="C142" t="s">
        <v>108</v>
      </c>
      <c r="D142" t="str">
        <f>IF(F142&lt;&gt;"",VLOOKUP(F142,PHA4GEVars!$A$7:$B$241,2,FALSE),"")</f>
        <v>Sample collection and processing</v>
      </c>
      <c r="E142" t="s">
        <v>1869</v>
      </c>
      <c r="F142" t="s">
        <v>1893</v>
      </c>
      <c r="G142" s="45" t="s">
        <v>724</v>
      </c>
      <c r="H142" t="s">
        <v>1225</v>
      </c>
      <c r="I142" s="28" t="s">
        <v>1226</v>
      </c>
      <c r="J142" s="28" t="s">
        <v>1468</v>
      </c>
      <c r="L142" t="s">
        <v>1475</v>
      </c>
      <c r="M142" s="5" t="s">
        <v>1227</v>
      </c>
      <c r="N142" t="s">
        <v>1874</v>
      </c>
    </row>
    <row r="143" spans="1:14" x14ac:dyDescent="0.2">
      <c r="A143">
        <v>479</v>
      </c>
      <c r="B143" t="b">
        <f t="shared" si="2"/>
        <v>1</v>
      </c>
      <c r="C143" t="s">
        <v>108</v>
      </c>
      <c r="D143" t="str">
        <f>IF(F143&lt;&gt;"",VLOOKUP(F143,PHA4GEVars!$A$7:$B$241,2,FALSE),"")</f>
        <v>Sample collection and processing</v>
      </c>
      <c r="E143" t="s">
        <v>1869</v>
      </c>
      <c r="F143" t="s">
        <v>1893</v>
      </c>
      <c r="G143" s="45" t="s">
        <v>726</v>
      </c>
      <c r="H143" t="s">
        <v>1225</v>
      </c>
      <c r="I143" t="s">
        <v>1226</v>
      </c>
      <c r="J143" s="28" t="s">
        <v>725</v>
      </c>
      <c r="M143" s="5" t="s">
        <v>1227</v>
      </c>
      <c r="N143" t="s">
        <v>1874</v>
      </c>
    </row>
    <row r="144" spans="1:14" x14ac:dyDescent="0.2">
      <c r="A144">
        <v>480</v>
      </c>
      <c r="B144" t="b">
        <f t="shared" si="2"/>
        <v>1</v>
      </c>
      <c r="C144" t="s">
        <v>108</v>
      </c>
      <c r="D144" t="str">
        <f>IF(F144&lt;&gt;"",VLOOKUP(F144,PHA4GEVars!$A$7:$B$241,2,FALSE),"")</f>
        <v>Sample collection and processing</v>
      </c>
      <c r="E144" t="s">
        <v>1869</v>
      </c>
      <c r="F144" t="s">
        <v>1893</v>
      </c>
      <c r="G144" s="45" t="s">
        <v>728</v>
      </c>
      <c r="H144" t="s">
        <v>1225</v>
      </c>
      <c r="I144" t="s">
        <v>1226</v>
      </c>
      <c r="J144" s="28" t="s">
        <v>727</v>
      </c>
      <c r="M144" s="5" t="s">
        <v>1227</v>
      </c>
      <c r="N144" t="s">
        <v>1874</v>
      </c>
    </row>
    <row r="145" spans="1:14" x14ac:dyDescent="0.2">
      <c r="A145">
        <v>481</v>
      </c>
      <c r="B145" t="b">
        <f t="shared" si="2"/>
        <v>1</v>
      </c>
      <c r="C145" t="s">
        <v>108</v>
      </c>
      <c r="D145" t="str">
        <f>IF(F145&lt;&gt;"",VLOOKUP(F145,PHA4GEVars!$A$7:$B$241,2,FALSE),"")</f>
        <v>Sample collection and processing</v>
      </c>
      <c r="E145" t="s">
        <v>1869</v>
      </c>
      <c r="F145" t="s">
        <v>1893</v>
      </c>
      <c r="G145" s="45" t="s">
        <v>730</v>
      </c>
      <c r="H145" t="s">
        <v>1225</v>
      </c>
      <c r="I145" t="s">
        <v>1226</v>
      </c>
      <c r="J145" s="28" t="s">
        <v>729</v>
      </c>
      <c r="M145" s="5" t="s">
        <v>1227</v>
      </c>
      <c r="N145" t="s">
        <v>1874</v>
      </c>
    </row>
    <row r="146" spans="1:14" x14ac:dyDescent="0.2">
      <c r="A146">
        <v>482</v>
      </c>
      <c r="B146" t="b">
        <f t="shared" si="2"/>
        <v>1</v>
      </c>
      <c r="C146" t="s">
        <v>108</v>
      </c>
      <c r="D146" t="str">
        <f>IF(F146&lt;&gt;"",VLOOKUP(F146,PHA4GEVars!$A$7:$B$241,2,FALSE),"")</f>
        <v>Sample collection and processing</v>
      </c>
      <c r="E146" t="s">
        <v>1869</v>
      </c>
      <c r="F146" t="s">
        <v>1893</v>
      </c>
      <c r="G146" s="45" t="s">
        <v>732</v>
      </c>
      <c r="H146" t="s">
        <v>1225</v>
      </c>
      <c r="I146" t="s">
        <v>1226</v>
      </c>
      <c r="J146" s="28" t="s">
        <v>731</v>
      </c>
      <c r="M146" s="5" t="s">
        <v>1227</v>
      </c>
      <c r="N146" t="s">
        <v>1874</v>
      </c>
    </row>
    <row r="147" spans="1:14" x14ac:dyDescent="0.2">
      <c r="A147">
        <v>483</v>
      </c>
      <c r="B147" t="b">
        <f t="shared" si="2"/>
        <v>1</v>
      </c>
      <c r="C147" t="s">
        <v>108</v>
      </c>
      <c r="D147" t="str">
        <f>IF(F147&lt;&gt;"",VLOOKUP(F147,PHA4GEVars!$A$7:$B$241,2,FALSE),"")</f>
        <v>Sample collection and processing</v>
      </c>
      <c r="E147" t="s">
        <v>1869</v>
      </c>
      <c r="F147" t="s">
        <v>1893</v>
      </c>
      <c r="G147" s="45" t="s">
        <v>734</v>
      </c>
      <c r="H147" t="s">
        <v>1225</v>
      </c>
      <c r="I147" t="s">
        <v>1226</v>
      </c>
      <c r="J147" s="28" t="s">
        <v>733</v>
      </c>
      <c r="M147" s="5" t="s">
        <v>1227</v>
      </c>
      <c r="N147" t="s">
        <v>1874</v>
      </c>
    </row>
    <row r="148" spans="1:14" x14ac:dyDescent="0.2">
      <c r="A148">
        <v>484</v>
      </c>
      <c r="B148" t="b">
        <f t="shared" si="2"/>
        <v>1</v>
      </c>
      <c r="C148" t="s">
        <v>108</v>
      </c>
      <c r="D148" t="str">
        <f>IF(F148&lt;&gt;"",VLOOKUP(F148,PHA4GEVars!$A$7:$B$241,2,FALSE),"")</f>
        <v>Sample collection and processing</v>
      </c>
      <c r="E148" t="s">
        <v>1869</v>
      </c>
      <c r="F148" t="s">
        <v>1893</v>
      </c>
      <c r="G148" s="45" t="s">
        <v>736</v>
      </c>
      <c r="H148" t="s">
        <v>1225</v>
      </c>
      <c r="I148" t="s">
        <v>1226</v>
      </c>
      <c r="J148" s="28" t="s">
        <v>735</v>
      </c>
      <c r="M148" s="5" t="s">
        <v>1227</v>
      </c>
      <c r="N148" t="s">
        <v>1874</v>
      </c>
    </row>
    <row r="149" spans="1:14" x14ac:dyDescent="0.2">
      <c r="A149">
        <v>485</v>
      </c>
      <c r="B149" t="b">
        <f t="shared" si="2"/>
        <v>1</v>
      </c>
      <c r="C149" t="s">
        <v>108</v>
      </c>
      <c r="D149" t="str">
        <f>IF(F149&lt;&gt;"",VLOOKUP(F149,PHA4GEVars!$A$7:$B$241,2,FALSE),"")</f>
        <v>Sample collection and processing</v>
      </c>
      <c r="E149" t="s">
        <v>1869</v>
      </c>
      <c r="F149" t="s">
        <v>1893</v>
      </c>
      <c r="G149" s="45" t="s">
        <v>738</v>
      </c>
      <c r="H149" t="s">
        <v>1225</v>
      </c>
      <c r="I149" t="s">
        <v>1226</v>
      </c>
      <c r="J149" s="28" t="s">
        <v>737</v>
      </c>
      <c r="M149" s="5" t="s">
        <v>1227</v>
      </c>
      <c r="N149" t="s">
        <v>1874</v>
      </c>
    </row>
    <row r="150" spans="1:14" x14ac:dyDescent="0.2">
      <c r="A150">
        <v>486</v>
      </c>
      <c r="B150" t="b">
        <f t="shared" si="2"/>
        <v>1</v>
      </c>
      <c r="C150" t="s">
        <v>108</v>
      </c>
      <c r="D150" t="str">
        <f>IF(F150&lt;&gt;"",VLOOKUP(F150,PHA4GEVars!$A$7:$B$241,2,FALSE),"")</f>
        <v>Sample collection and processing</v>
      </c>
      <c r="E150" t="s">
        <v>1869</v>
      </c>
      <c r="F150" t="s">
        <v>1893</v>
      </c>
      <c r="G150" s="45" t="s">
        <v>740</v>
      </c>
      <c r="H150" t="s">
        <v>1225</v>
      </c>
      <c r="I150" t="s">
        <v>1226</v>
      </c>
      <c r="J150" s="28" t="s">
        <v>739</v>
      </c>
      <c r="M150" s="5" t="s">
        <v>1227</v>
      </c>
      <c r="N150" t="s">
        <v>1874</v>
      </c>
    </row>
    <row r="151" spans="1:14" x14ac:dyDescent="0.2">
      <c r="A151">
        <v>487</v>
      </c>
      <c r="B151" t="b">
        <f t="shared" si="2"/>
        <v>1</v>
      </c>
      <c r="C151" t="s">
        <v>108</v>
      </c>
      <c r="D151" t="str">
        <f>IF(F151&lt;&gt;"",VLOOKUP(F151,PHA4GEVars!$A$7:$B$241,2,FALSE),"")</f>
        <v>Sample collection and processing</v>
      </c>
      <c r="E151" t="s">
        <v>1869</v>
      </c>
      <c r="F151" t="s">
        <v>1893</v>
      </c>
      <c r="G151" s="45" t="s">
        <v>742</v>
      </c>
      <c r="H151" t="s">
        <v>1225</v>
      </c>
      <c r="I151" t="s">
        <v>1226</v>
      </c>
      <c r="J151" s="28" t="s">
        <v>741</v>
      </c>
      <c r="M151" s="5" t="s">
        <v>1227</v>
      </c>
      <c r="N151" t="s">
        <v>1874</v>
      </c>
    </row>
    <row r="152" spans="1:14" x14ac:dyDescent="0.2">
      <c r="A152">
        <v>488</v>
      </c>
      <c r="B152" t="b">
        <f t="shared" si="2"/>
        <v>1</v>
      </c>
      <c r="C152" t="s">
        <v>108</v>
      </c>
      <c r="D152" t="str">
        <f>IF(F152&lt;&gt;"",VLOOKUP(F152,PHA4GEVars!$A$7:$B$241,2,FALSE),"")</f>
        <v>Sample collection and processing</v>
      </c>
      <c r="E152" t="s">
        <v>1869</v>
      </c>
      <c r="F152" t="s">
        <v>1893</v>
      </c>
      <c r="G152" s="45" t="s">
        <v>744</v>
      </c>
      <c r="H152" t="s">
        <v>1225</v>
      </c>
      <c r="I152" t="s">
        <v>1226</v>
      </c>
      <c r="J152" s="28" t="s">
        <v>743</v>
      </c>
      <c r="M152" s="5" t="s">
        <v>1227</v>
      </c>
      <c r="N152" t="s">
        <v>1874</v>
      </c>
    </row>
    <row r="153" spans="1:14" x14ac:dyDescent="0.2">
      <c r="A153">
        <v>489</v>
      </c>
      <c r="B153" t="b">
        <f t="shared" si="2"/>
        <v>1</v>
      </c>
      <c r="C153" t="s">
        <v>108</v>
      </c>
      <c r="D153" t="str">
        <f>IF(F153&lt;&gt;"",VLOOKUP(F153,PHA4GEVars!$A$7:$B$241,2,FALSE),"")</f>
        <v>Sample collection and processing</v>
      </c>
      <c r="E153" t="s">
        <v>1869</v>
      </c>
      <c r="F153" t="s">
        <v>1893</v>
      </c>
      <c r="G153" s="45" t="s">
        <v>746</v>
      </c>
      <c r="H153" t="s">
        <v>1225</v>
      </c>
      <c r="I153" t="s">
        <v>1226</v>
      </c>
      <c r="J153" s="28" t="s">
        <v>745</v>
      </c>
      <c r="M153" s="5" t="s">
        <v>1227</v>
      </c>
      <c r="N153" t="s">
        <v>1874</v>
      </c>
    </row>
    <row r="154" spans="1:14" x14ac:dyDescent="0.2">
      <c r="A154">
        <v>490</v>
      </c>
      <c r="B154" t="b">
        <f t="shared" si="2"/>
        <v>1</v>
      </c>
      <c r="C154" t="s">
        <v>108</v>
      </c>
      <c r="D154" t="str">
        <f>IF(F154&lt;&gt;"",VLOOKUP(F154,PHA4GEVars!$A$7:$B$241,2,FALSE),"")</f>
        <v>Sample collection and processing</v>
      </c>
      <c r="E154" t="s">
        <v>1869</v>
      </c>
      <c r="F154" t="s">
        <v>1893</v>
      </c>
      <c r="G154" s="45" t="s">
        <v>748</v>
      </c>
      <c r="H154" t="s">
        <v>1225</v>
      </c>
      <c r="I154" t="s">
        <v>1226</v>
      </c>
      <c r="J154" s="28" t="s">
        <v>747</v>
      </c>
      <c r="M154" s="5" t="s">
        <v>1227</v>
      </c>
      <c r="N154" t="s">
        <v>1874</v>
      </c>
    </row>
    <row r="155" spans="1:14" x14ac:dyDescent="0.2">
      <c r="A155">
        <v>491</v>
      </c>
      <c r="B155" t="b">
        <f t="shared" si="2"/>
        <v>1</v>
      </c>
      <c r="C155" t="s">
        <v>108</v>
      </c>
      <c r="D155" t="str">
        <f>IF(F155&lt;&gt;"",VLOOKUP(F155,PHA4GEVars!$A$7:$B$241,2,FALSE),"")</f>
        <v>Sample collection and processing</v>
      </c>
      <c r="E155" t="s">
        <v>1869</v>
      </c>
      <c r="F155" t="s">
        <v>1893</v>
      </c>
      <c r="G155" s="45" t="s">
        <v>750</v>
      </c>
      <c r="H155" t="s">
        <v>1225</v>
      </c>
      <c r="I155" t="s">
        <v>1226</v>
      </c>
      <c r="J155" s="28" t="s">
        <v>749</v>
      </c>
      <c r="M155" s="5" t="s">
        <v>1227</v>
      </c>
      <c r="N155" t="s">
        <v>1874</v>
      </c>
    </row>
    <row r="156" spans="1:14" x14ac:dyDescent="0.2">
      <c r="A156">
        <v>492</v>
      </c>
      <c r="B156" t="b">
        <f t="shared" si="2"/>
        <v>1</v>
      </c>
      <c r="C156" t="s">
        <v>108</v>
      </c>
      <c r="D156" t="str">
        <f>IF(F156&lt;&gt;"",VLOOKUP(F156,PHA4GEVars!$A$7:$B$241,2,FALSE),"")</f>
        <v>Sample collection and processing</v>
      </c>
      <c r="E156" t="s">
        <v>1869</v>
      </c>
      <c r="F156" t="s">
        <v>1893</v>
      </c>
      <c r="G156" s="45" t="s">
        <v>752</v>
      </c>
      <c r="H156" t="s">
        <v>1225</v>
      </c>
      <c r="I156" t="s">
        <v>1226</v>
      </c>
      <c r="J156" s="28" t="s">
        <v>751</v>
      </c>
      <c r="M156" s="5" t="s">
        <v>1227</v>
      </c>
      <c r="N156" t="s">
        <v>1874</v>
      </c>
    </row>
    <row r="157" spans="1:14" x14ac:dyDescent="0.2">
      <c r="A157">
        <v>493</v>
      </c>
      <c r="B157" t="b">
        <f t="shared" si="2"/>
        <v>1</v>
      </c>
      <c r="C157" t="s">
        <v>108</v>
      </c>
      <c r="D157" t="str">
        <f>IF(F157&lt;&gt;"",VLOOKUP(F157,PHA4GEVars!$A$7:$B$241,2,FALSE),"")</f>
        <v>Sample collection and processing</v>
      </c>
      <c r="E157" t="s">
        <v>1869</v>
      </c>
      <c r="F157" t="s">
        <v>1893</v>
      </c>
      <c r="G157" s="45" t="s">
        <v>754</v>
      </c>
      <c r="H157" t="s">
        <v>1225</v>
      </c>
      <c r="I157" t="s">
        <v>1226</v>
      </c>
      <c r="J157" s="28" t="s">
        <v>753</v>
      </c>
      <c r="M157" s="5" t="s">
        <v>1227</v>
      </c>
      <c r="N157" t="s">
        <v>1874</v>
      </c>
    </row>
    <row r="158" spans="1:14" x14ac:dyDescent="0.2">
      <c r="A158">
        <v>494</v>
      </c>
      <c r="B158" t="b">
        <f t="shared" si="2"/>
        <v>1</v>
      </c>
      <c r="C158" t="s">
        <v>108</v>
      </c>
      <c r="D158" t="str">
        <f>IF(F158&lt;&gt;"",VLOOKUP(F158,PHA4GEVars!$A$7:$B$241,2,FALSE),"")</f>
        <v>Sample collection and processing</v>
      </c>
      <c r="E158" t="s">
        <v>1869</v>
      </c>
      <c r="F158" t="s">
        <v>1893</v>
      </c>
      <c r="G158" s="45" t="s">
        <v>756</v>
      </c>
      <c r="H158" t="s">
        <v>1225</v>
      </c>
      <c r="I158" t="s">
        <v>1226</v>
      </c>
      <c r="J158" s="28" t="s">
        <v>755</v>
      </c>
      <c r="M158" s="5" t="s">
        <v>1227</v>
      </c>
      <c r="N158" t="s">
        <v>1874</v>
      </c>
    </row>
    <row r="159" spans="1:14" x14ac:dyDescent="0.2">
      <c r="A159">
        <v>495</v>
      </c>
      <c r="B159" t="b">
        <f t="shared" si="2"/>
        <v>1</v>
      </c>
      <c r="C159" t="s">
        <v>108</v>
      </c>
      <c r="D159" t="str">
        <f>IF(F159&lt;&gt;"",VLOOKUP(F159,PHA4GEVars!$A$7:$B$241,2,FALSE),"")</f>
        <v>Sample collection and processing</v>
      </c>
      <c r="E159" t="s">
        <v>1869</v>
      </c>
      <c r="F159" t="s">
        <v>1893</v>
      </c>
      <c r="G159" s="45" t="s">
        <v>757</v>
      </c>
      <c r="H159" t="s">
        <v>1225</v>
      </c>
      <c r="I159" s="28" t="s">
        <v>1226</v>
      </c>
      <c r="J159" s="28" t="s">
        <v>1469</v>
      </c>
      <c r="L159" t="s">
        <v>1453</v>
      </c>
      <c r="M159" s="5" t="s">
        <v>1227</v>
      </c>
      <c r="N159" t="s">
        <v>1874</v>
      </c>
    </row>
    <row r="160" spans="1:14" x14ac:dyDescent="0.2">
      <c r="A160">
        <v>496</v>
      </c>
      <c r="B160" t="b">
        <f t="shared" si="2"/>
        <v>1</v>
      </c>
      <c r="C160" t="s">
        <v>108</v>
      </c>
      <c r="D160" t="str">
        <f>IF(F160&lt;&gt;"",VLOOKUP(F160,PHA4GEVars!$A$7:$B$241,2,FALSE),"")</f>
        <v>Sample collection and processing</v>
      </c>
      <c r="E160" t="s">
        <v>1869</v>
      </c>
      <c r="F160" t="s">
        <v>1893</v>
      </c>
      <c r="G160" s="45" t="s">
        <v>759</v>
      </c>
      <c r="H160" t="s">
        <v>1225</v>
      </c>
      <c r="I160" t="s">
        <v>1226</v>
      </c>
      <c r="J160" s="28" t="s">
        <v>758</v>
      </c>
      <c r="M160" s="5" t="s">
        <v>1227</v>
      </c>
      <c r="N160" t="s">
        <v>1874</v>
      </c>
    </row>
    <row r="161" spans="1:14" x14ac:dyDescent="0.2">
      <c r="A161">
        <v>497</v>
      </c>
      <c r="B161" t="b">
        <f t="shared" si="2"/>
        <v>1</v>
      </c>
      <c r="C161" t="s">
        <v>108</v>
      </c>
      <c r="D161" t="str">
        <f>IF(F161&lt;&gt;"",VLOOKUP(F161,PHA4GEVars!$A$7:$B$241,2,FALSE),"")</f>
        <v>Sample collection and processing</v>
      </c>
      <c r="E161" t="s">
        <v>1869</v>
      </c>
      <c r="F161" t="s">
        <v>1893</v>
      </c>
      <c r="G161" s="45" t="s">
        <v>761</v>
      </c>
      <c r="H161" t="s">
        <v>1225</v>
      </c>
      <c r="I161" t="s">
        <v>1226</v>
      </c>
      <c r="J161" s="28" t="s">
        <v>760</v>
      </c>
      <c r="M161" s="5" t="s">
        <v>1227</v>
      </c>
      <c r="N161" t="s">
        <v>1874</v>
      </c>
    </row>
    <row r="162" spans="1:14" x14ac:dyDescent="0.2">
      <c r="A162">
        <v>498</v>
      </c>
      <c r="B162" t="b">
        <f t="shared" si="2"/>
        <v>1</v>
      </c>
      <c r="C162" t="s">
        <v>108</v>
      </c>
      <c r="D162" t="str">
        <f>IF(F162&lt;&gt;"",VLOOKUP(F162,PHA4GEVars!$A$7:$B$241,2,FALSE),"")</f>
        <v>Sample collection and processing</v>
      </c>
      <c r="E162" t="s">
        <v>1869</v>
      </c>
      <c r="F162" t="s">
        <v>1893</v>
      </c>
      <c r="G162" s="45" t="s">
        <v>763</v>
      </c>
      <c r="H162" t="s">
        <v>1225</v>
      </c>
      <c r="I162" t="s">
        <v>1226</v>
      </c>
      <c r="J162" s="28" t="s">
        <v>762</v>
      </c>
      <c r="M162" s="5" t="s">
        <v>1227</v>
      </c>
      <c r="N162" t="s">
        <v>1874</v>
      </c>
    </row>
    <row r="163" spans="1:14" x14ac:dyDescent="0.2">
      <c r="A163">
        <v>499</v>
      </c>
      <c r="B163" t="b">
        <f t="shared" si="2"/>
        <v>1</v>
      </c>
      <c r="C163" t="s">
        <v>108</v>
      </c>
      <c r="D163" t="str">
        <f>IF(F163&lt;&gt;"",VLOOKUP(F163,PHA4GEVars!$A$7:$B$241,2,FALSE),"")</f>
        <v>Sample collection and processing</v>
      </c>
      <c r="E163" t="s">
        <v>1869</v>
      </c>
      <c r="F163" t="s">
        <v>1893</v>
      </c>
      <c r="G163" s="45" t="s">
        <v>765</v>
      </c>
      <c r="H163" t="s">
        <v>1225</v>
      </c>
      <c r="I163" t="s">
        <v>1226</v>
      </c>
      <c r="J163" s="28" t="s">
        <v>764</v>
      </c>
      <c r="M163" s="5" t="s">
        <v>1227</v>
      </c>
      <c r="N163" t="s">
        <v>1874</v>
      </c>
    </row>
    <row r="164" spans="1:14" x14ac:dyDescent="0.2">
      <c r="A164">
        <v>500</v>
      </c>
      <c r="B164" t="b">
        <f t="shared" si="2"/>
        <v>1</v>
      </c>
      <c r="C164" t="s">
        <v>108</v>
      </c>
      <c r="D164" t="str">
        <f>IF(F164&lt;&gt;"",VLOOKUP(F164,PHA4GEVars!$A$7:$B$241,2,FALSE),"")</f>
        <v>Sample collection and processing</v>
      </c>
      <c r="E164" t="s">
        <v>1869</v>
      </c>
      <c r="F164" t="s">
        <v>1893</v>
      </c>
      <c r="G164" s="45" t="s">
        <v>767</v>
      </c>
      <c r="H164" t="s">
        <v>1225</v>
      </c>
      <c r="I164" t="s">
        <v>1226</v>
      </c>
      <c r="J164" s="28" t="s">
        <v>766</v>
      </c>
      <c r="M164" s="5" t="s">
        <v>1227</v>
      </c>
      <c r="N164" t="s">
        <v>1874</v>
      </c>
    </row>
    <row r="165" spans="1:14" x14ac:dyDescent="0.2">
      <c r="A165">
        <v>501</v>
      </c>
      <c r="B165" t="b">
        <f t="shared" si="2"/>
        <v>1</v>
      </c>
      <c r="C165" t="s">
        <v>108</v>
      </c>
      <c r="D165" t="str">
        <f>IF(F165&lt;&gt;"",VLOOKUP(F165,PHA4GEVars!$A$7:$B$241,2,FALSE),"")</f>
        <v>Sample collection and processing</v>
      </c>
      <c r="E165" t="s">
        <v>1869</v>
      </c>
      <c r="F165" t="s">
        <v>1893</v>
      </c>
      <c r="G165" s="45" t="s">
        <v>769</v>
      </c>
      <c r="H165" t="s">
        <v>1225</v>
      </c>
      <c r="I165" t="s">
        <v>1226</v>
      </c>
      <c r="J165" s="28" t="s">
        <v>768</v>
      </c>
      <c r="M165" s="5" t="s">
        <v>1227</v>
      </c>
      <c r="N165" t="s">
        <v>1874</v>
      </c>
    </row>
    <row r="166" spans="1:14" x14ac:dyDescent="0.2">
      <c r="A166">
        <v>502</v>
      </c>
      <c r="B166" t="b">
        <f t="shared" si="2"/>
        <v>1</v>
      </c>
      <c r="C166" t="s">
        <v>108</v>
      </c>
      <c r="D166" t="str">
        <f>IF(F166&lt;&gt;"",VLOOKUP(F166,PHA4GEVars!$A$7:$B$241,2,FALSE),"")</f>
        <v>Sample collection and processing</v>
      </c>
      <c r="E166" t="s">
        <v>1869</v>
      </c>
      <c r="F166" t="s">
        <v>1893</v>
      </c>
      <c r="G166" s="45" t="s">
        <v>771</v>
      </c>
      <c r="H166" t="s">
        <v>1225</v>
      </c>
      <c r="I166" t="s">
        <v>1226</v>
      </c>
      <c r="J166" s="28" t="s">
        <v>770</v>
      </c>
      <c r="M166" s="5" t="s">
        <v>1227</v>
      </c>
      <c r="N166" t="s">
        <v>1874</v>
      </c>
    </row>
    <row r="167" spans="1:14" x14ac:dyDescent="0.2">
      <c r="A167">
        <v>503</v>
      </c>
      <c r="B167" t="b">
        <f t="shared" si="2"/>
        <v>1</v>
      </c>
      <c r="C167" t="s">
        <v>108</v>
      </c>
      <c r="D167" t="str">
        <f>IF(F167&lt;&gt;"",VLOOKUP(F167,PHA4GEVars!$A$7:$B$241,2,FALSE),"")</f>
        <v>Sample collection and processing</v>
      </c>
      <c r="E167" t="s">
        <v>1869</v>
      </c>
      <c r="F167" t="s">
        <v>1893</v>
      </c>
      <c r="G167" s="45" t="s">
        <v>773</v>
      </c>
      <c r="H167" t="s">
        <v>1225</v>
      </c>
      <c r="I167" t="s">
        <v>1226</v>
      </c>
      <c r="J167" s="28" t="s">
        <v>772</v>
      </c>
      <c r="M167" s="5" t="s">
        <v>1227</v>
      </c>
      <c r="N167" t="s">
        <v>1874</v>
      </c>
    </row>
    <row r="168" spans="1:14" x14ac:dyDescent="0.2">
      <c r="A168">
        <v>504</v>
      </c>
      <c r="B168" t="b">
        <f t="shared" si="2"/>
        <v>1</v>
      </c>
      <c r="C168" t="s">
        <v>108</v>
      </c>
      <c r="D168" t="str">
        <f>IF(F168&lt;&gt;"",VLOOKUP(F168,PHA4GEVars!$A$7:$B$241,2,FALSE),"")</f>
        <v>Sample collection and processing</v>
      </c>
      <c r="E168" t="s">
        <v>1869</v>
      </c>
      <c r="F168" t="s">
        <v>1893</v>
      </c>
      <c r="G168" s="45" t="s">
        <v>774</v>
      </c>
      <c r="H168" t="s">
        <v>1225</v>
      </c>
      <c r="I168" t="s">
        <v>1226</v>
      </c>
      <c r="J168" s="28" t="s">
        <v>458</v>
      </c>
      <c r="M168" s="5" t="s">
        <v>1227</v>
      </c>
      <c r="N168" t="s">
        <v>1874</v>
      </c>
    </row>
    <row r="169" spans="1:14" x14ac:dyDescent="0.2">
      <c r="A169">
        <v>505</v>
      </c>
      <c r="B169" t="b">
        <f t="shared" si="2"/>
        <v>1</v>
      </c>
      <c r="C169" t="s">
        <v>108</v>
      </c>
      <c r="D169" t="str">
        <f>IF(F169&lt;&gt;"",VLOOKUP(F169,PHA4GEVars!$A$7:$B$241,2,FALSE),"")</f>
        <v>Sample collection and processing</v>
      </c>
      <c r="E169" t="s">
        <v>1869</v>
      </c>
      <c r="F169" t="s">
        <v>1893</v>
      </c>
      <c r="G169" s="45" t="s">
        <v>776</v>
      </c>
      <c r="H169" t="s">
        <v>1225</v>
      </c>
      <c r="I169" t="s">
        <v>1226</v>
      </c>
      <c r="J169" s="28" t="s">
        <v>775</v>
      </c>
      <c r="M169" s="5" t="s">
        <v>1227</v>
      </c>
      <c r="N169" t="s">
        <v>1874</v>
      </c>
    </row>
    <row r="170" spans="1:14" x14ac:dyDescent="0.2">
      <c r="A170">
        <v>506</v>
      </c>
      <c r="B170" t="b">
        <f t="shared" si="2"/>
        <v>1</v>
      </c>
      <c r="C170" t="s">
        <v>108</v>
      </c>
      <c r="D170" t="str">
        <f>IF(F170&lt;&gt;"",VLOOKUP(F170,PHA4GEVars!$A$7:$B$241,2,FALSE),"")</f>
        <v>Sample collection and processing</v>
      </c>
      <c r="E170" t="s">
        <v>1869</v>
      </c>
      <c r="F170" t="s">
        <v>1893</v>
      </c>
      <c r="G170" s="45" t="s">
        <v>777</v>
      </c>
      <c r="H170" t="s">
        <v>1225</v>
      </c>
      <c r="I170" s="28" t="s">
        <v>1226</v>
      </c>
      <c r="J170" s="28" t="s">
        <v>1449</v>
      </c>
      <c r="L170" t="s">
        <v>1453</v>
      </c>
      <c r="M170" s="5" t="s">
        <v>1227</v>
      </c>
      <c r="N170" t="s">
        <v>1874</v>
      </c>
    </row>
    <row r="171" spans="1:14" x14ac:dyDescent="0.2">
      <c r="A171">
        <v>507</v>
      </c>
      <c r="B171" t="b">
        <f t="shared" si="2"/>
        <v>1</v>
      </c>
      <c r="C171" t="s">
        <v>108</v>
      </c>
      <c r="D171" t="str">
        <f>IF(F171&lt;&gt;"",VLOOKUP(F171,PHA4GEVars!$A$7:$B$241,2,FALSE),"")</f>
        <v>Sample collection and processing</v>
      </c>
      <c r="E171" t="s">
        <v>1869</v>
      </c>
      <c r="F171" t="s">
        <v>1893</v>
      </c>
      <c r="G171" s="45" t="s">
        <v>779</v>
      </c>
      <c r="H171" t="s">
        <v>1225</v>
      </c>
      <c r="I171" t="s">
        <v>1226</v>
      </c>
      <c r="J171" s="28" t="s">
        <v>778</v>
      </c>
      <c r="M171" s="5" t="s">
        <v>1227</v>
      </c>
      <c r="N171" t="s">
        <v>1874</v>
      </c>
    </row>
    <row r="172" spans="1:14" x14ac:dyDescent="0.2">
      <c r="A172">
        <v>508</v>
      </c>
      <c r="B172" t="b">
        <f t="shared" si="2"/>
        <v>1</v>
      </c>
      <c r="C172" t="s">
        <v>108</v>
      </c>
      <c r="D172" t="str">
        <f>IF(F172&lt;&gt;"",VLOOKUP(F172,PHA4GEVars!$A$7:$B$241,2,FALSE),"")</f>
        <v>Sample collection and processing</v>
      </c>
      <c r="E172" t="s">
        <v>1869</v>
      </c>
      <c r="F172" t="s">
        <v>1893</v>
      </c>
      <c r="G172" s="45" t="s">
        <v>781</v>
      </c>
      <c r="H172" t="s">
        <v>1225</v>
      </c>
      <c r="I172" t="s">
        <v>1226</v>
      </c>
      <c r="J172" s="28" t="s">
        <v>780</v>
      </c>
      <c r="M172" s="5" t="s">
        <v>1227</v>
      </c>
      <c r="N172" t="s">
        <v>1874</v>
      </c>
    </row>
    <row r="173" spans="1:14" x14ac:dyDescent="0.2">
      <c r="A173">
        <v>509</v>
      </c>
      <c r="B173" t="b">
        <f t="shared" si="2"/>
        <v>1</v>
      </c>
      <c r="C173" t="s">
        <v>108</v>
      </c>
      <c r="D173" t="str">
        <f>IF(F173&lt;&gt;"",VLOOKUP(F173,PHA4GEVars!$A$7:$B$241,2,FALSE),"")</f>
        <v>Sample collection and processing</v>
      </c>
      <c r="E173" t="s">
        <v>1869</v>
      </c>
      <c r="F173" t="s">
        <v>1893</v>
      </c>
      <c r="G173" s="45" t="s">
        <v>783</v>
      </c>
      <c r="H173" t="s">
        <v>1225</v>
      </c>
      <c r="I173" t="s">
        <v>1226</v>
      </c>
      <c r="J173" s="28" t="s">
        <v>782</v>
      </c>
      <c r="M173" s="5" t="s">
        <v>1227</v>
      </c>
      <c r="N173" t="s">
        <v>1874</v>
      </c>
    </row>
    <row r="174" spans="1:14" x14ac:dyDescent="0.2">
      <c r="A174">
        <v>510</v>
      </c>
      <c r="B174" t="b">
        <f t="shared" si="2"/>
        <v>1</v>
      </c>
      <c r="C174" t="s">
        <v>108</v>
      </c>
      <c r="D174" t="str">
        <f>IF(F174&lt;&gt;"",VLOOKUP(F174,PHA4GEVars!$A$7:$B$241,2,FALSE),"")</f>
        <v>Sample collection and processing</v>
      </c>
      <c r="E174" t="s">
        <v>1869</v>
      </c>
      <c r="F174" t="s">
        <v>1893</v>
      </c>
      <c r="G174" s="45" t="s">
        <v>785</v>
      </c>
      <c r="H174" t="s">
        <v>1225</v>
      </c>
      <c r="I174" t="s">
        <v>1226</v>
      </c>
      <c r="J174" s="28" t="s">
        <v>784</v>
      </c>
      <c r="M174" s="5" t="s">
        <v>1227</v>
      </c>
      <c r="N174" t="s">
        <v>1874</v>
      </c>
    </row>
    <row r="175" spans="1:14" x14ac:dyDescent="0.2">
      <c r="A175">
        <v>511</v>
      </c>
      <c r="B175" t="b">
        <f t="shared" si="2"/>
        <v>1</v>
      </c>
      <c r="C175" t="s">
        <v>108</v>
      </c>
      <c r="D175" t="str">
        <f>IF(F175&lt;&gt;"",VLOOKUP(F175,PHA4GEVars!$A$7:$B$241,2,FALSE),"")</f>
        <v>Sample collection and processing</v>
      </c>
      <c r="E175" t="s">
        <v>1869</v>
      </c>
      <c r="F175" t="s">
        <v>1893</v>
      </c>
      <c r="G175" s="45" t="s">
        <v>787</v>
      </c>
      <c r="H175" t="s">
        <v>1225</v>
      </c>
      <c r="I175" t="s">
        <v>1226</v>
      </c>
      <c r="J175" s="28" t="s">
        <v>786</v>
      </c>
      <c r="M175" s="5" t="s">
        <v>1227</v>
      </c>
      <c r="N175" t="s">
        <v>1874</v>
      </c>
    </row>
    <row r="176" spans="1:14" x14ac:dyDescent="0.2">
      <c r="A176">
        <v>512</v>
      </c>
      <c r="B176" t="b">
        <f t="shared" si="2"/>
        <v>1</v>
      </c>
      <c r="C176" t="s">
        <v>108</v>
      </c>
      <c r="D176" t="str">
        <f>IF(F176&lt;&gt;"",VLOOKUP(F176,PHA4GEVars!$A$7:$B$241,2,FALSE),"")</f>
        <v>Sample collection and processing</v>
      </c>
      <c r="E176" t="s">
        <v>1869</v>
      </c>
      <c r="F176" t="s">
        <v>1893</v>
      </c>
      <c r="G176" s="45" t="s">
        <v>789</v>
      </c>
      <c r="H176" t="s">
        <v>1225</v>
      </c>
      <c r="I176" t="s">
        <v>1226</v>
      </c>
      <c r="J176" s="28" t="s">
        <v>788</v>
      </c>
      <c r="M176" s="5" t="s">
        <v>1227</v>
      </c>
      <c r="N176" t="s">
        <v>1874</v>
      </c>
    </row>
    <row r="177" spans="1:14" x14ac:dyDescent="0.2">
      <c r="A177">
        <v>513</v>
      </c>
      <c r="B177" t="b">
        <f t="shared" si="2"/>
        <v>1</v>
      </c>
      <c r="C177" t="s">
        <v>108</v>
      </c>
      <c r="D177" t="str">
        <f>IF(F177&lt;&gt;"",VLOOKUP(F177,PHA4GEVars!$A$7:$B$241,2,FALSE),"")</f>
        <v>Sample collection and processing</v>
      </c>
      <c r="E177" t="s">
        <v>1869</v>
      </c>
      <c r="F177" t="s">
        <v>1893</v>
      </c>
      <c r="G177" s="45" t="s">
        <v>791</v>
      </c>
      <c r="H177" t="s">
        <v>1225</v>
      </c>
      <c r="I177" t="s">
        <v>1226</v>
      </c>
      <c r="J177" s="28" t="s">
        <v>790</v>
      </c>
      <c r="M177" s="5" t="s">
        <v>1227</v>
      </c>
      <c r="N177" t="s">
        <v>1874</v>
      </c>
    </row>
    <row r="178" spans="1:14" x14ac:dyDescent="0.2">
      <c r="A178">
        <v>514</v>
      </c>
      <c r="B178" t="b">
        <f t="shared" si="2"/>
        <v>1</v>
      </c>
      <c r="C178" t="s">
        <v>108</v>
      </c>
      <c r="D178" t="str">
        <f>IF(F178&lt;&gt;"",VLOOKUP(F178,PHA4GEVars!$A$7:$B$241,2,FALSE),"")</f>
        <v>Sample collection and processing</v>
      </c>
      <c r="E178" t="s">
        <v>1869</v>
      </c>
      <c r="F178" t="s">
        <v>1893</v>
      </c>
      <c r="G178" s="45" t="s">
        <v>793</v>
      </c>
      <c r="H178" t="s">
        <v>1225</v>
      </c>
      <c r="I178" t="s">
        <v>1226</v>
      </c>
      <c r="J178" s="28" t="s">
        <v>792</v>
      </c>
      <c r="M178" s="5" t="s">
        <v>1227</v>
      </c>
      <c r="N178" t="s">
        <v>1874</v>
      </c>
    </row>
    <row r="179" spans="1:14" x14ac:dyDescent="0.2">
      <c r="A179">
        <v>515</v>
      </c>
      <c r="B179" t="b">
        <f t="shared" si="2"/>
        <v>1</v>
      </c>
      <c r="C179" t="s">
        <v>108</v>
      </c>
      <c r="D179" t="str">
        <f>IF(F179&lt;&gt;"",VLOOKUP(F179,PHA4GEVars!$A$7:$B$241,2,FALSE),"")</f>
        <v>Sample collection and processing</v>
      </c>
      <c r="E179" t="s">
        <v>1869</v>
      </c>
      <c r="F179" t="s">
        <v>1893</v>
      </c>
      <c r="G179" s="45" t="s">
        <v>795</v>
      </c>
      <c r="H179" t="s">
        <v>1225</v>
      </c>
      <c r="I179" t="s">
        <v>1226</v>
      </c>
      <c r="J179" s="28" t="s">
        <v>794</v>
      </c>
      <c r="M179" s="5" t="s">
        <v>1227</v>
      </c>
      <c r="N179" t="s">
        <v>1874</v>
      </c>
    </row>
    <row r="180" spans="1:14" x14ac:dyDescent="0.2">
      <c r="A180">
        <v>516</v>
      </c>
      <c r="B180" t="b">
        <f t="shared" si="2"/>
        <v>1</v>
      </c>
      <c r="C180" t="s">
        <v>108</v>
      </c>
      <c r="D180" t="str">
        <f>IF(F180&lt;&gt;"",VLOOKUP(F180,PHA4GEVars!$A$7:$B$241,2,FALSE),"")</f>
        <v>Sample collection and processing</v>
      </c>
      <c r="E180" t="s">
        <v>1869</v>
      </c>
      <c r="F180" t="s">
        <v>1893</v>
      </c>
      <c r="G180" s="45" t="s">
        <v>797</v>
      </c>
      <c r="H180" t="s">
        <v>1225</v>
      </c>
      <c r="I180" t="s">
        <v>1226</v>
      </c>
      <c r="J180" s="28" t="s">
        <v>796</v>
      </c>
      <c r="M180" s="5" t="s">
        <v>1227</v>
      </c>
      <c r="N180" t="s">
        <v>1874</v>
      </c>
    </row>
    <row r="181" spans="1:14" x14ac:dyDescent="0.2">
      <c r="A181">
        <v>517</v>
      </c>
      <c r="B181" t="b">
        <f t="shared" si="2"/>
        <v>1</v>
      </c>
      <c r="C181" t="s">
        <v>108</v>
      </c>
      <c r="D181" t="str">
        <f>IF(F181&lt;&gt;"",VLOOKUP(F181,PHA4GEVars!$A$7:$B$241,2,FALSE),"")</f>
        <v>Sample collection and processing</v>
      </c>
      <c r="E181" t="s">
        <v>1869</v>
      </c>
      <c r="F181" t="s">
        <v>1893</v>
      </c>
      <c r="G181" s="45" t="s">
        <v>799</v>
      </c>
      <c r="H181" t="s">
        <v>1225</v>
      </c>
      <c r="I181" t="s">
        <v>1226</v>
      </c>
      <c r="J181" s="28" t="s">
        <v>798</v>
      </c>
      <c r="M181" s="5" t="s">
        <v>1227</v>
      </c>
      <c r="N181" t="s">
        <v>1874</v>
      </c>
    </row>
    <row r="182" spans="1:14" x14ac:dyDescent="0.2">
      <c r="A182">
        <v>518</v>
      </c>
      <c r="B182" t="b">
        <f t="shared" si="2"/>
        <v>1</v>
      </c>
      <c r="C182" t="s">
        <v>108</v>
      </c>
      <c r="D182" t="str">
        <f>IF(F182&lt;&gt;"",VLOOKUP(F182,PHA4GEVars!$A$7:$B$241,2,FALSE),"")</f>
        <v>Sample collection and processing</v>
      </c>
      <c r="E182" t="s">
        <v>1869</v>
      </c>
      <c r="F182" t="s">
        <v>1893</v>
      </c>
      <c r="G182" s="45" t="s">
        <v>800</v>
      </c>
      <c r="H182" t="s">
        <v>1225</v>
      </c>
      <c r="I182" t="s">
        <v>1226</v>
      </c>
      <c r="J182" s="28" t="s">
        <v>800</v>
      </c>
      <c r="M182" s="5" t="s">
        <v>1479</v>
      </c>
      <c r="N182" t="s">
        <v>1874</v>
      </c>
    </row>
    <row r="183" spans="1:14" x14ac:dyDescent="0.2">
      <c r="A183">
        <v>519</v>
      </c>
      <c r="B183" t="b">
        <f t="shared" si="2"/>
        <v>1</v>
      </c>
      <c r="C183" t="s">
        <v>108</v>
      </c>
      <c r="D183" t="str">
        <f>IF(F183&lt;&gt;"",VLOOKUP(F183,PHA4GEVars!$A$7:$B$241,2,FALSE),"")</f>
        <v>Sample collection and processing</v>
      </c>
      <c r="E183" t="s">
        <v>1869</v>
      </c>
      <c r="F183" t="s">
        <v>1893</v>
      </c>
      <c r="G183" s="45" t="s">
        <v>802</v>
      </c>
      <c r="H183" t="s">
        <v>1225</v>
      </c>
      <c r="I183" t="s">
        <v>1226</v>
      </c>
      <c r="J183" s="28" t="s">
        <v>801</v>
      </c>
      <c r="M183" s="5" t="s">
        <v>1227</v>
      </c>
      <c r="N183" t="s">
        <v>1874</v>
      </c>
    </row>
    <row r="184" spans="1:14" x14ac:dyDescent="0.2">
      <c r="A184">
        <v>520</v>
      </c>
      <c r="B184" t="b">
        <f t="shared" si="2"/>
        <v>1</v>
      </c>
      <c r="C184" t="s">
        <v>108</v>
      </c>
      <c r="D184" t="str">
        <f>IF(F184&lt;&gt;"",VLOOKUP(F184,PHA4GEVars!$A$7:$B$241,2,FALSE),"")</f>
        <v>Sample collection and processing</v>
      </c>
      <c r="E184" t="s">
        <v>1869</v>
      </c>
      <c r="F184" t="s">
        <v>1893</v>
      </c>
      <c r="G184" s="45" t="s">
        <v>804</v>
      </c>
      <c r="H184" t="s">
        <v>1225</v>
      </c>
      <c r="I184" t="s">
        <v>1226</v>
      </c>
      <c r="J184" s="28" t="s">
        <v>803</v>
      </c>
      <c r="M184" s="5" t="s">
        <v>1227</v>
      </c>
      <c r="N184" t="s">
        <v>1874</v>
      </c>
    </row>
    <row r="185" spans="1:14" x14ac:dyDescent="0.2">
      <c r="A185">
        <v>521</v>
      </c>
      <c r="B185" t="b">
        <f t="shared" si="2"/>
        <v>1</v>
      </c>
      <c r="C185" t="s">
        <v>108</v>
      </c>
      <c r="D185" t="str">
        <f>IF(F185&lt;&gt;"",VLOOKUP(F185,PHA4GEVars!$A$7:$B$241,2,FALSE),"")</f>
        <v>Sample collection and processing</v>
      </c>
      <c r="E185" t="s">
        <v>1869</v>
      </c>
      <c r="F185" t="s">
        <v>1893</v>
      </c>
      <c r="G185" s="45" t="s">
        <v>806</v>
      </c>
      <c r="H185" t="s">
        <v>1225</v>
      </c>
      <c r="I185" t="s">
        <v>1226</v>
      </c>
      <c r="J185" s="28" t="s">
        <v>805</v>
      </c>
      <c r="M185" s="5" t="s">
        <v>1227</v>
      </c>
      <c r="N185" t="s">
        <v>1874</v>
      </c>
    </row>
    <row r="186" spans="1:14" x14ac:dyDescent="0.2">
      <c r="A186">
        <v>522</v>
      </c>
      <c r="B186" t="b">
        <f t="shared" si="2"/>
        <v>1</v>
      </c>
      <c r="C186" t="s">
        <v>108</v>
      </c>
      <c r="D186" t="str">
        <f>IF(F186&lt;&gt;"",VLOOKUP(F186,PHA4GEVars!$A$7:$B$241,2,FALSE),"")</f>
        <v>Sample collection and processing</v>
      </c>
      <c r="E186" t="s">
        <v>1869</v>
      </c>
      <c r="F186" t="s">
        <v>1893</v>
      </c>
      <c r="G186" s="45" t="s">
        <v>808</v>
      </c>
      <c r="H186" t="s">
        <v>1225</v>
      </c>
      <c r="I186" t="s">
        <v>1226</v>
      </c>
      <c r="J186" s="28" t="s">
        <v>807</v>
      </c>
      <c r="M186" s="5" t="s">
        <v>1227</v>
      </c>
      <c r="N186" t="s">
        <v>1874</v>
      </c>
    </row>
    <row r="187" spans="1:14" x14ac:dyDescent="0.2">
      <c r="A187">
        <v>523</v>
      </c>
      <c r="B187" t="b">
        <f t="shared" si="2"/>
        <v>1</v>
      </c>
      <c r="C187" t="s">
        <v>108</v>
      </c>
      <c r="D187" t="str">
        <f>IF(F187&lt;&gt;"",VLOOKUP(F187,PHA4GEVars!$A$7:$B$241,2,FALSE),"")</f>
        <v>Sample collection and processing</v>
      </c>
      <c r="E187" t="s">
        <v>1869</v>
      </c>
      <c r="F187" t="s">
        <v>1893</v>
      </c>
      <c r="G187" s="45" t="s">
        <v>810</v>
      </c>
      <c r="H187" t="s">
        <v>1225</v>
      </c>
      <c r="I187" t="s">
        <v>1226</v>
      </c>
      <c r="J187" s="28" t="s">
        <v>809</v>
      </c>
      <c r="M187" s="5" t="s">
        <v>1227</v>
      </c>
      <c r="N187" t="s">
        <v>1874</v>
      </c>
    </row>
    <row r="188" spans="1:14" x14ac:dyDescent="0.2">
      <c r="A188">
        <v>524</v>
      </c>
      <c r="B188" t="b">
        <f t="shared" si="2"/>
        <v>1</v>
      </c>
      <c r="C188" t="s">
        <v>108</v>
      </c>
      <c r="D188" t="str">
        <f>IF(F188&lt;&gt;"",VLOOKUP(F188,PHA4GEVars!$A$7:$B$241,2,FALSE),"")</f>
        <v>Sample collection and processing</v>
      </c>
      <c r="E188" t="s">
        <v>1869</v>
      </c>
      <c r="F188" t="s">
        <v>1893</v>
      </c>
      <c r="G188" s="45" t="s">
        <v>812</v>
      </c>
      <c r="H188" t="s">
        <v>1225</v>
      </c>
      <c r="I188" t="s">
        <v>1226</v>
      </c>
      <c r="J188" s="28" t="s">
        <v>811</v>
      </c>
      <c r="M188" s="5" t="s">
        <v>1227</v>
      </c>
      <c r="N188" t="s">
        <v>1874</v>
      </c>
    </row>
    <row r="189" spans="1:14" x14ac:dyDescent="0.2">
      <c r="A189">
        <v>525</v>
      </c>
      <c r="B189" t="b">
        <f t="shared" si="2"/>
        <v>1</v>
      </c>
      <c r="C189" t="s">
        <v>108</v>
      </c>
      <c r="D189" t="str">
        <f>IF(F189&lt;&gt;"",VLOOKUP(F189,PHA4GEVars!$A$7:$B$241,2,FALSE),"")</f>
        <v>Sample collection and processing</v>
      </c>
      <c r="E189" t="s">
        <v>1869</v>
      </c>
      <c r="F189" t="s">
        <v>1893</v>
      </c>
      <c r="G189" s="45" t="s">
        <v>814</v>
      </c>
      <c r="H189" t="s">
        <v>1225</v>
      </c>
      <c r="I189" t="s">
        <v>1226</v>
      </c>
      <c r="J189" s="28" t="s">
        <v>813</v>
      </c>
      <c r="M189" s="5" t="s">
        <v>1227</v>
      </c>
      <c r="N189" t="s">
        <v>1874</v>
      </c>
    </row>
    <row r="190" spans="1:14" x14ac:dyDescent="0.2">
      <c r="A190">
        <v>526</v>
      </c>
      <c r="B190" t="b">
        <f t="shared" si="2"/>
        <v>1</v>
      </c>
      <c r="C190" t="s">
        <v>108</v>
      </c>
      <c r="D190" t="str">
        <f>IF(F190&lt;&gt;"",VLOOKUP(F190,PHA4GEVars!$A$7:$B$241,2,FALSE),"")</f>
        <v>Sample collection and processing</v>
      </c>
      <c r="E190" t="s">
        <v>1869</v>
      </c>
      <c r="F190" t="s">
        <v>1893</v>
      </c>
      <c r="G190" s="45" t="s">
        <v>815</v>
      </c>
      <c r="H190" t="s">
        <v>1225</v>
      </c>
      <c r="I190" s="28" t="s">
        <v>1226</v>
      </c>
      <c r="J190" s="28" t="s">
        <v>1470</v>
      </c>
      <c r="L190" t="s">
        <v>1476</v>
      </c>
      <c r="M190" s="5" t="s">
        <v>1227</v>
      </c>
      <c r="N190" t="s">
        <v>1874</v>
      </c>
    </row>
    <row r="191" spans="1:14" x14ac:dyDescent="0.2">
      <c r="A191">
        <v>527</v>
      </c>
      <c r="B191" t="b">
        <f t="shared" si="2"/>
        <v>1</v>
      </c>
      <c r="C191" t="s">
        <v>108</v>
      </c>
      <c r="D191" t="str">
        <f>IF(F191&lt;&gt;"",VLOOKUP(F191,PHA4GEVars!$A$7:$B$241,2,FALSE),"")</f>
        <v>Sample collection and processing</v>
      </c>
      <c r="E191" t="s">
        <v>1869</v>
      </c>
      <c r="F191" t="s">
        <v>1893</v>
      </c>
      <c r="G191" s="45" t="s">
        <v>817</v>
      </c>
      <c r="H191" t="s">
        <v>1225</v>
      </c>
      <c r="I191" t="s">
        <v>1226</v>
      </c>
      <c r="J191" s="28" t="s">
        <v>816</v>
      </c>
      <c r="M191" s="5" t="s">
        <v>1227</v>
      </c>
      <c r="N191" t="s">
        <v>1874</v>
      </c>
    </row>
    <row r="192" spans="1:14" x14ac:dyDescent="0.2">
      <c r="A192">
        <v>528</v>
      </c>
      <c r="B192" t="b">
        <f t="shared" si="2"/>
        <v>1</v>
      </c>
      <c r="C192" t="s">
        <v>108</v>
      </c>
      <c r="D192" t="str">
        <f>IF(F192&lt;&gt;"",VLOOKUP(F192,PHA4GEVars!$A$7:$B$241,2,FALSE),"")</f>
        <v>Sample collection and processing</v>
      </c>
      <c r="E192" t="s">
        <v>1869</v>
      </c>
      <c r="F192" t="s">
        <v>1893</v>
      </c>
      <c r="G192" s="45" t="s">
        <v>819</v>
      </c>
      <c r="H192" t="s">
        <v>1225</v>
      </c>
      <c r="I192" t="s">
        <v>1226</v>
      </c>
      <c r="J192" s="28" t="s">
        <v>818</v>
      </c>
      <c r="M192" s="5" t="s">
        <v>1227</v>
      </c>
      <c r="N192" t="s">
        <v>1874</v>
      </c>
    </row>
    <row r="193" spans="1:14" x14ac:dyDescent="0.2">
      <c r="A193">
        <v>529</v>
      </c>
      <c r="B193" t="b">
        <f t="shared" si="2"/>
        <v>1</v>
      </c>
      <c r="C193" t="s">
        <v>108</v>
      </c>
      <c r="D193" t="str">
        <f>IF(F193&lt;&gt;"",VLOOKUP(F193,PHA4GEVars!$A$7:$B$241,2,FALSE),"")</f>
        <v>Sample collection and processing</v>
      </c>
      <c r="E193" t="s">
        <v>1869</v>
      </c>
      <c r="F193" t="s">
        <v>1893</v>
      </c>
      <c r="G193" s="45" t="s">
        <v>821</v>
      </c>
      <c r="H193" t="s">
        <v>1225</v>
      </c>
      <c r="I193" t="s">
        <v>1226</v>
      </c>
      <c r="J193" s="28" t="s">
        <v>820</v>
      </c>
      <c r="M193" s="5" t="s">
        <v>1227</v>
      </c>
      <c r="N193" t="s">
        <v>1874</v>
      </c>
    </row>
    <row r="194" spans="1:14" x14ac:dyDescent="0.2">
      <c r="A194">
        <v>530</v>
      </c>
      <c r="B194" t="b">
        <f t="shared" ref="B194:B257" si="3">IF(OR(G194="NA",H194="wide_value"),"",TRUE)</f>
        <v>1</v>
      </c>
      <c r="C194" t="s">
        <v>108</v>
      </c>
      <c r="D194" t="str">
        <f>IF(F194&lt;&gt;"",VLOOKUP(F194,PHA4GEVars!$A$7:$B$241,2,FALSE),"")</f>
        <v>Sample collection and processing</v>
      </c>
      <c r="E194" t="s">
        <v>1869</v>
      </c>
      <c r="F194" t="s">
        <v>1893</v>
      </c>
      <c r="G194" s="45" t="s">
        <v>823</v>
      </c>
      <c r="H194" t="s">
        <v>1225</v>
      </c>
      <c r="I194" t="s">
        <v>1226</v>
      </c>
      <c r="J194" s="28" t="s">
        <v>822</v>
      </c>
      <c r="M194" s="5" t="s">
        <v>1227</v>
      </c>
      <c r="N194" t="s">
        <v>1874</v>
      </c>
    </row>
    <row r="195" spans="1:14" x14ac:dyDescent="0.2">
      <c r="A195">
        <v>531</v>
      </c>
      <c r="B195" t="b">
        <f t="shared" si="3"/>
        <v>1</v>
      </c>
      <c r="C195" t="s">
        <v>108</v>
      </c>
      <c r="D195" t="str">
        <f>IF(F195&lt;&gt;"",VLOOKUP(F195,PHA4GEVars!$A$7:$B$241,2,FALSE),"")</f>
        <v>Sample collection and processing</v>
      </c>
      <c r="E195" t="s">
        <v>1869</v>
      </c>
      <c r="F195" t="s">
        <v>1893</v>
      </c>
      <c r="G195" s="45" t="s">
        <v>825</v>
      </c>
      <c r="H195" t="s">
        <v>1225</v>
      </c>
      <c r="I195" t="s">
        <v>1226</v>
      </c>
      <c r="J195" s="28" t="s">
        <v>824</v>
      </c>
      <c r="M195" s="5" t="s">
        <v>1227</v>
      </c>
      <c r="N195" t="s">
        <v>1874</v>
      </c>
    </row>
    <row r="196" spans="1:14" x14ac:dyDescent="0.2">
      <c r="A196">
        <v>532</v>
      </c>
      <c r="B196" t="b">
        <f t="shared" si="3"/>
        <v>1</v>
      </c>
      <c r="C196" t="s">
        <v>108</v>
      </c>
      <c r="D196" t="str">
        <f>IF(F196&lt;&gt;"",VLOOKUP(F196,PHA4GEVars!$A$7:$B$241,2,FALSE),"")</f>
        <v>Sample collection and processing</v>
      </c>
      <c r="E196" t="s">
        <v>1869</v>
      </c>
      <c r="F196" t="s">
        <v>1893</v>
      </c>
      <c r="G196" s="45" t="s">
        <v>827</v>
      </c>
      <c r="H196" t="s">
        <v>1225</v>
      </c>
      <c r="I196" t="s">
        <v>1226</v>
      </c>
      <c r="J196" s="28" t="s">
        <v>826</v>
      </c>
      <c r="M196" s="5" t="s">
        <v>1227</v>
      </c>
      <c r="N196" t="s">
        <v>1874</v>
      </c>
    </row>
    <row r="197" spans="1:14" x14ac:dyDescent="0.2">
      <c r="A197">
        <v>533</v>
      </c>
      <c r="B197" t="b">
        <f t="shared" si="3"/>
        <v>1</v>
      </c>
      <c r="C197" t="s">
        <v>108</v>
      </c>
      <c r="D197" t="str">
        <f>IF(F197&lt;&gt;"",VLOOKUP(F197,PHA4GEVars!$A$7:$B$241,2,FALSE),"")</f>
        <v>Sample collection and processing</v>
      </c>
      <c r="E197" t="s">
        <v>1869</v>
      </c>
      <c r="F197" t="s">
        <v>1893</v>
      </c>
      <c r="G197" s="45" t="s">
        <v>829</v>
      </c>
      <c r="H197" t="s">
        <v>1225</v>
      </c>
      <c r="I197" t="s">
        <v>1226</v>
      </c>
      <c r="J197" s="28" t="s">
        <v>828</v>
      </c>
      <c r="M197" s="5" t="s">
        <v>1227</v>
      </c>
      <c r="N197" t="s">
        <v>1874</v>
      </c>
    </row>
    <row r="198" spans="1:14" x14ac:dyDescent="0.2">
      <c r="A198">
        <v>534</v>
      </c>
      <c r="B198" t="b">
        <f t="shared" si="3"/>
        <v>1</v>
      </c>
      <c r="C198" t="s">
        <v>108</v>
      </c>
      <c r="D198" t="str">
        <f>IF(F198&lt;&gt;"",VLOOKUP(F198,PHA4GEVars!$A$7:$B$241,2,FALSE),"")</f>
        <v>Sample collection and processing</v>
      </c>
      <c r="E198" t="s">
        <v>1869</v>
      </c>
      <c r="F198" t="s">
        <v>1893</v>
      </c>
      <c r="G198" s="45" t="s">
        <v>831</v>
      </c>
      <c r="H198" t="s">
        <v>1225</v>
      </c>
      <c r="I198" t="s">
        <v>1226</v>
      </c>
      <c r="J198" s="28" t="s">
        <v>830</v>
      </c>
      <c r="M198" s="5" t="s">
        <v>1227</v>
      </c>
      <c r="N198" t="s">
        <v>1874</v>
      </c>
    </row>
    <row r="199" spans="1:14" x14ac:dyDescent="0.2">
      <c r="A199">
        <v>535</v>
      </c>
      <c r="B199" t="b">
        <f t="shared" si="3"/>
        <v>1</v>
      </c>
      <c r="C199" t="s">
        <v>108</v>
      </c>
      <c r="D199" t="str">
        <f>IF(F199&lt;&gt;"",VLOOKUP(F199,PHA4GEVars!$A$7:$B$241,2,FALSE),"")</f>
        <v>Sample collection and processing</v>
      </c>
      <c r="E199" t="s">
        <v>1869</v>
      </c>
      <c r="F199" t="s">
        <v>1893</v>
      </c>
      <c r="G199" s="45" t="s">
        <v>833</v>
      </c>
      <c r="H199" t="s">
        <v>1225</v>
      </c>
      <c r="I199" t="s">
        <v>1226</v>
      </c>
      <c r="J199" s="28" t="s">
        <v>832</v>
      </c>
      <c r="M199" s="5" t="s">
        <v>1227</v>
      </c>
      <c r="N199" t="s">
        <v>1874</v>
      </c>
    </row>
    <row r="200" spans="1:14" x14ac:dyDescent="0.2">
      <c r="A200">
        <v>536</v>
      </c>
      <c r="B200" t="b">
        <f t="shared" si="3"/>
        <v>1</v>
      </c>
      <c r="C200" t="s">
        <v>108</v>
      </c>
      <c r="D200" t="str">
        <f>IF(F200&lt;&gt;"",VLOOKUP(F200,PHA4GEVars!$A$7:$B$241,2,FALSE),"")</f>
        <v>Sample collection and processing</v>
      </c>
      <c r="E200" t="s">
        <v>1869</v>
      </c>
      <c r="F200" t="s">
        <v>1893</v>
      </c>
      <c r="G200" s="45" t="s">
        <v>835</v>
      </c>
      <c r="H200" t="s">
        <v>1225</v>
      </c>
      <c r="I200" t="s">
        <v>1226</v>
      </c>
      <c r="J200" s="28" t="s">
        <v>834</v>
      </c>
      <c r="M200" s="5" t="s">
        <v>1227</v>
      </c>
      <c r="N200" t="s">
        <v>1874</v>
      </c>
    </row>
    <row r="201" spans="1:14" x14ac:dyDescent="0.2">
      <c r="A201">
        <v>537</v>
      </c>
      <c r="B201" t="b">
        <f t="shared" si="3"/>
        <v>1</v>
      </c>
      <c r="C201" t="s">
        <v>108</v>
      </c>
      <c r="D201" t="str">
        <f>IF(F201&lt;&gt;"",VLOOKUP(F201,PHA4GEVars!$A$7:$B$241,2,FALSE),"")</f>
        <v>Sample collection and processing</v>
      </c>
      <c r="E201" t="s">
        <v>1869</v>
      </c>
      <c r="F201" t="s">
        <v>1893</v>
      </c>
      <c r="G201" s="45" t="s">
        <v>837</v>
      </c>
      <c r="H201" t="s">
        <v>1225</v>
      </c>
      <c r="I201" t="s">
        <v>1226</v>
      </c>
      <c r="J201" s="28" t="s">
        <v>836</v>
      </c>
      <c r="M201" s="5" t="s">
        <v>1227</v>
      </c>
      <c r="N201" t="s">
        <v>1874</v>
      </c>
    </row>
    <row r="202" spans="1:14" x14ac:dyDescent="0.2">
      <c r="A202">
        <v>538</v>
      </c>
      <c r="B202" t="b">
        <f t="shared" si="3"/>
        <v>1</v>
      </c>
      <c r="C202" t="s">
        <v>108</v>
      </c>
      <c r="D202" t="str">
        <f>IF(F202&lt;&gt;"",VLOOKUP(F202,PHA4GEVars!$A$7:$B$241,2,FALSE),"")</f>
        <v>Sample collection and processing</v>
      </c>
      <c r="E202" t="s">
        <v>1869</v>
      </c>
      <c r="F202" t="s">
        <v>1893</v>
      </c>
      <c r="G202" s="45" t="s">
        <v>838</v>
      </c>
      <c r="H202" t="s">
        <v>1225</v>
      </c>
      <c r="I202" s="28" t="s">
        <v>1226</v>
      </c>
      <c r="J202" s="28" t="s">
        <v>1471</v>
      </c>
      <c r="L202" t="s">
        <v>1477</v>
      </c>
      <c r="M202" s="5" t="s">
        <v>1227</v>
      </c>
      <c r="N202" t="s">
        <v>1874</v>
      </c>
    </row>
    <row r="203" spans="1:14" x14ac:dyDescent="0.2">
      <c r="A203">
        <v>539</v>
      </c>
      <c r="B203" t="b">
        <f t="shared" si="3"/>
        <v>1</v>
      </c>
      <c r="C203" t="s">
        <v>108</v>
      </c>
      <c r="D203" t="str">
        <f>IF(F203&lt;&gt;"",VLOOKUP(F203,PHA4GEVars!$A$7:$B$241,2,FALSE),"")</f>
        <v>Sample collection and processing</v>
      </c>
      <c r="E203" t="s">
        <v>1869</v>
      </c>
      <c r="F203" t="s">
        <v>1893</v>
      </c>
      <c r="G203" s="45" t="s">
        <v>840</v>
      </c>
      <c r="H203" t="s">
        <v>1225</v>
      </c>
      <c r="I203" t="s">
        <v>1226</v>
      </c>
      <c r="J203" s="28" t="s">
        <v>839</v>
      </c>
      <c r="M203" s="5" t="s">
        <v>1227</v>
      </c>
      <c r="N203" t="s">
        <v>1874</v>
      </c>
    </row>
    <row r="204" spans="1:14" x14ac:dyDescent="0.2">
      <c r="A204">
        <v>540</v>
      </c>
      <c r="B204" t="b">
        <f t="shared" si="3"/>
        <v>1</v>
      </c>
      <c r="C204" t="s">
        <v>108</v>
      </c>
      <c r="D204" t="str">
        <f>IF(F204&lt;&gt;"",VLOOKUP(F204,PHA4GEVars!$A$7:$B$241,2,FALSE),"")</f>
        <v>Sample collection and processing</v>
      </c>
      <c r="E204" t="s">
        <v>1869</v>
      </c>
      <c r="F204" t="s">
        <v>1893</v>
      </c>
      <c r="G204" s="45" t="s">
        <v>842</v>
      </c>
      <c r="H204" t="s">
        <v>1225</v>
      </c>
      <c r="I204" t="s">
        <v>1226</v>
      </c>
      <c r="J204" s="28" t="s">
        <v>841</v>
      </c>
      <c r="M204" s="5" t="s">
        <v>1227</v>
      </c>
      <c r="N204" t="s">
        <v>1874</v>
      </c>
    </row>
    <row r="205" spans="1:14" x14ac:dyDescent="0.2">
      <c r="A205">
        <v>541</v>
      </c>
      <c r="B205" t="b">
        <f t="shared" si="3"/>
        <v>1</v>
      </c>
      <c r="C205" t="s">
        <v>108</v>
      </c>
      <c r="D205" t="str">
        <f>IF(F205&lt;&gt;"",VLOOKUP(F205,PHA4GEVars!$A$7:$B$241,2,FALSE),"")</f>
        <v>Sample collection and processing</v>
      </c>
      <c r="E205" t="s">
        <v>1869</v>
      </c>
      <c r="F205" t="s">
        <v>1893</v>
      </c>
      <c r="G205" s="45" t="s">
        <v>844</v>
      </c>
      <c r="H205" t="s">
        <v>1225</v>
      </c>
      <c r="I205" t="s">
        <v>1226</v>
      </c>
      <c r="J205" s="28" t="s">
        <v>843</v>
      </c>
      <c r="M205" s="5" t="s">
        <v>1227</v>
      </c>
      <c r="N205" t="s">
        <v>1874</v>
      </c>
    </row>
    <row r="206" spans="1:14" x14ac:dyDescent="0.2">
      <c r="A206">
        <v>542</v>
      </c>
      <c r="B206" t="b">
        <f t="shared" si="3"/>
        <v>1</v>
      </c>
      <c r="C206" t="s">
        <v>108</v>
      </c>
      <c r="D206" t="str">
        <f>IF(F206&lt;&gt;"",VLOOKUP(F206,PHA4GEVars!$A$7:$B$241,2,FALSE),"")</f>
        <v>Sample collection and processing</v>
      </c>
      <c r="E206" t="s">
        <v>1869</v>
      </c>
      <c r="F206" t="s">
        <v>1893</v>
      </c>
      <c r="G206" s="45" t="s">
        <v>846</v>
      </c>
      <c r="H206" t="s">
        <v>1225</v>
      </c>
      <c r="I206" t="s">
        <v>1226</v>
      </c>
      <c r="J206" s="28" t="s">
        <v>845</v>
      </c>
      <c r="M206" s="5" t="s">
        <v>1227</v>
      </c>
      <c r="N206" t="s">
        <v>1874</v>
      </c>
    </row>
    <row r="207" spans="1:14" x14ac:dyDescent="0.2">
      <c r="A207">
        <v>543</v>
      </c>
      <c r="B207" t="b">
        <f t="shared" si="3"/>
        <v>1</v>
      </c>
      <c r="C207" t="s">
        <v>108</v>
      </c>
      <c r="D207" t="str">
        <f>IF(F207&lt;&gt;"",VLOOKUP(F207,PHA4GEVars!$A$7:$B$241,2,FALSE),"")</f>
        <v>Sample collection and processing</v>
      </c>
      <c r="E207" t="s">
        <v>1869</v>
      </c>
      <c r="F207" t="s">
        <v>1893</v>
      </c>
      <c r="G207" s="45" t="s">
        <v>848</v>
      </c>
      <c r="H207" t="s">
        <v>1225</v>
      </c>
      <c r="I207" t="s">
        <v>1226</v>
      </c>
      <c r="J207" s="28" t="s">
        <v>847</v>
      </c>
      <c r="M207" s="5" t="s">
        <v>1227</v>
      </c>
      <c r="N207" t="s">
        <v>1874</v>
      </c>
    </row>
    <row r="208" spans="1:14" x14ac:dyDescent="0.2">
      <c r="A208">
        <v>544</v>
      </c>
      <c r="B208" t="b">
        <f t="shared" si="3"/>
        <v>1</v>
      </c>
      <c r="C208" t="s">
        <v>108</v>
      </c>
      <c r="D208" t="str">
        <f>IF(F208&lt;&gt;"",VLOOKUP(F208,PHA4GEVars!$A$7:$B$241,2,FALSE),"")</f>
        <v>Sample collection and processing</v>
      </c>
      <c r="E208" t="s">
        <v>1869</v>
      </c>
      <c r="F208" t="s">
        <v>1893</v>
      </c>
      <c r="G208" s="45" t="s">
        <v>850</v>
      </c>
      <c r="H208" t="s">
        <v>1225</v>
      </c>
      <c r="I208" t="s">
        <v>1226</v>
      </c>
      <c r="J208" s="28" t="s">
        <v>849</v>
      </c>
      <c r="M208" s="5" t="s">
        <v>1227</v>
      </c>
      <c r="N208" t="s">
        <v>1874</v>
      </c>
    </row>
    <row r="209" spans="1:14" x14ac:dyDescent="0.2">
      <c r="A209">
        <v>545</v>
      </c>
      <c r="B209" t="b">
        <f t="shared" si="3"/>
        <v>1</v>
      </c>
      <c r="C209" t="s">
        <v>108</v>
      </c>
      <c r="D209" t="str">
        <f>IF(F209&lt;&gt;"",VLOOKUP(F209,PHA4GEVars!$A$7:$B$241,2,FALSE),"")</f>
        <v>Sample collection and processing</v>
      </c>
      <c r="E209" t="s">
        <v>1869</v>
      </c>
      <c r="F209" t="s">
        <v>1893</v>
      </c>
      <c r="G209" s="45" t="s">
        <v>852</v>
      </c>
      <c r="H209" t="s">
        <v>1225</v>
      </c>
      <c r="I209" t="s">
        <v>1226</v>
      </c>
      <c r="J209" s="28" t="s">
        <v>851</v>
      </c>
      <c r="M209" s="5" t="s">
        <v>1227</v>
      </c>
      <c r="N209" t="s">
        <v>1874</v>
      </c>
    </row>
    <row r="210" spans="1:14" x14ac:dyDescent="0.2">
      <c r="A210">
        <v>546</v>
      </c>
      <c r="B210" t="b">
        <f t="shared" si="3"/>
        <v>1</v>
      </c>
      <c r="C210" t="s">
        <v>108</v>
      </c>
      <c r="D210" t="str">
        <f>IF(F210&lt;&gt;"",VLOOKUP(F210,PHA4GEVars!$A$7:$B$241,2,FALSE),"")</f>
        <v>Sample collection and processing</v>
      </c>
      <c r="E210" t="s">
        <v>1869</v>
      </c>
      <c r="F210" t="s">
        <v>1893</v>
      </c>
      <c r="G210" s="45" t="s">
        <v>854</v>
      </c>
      <c r="H210" t="s">
        <v>1225</v>
      </c>
      <c r="I210" t="s">
        <v>1226</v>
      </c>
      <c r="J210" s="28" t="s">
        <v>853</v>
      </c>
      <c r="M210" s="5" t="s">
        <v>1227</v>
      </c>
      <c r="N210" t="s">
        <v>1874</v>
      </c>
    </row>
    <row r="211" spans="1:14" x14ac:dyDescent="0.2">
      <c r="A211">
        <v>547</v>
      </c>
      <c r="B211" t="b">
        <f t="shared" si="3"/>
        <v>1</v>
      </c>
      <c r="C211" t="s">
        <v>108</v>
      </c>
      <c r="D211" t="str">
        <f>IF(F211&lt;&gt;"",VLOOKUP(F211,PHA4GEVars!$A$7:$B$241,2,FALSE),"")</f>
        <v>Sample collection and processing</v>
      </c>
      <c r="E211" t="s">
        <v>1869</v>
      </c>
      <c r="F211" t="s">
        <v>1893</v>
      </c>
      <c r="G211" s="45" t="s">
        <v>856</v>
      </c>
      <c r="H211" t="s">
        <v>1225</v>
      </c>
      <c r="I211" t="s">
        <v>1226</v>
      </c>
      <c r="J211" s="28" t="s">
        <v>855</v>
      </c>
      <c r="M211" s="5" t="s">
        <v>1227</v>
      </c>
      <c r="N211" t="s">
        <v>1874</v>
      </c>
    </row>
    <row r="212" spans="1:14" x14ac:dyDescent="0.2">
      <c r="A212">
        <v>548</v>
      </c>
      <c r="B212" t="b">
        <f t="shared" si="3"/>
        <v>1</v>
      </c>
      <c r="C212" t="s">
        <v>108</v>
      </c>
      <c r="D212" t="str">
        <f>IF(F212&lt;&gt;"",VLOOKUP(F212,PHA4GEVars!$A$7:$B$241,2,FALSE),"")</f>
        <v>Sample collection and processing</v>
      </c>
      <c r="E212" t="s">
        <v>1869</v>
      </c>
      <c r="F212" t="s">
        <v>1893</v>
      </c>
      <c r="G212" s="45" t="s">
        <v>858</v>
      </c>
      <c r="H212" t="s">
        <v>1225</v>
      </c>
      <c r="I212" t="s">
        <v>1226</v>
      </c>
      <c r="J212" s="28" t="s">
        <v>857</v>
      </c>
      <c r="M212" s="5" t="s">
        <v>1227</v>
      </c>
      <c r="N212" t="s">
        <v>1874</v>
      </c>
    </row>
    <row r="213" spans="1:14" x14ac:dyDescent="0.2">
      <c r="A213">
        <v>549</v>
      </c>
      <c r="B213" t="b">
        <f t="shared" si="3"/>
        <v>1</v>
      </c>
      <c r="C213" t="s">
        <v>108</v>
      </c>
      <c r="D213" t="str">
        <f>IF(F213&lt;&gt;"",VLOOKUP(F213,PHA4GEVars!$A$7:$B$241,2,FALSE),"")</f>
        <v>Sample collection and processing</v>
      </c>
      <c r="E213" t="s">
        <v>1869</v>
      </c>
      <c r="F213" t="s">
        <v>1893</v>
      </c>
      <c r="G213" s="45" t="s">
        <v>860</v>
      </c>
      <c r="H213" t="s">
        <v>1225</v>
      </c>
      <c r="I213" t="s">
        <v>1226</v>
      </c>
      <c r="J213" s="28" t="s">
        <v>859</v>
      </c>
      <c r="M213" s="5" t="s">
        <v>1227</v>
      </c>
      <c r="N213" t="s">
        <v>1874</v>
      </c>
    </row>
    <row r="214" spans="1:14" x14ac:dyDescent="0.2">
      <c r="A214">
        <v>550</v>
      </c>
      <c r="B214" t="b">
        <f t="shared" si="3"/>
        <v>1</v>
      </c>
      <c r="C214" t="s">
        <v>108</v>
      </c>
      <c r="D214" t="str">
        <f>IF(F214&lt;&gt;"",VLOOKUP(F214,PHA4GEVars!$A$7:$B$241,2,FALSE),"")</f>
        <v>Sample collection and processing</v>
      </c>
      <c r="E214" t="s">
        <v>1869</v>
      </c>
      <c r="F214" t="s">
        <v>1893</v>
      </c>
      <c r="G214" s="45" t="s">
        <v>862</v>
      </c>
      <c r="H214" t="s">
        <v>1225</v>
      </c>
      <c r="I214" t="s">
        <v>1226</v>
      </c>
      <c r="J214" s="28" t="s">
        <v>861</v>
      </c>
      <c r="M214" s="5" t="s">
        <v>1227</v>
      </c>
      <c r="N214" t="s">
        <v>1874</v>
      </c>
    </row>
    <row r="215" spans="1:14" x14ac:dyDescent="0.2">
      <c r="A215">
        <v>551</v>
      </c>
      <c r="B215" t="b">
        <f t="shared" si="3"/>
        <v>1</v>
      </c>
      <c r="C215" t="s">
        <v>108</v>
      </c>
      <c r="D215" t="str">
        <f>IF(F215&lt;&gt;"",VLOOKUP(F215,PHA4GEVars!$A$7:$B$241,2,FALSE),"")</f>
        <v>Sample collection and processing</v>
      </c>
      <c r="E215" t="s">
        <v>1869</v>
      </c>
      <c r="F215" t="s">
        <v>1893</v>
      </c>
      <c r="G215" s="45" t="s">
        <v>864</v>
      </c>
      <c r="H215" t="s">
        <v>1225</v>
      </c>
      <c r="I215" t="s">
        <v>1226</v>
      </c>
      <c r="J215" s="28" t="s">
        <v>863</v>
      </c>
      <c r="M215" s="5" t="s">
        <v>1227</v>
      </c>
      <c r="N215" t="s">
        <v>1874</v>
      </c>
    </row>
    <row r="216" spans="1:14" x14ac:dyDescent="0.2">
      <c r="A216">
        <v>552</v>
      </c>
      <c r="B216" t="b">
        <f t="shared" si="3"/>
        <v>1</v>
      </c>
      <c r="C216" t="s">
        <v>108</v>
      </c>
      <c r="D216" t="str">
        <f>IF(F216&lt;&gt;"",VLOOKUP(F216,PHA4GEVars!$A$7:$B$241,2,FALSE),"")</f>
        <v>Sample collection and processing</v>
      </c>
      <c r="E216" t="s">
        <v>1869</v>
      </c>
      <c r="F216" t="s">
        <v>1893</v>
      </c>
      <c r="G216" s="45" t="s">
        <v>866</v>
      </c>
      <c r="H216" t="s">
        <v>1225</v>
      </c>
      <c r="I216" t="s">
        <v>1226</v>
      </c>
      <c r="J216" s="28" t="s">
        <v>865</v>
      </c>
      <c r="M216" s="5" t="s">
        <v>1227</v>
      </c>
      <c r="N216" t="s">
        <v>1874</v>
      </c>
    </row>
    <row r="217" spans="1:14" x14ac:dyDescent="0.2">
      <c r="A217">
        <v>553</v>
      </c>
      <c r="B217" t="b">
        <f t="shared" si="3"/>
        <v>1</v>
      </c>
      <c r="C217" t="s">
        <v>108</v>
      </c>
      <c r="D217" t="str">
        <f>IF(F217&lt;&gt;"",VLOOKUP(F217,PHA4GEVars!$A$7:$B$241,2,FALSE),"")</f>
        <v>Sample collection and processing</v>
      </c>
      <c r="E217" t="s">
        <v>1869</v>
      </c>
      <c r="F217" t="s">
        <v>1893</v>
      </c>
      <c r="G217" s="45" t="s">
        <v>868</v>
      </c>
      <c r="H217" t="s">
        <v>1225</v>
      </c>
      <c r="I217" t="s">
        <v>1226</v>
      </c>
      <c r="J217" s="28" t="s">
        <v>867</v>
      </c>
      <c r="M217" s="5" t="s">
        <v>1227</v>
      </c>
      <c r="N217" t="s">
        <v>1874</v>
      </c>
    </row>
    <row r="218" spans="1:14" x14ac:dyDescent="0.2">
      <c r="A218">
        <v>554</v>
      </c>
      <c r="B218" t="b">
        <f t="shared" si="3"/>
        <v>1</v>
      </c>
      <c r="C218" t="s">
        <v>108</v>
      </c>
      <c r="D218" t="str">
        <f>IF(F218&lt;&gt;"",VLOOKUP(F218,PHA4GEVars!$A$7:$B$241,2,FALSE),"")</f>
        <v>Sample collection and processing</v>
      </c>
      <c r="E218" t="s">
        <v>1869</v>
      </c>
      <c r="F218" t="s">
        <v>1893</v>
      </c>
      <c r="G218" s="45" t="s">
        <v>870</v>
      </c>
      <c r="H218" t="s">
        <v>1225</v>
      </c>
      <c r="I218" t="s">
        <v>1226</v>
      </c>
      <c r="J218" s="28" t="s">
        <v>869</v>
      </c>
      <c r="M218" s="5" t="s">
        <v>1227</v>
      </c>
      <c r="N218" t="s">
        <v>1874</v>
      </c>
    </row>
    <row r="219" spans="1:14" x14ac:dyDescent="0.2">
      <c r="A219">
        <v>555</v>
      </c>
      <c r="B219" t="b">
        <f t="shared" si="3"/>
        <v>1</v>
      </c>
      <c r="C219" t="s">
        <v>108</v>
      </c>
      <c r="D219" t="str">
        <f>IF(F219&lt;&gt;"",VLOOKUP(F219,PHA4GEVars!$A$7:$B$241,2,FALSE),"")</f>
        <v>Sample collection and processing</v>
      </c>
      <c r="E219" t="s">
        <v>1869</v>
      </c>
      <c r="F219" t="s">
        <v>1893</v>
      </c>
      <c r="G219" s="45" t="s">
        <v>872</v>
      </c>
      <c r="H219" t="s">
        <v>1225</v>
      </c>
      <c r="I219" t="s">
        <v>1226</v>
      </c>
      <c r="J219" s="28" t="s">
        <v>871</v>
      </c>
      <c r="M219" s="5" t="s">
        <v>1227</v>
      </c>
      <c r="N219" t="s">
        <v>1874</v>
      </c>
    </row>
    <row r="220" spans="1:14" x14ac:dyDescent="0.2">
      <c r="A220">
        <v>556</v>
      </c>
      <c r="B220" t="b">
        <f t="shared" si="3"/>
        <v>1</v>
      </c>
      <c r="C220" t="s">
        <v>108</v>
      </c>
      <c r="D220" t="str">
        <f>IF(F220&lt;&gt;"",VLOOKUP(F220,PHA4GEVars!$A$7:$B$241,2,FALSE),"")</f>
        <v>Sample collection and processing</v>
      </c>
      <c r="E220" t="s">
        <v>1869</v>
      </c>
      <c r="F220" t="s">
        <v>1893</v>
      </c>
      <c r="G220" s="45" t="s">
        <v>874</v>
      </c>
      <c r="H220" t="s">
        <v>1225</v>
      </c>
      <c r="I220" t="s">
        <v>1226</v>
      </c>
      <c r="J220" s="28" t="s">
        <v>873</v>
      </c>
      <c r="M220" s="5" t="s">
        <v>1227</v>
      </c>
      <c r="N220" t="s">
        <v>1874</v>
      </c>
    </row>
    <row r="221" spans="1:14" x14ac:dyDescent="0.2">
      <c r="A221">
        <v>557</v>
      </c>
      <c r="B221" t="b">
        <f t="shared" si="3"/>
        <v>1</v>
      </c>
      <c r="C221" t="s">
        <v>108</v>
      </c>
      <c r="D221" t="str">
        <f>IF(F221&lt;&gt;"",VLOOKUP(F221,PHA4GEVars!$A$7:$B$241,2,FALSE),"")</f>
        <v>Sample collection and processing</v>
      </c>
      <c r="E221" t="s">
        <v>1869</v>
      </c>
      <c r="F221" t="s">
        <v>1893</v>
      </c>
      <c r="G221" s="45" t="s">
        <v>876</v>
      </c>
      <c r="H221" t="s">
        <v>1225</v>
      </c>
      <c r="I221" t="s">
        <v>1226</v>
      </c>
      <c r="J221" s="28" t="s">
        <v>875</v>
      </c>
      <c r="M221" s="5" t="s">
        <v>1227</v>
      </c>
      <c r="N221" t="s">
        <v>1874</v>
      </c>
    </row>
    <row r="222" spans="1:14" x14ac:dyDescent="0.2">
      <c r="A222">
        <v>558</v>
      </c>
      <c r="B222" t="b">
        <f t="shared" si="3"/>
        <v>1</v>
      </c>
      <c r="C222" t="s">
        <v>108</v>
      </c>
      <c r="D222" t="str">
        <f>IF(F222&lt;&gt;"",VLOOKUP(F222,PHA4GEVars!$A$7:$B$241,2,FALSE),"")</f>
        <v>Sample collection and processing</v>
      </c>
      <c r="E222" t="s">
        <v>1869</v>
      </c>
      <c r="F222" t="s">
        <v>1893</v>
      </c>
      <c r="G222" s="45" t="s">
        <v>878</v>
      </c>
      <c r="H222" t="s">
        <v>1225</v>
      </c>
      <c r="I222" t="s">
        <v>1226</v>
      </c>
      <c r="J222" s="28" t="s">
        <v>877</v>
      </c>
      <c r="M222" s="5" t="s">
        <v>1227</v>
      </c>
      <c r="N222" t="s">
        <v>1874</v>
      </c>
    </row>
    <row r="223" spans="1:14" x14ac:dyDescent="0.2">
      <c r="A223">
        <v>559</v>
      </c>
      <c r="B223" t="b">
        <f t="shared" si="3"/>
        <v>1</v>
      </c>
      <c r="C223" t="s">
        <v>108</v>
      </c>
      <c r="D223" t="str">
        <f>IF(F223&lt;&gt;"",VLOOKUP(F223,PHA4GEVars!$A$7:$B$241,2,FALSE),"")</f>
        <v>Sample collection and processing</v>
      </c>
      <c r="E223" t="s">
        <v>1869</v>
      </c>
      <c r="F223" t="s">
        <v>1893</v>
      </c>
      <c r="G223" s="45" t="s">
        <v>880</v>
      </c>
      <c r="H223" t="s">
        <v>1225</v>
      </c>
      <c r="I223" t="s">
        <v>1226</v>
      </c>
      <c r="J223" s="28" t="s">
        <v>879</v>
      </c>
      <c r="M223" s="5" t="s">
        <v>1227</v>
      </c>
      <c r="N223" t="s">
        <v>1874</v>
      </c>
    </row>
    <row r="224" spans="1:14" x14ac:dyDescent="0.2">
      <c r="A224">
        <v>560</v>
      </c>
      <c r="B224" t="b">
        <f t="shared" si="3"/>
        <v>1</v>
      </c>
      <c r="C224" t="s">
        <v>108</v>
      </c>
      <c r="D224" t="str">
        <f>IF(F224&lt;&gt;"",VLOOKUP(F224,PHA4GEVars!$A$7:$B$241,2,FALSE),"")</f>
        <v>Sample collection and processing</v>
      </c>
      <c r="E224" t="s">
        <v>1869</v>
      </c>
      <c r="F224" t="s">
        <v>1893</v>
      </c>
      <c r="G224" s="45" t="s">
        <v>882</v>
      </c>
      <c r="H224" t="s">
        <v>1225</v>
      </c>
      <c r="I224" t="s">
        <v>1226</v>
      </c>
      <c r="J224" s="28" t="s">
        <v>881</v>
      </c>
      <c r="M224" s="5" t="s">
        <v>1227</v>
      </c>
      <c r="N224" t="s">
        <v>1874</v>
      </c>
    </row>
    <row r="225" spans="1:14" x14ac:dyDescent="0.2">
      <c r="A225">
        <v>561</v>
      </c>
      <c r="B225" t="b">
        <f t="shared" si="3"/>
        <v>1</v>
      </c>
      <c r="C225" t="s">
        <v>108</v>
      </c>
      <c r="D225" t="str">
        <f>IF(F225&lt;&gt;"",VLOOKUP(F225,PHA4GEVars!$A$7:$B$241,2,FALSE),"")</f>
        <v>Sample collection and processing</v>
      </c>
      <c r="E225" t="s">
        <v>1869</v>
      </c>
      <c r="F225" t="s">
        <v>1893</v>
      </c>
      <c r="G225" s="45" t="s">
        <v>884</v>
      </c>
      <c r="H225" t="s">
        <v>1225</v>
      </c>
      <c r="I225" t="s">
        <v>1226</v>
      </c>
      <c r="J225" s="28" t="s">
        <v>883</v>
      </c>
      <c r="M225" s="5" t="s">
        <v>1227</v>
      </c>
      <c r="N225" t="s">
        <v>1874</v>
      </c>
    </row>
    <row r="226" spans="1:14" x14ac:dyDescent="0.2">
      <c r="A226">
        <v>562</v>
      </c>
      <c r="B226" t="b">
        <f t="shared" si="3"/>
        <v>1</v>
      </c>
      <c r="C226" t="s">
        <v>108</v>
      </c>
      <c r="D226" t="str">
        <f>IF(F226&lt;&gt;"",VLOOKUP(F226,PHA4GEVars!$A$7:$B$241,2,FALSE),"")</f>
        <v>Sample collection and processing</v>
      </c>
      <c r="E226" t="s">
        <v>1869</v>
      </c>
      <c r="F226" t="s">
        <v>1893</v>
      </c>
      <c r="G226" s="45" t="s">
        <v>886</v>
      </c>
      <c r="H226" t="s">
        <v>1225</v>
      </c>
      <c r="I226" t="s">
        <v>1226</v>
      </c>
      <c r="J226" s="28" t="s">
        <v>885</v>
      </c>
      <c r="M226" s="5" t="s">
        <v>1227</v>
      </c>
      <c r="N226" t="s">
        <v>1874</v>
      </c>
    </row>
    <row r="227" spans="1:14" x14ac:dyDescent="0.2">
      <c r="A227">
        <v>563</v>
      </c>
      <c r="B227" t="b">
        <f t="shared" si="3"/>
        <v>1</v>
      </c>
      <c r="C227" t="s">
        <v>108</v>
      </c>
      <c r="D227" t="str">
        <f>IF(F227&lt;&gt;"",VLOOKUP(F227,PHA4GEVars!$A$7:$B$241,2,FALSE),"")</f>
        <v>Sample collection and processing</v>
      </c>
      <c r="E227" t="s">
        <v>1869</v>
      </c>
      <c r="F227" t="s">
        <v>1893</v>
      </c>
      <c r="G227" s="45" t="s">
        <v>888</v>
      </c>
      <c r="H227" t="s">
        <v>1225</v>
      </c>
      <c r="I227" t="s">
        <v>1226</v>
      </c>
      <c r="J227" s="28" t="s">
        <v>887</v>
      </c>
      <c r="M227" s="5" t="s">
        <v>1227</v>
      </c>
      <c r="N227" t="s">
        <v>1874</v>
      </c>
    </row>
    <row r="228" spans="1:14" x14ac:dyDescent="0.2">
      <c r="A228">
        <v>564</v>
      </c>
      <c r="B228" t="b">
        <f t="shared" si="3"/>
        <v>1</v>
      </c>
      <c r="C228" t="s">
        <v>108</v>
      </c>
      <c r="D228" t="str">
        <f>IF(F228&lt;&gt;"",VLOOKUP(F228,PHA4GEVars!$A$7:$B$241,2,FALSE),"")</f>
        <v>Sample collection and processing</v>
      </c>
      <c r="E228" t="s">
        <v>1869</v>
      </c>
      <c r="F228" t="s">
        <v>1893</v>
      </c>
      <c r="G228" s="45" t="s">
        <v>890</v>
      </c>
      <c r="H228" t="s">
        <v>1225</v>
      </c>
      <c r="I228" t="s">
        <v>1226</v>
      </c>
      <c r="J228" s="28" t="s">
        <v>889</v>
      </c>
      <c r="M228" s="5" t="s">
        <v>1227</v>
      </c>
      <c r="N228" t="s">
        <v>1874</v>
      </c>
    </row>
    <row r="229" spans="1:14" x14ac:dyDescent="0.2">
      <c r="A229">
        <v>565</v>
      </c>
      <c r="B229" t="b">
        <f t="shared" si="3"/>
        <v>1</v>
      </c>
      <c r="C229" t="s">
        <v>108</v>
      </c>
      <c r="D229" t="str">
        <f>IF(F229&lt;&gt;"",VLOOKUP(F229,PHA4GEVars!$A$7:$B$241,2,FALSE),"")</f>
        <v>Sample collection and processing</v>
      </c>
      <c r="E229" t="s">
        <v>1869</v>
      </c>
      <c r="F229" t="s">
        <v>1893</v>
      </c>
      <c r="G229" s="45" t="s">
        <v>892</v>
      </c>
      <c r="H229" t="s">
        <v>1225</v>
      </c>
      <c r="I229" t="s">
        <v>1226</v>
      </c>
      <c r="J229" s="28" t="s">
        <v>891</v>
      </c>
      <c r="M229" s="5" t="s">
        <v>1227</v>
      </c>
      <c r="N229" t="s">
        <v>1874</v>
      </c>
    </row>
    <row r="230" spans="1:14" x14ac:dyDescent="0.2">
      <c r="A230">
        <v>566</v>
      </c>
      <c r="B230" t="b">
        <f t="shared" si="3"/>
        <v>1</v>
      </c>
      <c r="C230" t="s">
        <v>108</v>
      </c>
      <c r="D230" t="str">
        <f>IF(F230&lt;&gt;"",VLOOKUP(F230,PHA4GEVars!$A$7:$B$241,2,FALSE),"")</f>
        <v>Sample collection and processing</v>
      </c>
      <c r="E230" t="s">
        <v>1869</v>
      </c>
      <c r="F230" t="s">
        <v>1893</v>
      </c>
      <c r="G230" s="45" t="s">
        <v>893</v>
      </c>
      <c r="H230" t="s">
        <v>1225</v>
      </c>
      <c r="I230" t="s">
        <v>1226</v>
      </c>
      <c r="J230" s="28" t="s">
        <v>1478</v>
      </c>
      <c r="M230" s="5" t="s">
        <v>1227</v>
      </c>
      <c r="N230" t="s">
        <v>1874</v>
      </c>
    </row>
    <row r="231" spans="1:14" x14ac:dyDescent="0.2">
      <c r="A231">
        <v>567</v>
      </c>
      <c r="B231" t="b">
        <f t="shared" si="3"/>
        <v>1</v>
      </c>
      <c r="C231" t="s">
        <v>108</v>
      </c>
      <c r="D231" t="str">
        <f>IF(F231&lt;&gt;"",VLOOKUP(F231,PHA4GEVars!$A$7:$B$241,2,FALSE),"")</f>
        <v>Sample collection and processing</v>
      </c>
      <c r="E231" t="s">
        <v>1869</v>
      </c>
      <c r="F231" t="s">
        <v>1893</v>
      </c>
      <c r="G231" s="45" t="s">
        <v>895</v>
      </c>
      <c r="H231" t="s">
        <v>1225</v>
      </c>
      <c r="I231" t="s">
        <v>1226</v>
      </c>
      <c r="J231" s="28" t="s">
        <v>894</v>
      </c>
      <c r="M231" s="5" t="s">
        <v>1227</v>
      </c>
      <c r="N231" t="s">
        <v>1874</v>
      </c>
    </row>
    <row r="232" spans="1:14" x14ac:dyDescent="0.2">
      <c r="A232">
        <v>568</v>
      </c>
      <c r="B232" t="b">
        <f t="shared" si="3"/>
        <v>1</v>
      </c>
      <c r="C232" t="s">
        <v>108</v>
      </c>
      <c r="D232" t="str">
        <f>IF(F232&lt;&gt;"",VLOOKUP(F232,PHA4GEVars!$A$7:$B$241,2,FALSE),"")</f>
        <v>Sample collection and processing</v>
      </c>
      <c r="E232" t="s">
        <v>1869</v>
      </c>
      <c r="F232" t="s">
        <v>1893</v>
      </c>
      <c r="G232" s="45" t="s">
        <v>897</v>
      </c>
      <c r="H232" t="s">
        <v>1225</v>
      </c>
      <c r="I232" t="s">
        <v>1226</v>
      </c>
      <c r="J232" s="28" t="s">
        <v>896</v>
      </c>
      <c r="M232" s="5" t="s">
        <v>1227</v>
      </c>
      <c r="N232" t="s">
        <v>1874</v>
      </c>
    </row>
    <row r="233" spans="1:14" x14ac:dyDescent="0.2">
      <c r="A233">
        <v>569</v>
      </c>
      <c r="B233" t="b">
        <f t="shared" si="3"/>
        <v>1</v>
      </c>
      <c r="C233" t="s">
        <v>108</v>
      </c>
      <c r="D233" t="str">
        <f>IF(F233&lt;&gt;"",VLOOKUP(F233,PHA4GEVars!$A$7:$B$241,2,FALSE),"")</f>
        <v>Sample collection and processing</v>
      </c>
      <c r="E233" t="s">
        <v>1869</v>
      </c>
      <c r="F233" t="s">
        <v>1893</v>
      </c>
      <c r="G233" s="45" t="s">
        <v>899</v>
      </c>
      <c r="H233" t="s">
        <v>1225</v>
      </c>
      <c r="I233" t="s">
        <v>1226</v>
      </c>
      <c r="J233" s="28" t="s">
        <v>898</v>
      </c>
      <c r="M233" s="5" t="s">
        <v>1227</v>
      </c>
      <c r="N233" t="s">
        <v>1874</v>
      </c>
    </row>
    <row r="234" spans="1:14" x14ac:dyDescent="0.2">
      <c r="A234">
        <v>570</v>
      </c>
      <c r="B234" t="b">
        <f t="shared" si="3"/>
        <v>1</v>
      </c>
      <c r="C234" t="s">
        <v>108</v>
      </c>
      <c r="D234" t="str">
        <f>IF(F234&lt;&gt;"",VLOOKUP(F234,PHA4GEVars!$A$7:$B$241,2,FALSE),"")</f>
        <v>Sample collection and processing</v>
      </c>
      <c r="E234" t="s">
        <v>1869</v>
      </c>
      <c r="F234" t="s">
        <v>1893</v>
      </c>
      <c r="G234" s="45" t="s">
        <v>901</v>
      </c>
      <c r="H234" t="s">
        <v>1225</v>
      </c>
      <c r="I234" t="s">
        <v>1226</v>
      </c>
      <c r="J234" s="28" t="s">
        <v>900</v>
      </c>
      <c r="M234" s="5" t="s">
        <v>1227</v>
      </c>
      <c r="N234" t="s">
        <v>1874</v>
      </c>
    </row>
    <row r="235" spans="1:14" x14ac:dyDescent="0.2">
      <c r="A235">
        <v>571</v>
      </c>
      <c r="B235" t="b">
        <f t="shared" si="3"/>
        <v>1</v>
      </c>
      <c r="C235" t="s">
        <v>108</v>
      </c>
      <c r="D235" t="str">
        <f>IF(F235&lt;&gt;"",VLOOKUP(F235,PHA4GEVars!$A$7:$B$241,2,FALSE),"")</f>
        <v>Sample collection and processing</v>
      </c>
      <c r="E235" t="s">
        <v>1869</v>
      </c>
      <c r="F235" t="s">
        <v>1893</v>
      </c>
      <c r="G235" s="45" t="s">
        <v>903</v>
      </c>
      <c r="H235" t="s">
        <v>1225</v>
      </c>
      <c r="I235" t="s">
        <v>1226</v>
      </c>
      <c r="J235" s="28" t="s">
        <v>902</v>
      </c>
      <c r="M235" s="5" t="s">
        <v>1227</v>
      </c>
      <c r="N235" t="s">
        <v>1874</v>
      </c>
    </row>
    <row r="236" spans="1:14" x14ac:dyDescent="0.2">
      <c r="A236">
        <v>572</v>
      </c>
      <c r="B236" t="b">
        <f t="shared" si="3"/>
        <v>1</v>
      </c>
      <c r="C236" t="s">
        <v>108</v>
      </c>
      <c r="D236" t="str">
        <f>IF(F236&lt;&gt;"",VLOOKUP(F236,PHA4GEVars!$A$7:$B$241,2,FALSE),"")</f>
        <v>Sample collection and processing</v>
      </c>
      <c r="E236" t="s">
        <v>1869</v>
      </c>
      <c r="F236" t="s">
        <v>1893</v>
      </c>
      <c r="G236" s="45" t="s">
        <v>904</v>
      </c>
      <c r="H236" t="s">
        <v>1225</v>
      </c>
      <c r="I236" t="s">
        <v>1226</v>
      </c>
      <c r="J236" s="28" t="s">
        <v>600</v>
      </c>
      <c r="M236" s="5" t="s">
        <v>1227</v>
      </c>
      <c r="N236" t="s">
        <v>1874</v>
      </c>
    </row>
    <row r="237" spans="1:14" x14ac:dyDescent="0.2">
      <c r="A237">
        <v>573</v>
      </c>
      <c r="B237" t="b">
        <f t="shared" si="3"/>
        <v>1</v>
      </c>
      <c r="C237" t="s">
        <v>108</v>
      </c>
      <c r="D237" t="str">
        <f>IF(F237&lt;&gt;"",VLOOKUP(F237,PHA4GEVars!$A$7:$B$241,2,FALSE),"")</f>
        <v>Sample collection and processing</v>
      </c>
      <c r="E237" t="s">
        <v>1869</v>
      </c>
      <c r="F237" t="s">
        <v>1893</v>
      </c>
      <c r="G237" s="45" t="s">
        <v>906</v>
      </c>
      <c r="H237" t="s">
        <v>1225</v>
      </c>
      <c r="I237" t="s">
        <v>1226</v>
      </c>
      <c r="J237" s="28" t="s">
        <v>905</v>
      </c>
      <c r="M237" s="5" t="s">
        <v>1227</v>
      </c>
      <c r="N237" t="s">
        <v>1874</v>
      </c>
    </row>
    <row r="238" spans="1:14" x14ac:dyDescent="0.2">
      <c r="A238">
        <v>574</v>
      </c>
      <c r="B238" t="b">
        <f t="shared" si="3"/>
        <v>1</v>
      </c>
      <c r="C238" t="s">
        <v>108</v>
      </c>
      <c r="D238" t="str">
        <f>IF(F238&lt;&gt;"",VLOOKUP(F238,PHA4GEVars!$A$7:$B$241,2,FALSE),"")</f>
        <v>Sample collection and processing</v>
      </c>
      <c r="E238" t="s">
        <v>1869</v>
      </c>
      <c r="F238" t="s">
        <v>1893</v>
      </c>
      <c r="G238" s="45" t="s">
        <v>908</v>
      </c>
      <c r="H238" t="s">
        <v>1225</v>
      </c>
      <c r="I238" t="s">
        <v>1226</v>
      </c>
      <c r="J238" s="28" t="s">
        <v>907</v>
      </c>
      <c r="M238" s="5" t="s">
        <v>1227</v>
      </c>
      <c r="N238" t="s">
        <v>1874</v>
      </c>
    </row>
    <row r="239" spans="1:14" x14ac:dyDescent="0.2">
      <c r="A239">
        <v>575</v>
      </c>
      <c r="B239" t="b">
        <f t="shared" si="3"/>
        <v>1</v>
      </c>
      <c r="C239" t="s">
        <v>108</v>
      </c>
      <c r="D239" t="str">
        <f>IF(F239&lt;&gt;"",VLOOKUP(F239,PHA4GEVars!$A$7:$B$241,2,FALSE),"")</f>
        <v>Sample collection and processing</v>
      </c>
      <c r="E239" t="s">
        <v>1869</v>
      </c>
      <c r="F239" t="s">
        <v>1893</v>
      </c>
      <c r="G239" s="45" t="s">
        <v>910</v>
      </c>
      <c r="H239" t="s">
        <v>1225</v>
      </c>
      <c r="I239" t="s">
        <v>1226</v>
      </c>
      <c r="J239" s="28" t="s">
        <v>909</v>
      </c>
      <c r="M239" s="5" t="s">
        <v>1227</v>
      </c>
      <c r="N239" t="s">
        <v>1874</v>
      </c>
    </row>
    <row r="240" spans="1:14" x14ac:dyDescent="0.2">
      <c r="A240">
        <v>576</v>
      </c>
      <c r="B240" t="b">
        <f t="shared" si="3"/>
        <v>1</v>
      </c>
      <c r="C240" t="s">
        <v>108</v>
      </c>
      <c r="D240" t="str">
        <f>IF(F240&lt;&gt;"",VLOOKUP(F240,PHA4GEVars!$A$7:$B$241,2,FALSE),"")</f>
        <v>Sample collection and processing</v>
      </c>
      <c r="E240" t="s">
        <v>1869</v>
      </c>
      <c r="F240" t="s">
        <v>1893</v>
      </c>
      <c r="G240" s="45" t="s">
        <v>912</v>
      </c>
      <c r="H240" t="s">
        <v>1225</v>
      </c>
      <c r="I240" t="s">
        <v>1226</v>
      </c>
      <c r="J240" s="28" t="s">
        <v>911</v>
      </c>
      <c r="M240" s="5" t="s">
        <v>1227</v>
      </c>
      <c r="N240" t="s">
        <v>1874</v>
      </c>
    </row>
    <row r="241" spans="1:14" x14ac:dyDescent="0.2">
      <c r="A241">
        <v>577</v>
      </c>
      <c r="B241" t="b">
        <f t="shared" si="3"/>
        <v>1</v>
      </c>
      <c r="C241" t="s">
        <v>108</v>
      </c>
      <c r="D241" t="str">
        <f>IF(F241&lt;&gt;"",VLOOKUP(F241,PHA4GEVars!$A$7:$B$241,2,FALSE),"")</f>
        <v>Sample collection and processing</v>
      </c>
      <c r="E241" t="s">
        <v>1869</v>
      </c>
      <c r="F241" t="s">
        <v>1893</v>
      </c>
      <c r="G241" s="45" t="s">
        <v>914</v>
      </c>
      <c r="H241" t="s">
        <v>1225</v>
      </c>
      <c r="I241" t="s">
        <v>1226</v>
      </c>
      <c r="J241" s="28" t="s">
        <v>913</v>
      </c>
      <c r="M241" s="5" t="s">
        <v>1227</v>
      </c>
      <c r="N241" t="s">
        <v>1874</v>
      </c>
    </row>
    <row r="242" spans="1:14" x14ac:dyDescent="0.2">
      <c r="A242">
        <v>578</v>
      </c>
      <c r="B242" t="b">
        <f t="shared" si="3"/>
        <v>1</v>
      </c>
      <c r="C242" t="s">
        <v>108</v>
      </c>
      <c r="D242" t="str">
        <f>IF(F242&lt;&gt;"",VLOOKUP(F242,PHA4GEVars!$A$7:$B$241,2,FALSE),"")</f>
        <v>Sample collection and processing</v>
      </c>
      <c r="E242" t="s">
        <v>1869</v>
      </c>
      <c r="F242" t="s">
        <v>1893</v>
      </c>
      <c r="G242" s="45" t="s">
        <v>916</v>
      </c>
      <c r="H242" t="s">
        <v>1225</v>
      </c>
      <c r="I242" t="s">
        <v>1226</v>
      </c>
      <c r="J242" s="28" t="s">
        <v>915</v>
      </c>
      <c r="M242" s="5" t="s">
        <v>1227</v>
      </c>
      <c r="N242" t="s">
        <v>1874</v>
      </c>
    </row>
    <row r="243" spans="1:14" x14ac:dyDescent="0.2">
      <c r="A243">
        <v>579</v>
      </c>
      <c r="B243" t="b">
        <f t="shared" si="3"/>
        <v>1</v>
      </c>
      <c r="C243" t="s">
        <v>108</v>
      </c>
      <c r="D243" t="str">
        <f>IF(F243&lt;&gt;"",VLOOKUP(F243,PHA4GEVars!$A$7:$B$241,2,FALSE),"")</f>
        <v>Sample collection and processing</v>
      </c>
      <c r="E243" t="s">
        <v>1869</v>
      </c>
      <c r="F243" t="s">
        <v>1893</v>
      </c>
      <c r="G243" s="45" t="s">
        <v>918</v>
      </c>
      <c r="H243" t="s">
        <v>1225</v>
      </c>
      <c r="I243" t="s">
        <v>1226</v>
      </c>
      <c r="J243" s="28" t="s">
        <v>917</v>
      </c>
      <c r="M243" s="5" t="s">
        <v>1227</v>
      </c>
      <c r="N243" t="s">
        <v>1874</v>
      </c>
    </row>
    <row r="244" spans="1:14" x14ac:dyDescent="0.2">
      <c r="A244">
        <v>580</v>
      </c>
      <c r="B244" t="b">
        <f t="shared" si="3"/>
        <v>1</v>
      </c>
      <c r="C244" t="s">
        <v>108</v>
      </c>
      <c r="D244" t="str">
        <f>IF(F244&lt;&gt;"",VLOOKUP(F244,PHA4GEVars!$A$7:$B$241,2,FALSE),"")</f>
        <v>Sample collection and processing</v>
      </c>
      <c r="E244" t="s">
        <v>1869</v>
      </c>
      <c r="F244" t="s">
        <v>1893</v>
      </c>
      <c r="G244" s="45" t="s">
        <v>920</v>
      </c>
      <c r="H244" t="s">
        <v>1225</v>
      </c>
      <c r="I244" t="s">
        <v>1226</v>
      </c>
      <c r="J244" s="28" t="s">
        <v>919</v>
      </c>
      <c r="M244" s="5" t="s">
        <v>1227</v>
      </c>
      <c r="N244" t="s">
        <v>1874</v>
      </c>
    </row>
    <row r="245" spans="1:14" x14ac:dyDescent="0.2">
      <c r="A245">
        <v>581</v>
      </c>
      <c r="B245" t="b">
        <f t="shared" si="3"/>
        <v>1</v>
      </c>
      <c r="C245" t="s">
        <v>108</v>
      </c>
      <c r="D245" t="str">
        <f>IF(F245&lt;&gt;"",VLOOKUP(F245,PHA4GEVars!$A$7:$B$241,2,FALSE),"")</f>
        <v>Sample collection and processing</v>
      </c>
      <c r="E245" t="s">
        <v>1869</v>
      </c>
      <c r="F245" t="s">
        <v>1893</v>
      </c>
      <c r="G245" s="45" t="s">
        <v>922</v>
      </c>
      <c r="H245" t="s">
        <v>1225</v>
      </c>
      <c r="I245" t="s">
        <v>1226</v>
      </c>
      <c r="J245" s="28" t="s">
        <v>921</v>
      </c>
      <c r="M245" s="5" t="s">
        <v>1227</v>
      </c>
      <c r="N245" t="s">
        <v>1874</v>
      </c>
    </row>
    <row r="246" spans="1:14" x14ac:dyDescent="0.2">
      <c r="A246">
        <v>582</v>
      </c>
      <c r="B246" t="b">
        <f t="shared" si="3"/>
        <v>1</v>
      </c>
      <c r="C246" t="s">
        <v>108</v>
      </c>
      <c r="D246" t="str">
        <f>IF(F246&lt;&gt;"",VLOOKUP(F246,PHA4GEVars!$A$7:$B$241,2,FALSE),"")</f>
        <v>Sample collection and processing</v>
      </c>
      <c r="E246" t="s">
        <v>1869</v>
      </c>
      <c r="F246" t="s">
        <v>1893</v>
      </c>
      <c r="G246" s="45" t="s">
        <v>924</v>
      </c>
      <c r="H246" t="s">
        <v>1225</v>
      </c>
      <c r="I246" t="s">
        <v>1226</v>
      </c>
      <c r="J246" s="28" t="s">
        <v>923</v>
      </c>
      <c r="M246" s="5" t="s">
        <v>1227</v>
      </c>
      <c r="N246" t="s">
        <v>1874</v>
      </c>
    </row>
    <row r="247" spans="1:14" x14ac:dyDescent="0.2">
      <c r="A247">
        <v>583</v>
      </c>
      <c r="B247" t="b">
        <f t="shared" si="3"/>
        <v>1</v>
      </c>
      <c r="C247" t="s">
        <v>108</v>
      </c>
      <c r="D247" t="str">
        <f>IF(F247&lt;&gt;"",VLOOKUP(F247,PHA4GEVars!$A$7:$B$241,2,FALSE),"")</f>
        <v>Sample collection and processing</v>
      </c>
      <c r="E247" t="s">
        <v>1869</v>
      </c>
      <c r="F247" t="s">
        <v>1893</v>
      </c>
      <c r="G247" s="45" t="s">
        <v>926</v>
      </c>
      <c r="H247" t="s">
        <v>1225</v>
      </c>
      <c r="I247" t="s">
        <v>1226</v>
      </c>
      <c r="J247" s="28" t="s">
        <v>925</v>
      </c>
      <c r="M247" s="5" t="s">
        <v>1227</v>
      </c>
      <c r="N247" t="s">
        <v>1874</v>
      </c>
    </row>
    <row r="248" spans="1:14" x14ac:dyDescent="0.2">
      <c r="A248">
        <v>584</v>
      </c>
      <c r="B248" t="b">
        <f t="shared" si="3"/>
        <v>1</v>
      </c>
      <c r="C248" t="s">
        <v>108</v>
      </c>
      <c r="D248" t="str">
        <f>IF(F248&lt;&gt;"",VLOOKUP(F248,PHA4GEVars!$A$7:$B$241,2,FALSE),"")</f>
        <v>Sample collection and processing</v>
      </c>
      <c r="E248" t="s">
        <v>1869</v>
      </c>
      <c r="F248" t="s">
        <v>1893</v>
      </c>
      <c r="G248" s="45" t="s">
        <v>928</v>
      </c>
      <c r="H248" t="s">
        <v>1225</v>
      </c>
      <c r="I248" t="s">
        <v>1226</v>
      </c>
      <c r="J248" s="28" t="s">
        <v>927</v>
      </c>
      <c r="M248" s="5" t="s">
        <v>1227</v>
      </c>
      <c r="N248" t="s">
        <v>1874</v>
      </c>
    </row>
    <row r="249" spans="1:14" x14ac:dyDescent="0.2">
      <c r="A249">
        <v>585</v>
      </c>
      <c r="B249" t="b">
        <f t="shared" si="3"/>
        <v>1</v>
      </c>
      <c r="C249" t="s">
        <v>108</v>
      </c>
      <c r="D249" t="str">
        <f>IF(F249&lt;&gt;"",VLOOKUP(F249,PHA4GEVars!$A$7:$B$241,2,FALSE),"")</f>
        <v>Sample collection and processing</v>
      </c>
      <c r="E249" t="s">
        <v>1869</v>
      </c>
      <c r="F249" t="s">
        <v>1893</v>
      </c>
      <c r="G249" s="45" t="s">
        <v>929</v>
      </c>
      <c r="H249" t="s">
        <v>1225</v>
      </c>
      <c r="I249" s="28" t="s">
        <v>1226</v>
      </c>
      <c r="J249" s="28" t="s">
        <v>1472</v>
      </c>
      <c r="L249" t="s">
        <v>1455</v>
      </c>
      <c r="M249" s="5" t="s">
        <v>1227</v>
      </c>
      <c r="N249" t="s">
        <v>1874</v>
      </c>
    </row>
    <row r="250" spans="1:14" x14ac:dyDescent="0.2">
      <c r="A250">
        <v>586</v>
      </c>
      <c r="B250" t="b">
        <f t="shared" si="3"/>
        <v>1</v>
      </c>
      <c r="C250" t="s">
        <v>108</v>
      </c>
      <c r="D250" t="str">
        <f>IF(F250&lt;&gt;"",VLOOKUP(F250,PHA4GEVars!$A$7:$B$241,2,FALSE),"")</f>
        <v>Sample collection and processing</v>
      </c>
      <c r="E250" t="s">
        <v>1869</v>
      </c>
      <c r="F250" t="s">
        <v>1893</v>
      </c>
      <c r="G250" s="45" t="s">
        <v>931</v>
      </c>
      <c r="H250" t="s">
        <v>1225</v>
      </c>
      <c r="I250" t="s">
        <v>1226</v>
      </c>
      <c r="J250" s="28" t="s">
        <v>930</v>
      </c>
      <c r="M250" s="5" t="s">
        <v>1227</v>
      </c>
      <c r="N250" t="s">
        <v>1874</v>
      </c>
    </row>
    <row r="251" spans="1:14" x14ac:dyDescent="0.2">
      <c r="A251">
        <v>587</v>
      </c>
      <c r="B251" t="b">
        <f t="shared" si="3"/>
        <v>1</v>
      </c>
      <c r="C251" t="s">
        <v>108</v>
      </c>
      <c r="D251" t="str">
        <f>IF(F251&lt;&gt;"",VLOOKUP(F251,PHA4GEVars!$A$7:$B$241,2,FALSE),"")</f>
        <v>Sample collection and processing</v>
      </c>
      <c r="E251" t="s">
        <v>1869</v>
      </c>
      <c r="F251" t="s">
        <v>1893</v>
      </c>
      <c r="G251" s="45" t="s">
        <v>933</v>
      </c>
      <c r="H251" t="s">
        <v>1225</v>
      </c>
      <c r="I251" t="s">
        <v>1226</v>
      </c>
      <c r="J251" s="28" t="s">
        <v>932</v>
      </c>
      <c r="M251" s="5" t="s">
        <v>1227</v>
      </c>
      <c r="N251" t="s">
        <v>1874</v>
      </c>
    </row>
    <row r="252" spans="1:14" x14ac:dyDescent="0.2">
      <c r="A252">
        <v>588</v>
      </c>
      <c r="B252" t="b">
        <f t="shared" si="3"/>
        <v>1</v>
      </c>
      <c r="C252" t="s">
        <v>108</v>
      </c>
      <c r="D252" t="str">
        <f>IF(F252&lt;&gt;"",VLOOKUP(F252,PHA4GEVars!$A$7:$B$241,2,FALSE),"")</f>
        <v>Sample collection and processing</v>
      </c>
      <c r="E252" t="s">
        <v>1869</v>
      </c>
      <c r="F252" t="s">
        <v>1893</v>
      </c>
      <c r="G252" s="45" t="s">
        <v>935</v>
      </c>
      <c r="H252" t="s">
        <v>1225</v>
      </c>
      <c r="I252" t="s">
        <v>1226</v>
      </c>
      <c r="J252" s="28" t="s">
        <v>934</v>
      </c>
      <c r="M252" s="5" t="s">
        <v>1227</v>
      </c>
      <c r="N252" t="s">
        <v>1874</v>
      </c>
    </row>
    <row r="253" spans="1:14" x14ac:dyDescent="0.2">
      <c r="A253">
        <v>589</v>
      </c>
      <c r="B253" t="b">
        <f t="shared" si="3"/>
        <v>1</v>
      </c>
      <c r="C253" t="s">
        <v>108</v>
      </c>
      <c r="D253" t="str">
        <f>IF(F253&lt;&gt;"",VLOOKUP(F253,PHA4GEVars!$A$7:$B$241,2,FALSE),"")</f>
        <v>Sample collection and processing</v>
      </c>
      <c r="E253" t="s">
        <v>1869</v>
      </c>
      <c r="F253" t="s">
        <v>1893</v>
      </c>
      <c r="G253" s="45" t="s">
        <v>937</v>
      </c>
      <c r="H253" t="s">
        <v>1225</v>
      </c>
      <c r="I253" t="s">
        <v>1226</v>
      </c>
      <c r="J253" s="28" t="s">
        <v>936</v>
      </c>
      <c r="M253" s="5" t="s">
        <v>1227</v>
      </c>
      <c r="N253" t="s">
        <v>1874</v>
      </c>
    </row>
    <row r="254" spans="1:14" x14ac:dyDescent="0.2">
      <c r="A254">
        <v>590</v>
      </c>
      <c r="B254" t="b">
        <f t="shared" si="3"/>
        <v>1</v>
      </c>
      <c r="C254" t="s">
        <v>108</v>
      </c>
      <c r="D254" t="str">
        <f>IF(F254&lt;&gt;"",VLOOKUP(F254,PHA4GEVars!$A$7:$B$241,2,FALSE),"")</f>
        <v>Sample collection and processing</v>
      </c>
      <c r="E254" t="s">
        <v>1869</v>
      </c>
      <c r="F254" t="s">
        <v>1893</v>
      </c>
      <c r="G254" s="45" t="s">
        <v>939</v>
      </c>
      <c r="H254" t="s">
        <v>1225</v>
      </c>
      <c r="I254" t="s">
        <v>1226</v>
      </c>
      <c r="J254" s="28" t="s">
        <v>938</v>
      </c>
      <c r="M254" s="5" t="s">
        <v>1227</v>
      </c>
      <c r="N254" t="s">
        <v>1874</v>
      </c>
    </row>
    <row r="255" spans="1:14" x14ac:dyDescent="0.2">
      <c r="A255">
        <v>591</v>
      </c>
      <c r="B255" t="b">
        <f t="shared" si="3"/>
        <v>1</v>
      </c>
      <c r="C255" t="s">
        <v>108</v>
      </c>
      <c r="D255" t="str">
        <f>IF(F255&lt;&gt;"",VLOOKUP(F255,PHA4GEVars!$A$7:$B$241,2,FALSE),"")</f>
        <v>Sample collection and processing</v>
      </c>
      <c r="E255" t="s">
        <v>1869</v>
      </c>
      <c r="F255" t="s">
        <v>1893</v>
      </c>
      <c r="G255" s="45" t="s">
        <v>941</v>
      </c>
      <c r="H255" t="s">
        <v>1225</v>
      </c>
      <c r="I255" t="s">
        <v>1226</v>
      </c>
      <c r="J255" s="28" t="s">
        <v>940</v>
      </c>
      <c r="M255" s="5" t="s">
        <v>1227</v>
      </c>
      <c r="N255" t="s">
        <v>1874</v>
      </c>
    </row>
    <row r="256" spans="1:14" x14ac:dyDescent="0.2">
      <c r="A256">
        <v>592</v>
      </c>
      <c r="B256" t="b">
        <f t="shared" si="3"/>
        <v>1</v>
      </c>
      <c r="C256" t="s">
        <v>108</v>
      </c>
      <c r="D256" t="str">
        <f>IF(F256&lt;&gt;"",VLOOKUP(F256,PHA4GEVars!$A$7:$B$241,2,FALSE),"")</f>
        <v>Sample collection and processing</v>
      </c>
      <c r="E256" t="s">
        <v>1869</v>
      </c>
      <c r="F256" t="s">
        <v>1893</v>
      </c>
      <c r="G256" s="45" t="s">
        <v>943</v>
      </c>
      <c r="H256" t="s">
        <v>1225</v>
      </c>
      <c r="I256" t="s">
        <v>1226</v>
      </c>
      <c r="J256" s="28" t="s">
        <v>942</v>
      </c>
      <c r="M256" s="5" t="s">
        <v>1227</v>
      </c>
      <c r="N256" t="s">
        <v>1874</v>
      </c>
    </row>
    <row r="257" spans="1:14" x14ac:dyDescent="0.2">
      <c r="A257">
        <v>593</v>
      </c>
      <c r="B257" t="b">
        <f t="shared" si="3"/>
        <v>1</v>
      </c>
      <c r="C257" t="s">
        <v>108</v>
      </c>
      <c r="D257" t="str">
        <f>IF(F257&lt;&gt;"",VLOOKUP(F257,PHA4GEVars!$A$7:$B$241,2,FALSE),"")</f>
        <v>Sample collection and processing</v>
      </c>
      <c r="E257" t="s">
        <v>1869</v>
      </c>
      <c r="F257" t="s">
        <v>1893</v>
      </c>
      <c r="G257" s="45" t="s">
        <v>945</v>
      </c>
      <c r="H257" t="s">
        <v>1225</v>
      </c>
      <c r="I257" t="s">
        <v>1226</v>
      </c>
      <c r="J257" s="28" t="s">
        <v>944</v>
      </c>
      <c r="M257" s="5" t="s">
        <v>1227</v>
      </c>
      <c r="N257" t="s">
        <v>1874</v>
      </c>
    </row>
    <row r="258" spans="1:14" x14ac:dyDescent="0.2">
      <c r="A258">
        <v>594</v>
      </c>
      <c r="B258" t="b">
        <f t="shared" ref="B258:B272" si="4">IF(OR(G258="NA",H258="wide_value"),"",TRUE)</f>
        <v>1</v>
      </c>
      <c r="C258" t="s">
        <v>108</v>
      </c>
      <c r="D258" t="str">
        <f>IF(F258&lt;&gt;"",VLOOKUP(F258,PHA4GEVars!$A$7:$B$241,2,FALSE),"")</f>
        <v>Sample collection and processing</v>
      </c>
      <c r="E258" t="s">
        <v>1869</v>
      </c>
      <c r="F258" t="s">
        <v>1893</v>
      </c>
      <c r="G258" s="45" t="s">
        <v>947</v>
      </c>
      <c r="H258" t="s">
        <v>1225</v>
      </c>
      <c r="I258" t="s">
        <v>1226</v>
      </c>
      <c r="J258" s="28" t="s">
        <v>946</v>
      </c>
      <c r="M258" s="5" t="s">
        <v>1227</v>
      </c>
      <c r="N258" t="s">
        <v>1874</v>
      </c>
    </row>
    <row r="259" spans="1:14" x14ac:dyDescent="0.2">
      <c r="A259">
        <v>595</v>
      </c>
      <c r="B259" t="b">
        <f t="shared" si="4"/>
        <v>1</v>
      </c>
      <c r="C259" t="s">
        <v>108</v>
      </c>
      <c r="D259" t="str">
        <f>IF(F259&lt;&gt;"",VLOOKUP(F259,PHA4GEVars!$A$7:$B$241,2,FALSE),"")</f>
        <v>Sample collection and processing</v>
      </c>
      <c r="E259" t="s">
        <v>1869</v>
      </c>
      <c r="F259" t="s">
        <v>1893</v>
      </c>
      <c r="G259" s="45" t="s">
        <v>949</v>
      </c>
      <c r="H259" t="s">
        <v>1225</v>
      </c>
      <c r="I259" t="s">
        <v>1226</v>
      </c>
      <c r="J259" s="28" t="s">
        <v>948</v>
      </c>
      <c r="M259" s="5" t="s">
        <v>1227</v>
      </c>
      <c r="N259" t="s">
        <v>1874</v>
      </c>
    </row>
    <row r="260" spans="1:14" x14ac:dyDescent="0.2">
      <c r="A260">
        <v>596</v>
      </c>
      <c r="B260" t="b">
        <f t="shared" si="4"/>
        <v>1</v>
      </c>
      <c r="C260" t="s">
        <v>108</v>
      </c>
      <c r="D260" t="str">
        <f>IF(F260&lt;&gt;"",VLOOKUP(F260,PHA4GEVars!$A$7:$B$241,2,FALSE),"")</f>
        <v>Sample collection and processing</v>
      </c>
      <c r="E260" t="s">
        <v>1869</v>
      </c>
      <c r="F260" t="s">
        <v>1893</v>
      </c>
      <c r="G260" s="45" t="s">
        <v>951</v>
      </c>
      <c r="H260" t="s">
        <v>1225</v>
      </c>
      <c r="I260" t="s">
        <v>1226</v>
      </c>
      <c r="J260" s="28" t="s">
        <v>950</v>
      </c>
      <c r="M260" s="5" t="s">
        <v>1227</v>
      </c>
      <c r="N260" t="s">
        <v>1874</v>
      </c>
    </row>
    <row r="261" spans="1:14" x14ac:dyDescent="0.2">
      <c r="A261">
        <v>597</v>
      </c>
      <c r="B261" t="b">
        <f t="shared" si="4"/>
        <v>1</v>
      </c>
      <c r="C261" t="s">
        <v>108</v>
      </c>
      <c r="D261" t="str">
        <f>IF(F261&lt;&gt;"",VLOOKUP(F261,PHA4GEVars!$A$7:$B$241,2,FALSE),"")</f>
        <v>Sample collection and processing</v>
      </c>
      <c r="E261" t="s">
        <v>1869</v>
      </c>
      <c r="F261" t="s">
        <v>1893</v>
      </c>
      <c r="G261" s="45" t="s">
        <v>953</v>
      </c>
      <c r="H261" t="s">
        <v>1225</v>
      </c>
      <c r="I261" t="s">
        <v>1226</v>
      </c>
      <c r="J261" s="28" t="s">
        <v>952</v>
      </c>
      <c r="M261" s="5" t="s">
        <v>1227</v>
      </c>
      <c r="N261" t="s">
        <v>1874</v>
      </c>
    </row>
    <row r="262" spans="1:14" x14ac:dyDescent="0.2">
      <c r="A262">
        <v>598</v>
      </c>
      <c r="B262" t="b">
        <f t="shared" si="4"/>
        <v>1</v>
      </c>
      <c r="C262" t="s">
        <v>108</v>
      </c>
      <c r="D262" t="str">
        <f>IF(F262&lt;&gt;"",VLOOKUP(F262,PHA4GEVars!$A$7:$B$241,2,FALSE),"")</f>
        <v>Sample collection and processing</v>
      </c>
      <c r="E262" t="s">
        <v>1869</v>
      </c>
      <c r="F262" t="s">
        <v>1893</v>
      </c>
      <c r="G262" s="45" t="s">
        <v>955</v>
      </c>
      <c r="H262" t="s">
        <v>1225</v>
      </c>
      <c r="I262" t="s">
        <v>1226</v>
      </c>
      <c r="J262" s="28" t="s">
        <v>954</v>
      </c>
      <c r="M262" s="5" t="s">
        <v>1227</v>
      </c>
      <c r="N262" t="s">
        <v>1874</v>
      </c>
    </row>
    <row r="263" spans="1:14" x14ac:dyDescent="0.2">
      <c r="A263">
        <v>599</v>
      </c>
      <c r="B263" t="b">
        <f t="shared" si="4"/>
        <v>1</v>
      </c>
      <c r="C263" t="s">
        <v>108</v>
      </c>
      <c r="D263" t="str">
        <f>IF(F263&lt;&gt;"",VLOOKUP(F263,PHA4GEVars!$A$7:$B$241,2,FALSE),"")</f>
        <v>Sample collection and processing</v>
      </c>
      <c r="E263" t="s">
        <v>1869</v>
      </c>
      <c r="F263" t="s">
        <v>1893</v>
      </c>
      <c r="G263" s="45" t="s">
        <v>957</v>
      </c>
      <c r="H263" t="s">
        <v>1225</v>
      </c>
      <c r="I263" t="s">
        <v>1226</v>
      </c>
      <c r="J263" s="28" t="s">
        <v>956</v>
      </c>
      <c r="M263" s="5" t="s">
        <v>1227</v>
      </c>
      <c r="N263" t="s">
        <v>1874</v>
      </c>
    </row>
    <row r="264" spans="1:14" x14ac:dyDescent="0.2">
      <c r="A264">
        <v>600</v>
      </c>
      <c r="B264" t="b">
        <f t="shared" si="4"/>
        <v>1</v>
      </c>
      <c r="C264" t="s">
        <v>108</v>
      </c>
      <c r="D264" t="str">
        <f>IF(F264&lt;&gt;"",VLOOKUP(F264,PHA4GEVars!$A$7:$B$241,2,FALSE),"")</f>
        <v>Sample collection and processing</v>
      </c>
      <c r="E264" t="s">
        <v>1869</v>
      </c>
      <c r="F264" t="s">
        <v>1893</v>
      </c>
      <c r="G264" s="45" t="s">
        <v>959</v>
      </c>
      <c r="H264" t="s">
        <v>1225</v>
      </c>
      <c r="I264" t="s">
        <v>1226</v>
      </c>
      <c r="J264" s="28" t="s">
        <v>958</v>
      </c>
      <c r="M264" s="5" t="s">
        <v>1227</v>
      </c>
      <c r="N264" t="s">
        <v>1874</v>
      </c>
    </row>
    <row r="265" spans="1:14" x14ac:dyDescent="0.2">
      <c r="A265">
        <v>601</v>
      </c>
      <c r="B265" t="b">
        <f t="shared" si="4"/>
        <v>1</v>
      </c>
      <c r="C265" t="s">
        <v>108</v>
      </c>
      <c r="D265" t="str">
        <f>IF(F265&lt;&gt;"",VLOOKUP(F265,PHA4GEVars!$A$7:$B$241,2,FALSE),"")</f>
        <v>Sample collection and processing</v>
      </c>
      <c r="E265" t="s">
        <v>1869</v>
      </c>
      <c r="F265" t="s">
        <v>1893</v>
      </c>
      <c r="G265" s="45" t="s">
        <v>961</v>
      </c>
      <c r="H265" t="s">
        <v>1225</v>
      </c>
      <c r="I265" t="s">
        <v>1226</v>
      </c>
      <c r="J265" s="28" t="s">
        <v>960</v>
      </c>
      <c r="M265" s="5" t="s">
        <v>1227</v>
      </c>
      <c r="N265" t="s">
        <v>1874</v>
      </c>
    </row>
    <row r="266" spans="1:14" x14ac:dyDescent="0.2">
      <c r="A266">
        <v>602</v>
      </c>
      <c r="B266" t="b">
        <f t="shared" si="4"/>
        <v>1</v>
      </c>
      <c r="C266" t="s">
        <v>108</v>
      </c>
      <c r="D266" t="str">
        <f>IF(F266&lt;&gt;"",VLOOKUP(F266,PHA4GEVars!$A$7:$B$241,2,FALSE),"")</f>
        <v>Sample collection and processing</v>
      </c>
      <c r="E266" t="s">
        <v>1869</v>
      </c>
      <c r="F266" t="s">
        <v>1893</v>
      </c>
      <c r="G266" s="45" t="s">
        <v>962</v>
      </c>
      <c r="H266" t="s">
        <v>1225</v>
      </c>
      <c r="I266" s="28" t="s">
        <v>1226</v>
      </c>
      <c r="J266" s="28" t="s">
        <v>1473</v>
      </c>
      <c r="L266" t="s">
        <v>1453</v>
      </c>
      <c r="M266" s="5" t="s">
        <v>1227</v>
      </c>
      <c r="N266" t="s">
        <v>1874</v>
      </c>
    </row>
    <row r="267" spans="1:14" x14ac:dyDescent="0.2">
      <c r="A267">
        <v>603</v>
      </c>
      <c r="B267" t="b">
        <f t="shared" si="4"/>
        <v>1</v>
      </c>
      <c r="C267" t="s">
        <v>108</v>
      </c>
      <c r="D267" t="str">
        <f>IF(F267&lt;&gt;"",VLOOKUP(F267,PHA4GEVars!$A$7:$B$241,2,FALSE),"")</f>
        <v>Sample collection and processing</v>
      </c>
      <c r="E267" t="s">
        <v>1869</v>
      </c>
      <c r="F267" t="s">
        <v>1893</v>
      </c>
      <c r="G267" s="45" t="s">
        <v>964</v>
      </c>
      <c r="H267" t="s">
        <v>1225</v>
      </c>
      <c r="I267" t="s">
        <v>1226</v>
      </c>
      <c r="J267" s="28" t="s">
        <v>963</v>
      </c>
      <c r="M267" s="5" t="s">
        <v>1227</v>
      </c>
      <c r="N267" t="s">
        <v>1874</v>
      </c>
    </row>
    <row r="268" spans="1:14" x14ac:dyDescent="0.2">
      <c r="A268">
        <v>604</v>
      </c>
      <c r="B268" t="b">
        <f t="shared" si="4"/>
        <v>1</v>
      </c>
      <c r="C268" t="s">
        <v>108</v>
      </c>
      <c r="D268" t="str">
        <f>IF(F268&lt;&gt;"",VLOOKUP(F268,PHA4GEVars!$A$7:$B$241,2,FALSE),"")</f>
        <v>Sample collection and processing</v>
      </c>
      <c r="E268" t="s">
        <v>1869</v>
      </c>
      <c r="F268" t="s">
        <v>1893</v>
      </c>
      <c r="G268" s="45" t="s">
        <v>965</v>
      </c>
      <c r="H268" t="s">
        <v>1225</v>
      </c>
      <c r="I268" s="28" t="s">
        <v>1226</v>
      </c>
      <c r="J268" s="28" t="s">
        <v>1474</v>
      </c>
      <c r="L268" t="s">
        <v>1463</v>
      </c>
      <c r="M268" s="5" t="s">
        <v>1227</v>
      </c>
      <c r="N268" t="s">
        <v>1874</v>
      </c>
    </row>
    <row r="269" spans="1:14" x14ac:dyDescent="0.2">
      <c r="A269">
        <v>605</v>
      </c>
      <c r="B269" t="b">
        <f t="shared" si="4"/>
        <v>1</v>
      </c>
      <c r="C269" t="s">
        <v>108</v>
      </c>
      <c r="D269" t="str">
        <f>IF(F269&lt;&gt;"",VLOOKUP(F269,PHA4GEVars!$A$7:$B$241,2,FALSE),"")</f>
        <v>Sample collection and processing</v>
      </c>
      <c r="E269" t="s">
        <v>1869</v>
      </c>
      <c r="F269" t="s">
        <v>1893</v>
      </c>
      <c r="G269" s="45" t="s">
        <v>967</v>
      </c>
      <c r="H269" t="s">
        <v>1225</v>
      </c>
      <c r="I269" t="s">
        <v>1226</v>
      </c>
      <c r="J269" s="28" t="s">
        <v>966</v>
      </c>
      <c r="M269" s="5" t="s">
        <v>1227</v>
      </c>
      <c r="N269" t="s">
        <v>1874</v>
      </c>
    </row>
    <row r="270" spans="1:14" x14ac:dyDescent="0.2">
      <c r="A270">
        <v>606</v>
      </c>
      <c r="B270" t="b">
        <f t="shared" si="4"/>
        <v>1</v>
      </c>
      <c r="C270" t="s">
        <v>108</v>
      </c>
      <c r="D270" t="str">
        <f>IF(F270&lt;&gt;"",VLOOKUP(F270,PHA4GEVars!$A$7:$B$241,2,FALSE),"")</f>
        <v>Sample collection and processing</v>
      </c>
      <c r="E270" t="s">
        <v>1869</v>
      </c>
      <c r="F270" t="s">
        <v>1893</v>
      </c>
      <c r="G270" s="45" t="s">
        <v>969</v>
      </c>
      <c r="H270" t="s">
        <v>1225</v>
      </c>
      <c r="I270" t="s">
        <v>1226</v>
      </c>
      <c r="J270" s="28" t="s">
        <v>968</v>
      </c>
      <c r="M270" s="5" t="s">
        <v>1227</v>
      </c>
      <c r="N270" t="s">
        <v>1874</v>
      </c>
    </row>
    <row r="271" spans="1:14" x14ac:dyDescent="0.2">
      <c r="A271">
        <v>607</v>
      </c>
      <c r="B271" t="b">
        <f t="shared" si="4"/>
        <v>1</v>
      </c>
      <c r="C271" t="s">
        <v>108</v>
      </c>
      <c r="D271" t="str">
        <f>IF(F271&lt;&gt;"",VLOOKUP(F271,PHA4GEVars!$A$7:$B$241,2,FALSE),"")</f>
        <v>Sample collection and processing</v>
      </c>
      <c r="E271" t="s">
        <v>1869</v>
      </c>
      <c r="F271" t="s">
        <v>1893</v>
      </c>
      <c r="G271" s="45" t="s">
        <v>971</v>
      </c>
      <c r="H271" t="s">
        <v>1225</v>
      </c>
      <c r="I271" t="s">
        <v>1226</v>
      </c>
      <c r="J271" s="28" t="s">
        <v>970</v>
      </c>
      <c r="M271" s="5" t="s">
        <v>1227</v>
      </c>
      <c r="N271" t="s">
        <v>1874</v>
      </c>
    </row>
    <row r="272" spans="1:14" x14ac:dyDescent="0.2">
      <c r="A272">
        <v>608</v>
      </c>
      <c r="B272" t="b">
        <f t="shared" si="4"/>
        <v>1</v>
      </c>
      <c r="C272" t="s">
        <v>108</v>
      </c>
      <c r="D272" t="str">
        <f>IF(F272&lt;&gt;"",VLOOKUP(F272,PHA4GEVars!$A$7:$B$241,2,FALSE),"")</f>
        <v>Sample collection and processing</v>
      </c>
      <c r="E272" t="s">
        <v>1869</v>
      </c>
      <c r="F272" t="s">
        <v>1893</v>
      </c>
      <c r="G272" s="45" t="s">
        <v>973</v>
      </c>
      <c r="H272" t="s">
        <v>1225</v>
      </c>
      <c r="I272" t="s">
        <v>1226</v>
      </c>
      <c r="J272" s="28" t="s">
        <v>972</v>
      </c>
      <c r="M272" s="5" t="s">
        <v>1227</v>
      </c>
      <c r="N272" t="s">
        <v>1874</v>
      </c>
    </row>
  </sheetData>
  <conditionalFormatting sqref="A2:L2 N2:N272 G3:L125 A3:F272 G126:H126 J126:L126 G127:L128 G129:H130 J129:L130 G131:L141 G142:H142 J142:L142 G143:L158 G159:H159 J159:L159 G160:L169 G170:H170 J170:L170 G171:L189 G190:H190 J190:L190 G191:L201 G202:H202 J202:L202 G203:L248 G249:H249 J249:L249 G250:L265 G266:H266 J266:L266 G267:L267 G268:H268 J268:L268 G269:L272">
    <cfRule type="expression" dxfId="1" priority="1">
      <formula>$B2=""</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E50B-63F5-1546-AAB5-076951D43503}">
  <dimension ref="A1:P7"/>
  <sheetViews>
    <sheetView workbookViewId="0">
      <selection activeCell="C7" sqref="C7"/>
    </sheetView>
  </sheetViews>
  <sheetFormatPr baseColWidth="10" defaultRowHeight="16" x14ac:dyDescent="0.2"/>
  <cols>
    <col min="5" max="5" width="32.1640625" bestFit="1" customWidth="1"/>
    <col min="11" max="11" width="13" bestFit="1" customWidth="1"/>
  </cols>
  <sheetData>
    <row r="1" spans="1:16" ht="20" thickBot="1" x14ac:dyDescent="0.3">
      <c r="A1" t="s">
        <v>1443</v>
      </c>
      <c r="B1" s="16" t="s">
        <v>1772</v>
      </c>
      <c r="C1" s="1" t="s">
        <v>0</v>
      </c>
      <c r="D1" s="2" t="s">
        <v>10</v>
      </c>
      <c r="E1" s="3" t="s">
        <v>1883</v>
      </c>
      <c r="F1" s="3" t="s">
        <v>1</v>
      </c>
      <c r="G1" s="3" t="s">
        <v>2</v>
      </c>
      <c r="H1" s="3" t="s">
        <v>3</v>
      </c>
      <c r="I1" s="3" t="s">
        <v>4</v>
      </c>
      <c r="J1" s="3" t="s">
        <v>1801</v>
      </c>
      <c r="K1" s="3" t="s">
        <v>5</v>
      </c>
      <c r="L1" s="3" t="s">
        <v>6</v>
      </c>
      <c r="M1" s="3" t="s">
        <v>1779</v>
      </c>
      <c r="N1" s="3" t="s">
        <v>8</v>
      </c>
      <c r="O1" s="4" t="s">
        <v>9</v>
      </c>
      <c r="P1" s="1" t="s">
        <v>1770</v>
      </c>
    </row>
    <row r="2" spans="1:16" x14ac:dyDescent="0.2">
      <c r="A2">
        <v>4</v>
      </c>
      <c r="C2" s="6" t="b">
        <v>0</v>
      </c>
      <c r="D2" s="6" t="s">
        <v>1137</v>
      </c>
      <c r="E2" t="str">
        <f>IF(G2&lt;&gt;"",VLOOKUP(G2,PHA4GEVars!$A$7:$B$241,2,FALSE),"")</f>
        <v>AMR detection information</v>
      </c>
      <c r="F2" s="6" t="s">
        <v>1869</v>
      </c>
      <c r="G2" s="6" t="s">
        <v>1140</v>
      </c>
      <c r="H2" s="6" t="s">
        <v>458</v>
      </c>
      <c r="I2" s="6" t="s">
        <v>1434</v>
      </c>
      <c r="J2" s="6"/>
      <c r="K2" s="6" t="s">
        <v>1438</v>
      </c>
      <c r="L2" s="6" t="s">
        <v>1743</v>
      </c>
      <c r="M2" s="6"/>
      <c r="N2" s="6"/>
      <c r="O2" s="5" t="s">
        <v>1595</v>
      </c>
      <c r="P2" s="6" t="s">
        <v>1957</v>
      </c>
    </row>
    <row r="3" spans="1:16" x14ac:dyDescent="0.2">
      <c r="A3">
        <v>5</v>
      </c>
      <c r="C3" s="6" t="b">
        <v>0</v>
      </c>
      <c r="D3" s="6" t="s">
        <v>1137</v>
      </c>
      <c r="E3" t="str">
        <f>IF(G3&lt;&gt;"",VLOOKUP(G3,PHA4GEVars!$A$7:$B$241,2,FALSE),"")</f>
        <v>AMR detection information</v>
      </c>
      <c r="F3" s="6" t="s">
        <v>1869</v>
      </c>
      <c r="G3" s="6" t="s">
        <v>1141</v>
      </c>
      <c r="H3" s="6" t="s">
        <v>458</v>
      </c>
      <c r="I3" s="6" t="s">
        <v>1434</v>
      </c>
      <c r="J3" s="6"/>
      <c r="K3" s="6" t="s">
        <v>1441</v>
      </c>
      <c r="L3" s="6" t="s">
        <v>1744</v>
      </c>
      <c r="M3" s="6"/>
      <c r="N3" s="6"/>
      <c r="O3" s="5" t="s">
        <v>1598</v>
      </c>
      <c r="P3" s="6" t="s">
        <v>1957</v>
      </c>
    </row>
    <row r="4" spans="1:16" x14ac:dyDescent="0.2">
      <c r="A4">
        <v>43</v>
      </c>
      <c r="C4" s="6" t="b">
        <v>1</v>
      </c>
      <c r="D4" s="6" t="s">
        <v>11</v>
      </c>
      <c r="E4" t="str">
        <f>IF(G4&lt;&gt;"",VLOOKUP(G4,PHA4GEVars!$A$7:$B$241,2,FALSE),"")</f>
        <v>Bioinformatics and QC metrics</v>
      </c>
      <c r="F4" s="6" t="s">
        <v>1869</v>
      </c>
      <c r="G4" s="6" t="s">
        <v>93</v>
      </c>
      <c r="H4" s="6" t="s">
        <v>458</v>
      </c>
      <c r="I4" s="6" t="s">
        <v>1434</v>
      </c>
      <c r="J4" s="6"/>
      <c r="K4" s="6" t="s">
        <v>1435</v>
      </c>
      <c r="L4" s="6" t="s">
        <v>1436</v>
      </c>
      <c r="M4" s="6"/>
      <c r="N4" s="6"/>
      <c r="O4" s="5" t="s">
        <v>1437</v>
      </c>
      <c r="P4" s="6" t="s">
        <v>1778</v>
      </c>
    </row>
    <row r="5" spans="1:16" x14ac:dyDescent="0.2">
      <c r="A5">
        <v>849</v>
      </c>
      <c r="C5" s="6" t="b">
        <v>0</v>
      </c>
      <c r="D5" s="6" t="s">
        <v>1134</v>
      </c>
      <c r="E5" t="str">
        <f>IF(G5&lt;&gt;"",VLOOKUP(G5,PHA4GEVars!$A$7:$B$241,2,FALSE),"")</f>
        <v>Taxonomic identification information</v>
      </c>
      <c r="F5" s="6" t="s">
        <v>1869</v>
      </c>
      <c r="G5" s="6" t="s">
        <v>97</v>
      </c>
      <c r="H5" s="6" t="s">
        <v>458</v>
      </c>
      <c r="I5" s="6" t="s">
        <v>1434</v>
      </c>
      <c r="J5" s="6"/>
      <c r="K5" s="6" t="s">
        <v>1438</v>
      </c>
      <c r="L5" s="6" t="s">
        <v>1439</v>
      </c>
      <c r="M5" s="6"/>
      <c r="N5" s="6"/>
      <c r="O5" s="5" t="s">
        <v>1440</v>
      </c>
      <c r="P5" s="6" t="s">
        <v>1958</v>
      </c>
    </row>
    <row r="6" spans="1:16" x14ac:dyDescent="0.2">
      <c r="A6">
        <v>850</v>
      </c>
      <c r="C6" s="6" t="b">
        <v>0</v>
      </c>
      <c r="D6" s="6" t="s">
        <v>1134</v>
      </c>
      <c r="E6" t="str">
        <f>IF(G6&lt;&gt;"",VLOOKUP(G6,PHA4GEVars!$A$7:$B$241,2,FALSE),"")</f>
        <v>Taxonomic identification information</v>
      </c>
      <c r="F6" s="6" t="s">
        <v>1869</v>
      </c>
      <c r="G6" s="6" t="s">
        <v>99</v>
      </c>
      <c r="H6" s="6" t="s">
        <v>458</v>
      </c>
      <c r="I6" s="6" t="s">
        <v>1434</v>
      </c>
      <c r="J6" s="6"/>
      <c r="K6" s="6" t="s">
        <v>1441</v>
      </c>
      <c r="L6" s="6" t="s">
        <v>1442</v>
      </c>
      <c r="M6" s="6"/>
      <c r="N6" s="6"/>
      <c r="O6" s="6"/>
      <c r="P6" s="6" t="s">
        <v>1958</v>
      </c>
    </row>
    <row r="7" spans="1:16" x14ac:dyDescent="0.2">
      <c r="C7" s="6" t="b">
        <v>1</v>
      </c>
      <c r="E7" t="str">
        <f>IF(G7&lt;&gt;"",VLOOKUP(G7,PHA4GEVars!$A$7:$B$241,2,FALSE),"")</f>
        <v>Sequence information</v>
      </c>
      <c r="F7" s="6" t="s">
        <v>1869</v>
      </c>
      <c r="G7" s="6" t="s">
        <v>120</v>
      </c>
      <c r="I7" s="6" t="s">
        <v>1434</v>
      </c>
      <c r="K7" s="6" t="s">
        <v>1268</v>
      </c>
      <c r="L7" s="6" t="s">
        <v>1506</v>
      </c>
    </row>
  </sheetData>
  <conditionalFormatting sqref="E2:E7">
    <cfRule type="expression" dxfId="0" priority="1">
      <formula>$B2=""</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ACA08-9138-E54D-BAC1-6C74392A11F1}">
  <dimension ref="A1:B1173"/>
  <sheetViews>
    <sheetView topLeftCell="A24" workbookViewId="0">
      <selection activeCell="A58" sqref="A58"/>
    </sheetView>
  </sheetViews>
  <sheetFormatPr baseColWidth="10" defaultRowHeight="16" x14ac:dyDescent="0.2"/>
  <cols>
    <col min="1" max="1" width="34.83203125" customWidth="1"/>
    <col min="2" max="2" width="25.6640625" customWidth="1"/>
  </cols>
  <sheetData>
    <row r="1" spans="1:2" ht="17" x14ac:dyDescent="0.2">
      <c r="A1" s="50" t="s">
        <v>1885</v>
      </c>
      <c r="B1" s="50" t="s">
        <v>1884</v>
      </c>
    </row>
    <row r="2" spans="1:2" ht="17" x14ac:dyDescent="0.2">
      <c r="A2" s="52" t="s">
        <v>1886</v>
      </c>
      <c r="B2" s="51"/>
    </row>
    <row r="3" spans="1:2" x14ac:dyDescent="0.2">
      <c r="A3" s="54" t="s">
        <v>1887</v>
      </c>
      <c r="B3" s="53"/>
    </row>
    <row r="4" spans="1:2" x14ac:dyDescent="0.2">
      <c r="A4" s="55" t="s">
        <v>1888</v>
      </c>
      <c r="B4" s="53"/>
    </row>
    <row r="5" spans="1:2" ht="17" thickBot="1" x14ac:dyDescent="0.25">
      <c r="A5" s="56" t="s">
        <v>1889</v>
      </c>
      <c r="B5" s="53"/>
    </row>
    <row r="6" spans="1:2" x14ac:dyDescent="0.2">
      <c r="A6" s="57"/>
      <c r="B6" s="57" t="s">
        <v>66</v>
      </c>
    </row>
    <row r="7" spans="1:2" x14ac:dyDescent="0.2">
      <c r="A7" s="59" t="s">
        <v>151</v>
      </c>
      <c r="B7" s="58" t="s">
        <v>66</v>
      </c>
    </row>
    <row r="8" spans="1:2" x14ac:dyDescent="0.2">
      <c r="A8" s="60" t="s">
        <v>141</v>
      </c>
      <c r="B8" s="58" t="s">
        <v>66</v>
      </c>
    </row>
    <row r="9" spans="1:2" x14ac:dyDescent="0.2">
      <c r="A9" s="60" t="s">
        <v>1101</v>
      </c>
      <c r="B9" s="58" t="s">
        <v>66</v>
      </c>
    </row>
    <row r="10" spans="1:2" x14ac:dyDescent="0.2">
      <c r="A10" s="60" t="s">
        <v>90</v>
      </c>
      <c r="B10" s="58" t="s">
        <v>66</v>
      </c>
    </row>
    <row r="11" spans="1:2" x14ac:dyDescent="0.2">
      <c r="A11" s="60" t="s">
        <v>1102</v>
      </c>
      <c r="B11" s="58" t="s">
        <v>66</v>
      </c>
    </row>
    <row r="12" spans="1:2" x14ac:dyDescent="0.2">
      <c r="A12" s="60" t="s">
        <v>67</v>
      </c>
      <c r="B12" s="58" t="s">
        <v>66</v>
      </c>
    </row>
    <row r="13" spans="1:2" x14ac:dyDescent="0.2">
      <c r="A13" s="61" t="s">
        <v>68</v>
      </c>
      <c r="B13" s="58" t="s">
        <v>66</v>
      </c>
    </row>
    <row r="14" spans="1:2" x14ac:dyDescent="0.2">
      <c r="A14" s="60" t="s">
        <v>82</v>
      </c>
      <c r="B14" s="58" t="s">
        <v>66</v>
      </c>
    </row>
    <row r="15" spans="1:2" x14ac:dyDescent="0.2">
      <c r="A15" s="60" t="s">
        <v>1890</v>
      </c>
      <c r="B15" s="58" t="s">
        <v>66</v>
      </c>
    </row>
    <row r="16" spans="1:2" x14ac:dyDescent="0.2">
      <c r="A16" s="60" t="s">
        <v>86</v>
      </c>
      <c r="B16" s="58" t="s">
        <v>66</v>
      </c>
    </row>
    <row r="17" spans="1:2" x14ac:dyDescent="0.2">
      <c r="A17" s="60" t="s">
        <v>1891</v>
      </c>
      <c r="B17" s="58" t="s">
        <v>66</v>
      </c>
    </row>
    <row r="18" spans="1:2" x14ac:dyDescent="0.2">
      <c r="A18" s="60" t="s">
        <v>79</v>
      </c>
      <c r="B18" s="58" t="s">
        <v>66</v>
      </c>
    </row>
    <row r="19" spans="1:2" x14ac:dyDescent="0.2">
      <c r="A19" s="60" t="s">
        <v>78</v>
      </c>
      <c r="B19" s="58" t="s">
        <v>66</v>
      </c>
    </row>
    <row r="20" spans="1:2" x14ac:dyDescent="0.2">
      <c r="A20" s="60" t="s">
        <v>87</v>
      </c>
      <c r="B20" s="58" t="s">
        <v>66</v>
      </c>
    </row>
    <row r="21" spans="1:2" x14ac:dyDescent="0.2">
      <c r="A21" s="60" t="s">
        <v>80</v>
      </c>
      <c r="B21" s="58" t="s">
        <v>66</v>
      </c>
    </row>
    <row r="22" spans="1:2" x14ac:dyDescent="0.2">
      <c r="A22" s="61" t="s">
        <v>144</v>
      </c>
      <c r="B22" s="58" t="s">
        <v>66</v>
      </c>
    </row>
    <row r="23" spans="1:2" ht="17" thickBot="1" x14ac:dyDescent="0.25">
      <c r="A23" s="61" t="s">
        <v>112</v>
      </c>
      <c r="B23" s="58" t="s">
        <v>66</v>
      </c>
    </row>
    <row r="24" spans="1:2" ht="29" x14ac:dyDescent="0.2">
      <c r="A24" s="63" t="s">
        <v>1103</v>
      </c>
      <c r="B24" s="62" t="s">
        <v>108</v>
      </c>
    </row>
    <row r="25" spans="1:2" x14ac:dyDescent="0.2">
      <c r="A25" s="60" t="s">
        <v>1892</v>
      </c>
      <c r="B25" s="64" t="s">
        <v>108</v>
      </c>
    </row>
    <row r="26" spans="1:2" x14ac:dyDescent="0.2">
      <c r="A26" s="59" t="s">
        <v>127</v>
      </c>
      <c r="B26" s="64" t="s">
        <v>108</v>
      </c>
    </row>
    <row r="27" spans="1:2" x14ac:dyDescent="0.2">
      <c r="A27" s="60" t="s">
        <v>109</v>
      </c>
      <c r="B27" s="64" t="s">
        <v>108</v>
      </c>
    </row>
    <row r="28" spans="1:2" x14ac:dyDescent="0.2">
      <c r="A28" s="59" t="s">
        <v>1893</v>
      </c>
      <c r="B28" s="64" t="s">
        <v>108</v>
      </c>
    </row>
    <row r="29" spans="1:2" x14ac:dyDescent="0.2">
      <c r="A29" s="59" t="s">
        <v>1894</v>
      </c>
      <c r="B29" s="64" t="s">
        <v>108</v>
      </c>
    </row>
    <row r="30" spans="1:2" x14ac:dyDescent="0.2">
      <c r="A30" s="60" t="s">
        <v>1895</v>
      </c>
      <c r="B30" s="64" t="s">
        <v>108</v>
      </c>
    </row>
    <row r="31" spans="1:2" x14ac:dyDescent="0.2">
      <c r="A31" s="60" t="s">
        <v>1896</v>
      </c>
      <c r="B31" s="64" t="s">
        <v>108</v>
      </c>
    </row>
    <row r="32" spans="1:2" x14ac:dyDescent="0.2">
      <c r="A32" s="60" t="s">
        <v>1897</v>
      </c>
      <c r="B32" s="64" t="s">
        <v>108</v>
      </c>
    </row>
    <row r="33" spans="1:2" x14ac:dyDescent="0.2">
      <c r="A33" s="60" t="s">
        <v>1104</v>
      </c>
      <c r="B33" s="64" t="s">
        <v>108</v>
      </c>
    </row>
    <row r="34" spans="1:2" x14ac:dyDescent="0.2">
      <c r="A34" s="60" t="s">
        <v>1105</v>
      </c>
      <c r="B34" s="64" t="s">
        <v>108</v>
      </c>
    </row>
    <row r="35" spans="1:2" x14ac:dyDescent="0.2">
      <c r="A35" s="60" t="s">
        <v>1106</v>
      </c>
      <c r="B35" s="64" t="s">
        <v>108</v>
      </c>
    </row>
    <row r="36" spans="1:2" x14ac:dyDescent="0.2">
      <c r="A36" s="60" t="s">
        <v>1107</v>
      </c>
      <c r="B36" s="64" t="s">
        <v>108</v>
      </c>
    </row>
    <row r="37" spans="1:2" x14ac:dyDescent="0.2">
      <c r="A37" s="59" t="s">
        <v>113</v>
      </c>
      <c r="B37" s="64" t="s">
        <v>108</v>
      </c>
    </row>
    <row r="38" spans="1:2" x14ac:dyDescent="0.2">
      <c r="A38" s="59" t="s">
        <v>148</v>
      </c>
      <c r="B38" s="64" t="s">
        <v>108</v>
      </c>
    </row>
    <row r="39" spans="1:2" x14ac:dyDescent="0.2">
      <c r="A39" s="61" t="s">
        <v>1108</v>
      </c>
      <c r="B39" s="64" t="s">
        <v>108</v>
      </c>
    </row>
    <row r="40" spans="1:2" x14ac:dyDescent="0.2">
      <c r="A40" s="60" t="s">
        <v>149</v>
      </c>
      <c r="B40" s="64" t="s">
        <v>108</v>
      </c>
    </row>
    <row r="41" spans="1:2" x14ac:dyDescent="0.2">
      <c r="A41" s="59" t="s">
        <v>146</v>
      </c>
      <c r="B41" s="64" t="s">
        <v>108</v>
      </c>
    </row>
    <row r="42" spans="1:2" x14ac:dyDescent="0.2">
      <c r="A42" s="65" t="s">
        <v>1109</v>
      </c>
      <c r="B42" s="64" t="s">
        <v>108</v>
      </c>
    </row>
    <row r="43" spans="1:2" x14ac:dyDescent="0.2">
      <c r="A43" s="60" t="s">
        <v>111</v>
      </c>
      <c r="B43" s="64" t="s">
        <v>108</v>
      </c>
    </row>
    <row r="44" spans="1:2" x14ac:dyDescent="0.2">
      <c r="A44" s="65" t="s">
        <v>1110</v>
      </c>
      <c r="B44" s="66" t="s">
        <v>108</v>
      </c>
    </row>
    <row r="45" spans="1:2" x14ac:dyDescent="0.2">
      <c r="A45" s="65" t="s">
        <v>1111</v>
      </c>
      <c r="B45" s="66" t="s">
        <v>108</v>
      </c>
    </row>
    <row r="46" spans="1:2" x14ac:dyDescent="0.2">
      <c r="A46" s="67" t="s">
        <v>123</v>
      </c>
      <c r="B46" s="66" t="s">
        <v>108</v>
      </c>
    </row>
    <row r="47" spans="1:2" x14ac:dyDescent="0.2">
      <c r="A47" s="68" t="s">
        <v>1898</v>
      </c>
      <c r="B47" s="66" t="s">
        <v>108</v>
      </c>
    </row>
    <row r="48" spans="1:2" x14ac:dyDescent="0.2">
      <c r="A48" s="68" t="s">
        <v>1899</v>
      </c>
      <c r="B48" s="66" t="s">
        <v>108</v>
      </c>
    </row>
    <row r="49" spans="1:2" x14ac:dyDescent="0.2">
      <c r="A49" s="67" t="s">
        <v>122</v>
      </c>
      <c r="B49" s="66" t="s">
        <v>108</v>
      </c>
    </row>
    <row r="50" spans="1:2" x14ac:dyDescent="0.2">
      <c r="A50" s="67" t="s">
        <v>1900</v>
      </c>
      <c r="B50" s="66" t="s">
        <v>108</v>
      </c>
    </row>
    <row r="51" spans="1:2" x14ac:dyDescent="0.2">
      <c r="A51" s="67" t="s">
        <v>154</v>
      </c>
      <c r="B51" s="66" t="s">
        <v>108</v>
      </c>
    </row>
    <row r="52" spans="1:2" x14ac:dyDescent="0.2">
      <c r="A52" s="67" t="s">
        <v>116</v>
      </c>
      <c r="B52" s="66" t="s">
        <v>108</v>
      </c>
    </row>
    <row r="53" spans="1:2" x14ac:dyDescent="0.2">
      <c r="A53" s="67" t="s">
        <v>1901</v>
      </c>
      <c r="B53" s="66" t="s">
        <v>108</v>
      </c>
    </row>
    <row r="54" spans="1:2" x14ac:dyDescent="0.2">
      <c r="A54" s="69" t="s">
        <v>125</v>
      </c>
      <c r="B54" s="66" t="s">
        <v>108</v>
      </c>
    </row>
    <row r="55" spans="1:2" x14ac:dyDescent="0.2">
      <c r="A55" s="67" t="s">
        <v>155</v>
      </c>
      <c r="B55" s="66" t="s">
        <v>108</v>
      </c>
    </row>
    <row r="56" spans="1:2" x14ac:dyDescent="0.2">
      <c r="A56" s="67" t="s">
        <v>114</v>
      </c>
      <c r="B56" s="66" t="s">
        <v>108</v>
      </c>
    </row>
    <row r="57" spans="1:2" x14ac:dyDescent="0.2">
      <c r="A57" s="67" t="s">
        <v>128</v>
      </c>
      <c r="B57" s="66" t="s">
        <v>108</v>
      </c>
    </row>
    <row r="58" spans="1:2" x14ac:dyDescent="0.2">
      <c r="A58" s="67" t="s">
        <v>129</v>
      </c>
      <c r="B58" s="66" t="s">
        <v>108</v>
      </c>
    </row>
    <row r="59" spans="1:2" x14ac:dyDescent="0.2">
      <c r="A59" s="60" t="s">
        <v>1112</v>
      </c>
      <c r="B59" s="66" t="s">
        <v>108</v>
      </c>
    </row>
    <row r="60" spans="1:2" x14ac:dyDescent="0.2">
      <c r="A60" s="68" t="s">
        <v>1902</v>
      </c>
      <c r="B60" s="66" t="s">
        <v>108</v>
      </c>
    </row>
    <row r="61" spans="1:2" x14ac:dyDescent="0.2">
      <c r="A61" s="68" t="s">
        <v>150</v>
      </c>
      <c r="B61" s="66" t="s">
        <v>108</v>
      </c>
    </row>
    <row r="62" spans="1:2" x14ac:dyDescent="0.2">
      <c r="A62" s="68" t="s">
        <v>119</v>
      </c>
      <c r="B62" s="66" t="s">
        <v>108</v>
      </c>
    </row>
    <row r="63" spans="1:2" x14ac:dyDescent="0.2">
      <c r="A63" s="68" t="s">
        <v>145</v>
      </c>
      <c r="B63" s="66" t="s">
        <v>108</v>
      </c>
    </row>
    <row r="64" spans="1:2" x14ac:dyDescent="0.2">
      <c r="A64" s="67" t="s">
        <v>1113</v>
      </c>
      <c r="B64" s="66" t="s">
        <v>108</v>
      </c>
    </row>
    <row r="65" spans="1:2" x14ac:dyDescent="0.2">
      <c r="A65" s="67" t="s">
        <v>147</v>
      </c>
      <c r="B65" s="66" t="s">
        <v>108</v>
      </c>
    </row>
    <row r="66" spans="1:2" x14ac:dyDescent="0.2">
      <c r="A66" s="67" t="s">
        <v>117</v>
      </c>
      <c r="B66" s="66" t="s">
        <v>108</v>
      </c>
    </row>
    <row r="67" spans="1:2" x14ac:dyDescent="0.2">
      <c r="A67" s="68" t="s">
        <v>1903</v>
      </c>
      <c r="B67" s="66" t="s">
        <v>108</v>
      </c>
    </row>
    <row r="68" spans="1:2" x14ac:dyDescent="0.2">
      <c r="A68" s="67" t="s">
        <v>1904</v>
      </c>
      <c r="B68" s="66" t="s">
        <v>108</v>
      </c>
    </row>
    <row r="69" spans="1:2" x14ac:dyDescent="0.2">
      <c r="A69" s="67" t="s">
        <v>1905</v>
      </c>
      <c r="B69" s="66" t="s">
        <v>108</v>
      </c>
    </row>
    <row r="70" spans="1:2" x14ac:dyDescent="0.2">
      <c r="A70" s="68" t="s">
        <v>1114</v>
      </c>
      <c r="B70" s="66" t="s">
        <v>108</v>
      </c>
    </row>
    <row r="71" spans="1:2" ht="30" x14ac:dyDescent="0.2">
      <c r="A71" s="67" t="s">
        <v>1115</v>
      </c>
      <c r="B71" s="66" t="s">
        <v>108</v>
      </c>
    </row>
    <row r="72" spans="1:2" ht="30" x14ac:dyDescent="0.2">
      <c r="A72" s="67" t="s">
        <v>1116</v>
      </c>
      <c r="B72" s="66" t="s">
        <v>108</v>
      </c>
    </row>
    <row r="73" spans="1:2" ht="30" x14ac:dyDescent="0.2">
      <c r="A73" s="70" t="s">
        <v>1103</v>
      </c>
      <c r="B73" s="70" t="s">
        <v>24</v>
      </c>
    </row>
    <row r="74" spans="1:2" ht="30" x14ac:dyDescent="0.2">
      <c r="A74" s="68" t="s">
        <v>1906</v>
      </c>
      <c r="B74" s="49" t="s">
        <v>24</v>
      </c>
    </row>
    <row r="75" spans="1:2" ht="30" x14ac:dyDescent="0.2">
      <c r="A75" s="67" t="s">
        <v>1907</v>
      </c>
      <c r="B75" s="49" t="s">
        <v>24</v>
      </c>
    </row>
    <row r="76" spans="1:2" ht="30" x14ac:dyDescent="0.2">
      <c r="A76" s="67" t="s">
        <v>1908</v>
      </c>
      <c r="B76" s="49" t="s">
        <v>24</v>
      </c>
    </row>
    <row r="77" spans="1:2" ht="30" x14ac:dyDescent="0.2">
      <c r="A77" s="67" t="s">
        <v>1909</v>
      </c>
      <c r="B77" s="49" t="s">
        <v>24</v>
      </c>
    </row>
    <row r="78" spans="1:2" ht="30" x14ac:dyDescent="0.2">
      <c r="A78" s="67" t="s">
        <v>1910</v>
      </c>
      <c r="B78" s="49" t="s">
        <v>24</v>
      </c>
    </row>
    <row r="79" spans="1:2" ht="30" x14ac:dyDescent="0.2">
      <c r="A79" s="67" t="s">
        <v>101</v>
      </c>
      <c r="B79" s="49" t="s">
        <v>24</v>
      </c>
    </row>
    <row r="80" spans="1:2" ht="30" x14ac:dyDescent="0.2">
      <c r="A80" s="67" t="s">
        <v>159</v>
      </c>
      <c r="B80" s="49" t="s">
        <v>24</v>
      </c>
    </row>
    <row r="81" spans="1:2" ht="30" x14ac:dyDescent="0.2">
      <c r="A81" s="67" t="s">
        <v>140</v>
      </c>
      <c r="B81" s="49" t="s">
        <v>24</v>
      </c>
    </row>
    <row r="82" spans="1:2" ht="30" x14ac:dyDescent="0.2">
      <c r="A82" s="68" t="s">
        <v>158</v>
      </c>
      <c r="B82" s="49" t="s">
        <v>24</v>
      </c>
    </row>
    <row r="83" spans="1:2" ht="30" x14ac:dyDescent="0.2">
      <c r="A83" s="68" t="s">
        <v>52</v>
      </c>
      <c r="B83" s="49" t="s">
        <v>24</v>
      </c>
    </row>
    <row r="84" spans="1:2" ht="30" x14ac:dyDescent="0.2">
      <c r="A84" s="67" t="s">
        <v>33</v>
      </c>
      <c r="B84" s="49" t="s">
        <v>24</v>
      </c>
    </row>
    <row r="85" spans="1:2" ht="30" x14ac:dyDescent="0.2">
      <c r="A85" s="67" t="s">
        <v>157</v>
      </c>
      <c r="B85" s="49" t="s">
        <v>24</v>
      </c>
    </row>
    <row r="86" spans="1:2" ht="30" x14ac:dyDescent="0.2">
      <c r="A86" s="67" t="s">
        <v>43</v>
      </c>
      <c r="B86" s="49" t="s">
        <v>24</v>
      </c>
    </row>
    <row r="87" spans="1:2" ht="30" x14ac:dyDescent="0.2">
      <c r="A87" s="67" t="s">
        <v>152</v>
      </c>
      <c r="B87" s="49" t="s">
        <v>24</v>
      </c>
    </row>
    <row r="88" spans="1:2" ht="30" x14ac:dyDescent="0.2">
      <c r="A88" s="67" t="s">
        <v>51</v>
      </c>
      <c r="B88" s="49" t="s">
        <v>24</v>
      </c>
    </row>
    <row r="89" spans="1:2" ht="30" x14ac:dyDescent="0.2">
      <c r="A89" s="67" t="s">
        <v>1092</v>
      </c>
      <c r="B89" s="49" t="s">
        <v>24</v>
      </c>
    </row>
    <row r="90" spans="1:2" ht="30" x14ac:dyDescent="0.2">
      <c r="A90" s="67" t="s">
        <v>1093</v>
      </c>
      <c r="B90" s="49" t="s">
        <v>24</v>
      </c>
    </row>
    <row r="91" spans="1:2" ht="30" x14ac:dyDescent="0.2">
      <c r="A91" s="67" t="s">
        <v>1094</v>
      </c>
      <c r="B91" s="49" t="s">
        <v>24</v>
      </c>
    </row>
    <row r="92" spans="1:2" ht="30" x14ac:dyDescent="0.2">
      <c r="A92" s="67" t="s">
        <v>1095</v>
      </c>
      <c r="B92" s="49" t="s">
        <v>24</v>
      </c>
    </row>
    <row r="93" spans="1:2" ht="30" x14ac:dyDescent="0.2">
      <c r="A93" s="67" t="s">
        <v>1096</v>
      </c>
      <c r="B93" s="49" t="s">
        <v>24</v>
      </c>
    </row>
    <row r="94" spans="1:2" ht="30" x14ac:dyDescent="0.2">
      <c r="A94" s="67" t="s">
        <v>1097</v>
      </c>
      <c r="B94" s="49" t="s">
        <v>24</v>
      </c>
    </row>
    <row r="95" spans="1:2" ht="30" x14ac:dyDescent="0.2">
      <c r="A95" s="68" t="s">
        <v>167</v>
      </c>
      <c r="B95" s="49" t="s">
        <v>24</v>
      </c>
    </row>
    <row r="96" spans="1:2" ht="30" x14ac:dyDescent="0.2">
      <c r="A96" s="68" t="s">
        <v>62</v>
      </c>
      <c r="B96" s="49" t="s">
        <v>24</v>
      </c>
    </row>
    <row r="97" spans="1:2" ht="30" x14ac:dyDescent="0.2">
      <c r="A97" s="67" t="s">
        <v>40</v>
      </c>
      <c r="B97" s="49" t="s">
        <v>24</v>
      </c>
    </row>
    <row r="98" spans="1:2" ht="30" x14ac:dyDescent="0.2">
      <c r="A98" s="67" t="s">
        <v>76</v>
      </c>
      <c r="B98" s="49" t="s">
        <v>24</v>
      </c>
    </row>
    <row r="99" spans="1:2" ht="30" x14ac:dyDescent="0.2">
      <c r="A99" s="67" t="s">
        <v>47</v>
      </c>
      <c r="B99" s="49" t="s">
        <v>24</v>
      </c>
    </row>
    <row r="100" spans="1:2" ht="30" x14ac:dyDescent="0.2">
      <c r="A100" s="67" t="s">
        <v>29</v>
      </c>
      <c r="B100" s="49" t="s">
        <v>24</v>
      </c>
    </row>
    <row r="101" spans="1:2" ht="30" x14ac:dyDescent="0.2">
      <c r="A101" s="67" t="s">
        <v>98</v>
      </c>
      <c r="B101" s="49" t="s">
        <v>24</v>
      </c>
    </row>
    <row r="102" spans="1:2" ht="30" x14ac:dyDescent="0.2">
      <c r="A102" s="67" t="s">
        <v>50</v>
      </c>
      <c r="B102" s="49" t="s">
        <v>24</v>
      </c>
    </row>
    <row r="103" spans="1:2" ht="30" x14ac:dyDescent="0.2">
      <c r="A103" s="67" t="s">
        <v>32</v>
      </c>
      <c r="B103" s="49" t="s">
        <v>24</v>
      </c>
    </row>
    <row r="104" spans="1:2" ht="30" x14ac:dyDescent="0.2">
      <c r="A104" s="67" t="s">
        <v>161</v>
      </c>
      <c r="B104" s="49" t="s">
        <v>24</v>
      </c>
    </row>
    <row r="105" spans="1:2" ht="30" x14ac:dyDescent="0.2">
      <c r="A105" s="67" t="s">
        <v>45</v>
      </c>
      <c r="B105" s="49" t="s">
        <v>24</v>
      </c>
    </row>
    <row r="106" spans="1:2" ht="30" x14ac:dyDescent="0.2">
      <c r="A106" s="67" t="s">
        <v>27</v>
      </c>
      <c r="B106" s="49" t="s">
        <v>24</v>
      </c>
    </row>
    <row r="107" spans="1:2" ht="30" x14ac:dyDescent="0.2">
      <c r="A107" s="67" t="s">
        <v>160</v>
      </c>
      <c r="B107" s="49" t="s">
        <v>24</v>
      </c>
    </row>
    <row r="108" spans="1:2" ht="30" x14ac:dyDescent="0.2">
      <c r="A108" s="67" t="s">
        <v>44</v>
      </c>
      <c r="B108" s="49" t="s">
        <v>24</v>
      </c>
    </row>
    <row r="109" spans="1:2" ht="30" x14ac:dyDescent="0.2">
      <c r="A109" s="67" t="s">
        <v>26</v>
      </c>
      <c r="B109" s="49" t="s">
        <v>24</v>
      </c>
    </row>
    <row r="110" spans="1:2" ht="30" x14ac:dyDescent="0.2">
      <c r="A110" s="67" t="s">
        <v>166</v>
      </c>
      <c r="B110" s="49" t="s">
        <v>24</v>
      </c>
    </row>
    <row r="111" spans="1:2" ht="30" x14ac:dyDescent="0.2">
      <c r="A111" s="67" t="s">
        <v>61</v>
      </c>
      <c r="B111" s="49" t="s">
        <v>24</v>
      </c>
    </row>
    <row r="112" spans="1:2" ht="30" x14ac:dyDescent="0.2">
      <c r="A112" s="67" t="s">
        <v>39</v>
      </c>
      <c r="B112" s="49" t="s">
        <v>24</v>
      </c>
    </row>
    <row r="113" spans="1:2" ht="30" x14ac:dyDescent="0.2">
      <c r="A113" s="67" t="s">
        <v>118</v>
      </c>
      <c r="B113" s="49" t="s">
        <v>24</v>
      </c>
    </row>
    <row r="114" spans="1:2" ht="30" x14ac:dyDescent="0.2">
      <c r="A114" s="67" t="s">
        <v>57</v>
      </c>
      <c r="B114" s="49" t="s">
        <v>24</v>
      </c>
    </row>
    <row r="115" spans="1:2" ht="30" x14ac:dyDescent="0.2">
      <c r="A115" s="67" t="s">
        <v>35</v>
      </c>
      <c r="B115" s="49" t="s">
        <v>24</v>
      </c>
    </row>
    <row r="116" spans="1:2" ht="30" x14ac:dyDescent="0.2">
      <c r="A116" s="67" t="s">
        <v>165</v>
      </c>
      <c r="B116" s="49" t="s">
        <v>24</v>
      </c>
    </row>
    <row r="117" spans="1:2" ht="30" x14ac:dyDescent="0.2">
      <c r="A117" s="67" t="s">
        <v>60</v>
      </c>
      <c r="B117" s="49" t="s">
        <v>24</v>
      </c>
    </row>
    <row r="118" spans="1:2" ht="30" x14ac:dyDescent="0.2">
      <c r="A118" s="67" t="s">
        <v>38</v>
      </c>
      <c r="B118" s="49" t="s">
        <v>24</v>
      </c>
    </row>
    <row r="119" spans="1:2" ht="30" x14ac:dyDescent="0.2">
      <c r="A119" s="67" t="s">
        <v>64</v>
      </c>
      <c r="B119" s="49" t="s">
        <v>24</v>
      </c>
    </row>
    <row r="120" spans="1:2" ht="30" x14ac:dyDescent="0.2">
      <c r="A120" s="67" t="s">
        <v>42</v>
      </c>
      <c r="B120" s="49" t="s">
        <v>24</v>
      </c>
    </row>
    <row r="121" spans="1:2" ht="30" x14ac:dyDescent="0.2">
      <c r="A121" s="67" t="s">
        <v>25</v>
      </c>
      <c r="B121" s="49" t="s">
        <v>24</v>
      </c>
    </row>
    <row r="122" spans="1:2" ht="30" x14ac:dyDescent="0.2">
      <c r="A122" s="67" t="s">
        <v>162</v>
      </c>
      <c r="B122" s="49" t="s">
        <v>24</v>
      </c>
    </row>
    <row r="123" spans="1:2" ht="30" x14ac:dyDescent="0.2">
      <c r="A123" s="67" t="s">
        <v>46</v>
      </c>
      <c r="B123" s="49" t="s">
        <v>24</v>
      </c>
    </row>
    <row r="124" spans="1:2" ht="30" x14ac:dyDescent="0.2">
      <c r="A124" s="67" t="s">
        <v>28</v>
      </c>
      <c r="B124" s="49" t="s">
        <v>24</v>
      </c>
    </row>
    <row r="125" spans="1:2" ht="30" x14ac:dyDescent="0.2">
      <c r="A125" s="67" t="s">
        <v>110</v>
      </c>
      <c r="B125" s="49" t="s">
        <v>24</v>
      </c>
    </row>
    <row r="126" spans="1:2" ht="30" x14ac:dyDescent="0.2">
      <c r="A126" s="67" t="s">
        <v>53</v>
      </c>
      <c r="B126" s="49" t="s">
        <v>24</v>
      </c>
    </row>
    <row r="127" spans="1:2" ht="30" x14ac:dyDescent="0.2">
      <c r="A127" s="67" t="s">
        <v>34</v>
      </c>
      <c r="B127" s="49" t="s">
        <v>24</v>
      </c>
    </row>
    <row r="128" spans="1:2" ht="30" x14ac:dyDescent="0.2">
      <c r="A128" s="67" t="s">
        <v>164</v>
      </c>
      <c r="B128" s="49" t="s">
        <v>24</v>
      </c>
    </row>
    <row r="129" spans="1:2" ht="30" x14ac:dyDescent="0.2">
      <c r="A129" s="67" t="s">
        <v>58</v>
      </c>
      <c r="B129" s="49" t="s">
        <v>24</v>
      </c>
    </row>
    <row r="130" spans="1:2" ht="30" x14ac:dyDescent="0.2">
      <c r="A130" s="67" t="s">
        <v>36</v>
      </c>
      <c r="B130" s="49" t="s">
        <v>24</v>
      </c>
    </row>
    <row r="131" spans="1:2" ht="30" x14ac:dyDescent="0.2">
      <c r="A131" s="67" t="s">
        <v>163</v>
      </c>
      <c r="B131" s="49" t="s">
        <v>24</v>
      </c>
    </row>
    <row r="132" spans="1:2" ht="30" x14ac:dyDescent="0.2">
      <c r="A132" s="67" t="s">
        <v>59</v>
      </c>
      <c r="B132" s="49" t="s">
        <v>24</v>
      </c>
    </row>
    <row r="133" spans="1:2" ht="30" x14ac:dyDescent="0.2">
      <c r="A133" s="67" t="s">
        <v>37</v>
      </c>
      <c r="B133" s="49" t="s">
        <v>24</v>
      </c>
    </row>
    <row r="134" spans="1:2" ht="30" x14ac:dyDescent="0.2">
      <c r="A134" s="68" t="s">
        <v>1911</v>
      </c>
      <c r="B134" s="49" t="s">
        <v>24</v>
      </c>
    </row>
    <row r="135" spans="1:2" ht="30" x14ac:dyDescent="0.2">
      <c r="A135" s="68" t="s">
        <v>138</v>
      </c>
      <c r="B135" s="49" t="s">
        <v>24</v>
      </c>
    </row>
    <row r="136" spans="1:2" ht="30" x14ac:dyDescent="0.2">
      <c r="A136" s="68" t="s">
        <v>49</v>
      </c>
      <c r="B136" s="49" t="s">
        <v>24</v>
      </c>
    </row>
    <row r="137" spans="1:2" ht="30" x14ac:dyDescent="0.2">
      <c r="A137" s="67" t="s">
        <v>31</v>
      </c>
      <c r="B137" s="49" t="s">
        <v>24</v>
      </c>
    </row>
    <row r="138" spans="1:2" ht="30" x14ac:dyDescent="0.2">
      <c r="A138" s="67" t="s">
        <v>81</v>
      </c>
      <c r="B138" s="49" t="s">
        <v>24</v>
      </c>
    </row>
    <row r="139" spans="1:2" ht="30" x14ac:dyDescent="0.2">
      <c r="A139" s="67" t="s">
        <v>48</v>
      </c>
      <c r="B139" s="49" t="s">
        <v>24</v>
      </c>
    </row>
    <row r="140" spans="1:2" ht="30" x14ac:dyDescent="0.2">
      <c r="A140" s="67" t="s">
        <v>30</v>
      </c>
      <c r="B140" s="49" t="s">
        <v>24</v>
      </c>
    </row>
    <row r="141" spans="1:2" ht="30" x14ac:dyDescent="0.2">
      <c r="A141" s="67" t="s">
        <v>142</v>
      </c>
      <c r="B141" s="49" t="s">
        <v>24</v>
      </c>
    </row>
    <row r="142" spans="1:2" ht="30" x14ac:dyDescent="0.2">
      <c r="A142" s="67" t="s">
        <v>143</v>
      </c>
      <c r="B142" s="49" t="s">
        <v>24</v>
      </c>
    </row>
    <row r="143" spans="1:2" ht="30" x14ac:dyDescent="0.2">
      <c r="A143" s="67" t="s">
        <v>63</v>
      </c>
      <c r="B143" s="49" t="s">
        <v>24</v>
      </c>
    </row>
    <row r="144" spans="1:2" ht="30" x14ac:dyDescent="0.2">
      <c r="A144" s="67" t="s">
        <v>41</v>
      </c>
      <c r="B144" s="49" t="s">
        <v>24</v>
      </c>
    </row>
    <row r="145" spans="1:2" ht="30" x14ac:dyDescent="0.2">
      <c r="A145" s="67" t="s">
        <v>156</v>
      </c>
      <c r="B145" s="49" t="s">
        <v>24</v>
      </c>
    </row>
    <row r="146" spans="1:2" ht="30" x14ac:dyDescent="0.2">
      <c r="A146" s="67" t="s">
        <v>54</v>
      </c>
      <c r="B146" s="49" t="s">
        <v>24</v>
      </c>
    </row>
    <row r="147" spans="1:2" ht="30" x14ac:dyDescent="0.2">
      <c r="A147" s="67" t="s">
        <v>153</v>
      </c>
      <c r="B147" s="49" t="s">
        <v>24</v>
      </c>
    </row>
    <row r="148" spans="1:2" ht="30" x14ac:dyDescent="0.2">
      <c r="A148" s="67" t="s">
        <v>55</v>
      </c>
      <c r="B148" s="49" t="s">
        <v>24</v>
      </c>
    </row>
    <row r="149" spans="1:2" ht="28" x14ac:dyDescent="0.2">
      <c r="A149" s="72" t="s">
        <v>1103</v>
      </c>
      <c r="B149" s="71" t="s">
        <v>1117</v>
      </c>
    </row>
    <row r="150" spans="1:2" x14ac:dyDescent="0.2">
      <c r="A150" s="68" t="s">
        <v>1118</v>
      </c>
      <c r="B150" s="49" t="s">
        <v>1117</v>
      </c>
    </row>
    <row r="151" spans="1:2" x14ac:dyDescent="0.2">
      <c r="A151" s="67" t="s">
        <v>1119</v>
      </c>
      <c r="B151" s="49" t="s">
        <v>1117</v>
      </c>
    </row>
    <row r="152" spans="1:2" x14ac:dyDescent="0.2">
      <c r="A152" s="73" t="s">
        <v>1120</v>
      </c>
      <c r="B152" s="49" t="s">
        <v>1117</v>
      </c>
    </row>
    <row r="153" spans="1:2" x14ac:dyDescent="0.2">
      <c r="A153" s="68" t="s">
        <v>1121</v>
      </c>
      <c r="B153" s="49" t="s">
        <v>1117</v>
      </c>
    </row>
    <row r="154" spans="1:2" x14ac:dyDescent="0.2">
      <c r="A154" s="67" t="s">
        <v>1122</v>
      </c>
      <c r="B154" s="49" t="s">
        <v>1117</v>
      </c>
    </row>
    <row r="155" spans="1:2" x14ac:dyDescent="0.2">
      <c r="A155" s="67" t="s">
        <v>1123</v>
      </c>
      <c r="B155" s="49" t="s">
        <v>1117</v>
      </c>
    </row>
    <row r="156" spans="1:2" x14ac:dyDescent="0.2">
      <c r="A156" s="67" t="s">
        <v>1124</v>
      </c>
      <c r="B156" s="49" t="s">
        <v>1117</v>
      </c>
    </row>
    <row r="157" spans="1:2" x14ac:dyDescent="0.2">
      <c r="A157" s="67" t="s">
        <v>1912</v>
      </c>
      <c r="B157" s="49" t="s">
        <v>1117</v>
      </c>
    </row>
    <row r="158" spans="1:2" x14ac:dyDescent="0.2">
      <c r="A158" s="67" t="s">
        <v>1125</v>
      </c>
      <c r="B158" s="49" t="s">
        <v>1117</v>
      </c>
    </row>
    <row r="159" spans="1:2" x14ac:dyDescent="0.2">
      <c r="A159" s="67" t="s">
        <v>1126</v>
      </c>
      <c r="B159" s="49" t="s">
        <v>1117</v>
      </c>
    </row>
    <row r="160" spans="1:2" x14ac:dyDescent="0.2">
      <c r="A160" s="67" t="s">
        <v>1127</v>
      </c>
      <c r="B160" s="49" t="s">
        <v>1117</v>
      </c>
    </row>
    <row r="161" spans="1:2" x14ac:dyDescent="0.2">
      <c r="A161" s="68" t="s">
        <v>1128</v>
      </c>
      <c r="B161" s="49" t="s">
        <v>1117</v>
      </c>
    </row>
    <row r="162" spans="1:2" x14ac:dyDescent="0.2">
      <c r="A162" s="68" t="s">
        <v>1129</v>
      </c>
      <c r="B162" s="49" t="s">
        <v>1117</v>
      </c>
    </row>
    <row r="163" spans="1:2" x14ac:dyDescent="0.2">
      <c r="A163" s="67" t="s">
        <v>1130</v>
      </c>
      <c r="B163" s="49" t="s">
        <v>1117</v>
      </c>
    </row>
    <row r="164" spans="1:2" x14ac:dyDescent="0.2">
      <c r="A164" s="72" t="s">
        <v>1103</v>
      </c>
      <c r="B164" s="71" t="s">
        <v>16</v>
      </c>
    </row>
    <row r="165" spans="1:2" x14ac:dyDescent="0.2">
      <c r="A165" s="73" t="s">
        <v>1913</v>
      </c>
      <c r="B165" s="49" t="s">
        <v>16</v>
      </c>
    </row>
    <row r="166" spans="1:2" x14ac:dyDescent="0.2">
      <c r="A166" s="67" t="s">
        <v>104</v>
      </c>
      <c r="B166" s="49" t="s">
        <v>16</v>
      </c>
    </row>
    <row r="167" spans="1:2" x14ac:dyDescent="0.2">
      <c r="A167" s="75" t="s">
        <v>1131</v>
      </c>
      <c r="B167" s="74" t="s">
        <v>16</v>
      </c>
    </row>
    <row r="168" spans="1:2" x14ac:dyDescent="0.2">
      <c r="A168" s="75" t="s">
        <v>1914</v>
      </c>
      <c r="B168" s="74" t="s">
        <v>16</v>
      </c>
    </row>
    <row r="169" spans="1:2" x14ac:dyDescent="0.2">
      <c r="A169" s="75" t="s">
        <v>1132</v>
      </c>
      <c r="B169" s="74" t="s">
        <v>16</v>
      </c>
    </row>
    <row r="170" spans="1:2" x14ac:dyDescent="0.2">
      <c r="A170" s="73" t="s">
        <v>120</v>
      </c>
      <c r="B170" s="49" t="s">
        <v>16</v>
      </c>
    </row>
    <row r="171" spans="1:2" x14ac:dyDescent="0.2">
      <c r="A171" s="76" t="s">
        <v>17</v>
      </c>
      <c r="B171" s="49" t="s">
        <v>16</v>
      </c>
    </row>
    <row r="172" spans="1:2" x14ac:dyDescent="0.2">
      <c r="A172" s="67" t="s">
        <v>21</v>
      </c>
      <c r="B172" s="49" t="s">
        <v>16</v>
      </c>
    </row>
    <row r="173" spans="1:2" x14ac:dyDescent="0.2">
      <c r="A173" s="67" t="s">
        <v>88</v>
      </c>
      <c r="B173" s="49" t="s">
        <v>16</v>
      </c>
    </row>
    <row r="174" spans="1:2" x14ac:dyDescent="0.2">
      <c r="A174" s="67" t="s">
        <v>115</v>
      </c>
      <c r="B174" s="49" t="s">
        <v>16</v>
      </c>
    </row>
    <row r="175" spans="1:2" x14ac:dyDescent="0.2">
      <c r="A175" s="73" t="s">
        <v>19</v>
      </c>
      <c r="B175" s="49" t="s">
        <v>16</v>
      </c>
    </row>
    <row r="176" spans="1:2" x14ac:dyDescent="0.2">
      <c r="A176" s="68" t="s">
        <v>1133</v>
      </c>
      <c r="B176" s="49" t="s">
        <v>16</v>
      </c>
    </row>
    <row r="177" spans="1:2" x14ac:dyDescent="0.2">
      <c r="A177" s="67" t="s">
        <v>89</v>
      </c>
      <c r="B177" s="49" t="s">
        <v>16</v>
      </c>
    </row>
    <row r="178" spans="1:2" x14ac:dyDescent="0.2">
      <c r="A178" s="68" t="s">
        <v>121</v>
      </c>
      <c r="B178" s="49" t="s">
        <v>16</v>
      </c>
    </row>
    <row r="179" spans="1:2" x14ac:dyDescent="0.2">
      <c r="A179" s="77" t="s">
        <v>77</v>
      </c>
      <c r="B179" s="49" t="s">
        <v>16</v>
      </c>
    </row>
    <row r="180" spans="1:2" x14ac:dyDescent="0.2">
      <c r="A180" s="78" t="s">
        <v>84</v>
      </c>
      <c r="B180" s="49" t="s">
        <v>16</v>
      </c>
    </row>
    <row r="181" spans="1:2" ht="28" x14ac:dyDescent="0.2">
      <c r="A181" s="77" t="s">
        <v>126</v>
      </c>
      <c r="B181" s="49" t="s">
        <v>16</v>
      </c>
    </row>
    <row r="182" spans="1:2" x14ac:dyDescent="0.2">
      <c r="A182" s="68" t="s">
        <v>124</v>
      </c>
      <c r="B182" s="49" t="s">
        <v>16</v>
      </c>
    </row>
    <row r="183" spans="1:2" x14ac:dyDescent="0.2">
      <c r="A183" s="77" t="s">
        <v>65</v>
      </c>
      <c r="B183" s="49" t="s">
        <v>16</v>
      </c>
    </row>
    <row r="184" spans="1:2" ht="28" x14ac:dyDescent="0.2">
      <c r="A184" s="71" t="s">
        <v>1103</v>
      </c>
      <c r="B184" s="71" t="s">
        <v>11</v>
      </c>
    </row>
    <row r="185" spans="1:2" x14ac:dyDescent="0.2">
      <c r="A185" s="80" t="s">
        <v>75</v>
      </c>
      <c r="B185" s="79" t="s">
        <v>11</v>
      </c>
    </row>
    <row r="186" spans="1:2" x14ac:dyDescent="0.2">
      <c r="A186" s="80" t="s">
        <v>1915</v>
      </c>
      <c r="B186" s="79" t="s">
        <v>11</v>
      </c>
    </row>
    <row r="187" spans="1:2" x14ac:dyDescent="0.2">
      <c r="A187" s="80" t="s">
        <v>105</v>
      </c>
      <c r="B187" s="79" t="s">
        <v>11</v>
      </c>
    </row>
    <row r="188" spans="1:2" x14ac:dyDescent="0.2">
      <c r="A188" s="80" t="s">
        <v>103</v>
      </c>
      <c r="B188" s="79" t="s">
        <v>11</v>
      </c>
    </row>
    <row r="189" spans="1:2" x14ac:dyDescent="0.2">
      <c r="A189" s="80" t="s">
        <v>102</v>
      </c>
      <c r="B189" s="79" t="s">
        <v>11</v>
      </c>
    </row>
    <row r="190" spans="1:2" x14ac:dyDescent="0.2">
      <c r="A190" s="68" t="s">
        <v>83</v>
      </c>
      <c r="B190" s="49" t="s">
        <v>11</v>
      </c>
    </row>
    <row r="191" spans="1:2" x14ac:dyDescent="0.2">
      <c r="A191" s="68" t="s">
        <v>18</v>
      </c>
      <c r="B191" s="49" t="s">
        <v>11</v>
      </c>
    </row>
    <row r="192" spans="1:2" x14ac:dyDescent="0.2">
      <c r="A192" s="67" t="s">
        <v>13</v>
      </c>
      <c r="B192" s="49" t="s">
        <v>11</v>
      </c>
    </row>
    <row r="193" spans="1:2" x14ac:dyDescent="0.2">
      <c r="A193" s="67" t="s">
        <v>14</v>
      </c>
      <c r="B193" s="49" t="s">
        <v>11</v>
      </c>
    </row>
    <row r="194" spans="1:2" x14ac:dyDescent="0.2">
      <c r="A194" s="67" t="s">
        <v>95</v>
      </c>
      <c r="B194" s="49" t="s">
        <v>11</v>
      </c>
    </row>
    <row r="195" spans="1:2" x14ac:dyDescent="0.2">
      <c r="A195" s="67" t="s">
        <v>96</v>
      </c>
      <c r="B195" s="49" t="s">
        <v>11</v>
      </c>
    </row>
    <row r="196" spans="1:2" x14ac:dyDescent="0.2">
      <c r="A196" s="67" t="s">
        <v>106</v>
      </c>
      <c r="B196" s="49" t="s">
        <v>11</v>
      </c>
    </row>
    <row r="197" spans="1:2" x14ac:dyDescent="0.2">
      <c r="A197" s="67" t="s">
        <v>107</v>
      </c>
      <c r="B197" s="49" t="s">
        <v>11</v>
      </c>
    </row>
    <row r="198" spans="1:2" x14ac:dyDescent="0.2">
      <c r="A198" s="67" t="s">
        <v>20</v>
      </c>
      <c r="B198" s="49" t="s">
        <v>11</v>
      </c>
    </row>
    <row r="199" spans="1:2" x14ac:dyDescent="0.2">
      <c r="A199" s="77" t="s">
        <v>22</v>
      </c>
      <c r="B199" s="49" t="s">
        <v>11</v>
      </c>
    </row>
    <row r="200" spans="1:2" x14ac:dyDescent="0.2">
      <c r="A200" s="67" t="s">
        <v>69</v>
      </c>
      <c r="B200" s="49" t="s">
        <v>11</v>
      </c>
    </row>
    <row r="201" spans="1:2" x14ac:dyDescent="0.2">
      <c r="A201" s="77" t="s">
        <v>71</v>
      </c>
      <c r="B201" s="49" t="s">
        <v>11</v>
      </c>
    </row>
    <row r="202" spans="1:2" x14ac:dyDescent="0.2">
      <c r="A202" s="77" t="s">
        <v>72</v>
      </c>
      <c r="B202" s="49" t="s">
        <v>11</v>
      </c>
    </row>
    <row r="203" spans="1:2" x14ac:dyDescent="0.2">
      <c r="A203" s="77" t="s">
        <v>23</v>
      </c>
      <c r="B203" s="49" t="s">
        <v>11</v>
      </c>
    </row>
    <row r="204" spans="1:2" x14ac:dyDescent="0.2">
      <c r="A204" s="77" t="s">
        <v>70</v>
      </c>
      <c r="B204" s="49" t="s">
        <v>11</v>
      </c>
    </row>
    <row r="205" spans="1:2" x14ac:dyDescent="0.2">
      <c r="A205" s="77" t="s">
        <v>74</v>
      </c>
      <c r="B205" s="49" t="s">
        <v>11</v>
      </c>
    </row>
    <row r="206" spans="1:2" x14ac:dyDescent="0.2">
      <c r="A206" s="77" t="s">
        <v>56</v>
      </c>
      <c r="B206" s="49" t="s">
        <v>11</v>
      </c>
    </row>
    <row r="207" spans="1:2" x14ac:dyDescent="0.2">
      <c r="A207" s="77" t="s">
        <v>1916</v>
      </c>
      <c r="B207" s="49" t="s">
        <v>11</v>
      </c>
    </row>
    <row r="208" spans="1:2" x14ac:dyDescent="0.2">
      <c r="A208" s="77" t="s">
        <v>1917</v>
      </c>
      <c r="B208" s="49" t="s">
        <v>11</v>
      </c>
    </row>
    <row r="209" spans="1:2" x14ac:dyDescent="0.2">
      <c r="A209" s="67" t="s">
        <v>12</v>
      </c>
      <c r="B209" s="49" t="s">
        <v>11</v>
      </c>
    </row>
    <row r="210" spans="1:2" x14ac:dyDescent="0.2">
      <c r="A210" s="67" t="s">
        <v>94</v>
      </c>
      <c r="B210" s="49" t="s">
        <v>11</v>
      </c>
    </row>
    <row r="211" spans="1:2" x14ac:dyDescent="0.2">
      <c r="A211" s="67" t="s">
        <v>93</v>
      </c>
      <c r="B211" s="49" t="s">
        <v>11</v>
      </c>
    </row>
    <row r="212" spans="1:2" x14ac:dyDescent="0.2">
      <c r="A212" s="77" t="s">
        <v>15</v>
      </c>
      <c r="B212" s="74" t="s">
        <v>11</v>
      </c>
    </row>
    <row r="213" spans="1:2" x14ac:dyDescent="0.2">
      <c r="A213" s="67" t="s">
        <v>100</v>
      </c>
      <c r="B213" s="49" t="s">
        <v>11</v>
      </c>
    </row>
    <row r="214" spans="1:2" ht="30" x14ac:dyDescent="0.2">
      <c r="A214" s="70" t="s">
        <v>1103</v>
      </c>
      <c r="B214" s="70" t="s">
        <v>1134</v>
      </c>
    </row>
    <row r="215" spans="1:2" ht="28" x14ac:dyDescent="0.2">
      <c r="A215" s="75" t="s">
        <v>91</v>
      </c>
      <c r="B215" s="74" t="s">
        <v>1134</v>
      </c>
    </row>
    <row r="216" spans="1:2" ht="28" x14ac:dyDescent="0.2">
      <c r="A216" s="75" t="s">
        <v>92</v>
      </c>
      <c r="B216" s="74" t="s">
        <v>1134</v>
      </c>
    </row>
    <row r="217" spans="1:2" ht="28" x14ac:dyDescent="0.2">
      <c r="A217" s="78" t="s">
        <v>97</v>
      </c>
      <c r="B217" s="74" t="s">
        <v>1134</v>
      </c>
    </row>
    <row r="218" spans="1:2" ht="28" x14ac:dyDescent="0.2">
      <c r="A218" s="78" t="s">
        <v>99</v>
      </c>
      <c r="B218" s="74" t="s">
        <v>1134</v>
      </c>
    </row>
    <row r="219" spans="1:2" ht="28" x14ac:dyDescent="0.2">
      <c r="A219" s="81" t="s">
        <v>1135</v>
      </c>
      <c r="B219" s="74" t="s">
        <v>1134</v>
      </c>
    </row>
    <row r="220" spans="1:2" ht="28" x14ac:dyDescent="0.2">
      <c r="A220" s="81" t="s">
        <v>1136</v>
      </c>
      <c r="B220" s="74" t="s">
        <v>1134</v>
      </c>
    </row>
    <row r="221" spans="1:2" ht="28" x14ac:dyDescent="0.2">
      <c r="A221" s="77" t="s">
        <v>85</v>
      </c>
      <c r="B221" s="74" t="s">
        <v>1134</v>
      </c>
    </row>
    <row r="222" spans="1:2" x14ac:dyDescent="0.2">
      <c r="A222" s="70"/>
      <c r="B222" s="70" t="s">
        <v>1137</v>
      </c>
    </row>
    <row r="223" spans="1:2" x14ac:dyDescent="0.2">
      <c r="A223" s="65" t="s">
        <v>1138</v>
      </c>
      <c r="B223" s="49" t="s">
        <v>1137</v>
      </c>
    </row>
    <row r="224" spans="1:2" x14ac:dyDescent="0.2">
      <c r="A224" s="65" t="s">
        <v>1139</v>
      </c>
      <c r="B224" s="49" t="s">
        <v>1137</v>
      </c>
    </row>
    <row r="225" spans="1:2" x14ac:dyDescent="0.2">
      <c r="A225" s="65" t="s">
        <v>1140</v>
      </c>
      <c r="B225" s="49" t="s">
        <v>1137</v>
      </c>
    </row>
    <row r="226" spans="1:2" x14ac:dyDescent="0.2">
      <c r="A226" s="65" t="s">
        <v>1141</v>
      </c>
      <c r="B226" s="49" t="s">
        <v>1137</v>
      </c>
    </row>
    <row r="227" spans="1:2" x14ac:dyDescent="0.2">
      <c r="A227" s="65" t="s">
        <v>1142</v>
      </c>
      <c r="B227" s="49" t="s">
        <v>1137</v>
      </c>
    </row>
    <row r="228" spans="1:2" x14ac:dyDescent="0.2">
      <c r="A228" s="70"/>
      <c r="B228" s="70" t="s">
        <v>1143</v>
      </c>
    </row>
    <row r="229" spans="1:2" x14ac:dyDescent="0.2">
      <c r="A229" s="81" t="s">
        <v>1144</v>
      </c>
      <c r="B229" s="58" t="s">
        <v>1143</v>
      </c>
    </row>
    <row r="230" spans="1:2" x14ac:dyDescent="0.2">
      <c r="A230" s="81" t="s">
        <v>1145</v>
      </c>
      <c r="B230" s="58" t="s">
        <v>1143</v>
      </c>
    </row>
    <row r="231" spans="1:2" x14ac:dyDescent="0.2">
      <c r="A231" s="81" t="s">
        <v>1146</v>
      </c>
      <c r="B231" s="58" t="s">
        <v>1143</v>
      </c>
    </row>
    <row r="232" spans="1:2" x14ac:dyDescent="0.2">
      <c r="A232" s="81" t="s">
        <v>1147</v>
      </c>
      <c r="B232" s="58" t="s">
        <v>1143</v>
      </c>
    </row>
    <row r="233" spans="1:2" x14ac:dyDescent="0.2">
      <c r="A233" s="70" t="s">
        <v>1103</v>
      </c>
      <c r="B233" s="70" t="s">
        <v>134</v>
      </c>
    </row>
    <row r="234" spans="1:2" x14ac:dyDescent="0.2">
      <c r="A234" s="67" t="s">
        <v>113</v>
      </c>
      <c r="B234" s="49" t="s">
        <v>134</v>
      </c>
    </row>
    <row r="235" spans="1:2" x14ac:dyDescent="0.2">
      <c r="A235" s="67" t="s">
        <v>139</v>
      </c>
      <c r="B235" s="49" t="s">
        <v>134</v>
      </c>
    </row>
    <row r="236" spans="1:2" x14ac:dyDescent="0.2">
      <c r="A236" s="67" t="s">
        <v>1148</v>
      </c>
      <c r="B236" s="49" t="s">
        <v>134</v>
      </c>
    </row>
    <row r="237" spans="1:2" x14ac:dyDescent="0.2">
      <c r="A237" s="67" t="s">
        <v>137</v>
      </c>
      <c r="B237" s="49" t="s">
        <v>134</v>
      </c>
    </row>
    <row r="238" spans="1:2" x14ac:dyDescent="0.2">
      <c r="A238" s="67" t="s">
        <v>136</v>
      </c>
      <c r="B238" s="49" t="s">
        <v>134</v>
      </c>
    </row>
    <row r="239" spans="1:2" x14ac:dyDescent="0.2">
      <c r="A239" s="67" t="s">
        <v>135</v>
      </c>
      <c r="B239" s="49" t="s">
        <v>134</v>
      </c>
    </row>
    <row r="240" spans="1:2" x14ac:dyDescent="0.2">
      <c r="A240" s="70" t="s">
        <v>1103</v>
      </c>
      <c r="B240" s="70" t="s">
        <v>130</v>
      </c>
    </row>
    <row r="241" spans="1:2" x14ac:dyDescent="0.2">
      <c r="A241" s="68" t="s">
        <v>131</v>
      </c>
      <c r="B241" s="49" t="s">
        <v>130</v>
      </c>
    </row>
    <row r="242" spans="1:2" x14ac:dyDescent="0.2">
      <c r="A242" s="58"/>
      <c r="B242" s="58"/>
    </row>
    <row r="243" spans="1:2" x14ac:dyDescent="0.2">
      <c r="A243" s="58"/>
      <c r="B243" s="58"/>
    </row>
    <row r="244" spans="1:2" x14ac:dyDescent="0.2">
      <c r="A244" s="58"/>
      <c r="B244" s="58"/>
    </row>
    <row r="245" spans="1:2" x14ac:dyDescent="0.2">
      <c r="A245" s="58"/>
      <c r="B245" s="58"/>
    </row>
    <row r="246" spans="1:2" x14ac:dyDescent="0.2">
      <c r="A246" s="58"/>
      <c r="B246" s="58"/>
    </row>
    <row r="247" spans="1:2" x14ac:dyDescent="0.2">
      <c r="A247" s="58"/>
      <c r="B247" s="58"/>
    </row>
    <row r="248" spans="1:2" x14ac:dyDescent="0.2">
      <c r="A248" s="58"/>
      <c r="B248" s="64"/>
    </row>
    <row r="249" spans="1:2" x14ac:dyDescent="0.2">
      <c r="A249" s="58"/>
      <c r="B249" s="58"/>
    </row>
    <row r="250" spans="1:2" x14ac:dyDescent="0.2">
      <c r="A250" s="58"/>
      <c r="B250" s="58"/>
    </row>
    <row r="251" spans="1:2" x14ac:dyDescent="0.2">
      <c r="A251" s="58"/>
      <c r="B251" s="58"/>
    </row>
    <row r="252" spans="1:2" x14ac:dyDescent="0.2">
      <c r="A252" s="58"/>
      <c r="B252" s="58"/>
    </row>
    <row r="253" spans="1:2" x14ac:dyDescent="0.2">
      <c r="A253" s="58"/>
      <c r="B253" s="58"/>
    </row>
    <row r="254" spans="1:2" x14ac:dyDescent="0.2">
      <c r="A254" s="58"/>
      <c r="B254" s="58"/>
    </row>
    <row r="255" spans="1:2" x14ac:dyDescent="0.2">
      <c r="A255" s="58"/>
      <c r="B255" s="58"/>
    </row>
    <row r="256" spans="1:2" x14ac:dyDescent="0.2">
      <c r="A256" s="58"/>
      <c r="B256" s="58"/>
    </row>
    <row r="257" spans="1:2" x14ac:dyDescent="0.2">
      <c r="A257" s="58"/>
      <c r="B257" s="58"/>
    </row>
    <row r="258" spans="1:2" x14ac:dyDescent="0.2">
      <c r="A258" s="58"/>
      <c r="B258" s="58"/>
    </row>
    <row r="259" spans="1:2" x14ac:dyDescent="0.2">
      <c r="A259" s="49"/>
      <c r="B259" s="58"/>
    </row>
    <row r="260" spans="1:2" x14ac:dyDescent="0.2">
      <c r="A260" s="49"/>
      <c r="B260" s="58"/>
    </row>
    <row r="261" spans="1:2" x14ac:dyDescent="0.2">
      <c r="A261" s="49"/>
      <c r="B261" s="58"/>
    </row>
    <row r="262" spans="1:2" x14ac:dyDescent="0.2">
      <c r="A262" s="49"/>
      <c r="B262" s="58"/>
    </row>
    <row r="263" spans="1:2" x14ac:dyDescent="0.2">
      <c r="A263" s="49"/>
      <c r="B263" s="58"/>
    </row>
    <row r="264" spans="1:2" x14ac:dyDescent="0.2">
      <c r="A264" s="49"/>
      <c r="B264" s="58"/>
    </row>
    <row r="265" spans="1:2" x14ac:dyDescent="0.2">
      <c r="A265" s="49"/>
      <c r="B265" s="58"/>
    </row>
    <row r="266" spans="1:2" x14ac:dyDescent="0.2">
      <c r="A266" s="79"/>
      <c r="B266" s="58"/>
    </row>
    <row r="267" spans="1:2" x14ac:dyDescent="0.2">
      <c r="A267" s="49"/>
      <c r="B267" s="58"/>
    </row>
    <row r="268" spans="1:2" x14ac:dyDescent="0.2">
      <c r="A268" s="49"/>
      <c r="B268" s="58"/>
    </row>
    <row r="269" spans="1:2" x14ac:dyDescent="0.2">
      <c r="A269" s="49"/>
      <c r="B269" s="58"/>
    </row>
    <row r="270" spans="1:2" x14ac:dyDescent="0.2">
      <c r="A270" s="49"/>
      <c r="B270" s="58"/>
    </row>
    <row r="271" spans="1:2" x14ac:dyDescent="0.2">
      <c r="A271" s="49"/>
      <c r="B271" s="58"/>
    </row>
    <row r="272" spans="1:2" x14ac:dyDescent="0.2">
      <c r="A272" s="49"/>
      <c r="B272" s="58"/>
    </row>
    <row r="273" spans="1:2" x14ac:dyDescent="0.2">
      <c r="A273" s="49"/>
      <c r="B273" s="58"/>
    </row>
    <row r="274" spans="1:2" x14ac:dyDescent="0.2">
      <c r="A274" s="49"/>
      <c r="B274" s="58"/>
    </row>
    <row r="275" spans="1:2" x14ac:dyDescent="0.2">
      <c r="A275" s="49"/>
      <c r="B275" s="58"/>
    </row>
    <row r="276" spans="1:2" x14ac:dyDescent="0.2">
      <c r="A276" s="49"/>
      <c r="B276" s="58"/>
    </row>
    <row r="277" spans="1:2" x14ac:dyDescent="0.2">
      <c r="A277" s="82"/>
      <c r="B277" s="58"/>
    </row>
    <row r="278" spans="1:2" x14ac:dyDescent="0.2">
      <c r="A278" s="49"/>
      <c r="B278" s="58"/>
    </row>
    <row r="279" spans="1:2" x14ac:dyDescent="0.2">
      <c r="A279" s="49"/>
      <c r="B279" s="58"/>
    </row>
    <row r="280" spans="1:2" x14ac:dyDescent="0.2">
      <c r="A280" s="49"/>
      <c r="B280" s="58"/>
    </row>
    <row r="281" spans="1:2" x14ac:dyDescent="0.2">
      <c r="A281" s="49"/>
      <c r="B281" s="58"/>
    </row>
    <row r="282" spans="1:2" x14ac:dyDescent="0.2">
      <c r="A282" s="49"/>
      <c r="B282" s="58"/>
    </row>
    <row r="283" spans="1:2" x14ac:dyDescent="0.2">
      <c r="A283" s="49"/>
      <c r="B283" s="58"/>
    </row>
    <row r="284" spans="1:2" x14ac:dyDescent="0.2">
      <c r="A284" s="49"/>
      <c r="B284" s="58"/>
    </row>
    <row r="285" spans="1:2" x14ac:dyDescent="0.2">
      <c r="A285" s="49"/>
      <c r="B285" s="58"/>
    </row>
    <row r="286" spans="1:2" x14ac:dyDescent="0.2">
      <c r="A286" s="49"/>
      <c r="B286" s="58"/>
    </row>
    <row r="287" spans="1:2" x14ac:dyDescent="0.2">
      <c r="A287" s="49"/>
      <c r="B287" s="58"/>
    </row>
    <row r="288" spans="1:2" x14ac:dyDescent="0.2">
      <c r="A288" s="49"/>
      <c r="B288" s="58"/>
    </row>
    <row r="289" spans="1:2" x14ac:dyDescent="0.2">
      <c r="A289" s="49"/>
      <c r="B289" s="58"/>
    </row>
    <row r="290" spans="1:2" x14ac:dyDescent="0.2">
      <c r="A290" s="49"/>
      <c r="B290" s="58"/>
    </row>
    <row r="291" spans="1:2" x14ac:dyDescent="0.2">
      <c r="A291" s="49"/>
      <c r="B291" s="58"/>
    </row>
    <row r="292" spans="1:2" x14ac:dyDescent="0.2">
      <c r="A292" s="49"/>
      <c r="B292" s="58"/>
    </row>
    <row r="293" spans="1:2" x14ac:dyDescent="0.2">
      <c r="A293" s="49"/>
      <c r="B293" s="58"/>
    </row>
    <row r="294" spans="1:2" x14ac:dyDescent="0.2">
      <c r="A294" s="49"/>
      <c r="B294" s="58"/>
    </row>
    <row r="295" spans="1:2" x14ac:dyDescent="0.2">
      <c r="A295" s="49"/>
      <c r="B295" s="58"/>
    </row>
    <row r="296" spans="1:2" x14ac:dyDescent="0.2">
      <c r="A296" s="49"/>
      <c r="B296" s="58"/>
    </row>
    <row r="297" spans="1:2" x14ac:dyDescent="0.2">
      <c r="A297" s="49"/>
      <c r="B297" s="58"/>
    </row>
    <row r="298" spans="1:2" x14ac:dyDescent="0.2">
      <c r="A298" s="49"/>
      <c r="B298" s="58"/>
    </row>
    <row r="299" spans="1:2" x14ac:dyDescent="0.2">
      <c r="A299" s="49"/>
      <c r="B299" s="58"/>
    </row>
    <row r="300" spans="1:2" x14ac:dyDescent="0.2">
      <c r="A300" s="49"/>
      <c r="B300" s="58"/>
    </row>
    <row r="301" spans="1:2" x14ac:dyDescent="0.2">
      <c r="A301" s="49"/>
      <c r="B301" s="58"/>
    </row>
    <row r="302" spans="1:2" x14ac:dyDescent="0.2">
      <c r="A302" s="49"/>
      <c r="B302" s="58"/>
    </row>
    <row r="303" spans="1:2" x14ac:dyDescent="0.2">
      <c r="A303" s="49"/>
      <c r="B303" s="58"/>
    </row>
    <row r="304" spans="1:2" x14ac:dyDescent="0.2">
      <c r="A304" s="49"/>
      <c r="B304" s="58"/>
    </row>
    <row r="305" spans="1:2" x14ac:dyDescent="0.2">
      <c r="A305" s="49"/>
      <c r="B305" s="58"/>
    </row>
    <row r="306" spans="1:2" x14ac:dyDescent="0.2">
      <c r="A306" s="49"/>
      <c r="B306" s="58"/>
    </row>
    <row r="307" spans="1:2" x14ac:dyDescent="0.2">
      <c r="A307" s="49"/>
      <c r="B307" s="58"/>
    </row>
    <row r="308" spans="1:2" x14ac:dyDescent="0.2">
      <c r="A308" s="49"/>
      <c r="B308" s="58"/>
    </row>
    <row r="309" spans="1:2" x14ac:dyDescent="0.2">
      <c r="A309" s="49"/>
      <c r="B309" s="58"/>
    </row>
    <row r="310" spans="1:2" x14ac:dyDescent="0.2">
      <c r="A310" s="49"/>
      <c r="B310" s="58"/>
    </row>
    <row r="311" spans="1:2" x14ac:dyDescent="0.2">
      <c r="A311" s="49"/>
      <c r="B311" s="58"/>
    </row>
    <row r="312" spans="1:2" x14ac:dyDescent="0.2">
      <c r="A312" s="49"/>
      <c r="B312" s="58"/>
    </row>
    <row r="313" spans="1:2" x14ac:dyDescent="0.2">
      <c r="A313" s="49"/>
      <c r="B313" s="58"/>
    </row>
    <row r="314" spans="1:2" x14ac:dyDescent="0.2">
      <c r="A314" s="49"/>
      <c r="B314" s="58"/>
    </row>
    <row r="315" spans="1:2" x14ac:dyDescent="0.2">
      <c r="A315" s="49"/>
      <c r="B315" s="58"/>
    </row>
    <row r="316" spans="1:2" x14ac:dyDescent="0.2">
      <c r="A316" s="49"/>
      <c r="B316" s="58"/>
    </row>
    <row r="317" spans="1:2" x14ac:dyDescent="0.2">
      <c r="A317" s="49"/>
      <c r="B317" s="58"/>
    </row>
    <row r="318" spans="1:2" x14ac:dyDescent="0.2">
      <c r="A318" s="49"/>
      <c r="B318" s="58"/>
    </row>
    <row r="319" spans="1:2" x14ac:dyDescent="0.2">
      <c r="A319" s="49"/>
      <c r="B319" s="58"/>
    </row>
    <row r="320" spans="1:2" x14ac:dyDescent="0.2">
      <c r="A320" s="49"/>
      <c r="B320" s="58"/>
    </row>
    <row r="321" spans="1:2" x14ac:dyDescent="0.2">
      <c r="A321" s="49"/>
      <c r="B321" s="58"/>
    </row>
    <row r="322" spans="1:2" x14ac:dyDescent="0.2">
      <c r="A322" s="49"/>
      <c r="B322" s="58"/>
    </row>
    <row r="323" spans="1:2" x14ac:dyDescent="0.2">
      <c r="A323" s="49"/>
      <c r="B323" s="58"/>
    </row>
    <row r="324" spans="1:2" x14ac:dyDescent="0.2">
      <c r="A324" s="49"/>
      <c r="B324" s="58"/>
    </row>
    <row r="325" spans="1:2" x14ac:dyDescent="0.2">
      <c r="A325" s="49"/>
      <c r="B325" s="58"/>
    </row>
    <row r="326" spans="1:2" x14ac:dyDescent="0.2">
      <c r="A326" s="49"/>
      <c r="B326" s="58"/>
    </row>
    <row r="327" spans="1:2" x14ac:dyDescent="0.2">
      <c r="A327" s="49"/>
      <c r="B327" s="58"/>
    </row>
    <row r="328" spans="1:2" x14ac:dyDescent="0.2">
      <c r="A328" s="49"/>
      <c r="B328" s="58"/>
    </row>
    <row r="329" spans="1:2" x14ac:dyDescent="0.2">
      <c r="A329" s="49"/>
      <c r="B329" s="58"/>
    </row>
    <row r="330" spans="1:2" x14ac:dyDescent="0.2">
      <c r="A330" s="49"/>
      <c r="B330" s="58"/>
    </row>
    <row r="331" spans="1:2" x14ac:dyDescent="0.2">
      <c r="A331" s="49"/>
      <c r="B331" s="58"/>
    </row>
    <row r="332" spans="1:2" x14ac:dyDescent="0.2">
      <c r="A332" s="49"/>
      <c r="B332" s="58"/>
    </row>
    <row r="333" spans="1:2" x14ac:dyDescent="0.2">
      <c r="A333" s="49"/>
      <c r="B333" s="58"/>
    </row>
    <row r="334" spans="1:2" x14ac:dyDescent="0.2">
      <c r="A334" s="49"/>
      <c r="B334" s="58"/>
    </row>
    <row r="335" spans="1:2" x14ac:dyDescent="0.2">
      <c r="A335" s="49"/>
      <c r="B335" s="58"/>
    </row>
    <row r="336" spans="1:2" x14ac:dyDescent="0.2">
      <c r="A336" s="49"/>
      <c r="B336" s="58"/>
    </row>
    <row r="337" spans="1:2" x14ac:dyDescent="0.2">
      <c r="A337" s="49"/>
      <c r="B337" s="58"/>
    </row>
    <row r="338" spans="1:2" x14ac:dyDescent="0.2">
      <c r="A338" s="49"/>
      <c r="B338" s="58"/>
    </row>
    <row r="339" spans="1:2" x14ac:dyDescent="0.2">
      <c r="A339" s="49"/>
      <c r="B339" s="58"/>
    </row>
    <row r="340" spans="1:2" x14ac:dyDescent="0.2">
      <c r="A340" s="49"/>
      <c r="B340" s="58"/>
    </row>
    <row r="341" spans="1:2" x14ac:dyDescent="0.2">
      <c r="A341" s="49"/>
      <c r="B341" s="58"/>
    </row>
    <row r="342" spans="1:2" x14ac:dyDescent="0.2">
      <c r="A342" s="49"/>
      <c r="B342" s="58"/>
    </row>
    <row r="343" spans="1:2" x14ac:dyDescent="0.2">
      <c r="A343" s="49"/>
      <c r="B343" s="58"/>
    </row>
    <row r="344" spans="1:2" x14ac:dyDescent="0.2">
      <c r="A344" s="49"/>
      <c r="B344" s="58"/>
    </row>
    <row r="345" spans="1:2" x14ac:dyDescent="0.2">
      <c r="A345" s="49"/>
      <c r="B345" s="58"/>
    </row>
    <row r="346" spans="1:2" x14ac:dyDescent="0.2">
      <c r="A346" s="49"/>
      <c r="B346" s="58"/>
    </row>
    <row r="347" spans="1:2" x14ac:dyDescent="0.2">
      <c r="A347" s="49"/>
      <c r="B347" s="58"/>
    </row>
    <row r="348" spans="1:2" x14ac:dyDescent="0.2">
      <c r="A348" s="49"/>
      <c r="B348" s="58"/>
    </row>
    <row r="349" spans="1:2" x14ac:dyDescent="0.2">
      <c r="A349" s="49"/>
      <c r="B349" s="58"/>
    </row>
    <row r="350" spans="1:2" x14ac:dyDescent="0.2">
      <c r="A350" s="49"/>
      <c r="B350" s="58"/>
    </row>
    <row r="351" spans="1:2" x14ac:dyDescent="0.2">
      <c r="A351" s="49"/>
      <c r="B351" s="58"/>
    </row>
    <row r="352" spans="1:2" x14ac:dyDescent="0.2">
      <c r="A352" s="49"/>
      <c r="B352" s="58"/>
    </row>
    <row r="353" spans="1:2" x14ac:dyDescent="0.2">
      <c r="A353" s="49"/>
      <c r="B353" s="58"/>
    </row>
    <row r="354" spans="1:2" x14ac:dyDescent="0.2">
      <c r="A354" s="49"/>
      <c r="B354" s="58"/>
    </row>
    <row r="355" spans="1:2" x14ac:dyDescent="0.2">
      <c r="A355" s="49"/>
      <c r="B355" s="58"/>
    </row>
    <row r="356" spans="1:2" x14ac:dyDescent="0.2">
      <c r="A356" s="49"/>
      <c r="B356" s="58"/>
    </row>
    <row r="357" spans="1:2" x14ac:dyDescent="0.2">
      <c r="A357" s="49"/>
      <c r="B357" s="58"/>
    </row>
    <row r="358" spans="1:2" x14ac:dyDescent="0.2">
      <c r="A358" s="49"/>
      <c r="B358" s="58"/>
    </row>
    <row r="359" spans="1:2" x14ac:dyDescent="0.2">
      <c r="A359" s="49"/>
      <c r="B359" s="58"/>
    </row>
    <row r="360" spans="1:2" x14ac:dyDescent="0.2">
      <c r="A360" s="49"/>
      <c r="B360" s="58"/>
    </row>
    <row r="361" spans="1:2" x14ac:dyDescent="0.2">
      <c r="A361" s="49"/>
      <c r="B361" s="58"/>
    </row>
    <row r="362" spans="1:2" x14ac:dyDescent="0.2">
      <c r="A362" s="49"/>
      <c r="B362" s="58"/>
    </row>
    <row r="363" spans="1:2" x14ac:dyDescent="0.2">
      <c r="A363" s="49"/>
      <c r="B363" s="58"/>
    </row>
    <row r="364" spans="1:2" x14ac:dyDescent="0.2">
      <c r="A364" s="49"/>
      <c r="B364" s="58"/>
    </row>
    <row r="365" spans="1:2" x14ac:dyDescent="0.2">
      <c r="A365" s="49"/>
      <c r="B365" s="58"/>
    </row>
    <row r="366" spans="1:2" x14ac:dyDescent="0.2">
      <c r="A366" s="49"/>
      <c r="B366" s="58"/>
    </row>
    <row r="367" spans="1:2" x14ac:dyDescent="0.2">
      <c r="A367" s="49"/>
      <c r="B367" s="58"/>
    </row>
    <row r="368" spans="1:2" x14ac:dyDescent="0.2">
      <c r="A368" s="49"/>
      <c r="B368" s="58"/>
    </row>
    <row r="369" spans="1:2" x14ac:dyDescent="0.2">
      <c r="A369" s="49"/>
      <c r="B369" s="58"/>
    </row>
    <row r="370" spans="1:2" x14ac:dyDescent="0.2">
      <c r="A370" s="49"/>
      <c r="B370" s="58"/>
    </row>
    <row r="371" spans="1:2" x14ac:dyDescent="0.2">
      <c r="A371" s="49"/>
      <c r="B371" s="58"/>
    </row>
    <row r="372" spans="1:2" x14ac:dyDescent="0.2">
      <c r="A372" s="49"/>
      <c r="B372" s="58"/>
    </row>
    <row r="373" spans="1:2" x14ac:dyDescent="0.2">
      <c r="A373" s="49"/>
      <c r="B373" s="58"/>
    </row>
    <row r="374" spans="1:2" x14ac:dyDescent="0.2">
      <c r="A374" s="49"/>
      <c r="B374" s="58"/>
    </row>
    <row r="375" spans="1:2" x14ac:dyDescent="0.2">
      <c r="A375" s="49"/>
      <c r="B375" s="58"/>
    </row>
    <row r="376" spans="1:2" x14ac:dyDescent="0.2">
      <c r="A376" s="49"/>
      <c r="B376" s="58"/>
    </row>
    <row r="377" spans="1:2" x14ac:dyDescent="0.2">
      <c r="A377" s="49"/>
      <c r="B377" s="58"/>
    </row>
    <row r="378" spans="1:2" x14ac:dyDescent="0.2">
      <c r="A378" s="49"/>
      <c r="B378" s="58"/>
    </row>
    <row r="379" spans="1:2" x14ac:dyDescent="0.2">
      <c r="A379" s="49"/>
      <c r="B379" s="58"/>
    </row>
    <row r="380" spans="1:2" x14ac:dyDescent="0.2">
      <c r="A380" s="49"/>
      <c r="B380" s="58"/>
    </row>
    <row r="381" spans="1:2" x14ac:dyDescent="0.2">
      <c r="A381" s="49"/>
      <c r="B381" s="58"/>
    </row>
    <row r="382" spans="1:2" x14ac:dyDescent="0.2">
      <c r="A382" s="49"/>
      <c r="B382" s="58"/>
    </row>
    <row r="383" spans="1:2" x14ac:dyDescent="0.2">
      <c r="A383" s="49"/>
      <c r="B383" s="58"/>
    </row>
    <row r="384" spans="1:2" x14ac:dyDescent="0.2">
      <c r="A384" s="49"/>
      <c r="B384" s="58"/>
    </row>
    <row r="385" spans="1:2" x14ac:dyDescent="0.2">
      <c r="A385" s="49"/>
      <c r="B385" s="58"/>
    </row>
    <row r="386" spans="1:2" x14ac:dyDescent="0.2">
      <c r="A386" s="49"/>
      <c r="B386" s="58"/>
    </row>
    <row r="387" spans="1:2" x14ac:dyDescent="0.2">
      <c r="A387" s="49"/>
      <c r="B387" s="58"/>
    </row>
    <row r="388" spans="1:2" x14ac:dyDescent="0.2">
      <c r="A388" s="49"/>
      <c r="B388" s="58"/>
    </row>
    <row r="389" spans="1:2" x14ac:dyDescent="0.2">
      <c r="A389" s="49"/>
      <c r="B389" s="58"/>
    </row>
    <row r="390" spans="1:2" x14ac:dyDescent="0.2">
      <c r="A390" s="49"/>
      <c r="B390" s="58"/>
    </row>
    <row r="391" spans="1:2" x14ac:dyDescent="0.2">
      <c r="A391" s="49"/>
      <c r="B391" s="58"/>
    </row>
    <row r="392" spans="1:2" x14ac:dyDescent="0.2">
      <c r="A392" s="49"/>
      <c r="B392" s="58"/>
    </row>
    <row r="393" spans="1:2" x14ac:dyDescent="0.2">
      <c r="A393" s="49"/>
      <c r="B393" s="58"/>
    </row>
    <row r="394" spans="1:2" x14ac:dyDescent="0.2">
      <c r="A394" s="49"/>
      <c r="B394" s="58"/>
    </row>
    <row r="395" spans="1:2" x14ac:dyDescent="0.2">
      <c r="A395" s="49"/>
      <c r="B395" s="58"/>
    </row>
    <row r="396" spans="1:2" x14ac:dyDescent="0.2">
      <c r="A396" s="49"/>
      <c r="B396" s="58"/>
    </row>
    <row r="397" spans="1:2" x14ac:dyDescent="0.2">
      <c r="A397" s="49"/>
      <c r="B397" s="58"/>
    </row>
    <row r="398" spans="1:2" x14ac:dyDescent="0.2">
      <c r="A398" s="49"/>
      <c r="B398" s="58"/>
    </row>
    <row r="399" spans="1:2" x14ac:dyDescent="0.2">
      <c r="A399" s="49"/>
      <c r="B399" s="58"/>
    </row>
    <row r="400" spans="1:2" x14ac:dyDescent="0.2">
      <c r="A400" s="49"/>
      <c r="B400" s="58"/>
    </row>
    <row r="401" spans="1:2" x14ac:dyDescent="0.2">
      <c r="A401" s="49"/>
      <c r="B401" s="58"/>
    </row>
    <row r="402" spans="1:2" x14ac:dyDescent="0.2">
      <c r="A402" s="49"/>
      <c r="B402" s="58"/>
    </row>
    <row r="403" spans="1:2" x14ac:dyDescent="0.2">
      <c r="A403" s="49"/>
      <c r="B403" s="58"/>
    </row>
    <row r="404" spans="1:2" x14ac:dyDescent="0.2">
      <c r="A404" s="49"/>
      <c r="B404" s="58"/>
    </row>
    <row r="405" spans="1:2" x14ac:dyDescent="0.2">
      <c r="A405" s="49"/>
      <c r="B405" s="58"/>
    </row>
    <row r="406" spans="1:2" x14ac:dyDescent="0.2">
      <c r="A406" s="49"/>
      <c r="B406" s="58"/>
    </row>
    <row r="407" spans="1:2" x14ac:dyDescent="0.2">
      <c r="A407" s="49"/>
      <c r="B407" s="58"/>
    </row>
    <row r="408" spans="1:2" x14ac:dyDescent="0.2">
      <c r="A408" s="49"/>
      <c r="B408" s="58"/>
    </row>
    <row r="409" spans="1:2" x14ac:dyDescent="0.2">
      <c r="A409" s="49"/>
      <c r="B409" s="58"/>
    </row>
    <row r="410" spans="1:2" x14ac:dyDescent="0.2">
      <c r="A410" s="49"/>
      <c r="B410" s="58"/>
    </row>
    <row r="411" spans="1:2" x14ac:dyDescent="0.2">
      <c r="A411" s="49"/>
      <c r="B411" s="58"/>
    </row>
    <row r="412" spans="1:2" x14ac:dyDescent="0.2">
      <c r="A412" s="49"/>
      <c r="B412" s="58"/>
    </row>
    <row r="413" spans="1:2" x14ac:dyDescent="0.2">
      <c r="A413" s="49"/>
      <c r="B413" s="58"/>
    </row>
    <row r="414" spans="1:2" x14ac:dyDescent="0.2">
      <c r="A414" s="49"/>
      <c r="B414" s="58"/>
    </row>
    <row r="415" spans="1:2" x14ac:dyDescent="0.2">
      <c r="A415" s="49"/>
      <c r="B415" s="58"/>
    </row>
    <row r="416" spans="1:2" x14ac:dyDescent="0.2">
      <c r="A416" s="49"/>
      <c r="B416" s="58"/>
    </row>
    <row r="417" spans="1:2" x14ac:dyDescent="0.2">
      <c r="A417" s="49"/>
      <c r="B417" s="58"/>
    </row>
    <row r="418" spans="1:2" x14ac:dyDescent="0.2">
      <c r="A418" s="49"/>
      <c r="B418" s="58"/>
    </row>
    <row r="419" spans="1:2" x14ac:dyDescent="0.2">
      <c r="A419" s="49"/>
      <c r="B419" s="58"/>
    </row>
    <row r="420" spans="1:2" x14ac:dyDescent="0.2">
      <c r="A420" s="49"/>
      <c r="B420" s="58"/>
    </row>
    <row r="421" spans="1:2" x14ac:dyDescent="0.2">
      <c r="A421" s="49"/>
      <c r="B421" s="58"/>
    </row>
    <row r="422" spans="1:2" x14ac:dyDescent="0.2">
      <c r="A422" s="49"/>
      <c r="B422" s="58"/>
    </row>
    <row r="423" spans="1:2" x14ac:dyDescent="0.2">
      <c r="A423" s="49"/>
      <c r="B423" s="58"/>
    </row>
    <row r="424" spans="1:2" x14ac:dyDescent="0.2">
      <c r="A424" s="49"/>
      <c r="B424" s="58"/>
    </row>
    <row r="425" spans="1:2" x14ac:dyDescent="0.2">
      <c r="A425" s="49"/>
      <c r="B425" s="58"/>
    </row>
    <row r="426" spans="1:2" x14ac:dyDescent="0.2">
      <c r="A426" s="49"/>
      <c r="B426" s="58"/>
    </row>
    <row r="427" spans="1:2" x14ac:dyDescent="0.2">
      <c r="A427" s="49"/>
      <c r="B427" s="58"/>
    </row>
    <row r="428" spans="1:2" x14ac:dyDescent="0.2">
      <c r="A428" s="49"/>
      <c r="B428" s="58"/>
    </row>
    <row r="429" spans="1:2" x14ac:dyDescent="0.2">
      <c r="A429" s="49"/>
      <c r="B429" s="58"/>
    </row>
    <row r="430" spans="1:2" x14ac:dyDescent="0.2">
      <c r="A430" s="49"/>
      <c r="B430" s="58"/>
    </row>
    <row r="431" spans="1:2" x14ac:dyDescent="0.2">
      <c r="A431" s="49"/>
      <c r="B431" s="58"/>
    </row>
    <row r="432" spans="1:2" x14ac:dyDescent="0.2">
      <c r="A432" s="49"/>
      <c r="B432" s="58"/>
    </row>
    <row r="433" spans="1:2" x14ac:dyDescent="0.2">
      <c r="A433" s="49"/>
      <c r="B433" s="58"/>
    </row>
    <row r="434" spans="1:2" x14ac:dyDescent="0.2">
      <c r="A434" s="49"/>
      <c r="B434" s="58"/>
    </row>
    <row r="435" spans="1:2" x14ac:dyDescent="0.2">
      <c r="A435" s="49"/>
      <c r="B435" s="58"/>
    </row>
    <row r="436" spans="1:2" x14ac:dyDescent="0.2">
      <c r="A436" s="49"/>
      <c r="B436" s="58"/>
    </row>
    <row r="437" spans="1:2" x14ac:dyDescent="0.2">
      <c r="A437" s="49"/>
      <c r="B437" s="58"/>
    </row>
    <row r="438" spans="1:2" x14ac:dyDescent="0.2">
      <c r="A438" s="49"/>
      <c r="B438" s="58"/>
    </row>
    <row r="439" spans="1:2" x14ac:dyDescent="0.2">
      <c r="A439" s="49"/>
      <c r="B439" s="58"/>
    </row>
    <row r="440" spans="1:2" x14ac:dyDescent="0.2">
      <c r="A440" s="49"/>
      <c r="B440" s="58"/>
    </row>
    <row r="441" spans="1:2" x14ac:dyDescent="0.2">
      <c r="A441" s="49"/>
      <c r="B441" s="58"/>
    </row>
    <row r="442" spans="1:2" x14ac:dyDescent="0.2">
      <c r="A442" s="49"/>
      <c r="B442" s="58"/>
    </row>
    <row r="443" spans="1:2" x14ac:dyDescent="0.2">
      <c r="A443" s="49"/>
      <c r="B443" s="58"/>
    </row>
    <row r="444" spans="1:2" x14ac:dyDescent="0.2">
      <c r="A444" s="49"/>
      <c r="B444" s="58"/>
    </row>
    <row r="445" spans="1:2" x14ac:dyDescent="0.2">
      <c r="A445" s="49"/>
      <c r="B445" s="58"/>
    </row>
    <row r="446" spans="1:2" x14ac:dyDescent="0.2">
      <c r="A446" s="49"/>
      <c r="B446" s="58"/>
    </row>
    <row r="447" spans="1:2" x14ac:dyDescent="0.2">
      <c r="A447" s="49"/>
      <c r="B447" s="58"/>
    </row>
    <row r="448" spans="1:2" x14ac:dyDescent="0.2">
      <c r="A448" s="49"/>
      <c r="B448" s="58"/>
    </row>
    <row r="449" spans="1:2" x14ac:dyDescent="0.2">
      <c r="A449" s="49"/>
      <c r="B449" s="58"/>
    </row>
    <row r="450" spans="1:2" x14ac:dyDescent="0.2">
      <c r="A450" s="49"/>
      <c r="B450" s="58"/>
    </row>
    <row r="451" spans="1:2" x14ac:dyDescent="0.2">
      <c r="A451" s="49"/>
      <c r="B451" s="58"/>
    </row>
    <row r="452" spans="1:2" x14ac:dyDescent="0.2">
      <c r="A452" s="49"/>
      <c r="B452" s="58"/>
    </row>
    <row r="453" spans="1:2" x14ac:dyDescent="0.2">
      <c r="A453" s="49"/>
      <c r="B453" s="58"/>
    </row>
    <row r="454" spans="1:2" x14ac:dyDescent="0.2">
      <c r="A454" s="49"/>
      <c r="B454" s="58"/>
    </row>
    <row r="455" spans="1:2" x14ac:dyDescent="0.2">
      <c r="A455" s="49"/>
      <c r="B455" s="58"/>
    </row>
    <row r="456" spans="1:2" x14ac:dyDescent="0.2">
      <c r="A456" s="49"/>
      <c r="B456" s="58"/>
    </row>
    <row r="457" spans="1:2" x14ac:dyDescent="0.2">
      <c r="A457" s="49"/>
      <c r="B457" s="58"/>
    </row>
    <row r="458" spans="1:2" x14ac:dyDescent="0.2">
      <c r="A458" s="49"/>
      <c r="B458" s="58"/>
    </row>
    <row r="459" spans="1:2" x14ac:dyDescent="0.2">
      <c r="A459" s="49"/>
      <c r="B459" s="58"/>
    </row>
    <row r="460" spans="1:2" x14ac:dyDescent="0.2">
      <c r="A460" s="49"/>
      <c r="B460" s="58"/>
    </row>
    <row r="461" spans="1:2" x14ac:dyDescent="0.2">
      <c r="A461" s="49"/>
      <c r="B461" s="58"/>
    </row>
    <row r="462" spans="1:2" x14ac:dyDescent="0.2">
      <c r="A462" s="49"/>
      <c r="B462" s="58"/>
    </row>
    <row r="463" spans="1:2" x14ac:dyDescent="0.2">
      <c r="A463" s="49"/>
      <c r="B463" s="58"/>
    </row>
    <row r="464" spans="1:2" x14ac:dyDescent="0.2">
      <c r="A464" s="49"/>
      <c r="B464" s="58"/>
    </row>
    <row r="465" spans="1:2" x14ac:dyDescent="0.2">
      <c r="A465" s="49"/>
      <c r="B465" s="58"/>
    </row>
    <row r="466" spans="1:2" x14ac:dyDescent="0.2">
      <c r="A466" s="49"/>
      <c r="B466" s="58"/>
    </row>
    <row r="467" spans="1:2" x14ac:dyDescent="0.2">
      <c r="A467" s="49"/>
      <c r="B467" s="58"/>
    </row>
    <row r="468" spans="1:2" x14ac:dyDescent="0.2">
      <c r="A468" s="49"/>
      <c r="B468" s="58"/>
    </row>
    <row r="469" spans="1:2" x14ac:dyDescent="0.2">
      <c r="A469" s="49"/>
      <c r="B469" s="58"/>
    </row>
    <row r="470" spans="1:2" x14ac:dyDescent="0.2">
      <c r="A470" s="49"/>
      <c r="B470" s="58"/>
    </row>
    <row r="471" spans="1:2" x14ac:dyDescent="0.2">
      <c r="A471" s="49"/>
      <c r="B471" s="58"/>
    </row>
    <row r="472" spans="1:2" x14ac:dyDescent="0.2">
      <c r="A472" s="49"/>
      <c r="B472" s="58"/>
    </row>
    <row r="473" spans="1:2" x14ac:dyDescent="0.2">
      <c r="A473" s="49"/>
      <c r="B473" s="58"/>
    </row>
    <row r="474" spans="1:2" x14ac:dyDescent="0.2">
      <c r="A474" s="49"/>
      <c r="B474" s="58"/>
    </row>
    <row r="475" spans="1:2" x14ac:dyDescent="0.2">
      <c r="A475" s="49"/>
      <c r="B475" s="58"/>
    </row>
    <row r="476" spans="1:2" x14ac:dyDescent="0.2">
      <c r="A476" s="49"/>
      <c r="B476" s="58"/>
    </row>
    <row r="477" spans="1:2" x14ac:dyDescent="0.2">
      <c r="A477" s="49"/>
      <c r="B477" s="58"/>
    </row>
    <row r="478" spans="1:2" x14ac:dyDescent="0.2">
      <c r="A478" s="49"/>
      <c r="B478" s="58"/>
    </row>
    <row r="479" spans="1:2" x14ac:dyDescent="0.2">
      <c r="A479" s="49"/>
      <c r="B479" s="58"/>
    </row>
    <row r="480" spans="1:2" x14ac:dyDescent="0.2">
      <c r="A480" s="49"/>
      <c r="B480" s="58"/>
    </row>
    <row r="481" spans="1:2" x14ac:dyDescent="0.2">
      <c r="A481" s="49"/>
      <c r="B481" s="58"/>
    </row>
    <row r="482" spans="1:2" x14ac:dyDescent="0.2">
      <c r="A482" s="49"/>
      <c r="B482" s="58"/>
    </row>
    <row r="483" spans="1:2" x14ac:dyDescent="0.2">
      <c r="A483" s="49"/>
      <c r="B483" s="58"/>
    </row>
    <row r="484" spans="1:2" x14ac:dyDescent="0.2">
      <c r="A484" s="49"/>
      <c r="B484" s="58"/>
    </row>
    <row r="485" spans="1:2" x14ac:dyDescent="0.2">
      <c r="A485" s="49"/>
      <c r="B485" s="58"/>
    </row>
    <row r="486" spans="1:2" x14ac:dyDescent="0.2">
      <c r="A486" s="49"/>
      <c r="B486" s="58"/>
    </row>
    <row r="487" spans="1:2" x14ac:dyDescent="0.2">
      <c r="A487" s="49"/>
      <c r="B487" s="58"/>
    </row>
    <row r="488" spans="1:2" x14ac:dyDescent="0.2">
      <c r="A488" s="49"/>
      <c r="B488" s="58"/>
    </row>
    <row r="489" spans="1:2" x14ac:dyDescent="0.2">
      <c r="A489" s="49"/>
      <c r="B489" s="58"/>
    </row>
    <row r="490" spans="1:2" x14ac:dyDescent="0.2">
      <c r="A490" s="49"/>
      <c r="B490" s="58"/>
    </row>
    <row r="491" spans="1:2" x14ac:dyDescent="0.2">
      <c r="A491" s="49"/>
      <c r="B491" s="58"/>
    </row>
    <row r="492" spans="1:2" x14ac:dyDescent="0.2">
      <c r="A492" s="49"/>
      <c r="B492" s="58"/>
    </row>
    <row r="493" spans="1:2" x14ac:dyDescent="0.2">
      <c r="A493" s="49"/>
      <c r="B493" s="58"/>
    </row>
    <row r="494" spans="1:2" x14ac:dyDescent="0.2">
      <c r="A494" s="49"/>
      <c r="B494" s="58"/>
    </row>
    <row r="495" spans="1:2" x14ac:dyDescent="0.2">
      <c r="A495" s="49"/>
      <c r="B495" s="58"/>
    </row>
    <row r="496" spans="1:2" x14ac:dyDescent="0.2">
      <c r="A496" s="49"/>
      <c r="B496" s="58"/>
    </row>
    <row r="497" spans="1:2" x14ac:dyDescent="0.2">
      <c r="A497" s="49"/>
      <c r="B497" s="58"/>
    </row>
    <row r="498" spans="1:2" x14ac:dyDescent="0.2">
      <c r="A498" s="49"/>
      <c r="B498" s="58"/>
    </row>
    <row r="499" spans="1:2" x14ac:dyDescent="0.2">
      <c r="A499" s="49"/>
      <c r="B499" s="58"/>
    </row>
    <row r="500" spans="1:2" x14ac:dyDescent="0.2">
      <c r="A500" s="49"/>
      <c r="B500" s="58"/>
    </row>
    <row r="501" spans="1:2" x14ac:dyDescent="0.2">
      <c r="A501" s="49"/>
      <c r="B501" s="58"/>
    </row>
    <row r="502" spans="1:2" x14ac:dyDescent="0.2">
      <c r="A502" s="49"/>
      <c r="B502" s="58"/>
    </row>
    <row r="503" spans="1:2" x14ac:dyDescent="0.2">
      <c r="A503" s="49"/>
      <c r="B503" s="58"/>
    </row>
    <row r="504" spans="1:2" x14ac:dyDescent="0.2">
      <c r="A504" s="49"/>
      <c r="B504" s="58"/>
    </row>
    <row r="505" spans="1:2" x14ac:dyDescent="0.2">
      <c r="A505" s="49"/>
      <c r="B505" s="58"/>
    </row>
    <row r="506" spans="1:2" x14ac:dyDescent="0.2">
      <c r="A506" s="49"/>
      <c r="B506" s="58"/>
    </row>
    <row r="507" spans="1:2" x14ac:dyDescent="0.2">
      <c r="A507" s="49"/>
      <c r="B507" s="58"/>
    </row>
    <row r="508" spans="1:2" x14ac:dyDescent="0.2">
      <c r="A508" s="49"/>
      <c r="B508" s="58"/>
    </row>
    <row r="509" spans="1:2" x14ac:dyDescent="0.2">
      <c r="A509" s="49"/>
      <c r="B509" s="58"/>
    </row>
    <row r="510" spans="1:2" x14ac:dyDescent="0.2">
      <c r="A510" s="49"/>
      <c r="B510" s="58"/>
    </row>
    <row r="511" spans="1:2" x14ac:dyDescent="0.2">
      <c r="A511" s="49"/>
      <c r="B511" s="58"/>
    </row>
    <row r="512" spans="1:2" x14ac:dyDescent="0.2">
      <c r="A512" s="49"/>
      <c r="B512" s="58"/>
    </row>
    <row r="513" spans="1:2" x14ac:dyDescent="0.2">
      <c r="A513" s="49"/>
      <c r="B513" s="58"/>
    </row>
    <row r="514" spans="1:2" x14ac:dyDescent="0.2">
      <c r="A514" s="49"/>
      <c r="B514" s="58"/>
    </row>
    <row r="515" spans="1:2" x14ac:dyDescent="0.2">
      <c r="A515" s="49"/>
      <c r="B515" s="58"/>
    </row>
    <row r="516" spans="1:2" x14ac:dyDescent="0.2">
      <c r="A516" s="49"/>
      <c r="B516" s="58"/>
    </row>
    <row r="517" spans="1:2" x14ac:dyDescent="0.2">
      <c r="A517" s="49"/>
      <c r="B517" s="58"/>
    </row>
    <row r="518" spans="1:2" x14ac:dyDescent="0.2">
      <c r="A518" s="49"/>
      <c r="B518" s="58"/>
    </row>
    <row r="519" spans="1:2" x14ac:dyDescent="0.2">
      <c r="A519" s="49"/>
      <c r="B519" s="58"/>
    </row>
    <row r="520" spans="1:2" x14ac:dyDescent="0.2">
      <c r="A520" s="49"/>
      <c r="B520" s="58"/>
    </row>
    <row r="521" spans="1:2" x14ac:dyDescent="0.2">
      <c r="A521" s="49"/>
      <c r="B521" s="58"/>
    </row>
    <row r="522" spans="1:2" x14ac:dyDescent="0.2">
      <c r="A522" s="49"/>
      <c r="B522" s="58"/>
    </row>
    <row r="523" spans="1:2" x14ac:dyDescent="0.2">
      <c r="A523" s="49"/>
      <c r="B523" s="58"/>
    </row>
    <row r="524" spans="1:2" x14ac:dyDescent="0.2">
      <c r="A524" s="49"/>
      <c r="B524" s="58"/>
    </row>
    <row r="525" spans="1:2" x14ac:dyDescent="0.2">
      <c r="A525" s="49"/>
      <c r="B525" s="58"/>
    </row>
    <row r="526" spans="1:2" x14ac:dyDescent="0.2">
      <c r="A526" s="49"/>
      <c r="B526" s="58"/>
    </row>
    <row r="527" spans="1:2" x14ac:dyDescent="0.2">
      <c r="A527" s="49"/>
      <c r="B527" s="58"/>
    </row>
    <row r="528" spans="1:2" x14ac:dyDescent="0.2">
      <c r="A528" s="49"/>
      <c r="B528" s="58"/>
    </row>
    <row r="529" spans="1:2" x14ac:dyDescent="0.2">
      <c r="A529" s="49"/>
      <c r="B529" s="58"/>
    </row>
    <row r="530" spans="1:2" x14ac:dyDescent="0.2">
      <c r="A530" s="49"/>
      <c r="B530" s="58"/>
    </row>
    <row r="531" spans="1:2" x14ac:dyDescent="0.2">
      <c r="A531" s="49"/>
      <c r="B531" s="58"/>
    </row>
    <row r="532" spans="1:2" x14ac:dyDescent="0.2">
      <c r="A532" s="49"/>
      <c r="B532" s="58"/>
    </row>
    <row r="533" spans="1:2" x14ac:dyDescent="0.2">
      <c r="A533" s="49"/>
      <c r="B533" s="58"/>
    </row>
    <row r="534" spans="1:2" x14ac:dyDescent="0.2">
      <c r="A534" s="49"/>
      <c r="B534" s="58"/>
    </row>
    <row r="535" spans="1:2" x14ac:dyDescent="0.2">
      <c r="A535" s="49"/>
      <c r="B535" s="58"/>
    </row>
    <row r="536" spans="1:2" x14ac:dyDescent="0.2">
      <c r="A536" s="49"/>
      <c r="B536" s="58"/>
    </row>
    <row r="537" spans="1:2" x14ac:dyDescent="0.2">
      <c r="A537" s="49"/>
      <c r="B537" s="58"/>
    </row>
    <row r="538" spans="1:2" x14ac:dyDescent="0.2">
      <c r="A538" s="49"/>
      <c r="B538" s="58"/>
    </row>
    <row r="539" spans="1:2" x14ac:dyDescent="0.2">
      <c r="A539" s="49"/>
      <c r="B539" s="58"/>
    </row>
    <row r="540" spans="1:2" x14ac:dyDescent="0.2">
      <c r="A540" s="49"/>
      <c r="B540" s="58"/>
    </row>
    <row r="541" spans="1:2" x14ac:dyDescent="0.2">
      <c r="A541" s="49"/>
      <c r="B541" s="58"/>
    </row>
    <row r="542" spans="1:2" x14ac:dyDescent="0.2">
      <c r="A542" s="49"/>
      <c r="B542" s="58"/>
    </row>
    <row r="543" spans="1:2" x14ac:dyDescent="0.2">
      <c r="A543" s="49"/>
      <c r="B543" s="58"/>
    </row>
    <row r="544" spans="1:2" x14ac:dyDescent="0.2">
      <c r="A544" s="49"/>
      <c r="B544" s="58"/>
    </row>
    <row r="545" spans="1:2" x14ac:dyDescent="0.2">
      <c r="A545" s="49"/>
      <c r="B545" s="58"/>
    </row>
    <row r="546" spans="1:2" x14ac:dyDescent="0.2">
      <c r="A546" s="49"/>
      <c r="B546" s="58"/>
    </row>
    <row r="547" spans="1:2" x14ac:dyDescent="0.2">
      <c r="A547" s="49"/>
      <c r="B547" s="58"/>
    </row>
    <row r="548" spans="1:2" x14ac:dyDescent="0.2">
      <c r="A548" s="49"/>
      <c r="B548" s="58"/>
    </row>
    <row r="549" spans="1:2" x14ac:dyDescent="0.2">
      <c r="A549" s="49"/>
      <c r="B549" s="58"/>
    </row>
    <row r="550" spans="1:2" x14ac:dyDescent="0.2">
      <c r="A550" s="49"/>
      <c r="B550" s="58"/>
    </row>
    <row r="551" spans="1:2" x14ac:dyDescent="0.2">
      <c r="A551" s="49"/>
      <c r="B551" s="58"/>
    </row>
    <row r="552" spans="1:2" x14ac:dyDescent="0.2">
      <c r="A552" s="49"/>
      <c r="B552" s="58"/>
    </row>
    <row r="553" spans="1:2" x14ac:dyDescent="0.2">
      <c r="A553" s="49"/>
      <c r="B553" s="58"/>
    </row>
    <row r="554" spans="1:2" x14ac:dyDescent="0.2">
      <c r="A554" s="49"/>
      <c r="B554" s="58"/>
    </row>
    <row r="555" spans="1:2" x14ac:dyDescent="0.2">
      <c r="A555" s="49"/>
      <c r="B555" s="58"/>
    </row>
    <row r="556" spans="1:2" x14ac:dyDescent="0.2">
      <c r="A556" s="49"/>
      <c r="B556" s="58"/>
    </row>
    <row r="557" spans="1:2" x14ac:dyDescent="0.2">
      <c r="A557" s="49"/>
      <c r="B557" s="58"/>
    </row>
    <row r="558" spans="1:2" x14ac:dyDescent="0.2">
      <c r="A558" s="49"/>
      <c r="B558" s="58"/>
    </row>
    <row r="559" spans="1:2" x14ac:dyDescent="0.2">
      <c r="A559" s="49"/>
      <c r="B559" s="58"/>
    </row>
    <row r="560" spans="1:2" x14ac:dyDescent="0.2">
      <c r="A560" s="49"/>
      <c r="B560" s="58"/>
    </row>
    <row r="561" spans="1:2" x14ac:dyDescent="0.2">
      <c r="A561" s="49"/>
      <c r="B561" s="58"/>
    </row>
    <row r="562" spans="1:2" x14ac:dyDescent="0.2">
      <c r="A562" s="49"/>
      <c r="B562" s="58"/>
    </row>
    <row r="563" spans="1:2" x14ac:dyDescent="0.2">
      <c r="A563" s="49"/>
      <c r="B563" s="58"/>
    </row>
    <row r="564" spans="1:2" x14ac:dyDescent="0.2">
      <c r="A564" s="49"/>
      <c r="B564" s="58"/>
    </row>
    <row r="565" spans="1:2" x14ac:dyDescent="0.2">
      <c r="A565" s="49"/>
      <c r="B565" s="58"/>
    </row>
    <row r="566" spans="1:2" x14ac:dyDescent="0.2">
      <c r="A566" s="49"/>
      <c r="B566" s="58"/>
    </row>
    <row r="567" spans="1:2" x14ac:dyDescent="0.2">
      <c r="A567" s="49"/>
      <c r="B567" s="58"/>
    </row>
    <row r="568" spans="1:2" x14ac:dyDescent="0.2">
      <c r="A568" s="49"/>
      <c r="B568" s="58"/>
    </row>
    <row r="569" spans="1:2" x14ac:dyDescent="0.2">
      <c r="A569" s="49"/>
      <c r="B569" s="58"/>
    </row>
    <row r="570" spans="1:2" x14ac:dyDescent="0.2">
      <c r="A570" s="49"/>
      <c r="B570" s="58"/>
    </row>
    <row r="571" spans="1:2" x14ac:dyDescent="0.2">
      <c r="A571" s="49"/>
      <c r="B571" s="58"/>
    </row>
    <row r="572" spans="1:2" x14ac:dyDescent="0.2">
      <c r="A572" s="49"/>
      <c r="B572" s="58"/>
    </row>
    <row r="573" spans="1:2" x14ac:dyDescent="0.2">
      <c r="A573" s="49"/>
      <c r="B573" s="58"/>
    </row>
    <row r="574" spans="1:2" x14ac:dyDescent="0.2">
      <c r="A574" s="49"/>
      <c r="B574" s="58"/>
    </row>
    <row r="575" spans="1:2" x14ac:dyDescent="0.2">
      <c r="A575" s="49"/>
      <c r="B575" s="58"/>
    </row>
    <row r="576" spans="1:2" x14ac:dyDescent="0.2">
      <c r="A576" s="49"/>
      <c r="B576" s="58"/>
    </row>
    <row r="577" spans="1:2" x14ac:dyDescent="0.2">
      <c r="A577" s="49"/>
      <c r="B577" s="58"/>
    </row>
    <row r="578" spans="1:2" x14ac:dyDescent="0.2">
      <c r="A578" s="49"/>
      <c r="B578" s="58"/>
    </row>
    <row r="579" spans="1:2" x14ac:dyDescent="0.2">
      <c r="A579" s="49"/>
      <c r="B579" s="58"/>
    </row>
    <row r="580" spans="1:2" x14ac:dyDescent="0.2">
      <c r="A580" s="49"/>
      <c r="B580" s="58"/>
    </row>
    <row r="581" spans="1:2" x14ac:dyDescent="0.2">
      <c r="A581" s="49"/>
      <c r="B581" s="58"/>
    </row>
    <row r="582" spans="1:2" x14ac:dyDescent="0.2">
      <c r="A582" s="49"/>
      <c r="B582" s="58"/>
    </row>
    <row r="583" spans="1:2" x14ac:dyDescent="0.2">
      <c r="A583" s="49"/>
      <c r="B583" s="58"/>
    </row>
    <row r="584" spans="1:2" x14ac:dyDescent="0.2">
      <c r="A584" s="49"/>
      <c r="B584" s="58"/>
    </row>
    <row r="585" spans="1:2" x14ac:dyDescent="0.2">
      <c r="A585" s="49"/>
      <c r="B585" s="58"/>
    </row>
    <row r="586" spans="1:2" x14ac:dyDescent="0.2">
      <c r="A586" s="49"/>
      <c r="B586" s="58"/>
    </row>
    <row r="587" spans="1:2" x14ac:dyDescent="0.2">
      <c r="A587" s="49"/>
      <c r="B587" s="58"/>
    </row>
    <row r="588" spans="1:2" x14ac:dyDescent="0.2">
      <c r="A588" s="49"/>
      <c r="B588" s="58"/>
    </row>
    <row r="589" spans="1:2" x14ac:dyDescent="0.2">
      <c r="A589" s="49"/>
      <c r="B589" s="58"/>
    </row>
    <row r="590" spans="1:2" x14ac:dyDescent="0.2">
      <c r="A590" s="49"/>
      <c r="B590" s="58"/>
    </row>
    <row r="591" spans="1:2" x14ac:dyDescent="0.2">
      <c r="A591" s="49"/>
      <c r="B591" s="58"/>
    </row>
    <row r="592" spans="1:2" x14ac:dyDescent="0.2">
      <c r="A592" s="49"/>
      <c r="B592" s="58"/>
    </row>
    <row r="593" spans="1:2" x14ac:dyDescent="0.2">
      <c r="A593" s="49"/>
      <c r="B593" s="58"/>
    </row>
    <row r="594" spans="1:2" x14ac:dyDescent="0.2">
      <c r="A594" s="49"/>
      <c r="B594" s="58"/>
    </row>
    <row r="595" spans="1:2" x14ac:dyDescent="0.2">
      <c r="A595" s="49"/>
      <c r="B595" s="58"/>
    </row>
    <row r="596" spans="1:2" x14ac:dyDescent="0.2">
      <c r="A596" s="49"/>
      <c r="B596" s="58"/>
    </row>
    <row r="597" spans="1:2" x14ac:dyDescent="0.2">
      <c r="A597" s="49"/>
      <c r="B597" s="58"/>
    </row>
    <row r="598" spans="1:2" x14ac:dyDescent="0.2">
      <c r="A598" s="49"/>
      <c r="B598" s="58"/>
    </row>
    <row r="599" spans="1:2" x14ac:dyDescent="0.2">
      <c r="A599" s="49"/>
      <c r="B599" s="58"/>
    </row>
    <row r="600" spans="1:2" x14ac:dyDescent="0.2">
      <c r="A600" s="49"/>
      <c r="B600" s="58"/>
    </row>
    <row r="601" spans="1:2" x14ac:dyDescent="0.2">
      <c r="A601" s="49"/>
      <c r="B601" s="58"/>
    </row>
    <row r="602" spans="1:2" x14ac:dyDescent="0.2">
      <c r="A602" s="49"/>
      <c r="B602" s="58"/>
    </row>
    <row r="603" spans="1:2" x14ac:dyDescent="0.2">
      <c r="A603" s="49"/>
      <c r="B603" s="58"/>
    </row>
    <row r="604" spans="1:2" x14ac:dyDescent="0.2">
      <c r="A604" s="49"/>
      <c r="B604" s="58"/>
    </row>
    <row r="605" spans="1:2" x14ac:dyDescent="0.2">
      <c r="A605" s="49"/>
      <c r="B605" s="58"/>
    </row>
    <row r="606" spans="1:2" x14ac:dyDescent="0.2">
      <c r="A606" s="49"/>
      <c r="B606" s="58"/>
    </row>
    <row r="607" spans="1:2" x14ac:dyDescent="0.2">
      <c r="A607" s="49"/>
      <c r="B607" s="58"/>
    </row>
    <row r="608" spans="1:2" x14ac:dyDescent="0.2">
      <c r="A608" s="49"/>
      <c r="B608" s="58"/>
    </row>
    <row r="609" spans="1:2" x14ac:dyDescent="0.2">
      <c r="A609" s="49"/>
      <c r="B609" s="58"/>
    </row>
    <row r="610" spans="1:2" x14ac:dyDescent="0.2">
      <c r="A610" s="49"/>
      <c r="B610" s="58"/>
    </row>
    <row r="611" spans="1:2" x14ac:dyDescent="0.2">
      <c r="A611" s="49"/>
      <c r="B611" s="58"/>
    </row>
    <row r="612" spans="1:2" x14ac:dyDescent="0.2">
      <c r="A612" s="49"/>
      <c r="B612" s="58"/>
    </row>
    <row r="613" spans="1:2" x14ac:dyDescent="0.2">
      <c r="A613" s="49"/>
      <c r="B613" s="58"/>
    </row>
    <row r="614" spans="1:2" x14ac:dyDescent="0.2">
      <c r="A614" s="49"/>
      <c r="B614" s="58"/>
    </row>
    <row r="615" spans="1:2" x14ac:dyDescent="0.2">
      <c r="A615" s="49"/>
      <c r="B615" s="58"/>
    </row>
    <row r="616" spans="1:2" x14ac:dyDescent="0.2">
      <c r="A616" s="49"/>
      <c r="B616" s="58"/>
    </row>
    <row r="617" spans="1:2" x14ac:dyDescent="0.2">
      <c r="A617" s="49"/>
      <c r="B617" s="58"/>
    </row>
    <row r="618" spans="1:2" x14ac:dyDescent="0.2">
      <c r="A618" s="49"/>
      <c r="B618" s="58"/>
    </row>
    <row r="619" spans="1:2" x14ac:dyDescent="0.2">
      <c r="A619" s="49"/>
      <c r="B619" s="58"/>
    </row>
    <row r="620" spans="1:2" x14ac:dyDescent="0.2">
      <c r="A620" s="49"/>
      <c r="B620" s="58"/>
    </row>
    <row r="621" spans="1:2" x14ac:dyDescent="0.2">
      <c r="A621" s="49"/>
      <c r="B621" s="58"/>
    </row>
    <row r="622" spans="1:2" x14ac:dyDescent="0.2">
      <c r="A622" s="49"/>
      <c r="B622" s="58"/>
    </row>
    <row r="623" spans="1:2" x14ac:dyDescent="0.2">
      <c r="A623" s="49"/>
      <c r="B623" s="58"/>
    </row>
    <row r="624" spans="1:2" x14ac:dyDescent="0.2">
      <c r="A624" s="49"/>
      <c r="B624" s="58"/>
    </row>
    <row r="625" spans="1:2" x14ac:dyDescent="0.2">
      <c r="A625" s="49"/>
      <c r="B625" s="58"/>
    </row>
    <row r="626" spans="1:2" x14ac:dyDescent="0.2">
      <c r="A626" s="49"/>
      <c r="B626" s="58"/>
    </row>
    <row r="627" spans="1:2" x14ac:dyDescent="0.2">
      <c r="A627" s="49"/>
      <c r="B627" s="58"/>
    </row>
    <row r="628" spans="1:2" x14ac:dyDescent="0.2">
      <c r="A628" s="49"/>
      <c r="B628" s="58"/>
    </row>
    <row r="629" spans="1:2" x14ac:dyDescent="0.2">
      <c r="A629" s="49"/>
      <c r="B629" s="58"/>
    </row>
    <row r="630" spans="1:2" x14ac:dyDescent="0.2">
      <c r="A630" s="49"/>
      <c r="B630" s="58"/>
    </row>
    <row r="631" spans="1:2" x14ac:dyDescent="0.2">
      <c r="A631" s="49"/>
      <c r="B631" s="58"/>
    </row>
    <row r="632" spans="1:2" x14ac:dyDescent="0.2">
      <c r="A632" s="49"/>
      <c r="B632" s="58"/>
    </row>
    <row r="633" spans="1:2" x14ac:dyDescent="0.2">
      <c r="A633" s="49"/>
      <c r="B633" s="58"/>
    </row>
    <row r="634" spans="1:2" x14ac:dyDescent="0.2">
      <c r="A634" s="49"/>
      <c r="B634" s="58"/>
    </row>
    <row r="635" spans="1:2" x14ac:dyDescent="0.2">
      <c r="A635" s="49"/>
      <c r="B635" s="58"/>
    </row>
    <row r="636" spans="1:2" x14ac:dyDescent="0.2">
      <c r="A636" s="49"/>
      <c r="B636" s="58"/>
    </row>
    <row r="637" spans="1:2" x14ac:dyDescent="0.2">
      <c r="A637" s="49"/>
      <c r="B637" s="58"/>
    </row>
    <row r="638" spans="1:2" x14ac:dyDescent="0.2">
      <c r="A638" s="49"/>
      <c r="B638" s="58"/>
    </row>
    <row r="639" spans="1:2" x14ac:dyDescent="0.2">
      <c r="A639" s="49"/>
      <c r="B639" s="58"/>
    </row>
    <row r="640" spans="1:2" x14ac:dyDescent="0.2">
      <c r="A640" s="49"/>
      <c r="B640" s="58"/>
    </row>
    <row r="641" spans="1:2" x14ac:dyDescent="0.2">
      <c r="A641" s="49"/>
      <c r="B641" s="58"/>
    </row>
    <row r="642" spans="1:2" x14ac:dyDescent="0.2">
      <c r="A642" s="49"/>
      <c r="B642" s="58"/>
    </row>
    <row r="643" spans="1:2" x14ac:dyDescent="0.2">
      <c r="A643" s="49"/>
      <c r="B643" s="58"/>
    </row>
    <row r="644" spans="1:2" x14ac:dyDescent="0.2">
      <c r="A644" s="49"/>
      <c r="B644" s="58"/>
    </row>
    <row r="645" spans="1:2" x14ac:dyDescent="0.2">
      <c r="A645" s="49"/>
      <c r="B645" s="58"/>
    </row>
    <row r="646" spans="1:2" x14ac:dyDescent="0.2">
      <c r="A646" s="49"/>
      <c r="B646" s="58"/>
    </row>
    <row r="647" spans="1:2" x14ac:dyDescent="0.2">
      <c r="A647" s="49"/>
      <c r="B647" s="58"/>
    </row>
    <row r="648" spans="1:2" x14ac:dyDescent="0.2">
      <c r="A648" s="49"/>
      <c r="B648" s="58"/>
    </row>
    <row r="649" spans="1:2" x14ac:dyDescent="0.2">
      <c r="A649" s="49"/>
      <c r="B649" s="58"/>
    </row>
    <row r="650" spans="1:2" x14ac:dyDescent="0.2">
      <c r="A650" s="49"/>
      <c r="B650" s="58"/>
    </row>
    <row r="651" spans="1:2" x14ac:dyDescent="0.2">
      <c r="A651" s="49"/>
      <c r="B651" s="58"/>
    </row>
    <row r="652" spans="1:2" x14ac:dyDescent="0.2">
      <c r="A652" s="49"/>
      <c r="B652" s="58"/>
    </row>
    <row r="653" spans="1:2" x14ac:dyDescent="0.2">
      <c r="A653" s="49"/>
      <c r="B653" s="58"/>
    </row>
    <row r="654" spans="1:2" x14ac:dyDescent="0.2">
      <c r="A654" s="49"/>
      <c r="B654" s="58"/>
    </row>
    <row r="655" spans="1:2" x14ac:dyDescent="0.2">
      <c r="A655" s="49"/>
      <c r="B655" s="58"/>
    </row>
    <row r="656" spans="1:2" x14ac:dyDescent="0.2">
      <c r="A656" s="49"/>
      <c r="B656" s="58"/>
    </row>
    <row r="657" spans="1:2" x14ac:dyDescent="0.2">
      <c r="A657" s="49"/>
      <c r="B657" s="58"/>
    </row>
    <row r="658" spans="1:2" x14ac:dyDescent="0.2">
      <c r="A658" s="49"/>
      <c r="B658" s="58"/>
    </row>
    <row r="659" spans="1:2" x14ac:dyDescent="0.2">
      <c r="A659" s="49"/>
      <c r="B659" s="58"/>
    </row>
    <row r="660" spans="1:2" x14ac:dyDescent="0.2">
      <c r="A660" s="49"/>
      <c r="B660" s="58"/>
    </row>
    <row r="661" spans="1:2" x14ac:dyDescent="0.2">
      <c r="A661" s="49"/>
      <c r="B661" s="58"/>
    </row>
    <row r="662" spans="1:2" x14ac:dyDescent="0.2">
      <c r="A662" s="49"/>
      <c r="B662" s="58"/>
    </row>
    <row r="663" spans="1:2" x14ac:dyDescent="0.2">
      <c r="A663" s="49"/>
      <c r="B663" s="58"/>
    </row>
    <row r="664" spans="1:2" x14ac:dyDescent="0.2">
      <c r="A664" s="49"/>
      <c r="B664" s="58"/>
    </row>
    <row r="665" spans="1:2" x14ac:dyDescent="0.2">
      <c r="A665" s="49"/>
      <c r="B665" s="58"/>
    </row>
    <row r="666" spans="1:2" x14ac:dyDescent="0.2">
      <c r="A666" s="49"/>
      <c r="B666" s="58"/>
    </row>
    <row r="667" spans="1:2" x14ac:dyDescent="0.2">
      <c r="A667" s="49"/>
      <c r="B667" s="58"/>
    </row>
    <row r="668" spans="1:2" x14ac:dyDescent="0.2">
      <c r="A668" s="49"/>
      <c r="B668" s="58"/>
    </row>
    <row r="669" spans="1:2" x14ac:dyDescent="0.2">
      <c r="A669" s="49"/>
      <c r="B669" s="58"/>
    </row>
    <row r="670" spans="1:2" x14ac:dyDescent="0.2">
      <c r="A670" s="49"/>
      <c r="B670" s="58"/>
    </row>
    <row r="671" spans="1:2" x14ac:dyDescent="0.2">
      <c r="A671" s="49"/>
      <c r="B671" s="58"/>
    </row>
    <row r="672" spans="1:2" x14ac:dyDescent="0.2">
      <c r="A672" s="49"/>
      <c r="B672" s="58"/>
    </row>
    <row r="673" spans="1:2" x14ac:dyDescent="0.2">
      <c r="A673" s="49"/>
      <c r="B673" s="58"/>
    </row>
    <row r="674" spans="1:2" x14ac:dyDescent="0.2">
      <c r="A674" s="49"/>
      <c r="B674" s="58"/>
    </row>
    <row r="675" spans="1:2" x14ac:dyDescent="0.2">
      <c r="A675" s="49"/>
      <c r="B675" s="58"/>
    </row>
    <row r="676" spans="1:2" x14ac:dyDescent="0.2">
      <c r="A676" s="49"/>
      <c r="B676" s="58"/>
    </row>
    <row r="677" spans="1:2" x14ac:dyDescent="0.2">
      <c r="A677" s="49"/>
      <c r="B677" s="58"/>
    </row>
    <row r="678" spans="1:2" x14ac:dyDescent="0.2">
      <c r="A678" s="49"/>
      <c r="B678" s="58"/>
    </row>
    <row r="679" spans="1:2" x14ac:dyDescent="0.2">
      <c r="A679" s="49"/>
      <c r="B679" s="58"/>
    </row>
    <row r="680" spans="1:2" x14ac:dyDescent="0.2">
      <c r="A680" s="49"/>
      <c r="B680" s="58"/>
    </row>
    <row r="681" spans="1:2" x14ac:dyDescent="0.2">
      <c r="A681" s="49"/>
      <c r="B681" s="58"/>
    </row>
    <row r="682" spans="1:2" x14ac:dyDescent="0.2">
      <c r="A682" s="49"/>
      <c r="B682" s="58"/>
    </row>
    <row r="683" spans="1:2" x14ac:dyDescent="0.2">
      <c r="A683" s="49"/>
      <c r="B683" s="58"/>
    </row>
    <row r="684" spans="1:2" x14ac:dyDescent="0.2">
      <c r="A684" s="49"/>
      <c r="B684" s="58"/>
    </row>
    <row r="685" spans="1:2" x14ac:dyDescent="0.2">
      <c r="A685" s="49"/>
      <c r="B685" s="58"/>
    </row>
    <row r="686" spans="1:2" x14ac:dyDescent="0.2">
      <c r="A686" s="49"/>
      <c r="B686" s="58"/>
    </row>
    <row r="687" spans="1:2" x14ac:dyDescent="0.2">
      <c r="A687" s="49"/>
      <c r="B687" s="58"/>
    </row>
    <row r="688" spans="1:2" x14ac:dyDescent="0.2">
      <c r="A688" s="49"/>
      <c r="B688" s="58"/>
    </row>
    <row r="689" spans="1:2" x14ac:dyDescent="0.2">
      <c r="A689" s="49"/>
      <c r="B689" s="58"/>
    </row>
    <row r="690" spans="1:2" x14ac:dyDescent="0.2">
      <c r="A690" s="49"/>
      <c r="B690" s="58"/>
    </row>
    <row r="691" spans="1:2" x14ac:dyDescent="0.2">
      <c r="A691" s="49"/>
      <c r="B691" s="58"/>
    </row>
    <row r="692" spans="1:2" x14ac:dyDescent="0.2">
      <c r="A692" s="49"/>
      <c r="B692" s="58"/>
    </row>
    <row r="693" spans="1:2" x14ac:dyDescent="0.2">
      <c r="A693" s="49"/>
      <c r="B693" s="58"/>
    </row>
    <row r="694" spans="1:2" x14ac:dyDescent="0.2">
      <c r="A694" s="49"/>
      <c r="B694" s="58"/>
    </row>
    <row r="695" spans="1:2" x14ac:dyDescent="0.2">
      <c r="A695" s="49"/>
      <c r="B695" s="58"/>
    </row>
    <row r="696" spans="1:2" x14ac:dyDescent="0.2">
      <c r="A696" s="49"/>
      <c r="B696" s="58"/>
    </row>
    <row r="697" spans="1:2" x14ac:dyDescent="0.2">
      <c r="A697" s="49"/>
      <c r="B697" s="58"/>
    </row>
    <row r="698" spans="1:2" x14ac:dyDescent="0.2">
      <c r="A698" s="49"/>
      <c r="B698" s="58"/>
    </row>
    <row r="699" spans="1:2" x14ac:dyDescent="0.2">
      <c r="A699" s="49"/>
      <c r="B699" s="58"/>
    </row>
    <row r="700" spans="1:2" x14ac:dyDescent="0.2">
      <c r="A700" s="49"/>
      <c r="B700" s="58"/>
    </row>
    <row r="701" spans="1:2" x14ac:dyDescent="0.2">
      <c r="A701" s="49"/>
      <c r="B701" s="58"/>
    </row>
    <row r="702" spans="1:2" x14ac:dyDescent="0.2">
      <c r="A702" s="49"/>
      <c r="B702" s="58"/>
    </row>
    <row r="703" spans="1:2" x14ac:dyDescent="0.2">
      <c r="A703" s="49"/>
      <c r="B703" s="58"/>
    </row>
    <row r="704" spans="1:2" x14ac:dyDescent="0.2">
      <c r="A704" s="49"/>
      <c r="B704" s="58"/>
    </row>
    <row r="705" spans="1:2" x14ac:dyDescent="0.2">
      <c r="A705" s="49"/>
      <c r="B705" s="58"/>
    </row>
    <row r="706" spans="1:2" x14ac:dyDescent="0.2">
      <c r="A706" s="49"/>
      <c r="B706" s="58"/>
    </row>
    <row r="707" spans="1:2" x14ac:dyDescent="0.2">
      <c r="A707" s="49"/>
      <c r="B707" s="58"/>
    </row>
    <row r="708" spans="1:2" x14ac:dyDescent="0.2">
      <c r="A708" s="49"/>
      <c r="B708" s="58"/>
    </row>
    <row r="709" spans="1:2" x14ac:dyDescent="0.2">
      <c r="A709" s="49"/>
      <c r="B709" s="58"/>
    </row>
    <row r="710" spans="1:2" x14ac:dyDescent="0.2">
      <c r="A710" s="49"/>
      <c r="B710" s="58"/>
    </row>
    <row r="711" spans="1:2" x14ac:dyDescent="0.2">
      <c r="A711" s="49"/>
      <c r="B711" s="58"/>
    </row>
    <row r="712" spans="1:2" x14ac:dyDescent="0.2">
      <c r="A712" s="49"/>
      <c r="B712" s="58"/>
    </row>
    <row r="713" spans="1:2" x14ac:dyDescent="0.2">
      <c r="A713" s="49"/>
      <c r="B713" s="58"/>
    </row>
    <row r="714" spans="1:2" x14ac:dyDescent="0.2">
      <c r="A714" s="49"/>
      <c r="B714" s="58"/>
    </row>
    <row r="715" spans="1:2" x14ac:dyDescent="0.2">
      <c r="A715" s="49"/>
      <c r="B715" s="58"/>
    </row>
    <row r="716" spans="1:2" x14ac:dyDescent="0.2">
      <c r="A716" s="49"/>
      <c r="B716" s="58"/>
    </row>
    <row r="717" spans="1:2" x14ac:dyDescent="0.2">
      <c r="A717" s="49"/>
      <c r="B717" s="58"/>
    </row>
    <row r="718" spans="1:2" x14ac:dyDescent="0.2">
      <c r="A718" s="49"/>
      <c r="B718" s="58"/>
    </row>
    <row r="719" spans="1:2" x14ac:dyDescent="0.2">
      <c r="A719" s="49"/>
      <c r="B719" s="58"/>
    </row>
    <row r="720" spans="1:2" x14ac:dyDescent="0.2">
      <c r="A720" s="49"/>
      <c r="B720" s="58"/>
    </row>
    <row r="721" spans="1:2" x14ac:dyDescent="0.2">
      <c r="A721" s="49"/>
      <c r="B721" s="58"/>
    </row>
    <row r="722" spans="1:2" x14ac:dyDescent="0.2">
      <c r="A722" s="49"/>
      <c r="B722" s="58"/>
    </row>
    <row r="723" spans="1:2" x14ac:dyDescent="0.2">
      <c r="A723" s="49"/>
      <c r="B723" s="58"/>
    </row>
    <row r="724" spans="1:2" x14ac:dyDescent="0.2">
      <c r="A724" s="49"/>
      <c r="B724" s="58"/>
    </row>
    <row r="725" spans="1:2" x14ac:dyDescent="0.2">
      <c r="A725" s="49"/>
      <c r="B725" s="58"/>
    </row>
    <row r="726" spans="1:2" x14ac:dyDescent="0.2">
      <c r="A726" s="49"/>
      <c r="B726" s="58"/>
    </row>
    <row r="727" spans="1:2" x14ac:dyDescent="0.2">
      <c r="A727" s="49"/>
      <c r="B727" s="58"/>
    </row>
    <row r="728" spans="1:2" x14ac:dyDescent="0.2">
      <c r="A728" s="49"/>
      <c r="B728" s="58"/>
    </row>
    <row r="729" spans="1:2" x14ac:dyDescent="0.2">
      <c r="A729" s="49"/>
      <c r="B729" s="58"/>
    </row>
    <row r="730" spans="1:2" x14ac:dyDescent="0.2">
      <c r="A730" s="49"/>
      <c r="B730" s="58"/>
    </row>
    <row r="731" spans="1:2" x14ac:dyDescent="0.2">
      <c r="A731" s="49"/>
      <c r="B731" s="58"/>
    </row>
    <row r="732" spans="1:2" x14ac:dyDescent="0.2">
      <c r="A732" s="49"/>
      <c r="B732" s="58"/>
    </row>
    <row r="733" spans="1:2" x14ac:dyDescent="0.2">
      <c r="A733" s="49"/>
      <c r="B733" s="58"/>
    </row>
    <row r="734" spans="1:2" x14ac:dyDescent="0.2">
      <c r="A734" s="49"/>
      <c r="B734" s="58"/>
    </row>
    <row r="735" spans="1:2" x14ac:dyDescent="0.2">
      <c r="A735" s="49"/>
      <c r="B735" s="58"/>
    </row>
    <row r="736" spans="1:2" x14ac:dyDescent="0.2">
      <c r="A736" s="49"/>
      <c r="B736" s="58"/>
    </row>
    <row r="737" spans="1:2" x14ac:dyDescent="0.2">
      <c r="A737" s="49"/>
      <c r="B737" s="58"/>
    </row>
    <row r="738" spans="1:2" x14ac:dyDescent="0.2">
      <c r="A738" s="49"/>
      <c r="B738" s="58"/>
    </row>
    <row r="739" spans="1:2" x14ac:dyDescent="0.2">
      <c r="A739" s="49"/>
      <c r="B739" s="58"/>
    </row>
    <row r="740" spans="1:2" x14ac:dyDescent="0.2">
      <c r="A740" s="49"/>
      <c r="B740" s="58"/>
    </row>
    <row r="741" spans="1:2" x14ac:dyDescent="0.2">
      <c r="A741" s="49"/>
      <c r="B741" s="58"/>
    </row>
    <row r="742" spans="1:2" x14ac:dyDescent="0.2">
      <c r="A742" s="49"/>
      <c r="B742" s="58"/>
    </row>
    <row r="743" spans="1:2" x14ac:dyDescent="0.2">
      <c r="A743" s="49"/>
      <c r="B743" s="58"/>
    </row>
    <row r="744" spans="1:2" x14ac:dyDescent="0.2">
      <c r="A744" s="49"/>
      <c r="B744" s="58"/>
    </row>
    <row r="745" spans="1:2" x14ac:dyDescent="0.2">
      <c r="A745" s="49"/>
      <c r="B745" s="58"/>
    </row>
    <row r="746" spans="1:2" x14ac:dyDescent="0.2">
      <c r="A746" s="49"/>
      <c r="B746" s="58"/>
    </row>
    <row r="747" spans="1:2" x14ac:dyDescent="0.2">
      <c r="A747" s="49"/>
      <c r="B747" s="58"/>
    </row>
    <row r="748" spans="1:2" x14ac:dyDescent="0.2">
      <c r="A748" s="49"/>
      <c r="B748" s="58"/>
    </row>
    <row r="749" spans="1:2" x14ac:dyDescent="0.2">
      <c r="A749" s="49"/>
      <c r="B749" s="58"/>
    </row>
    <row r="750" spans="1:2" x14ac:dyDescent="0.2">
      <c r="A750" s="49"/>
      <c r="B750" s="58"/>
    </row>
    <row r="751" spans="1:2" x14ac:dyDescent="0.2">
      <c r="A751" s="49"/>
      <c r="B751" s="58"/>
    </row>
    <row r="752" spans="1:2" x14ac:dyDescent="0.2">
      <c r="A752" s="49"/>
      <c r="B752" s="58"/>
    </row>
    <row r="753" spans="1:2" x14ac:dyDescent="0.2">
      <c r="A753" s="49"/>
      <c r="B753" s="58"/>
    </row>
    <row r="754" spans="1:2" x14ac:dyDescent="0.2">
      <c r="A754" s="49"/>
      <c r="B754" s="58"/>
    </row>
    <row r="755" spans="1:2" x14ac:dyDescent="0.2">
      <c r="A755" s="49"/>
      <c r="B755" s="58"/>
    </row>
    <row r="756" spans="1:2" x14ac:dyDescent="0.2">
      <c r="A756" s="49"/>
      <c r="B756" s="58"/>
    </row>
    <row r="757" spans="1:2" x14ac:dyDescent="0.2">
      <c r="A757" s="49"/>
      <c r="B757" s="58"/>
    </row>
    <row r="758" spans="1:2" x14ac:dyDescent="0.2">
      <c r="A758" s="49"/>
      <c r="B758" s="58"/>
    </row>
    <row r="759" spans="1:2" x14ac:dyDescent="0.2">
      <c r="A759" s="49"/>
      <c r="B759" s="58"/>
    </row>
    <row r="760" spans="1:2" x14ac:dyDescent="0.2">
      <c r="A760" s="49"/>
      <c r="B760" s="58"/>
    </row>
    <row r="761" spans="1:2" x14ac:dyDescent="0.2">
      <c r="A761" s="49"/>
      <c r="B761" s="58"/>
    </row>
    <row r="762" spans="1:2" x14ac:dyDescent="0.2">
      <c r="A762" s="49"/>
      <c r="B762" s="58"/>
    </row>
    <row r="763" spans="1:2" x14ac:dyDescent="0.2">
      <c r="A763" s="49"/>
      <c r="B763" s="58"/>
    </row>
    <row r="764" spans="1:2" x14ac:dyDescent="0.2">
      <c r="A764" s="49"/>
      <c r="B764" s="58"/>
    </row>
    <row r="765" spans="1:2" x14ac:dyDescent="0.2">
      <c r="A765" s="49"/>
      <c r="B765" s="58"/>
    </row>
    <row r="766" spans="1:2" x14ac:dyDescent="0.2">
      <c r="A766" s="49"/>
      <c r="B766" s="58"/>
    </row>
    <row r="767" spans="1:2" x14ac:dyDescent="0.2">
      <c r="A767" s="49"/>
      <c r="B767" s="58"/>
    </row>
    <row r="768" spans="1:2" x14ac:dyDescent="0.2">
      <c r="A768" s="49"/>
      <c r="B768" s="58"/>
    </row>
    <row r="769" spans="1:2" x14ac:dyDescent="0.2">
      <c r="A769" s="49"/>
      <c r="B769" s="58"/>
    </row>
    <row r="770" spans="1:2" x14ac:dyDescent="0.2">
      <c r="A770" s="49"/>
      <c r="B770" s="58"/>
    </row>
    <row r="771" spans="1:2" x14ac:dyDescent="0.2">
      <c r="A771" s="49"/>
      <c r="B771" s="58"/>
    </row>
    <row r="772" spans="1:2" x14ac:dyDescent="0.2">
      <c r="A772" s="49"/>
      <c r="B772" s="58"/>
    </row>
    <row r="773" spans="1:2" x14ac:dyDescent="0.2">
      <c r="A773" s="49"/>
      <c r="B773" s="58"/>
    </row>
    <row r="774" spans="1:2" x14ac:dyDescent="0.2">
      <c r="A774" s="49"/>
      <c r="B774" s="58"/>
    </row>
    <row r="775" spans="1:2" x14ac:dyDescent="0.2">
      <c r="A775" s="49"/>
      <c r="B775" s="58"/>
    </row>
    <row r="776" spans="1:2" x14ac:dyDescent="0.2">
      <c r="A776" s="49"/>
      <c r="B776" s="58"/>
    </row>
    <row r="777" spans="1:2" x14ac:dyDescent="0.2">
      <c r="A777" s="49"/>
      <c r="B777" s="58"/>
    </row>
    <row r="778" spans="1:2" x14ac:dyDescent="0.2">
      <c r="A778" s="49"/>
      <c r="B778" s="58"/>
    </row>
    <row r="779" spans="1:2" x14ac:dyDescent="0.2">
      <c r="A779" s="49"/>
      <c r="B779" s="58"/>
    </row>
    <row r="780" spans="1:2" x14ac:dyDescent="0.2">
      <c r="A780" s="49"/>
      <c r="B780" s="58"/>
    </row>
    <row r="781" spans="1:2" x14ac:dyDescent="0.2">
      <c r="A781" s="49"/>
      <c r="B781" s="58"/>
    </row>
    <row r="782" spans="1:2" x14ac:dyDescent="0.2">
      <c r="A782" s="49"/>
      <c r="B782" s="58"/>
    </row>
    <row r="783" spans="1:2" x14ac:dyDescent="0.2">
      <c r="A783" s="49"/>
      <c r="B783" s="58"/>
    </row>
    <row r="784" spans="1:2" x14ac:dyDescent="0.2">
      <c r="A784" s="49"/>
      <c r="B784" s="58"/>
    </row>
    <row r="785" spans="1:2" x14ac:dyDescent="0.2">
      <c r="A785" s="49"/>
      <c r="B785" s="58"/>
    </row>
    <row r="786" spans="1:2" x14ac:dyDescent="0.2">
      <c r="A786" s="49"/>
      <c r="B786" s="58"/>
    </row>
    <row r="787" spans="1:2" x14ac:dyDescent="0.2">
      <c r="A787" s="49"/>
      <c r="B787" s="58"/>
    </row>
    <row r="788" spans="1:2" x14ac:dyDescent="0.2">
      <c r="A788" s="49"/>
      <c r="B788" s="58"/>
    </row>
    <row r="789" spans="1:2" x14ac:dyDescent="0.2">
      <c r="A789" s="49"/>
      <c r="B789" s="58"/>
    </row>
    <row r="790" spans="1:2" x14ac:dyDescent="0.2">
      <c r="A790" s="49"/>
      <c r="B790" s="58"/>
    </row>
    <row r="791" spans="1:2" x14ac:dyDescent="0.2">
      <c r="A791" s="49"/>
      <c r="B791" s="58"/>
    </row>
    <row r="792" spans="1:2" x14ac:dyDescent="0.2">
      <c r="A792" s="49"/>
      <c r="B792" s="58"/>
    </row>
    <row r="793" spans="1:2" x14ac:dyDescent="0.2">
      <c r="A793" s="49"/>
      <c r="B793" s="58"/>
    </row>
    <row r="794" spans="1:2" x14ac:dyDescent="0.2">
      <c r="A794" s="49"/>
      <c r="B794" s="58"/>
    </row>
    <row r="795" spans="1:2" x14ac:dyDescent="0.2">
      <c r="A795" s="49"/>
      <c r="B795" s="58"/>
    </row>
    <row r="796" spans="1:2" x14ac:dyDescent="0.2">
      <c r="A796" s="49"/>
      <c r="B796" s="58"/>
    </row>
    <row r="797" spans="1:2" x14ac:dyDescent="0.2">
      <c r="A797" s="49"/>
      <c r="B797" s="58"/>
    </row>
    <row r="798" spans="1:2" x14ac:dyDescent="0.2">
      <c r="A798" s="49"/>
      <c r="B798" s="58"/>
    </row>
    <row r="799" spans="1:2" x14ac:dyDescent="0.2">
      <c r="A799" s="49"/>
      <c r="B799" s="58"/>
    </row>
    <row r="800" spans="1:2" x14ac:dyDescent="0.2">
      <c r="A800" s="49"/>
      <c r="B800" s="58"/>
    </row>
    <row r="801" spans="1:2" x14ac:dyDescent="0.2">
      <c r="A801" s="49"/>
      <c r="B801" s="58"/>
    </row>
    <row r="802" spans="1:2" x14ac:dyDescent="0.2">
      <c r="A802" s="49"/>
      <c r="B802" s="58"/>
    </row>
    <row r="803" spans="1:2" x14ac:dyDescent="0.2">
      <c r="A803" s="49"/>
      <c r="B803" s="58"/>
    </row>
    <row r="804" spans="1:2" x14ac:dyDescent="0.2">
      <c r="A804" s="49"/>
      <c r="B804" s="58"/>
    </row>
    <row r="805" spans="1:2" x14ac:dyDescent="0.2">
      <c r="A805" s="49"/>
      <c r="B805" s="58"/>
    </row>
    <row r="806" spans="1:2" x14ac:dyDescent="0.2">
      <c r="A806" s="49"/>
      <c r="B806" s="58"/>
    </row>
    <row r="807" spans="1:2" x14ac:dyDescent="0.2">
      <c r="A807" s="49"/>
      <c r="B807" s="58"/>
    </row>
    <row r="808" spans="1:2" x14ac:dyDescent="0.2">
      <c r="A808" s="49"/>
      <c r="B808" s="58"/>
    </row>
    <row r="809" spans="1:2" x14ac:dyDescent="0.2">
      <c r="A809" s="49"/>
      <c r="B809" s="58"/>
    </row>
    <row r="810" spans="1:2" x14ac:dyDescent="0.2">
      <c r="A810" s="49"/>
      <c r="B810" s="58"/>
    </row>
    <row r="811" spans="1:2" x14ac:dyDescent="0.2">
      <c r="A811" s="49"/>
      <c r="B811" s="58"/>
    </row>
    <row r="812" spans="1:2" x14ac:dyDescent="0.2">
      <c r="A812" s="49"/>
      <c r="B812" s="58"/>
    </row>
    <row r="813" spans="1:2" x14ac:dyDescent="0.2">
      <c r="A813" s="49"/>
      <c r="B813" s="58"/>
    </row>
    <row r="814" spans="1:2" x14ac:dyDescent="0.2">
      <c r="A814" s="49"/>
      <c r="B814" s="58"/>
    </row>
    <row r="815" spans="1:2" x14ac:dyDescent="0.2">
      <c r="A815" s="49"/>
      <c r="B815" s="58"/>
    </row>
    <row r="816" spans="1:2" x14ac:dyDescent="0.2">
      <c r="A816" s="49"/>
      <c r="B816" s="58"/>
    </row>
    <row r="817" spans="1:2" x14ac:dyDescent="0.2">
      <c r="A817" s="49"/>
      <c r="B817" s="58"/>
    </row>
    <row r="818" spans="1:2" x14ac:dyDescent="0.2">
      <c r="A818" s="49"/>
      <c r="B818" s="58"/>
    </row>
    <row r="819" spans="1:2" x14ac:dyDescent="0.2">
      <c r="A819" s="49"/>
      <c r="B819" s="58"/>
    </row>
    <row r="820" spans="1:2" x14ac:dyDescent="0.2">
      <c r="A820" s="49"/>
      <c r="B820" s="58"/>
    </row>
    <row r="821" spans="1:2" x14ac:dyDescent="0.2">
      <c r="A821" s="49"/>
      <c r="B821" s="58"/>
    </row>
    <row r="822" spans="1:2" x14ac:dyDescent="0.2">
      <c r="A822" s="49"/>
      <c r="B822" s="58"/>
    </row>
    <row r="823" spans="1:2" x14ac:dyDescent="0.2">
      <c r="A823" s="49"/>
      <c r="B823" s="58"/>
    </row>
    <row r="824" spans="1:2" x14ac:dyDescent="0.2">
      <c r="A824" s="49"/>
      <c r="B824" s="58"/>
    </row>
    <row r="825" spans="1:2" x14ac:dyDescent="0.2">
      <c r="A825" s="49"/>
      <c r="B825" s="58"/>
    </row>
    <row r="826" spans="1:2" x14ac:dyDescent="0.2">
      <c r="A826" s="49"/>
      <c r="B826" s="58"/>
    </row>
    <row r="827" spans="1:2" x14ac:dyDescent="0.2">
      <c r="A827" s="49"/>
      <c r="B827" s="58"/>
    </row>
    <row r="828" spans="1:2" x14ac:dyDescent="0.2">
      <c r="A828" s="49"/>
      <c r="B828" s="58"/>
    </row>
    <row r="829" spans="1:2" x14ac:dyDescent="0.2">
      <c r="A829" s="49"/>
      <c r="B829" s="58"/>
    </row>
    <row r="830" spans="1:2" x14ac:dyDescent="0.2">
      <c r="A830" s="49"/>
      <c r="B830" s="58"/>
    </row>
    <row r="831" spans="1:2" x14ac:dyDescent="0.2">
      <c r="A831" s="49"/>
      <c r="B831" s="58"/>
    </row>
    <row r="832" spans="1:2" x14ac:dyDescent="0.2">
      <c r="A832" s="49"/>
      <c r="B832" s="58"/>
    </row>
    <row r="833" spans="1:2" x14ac:dyDescent="0.2">
      <c r="A833" s="49"/>
      <c r="B833" s="58"/>
    </row>
    <row r="834" spans="1:2" x14ac:dyDescent="0.2">
      <c r="A834" s="49"/>
      <c r="B834" s="58"/>
    </row>
    <row r="835" spans="1:2" x14ac:dyDescent="0.2">
      <c r="A835" s="49"/>
      <c r="B835" s="58"/>
    </row>
    <row r="836" spans="1:2" x14ac:dyDescent="0.2">
      <c r="A836" s="49"/>
      <c r="B836" s="58"/>
    </row>
    <row r="837" spans="1:2" x14ac:dyDescent="0.2">
      <c r="A837" s="49"/>
      <c r="B837" s="58"/>
    </row>
    <row r="838" spans="1:2" x14ac:dyDescent="0.2">
      <c r="A838" s="49"/>
      <c r="B838" s="58"/>
    </row>
    <row r="839" spans="1:2" x14ac:dyDescent="0.2">
      <c r="A839" s="49"/>
      <c r="B839" s="58"/>
    </row>
    <row r="840" spans="1:2" x14ac:dyDescent="0.2">
      <c r="A840" s="49"/>
      <c r="B840" s="58"/>
    </row>
    <row r="841" spans="1:2" x14ac:dyDescent="0.2">
      <c r="A841" s="49"/>
      <c r="B841" s="58"/>
    </row>
    <row r="842" spans="1:2" x14ac:dyDescent="0.2">
      <c r="A842" s="49"/>
      <c r="B842" s="58"/>
    </row>
    <row r="843" spans="1:2" x14ac:dyDescent="0.2">
      <c r="A843" s="49"/>
      <c r="B843" s="58"/>
    </row>
    <row r="844" spans="1:2" x14ac:dyDescent="0.2">
      <c r="A844" s="49"/>
      <c r="B844" s="58"/>
    </row>
    <row r="845" spans="1:2" x14ac:dyDescent="0.2">
      <c r="A845" s="49"/>
      <c r="B845" s="58"/>
    </row>
    <row r="846" spans="1:2" x14ac:dyDescent="0.2">
      <c r="A846" s="49"/>
      <c r="B846" s="58"/>
    </row>
    <row r="847" spans="1:2" x14ac:dyDescent="0.2">
      <c r="A847" s="49"/>
      <c r="B847" s="58"/>
    </row>
    <row r="848" spans="1:2" x14ac:dyDescent="0.2">
      <c r="A848" s="49"/>
      <c r="B848" s="58"/>
    </row>
    <row r="849" spans="1:2" x14ac:dyDescent="0.2">
      <c r="A849" s="49"/>
      <c r="B849" s="58"/>
    </row>
    <row r="850" spans="1:2" x14ac:dyDescent="0.2">
      <c r="A850" s="49"/>
      <c r="B850" s="58"/>
    </row>
    <row r="851" spans="1:2" x14ac:dyDescent="0.2">
      <c r="A851" s="49"/>
      <c r="B851" s="58"/>
    </row>
    <row r="852" spans="1:2" x14ac:dyDescent="0.2">
      <c r="A852" s="49"/>
      <c r="B852" s="58"/>
    </row>
    <row r="853" spans="1:2" x14ac:dyDescent="0.2">
      <c r="A853" s="49"/>
      <c r="B853" s="58"/>
    </row>
    <row r="854" spans="1:2" x14ac:dyDescent="0.2">
      <c r="A854" s="49"/>
      <c r="B854" s="58"/>
    </row>
    <row r="855" spans="1:2" x14ac:dyDescent="0.2">
      <c r="A855" s="49"/>
      <c r="B855" s="58"/>
    </row>
    <row r="856" spans="1:2" x14ac:dyDescent="0.2">
      <c r="A856" s="49"/>
      <c r="B856" s="58"/>
    </row>
    <row r="857" spans="1:2" x14ac:dyDescent="0.2">
      <c r="A857" s="49"/>
      <c r="B857" s="58"/>
    </row>
    <row r="858" spans="1:2" x14ac:dyDescent="0.2">
      <c r="A858" s="49"/>
      <c r="B858" s="58"/>
    </row>
    <row r="859" spans="1:2" x14ac:dyDescent="0.2">
      <c r="A859" s="49"/>
      <c r="B859" s="58"/>
    </row>
    <row r="860" spans="1:2" x14ac:dyDescent="0.2">
      <c r="A860" s="49"/>
      <c r="B860" s="58"/>
    </row>
    <row r="861" spans="1:2" x14ac:dyDescent="0.2">
      <c r="A861" s="49"/>
      <c r="B861" s="58"/>
    </row>
    <row r="862" spans="1:2" x14ac:dyDescent="0.2">
      <c r="A862" s="49"/>
      <c r="B862" s="58"/>
    </row>
    <row r="863" spans="1:2" x14ac:dyDescent="0.2">
      <c r="A863" s="49"/>
      <c r="B863" s="58"/>
    </row>
    <row r="864" spans="1:2" x14ac:dyDescent="0.2">
      <c r="A864" s="49"/>
      <c r="B864" s="58"/>
    </row>
    <row r="865" spans="1:2" x14ac:dyDescent="0.2">
      <c r="A865" s="49"/>
      <c r="B865" s="58"/>
    </row>
    <row r="866" spans="1:2" x14ac:dyDescent="0.2">
      <c r="A866" s="49"/>
      <c r="B866" s="58"/>
    </row>
    <row r="867" spans="1:2" x14ac:dyDescent="0.2">
      <c r="A867" s="49"/>
      <c r="B867" s="58"/>
    </row>
    <row r="868" spans="1:2" x14ac:dyDescent="0.2">
      <c r="A868" s="49"/>
      <c r="B868" s="58"/>
    </row>
    <row r="869" spans="1:2" x14ac:dyDescent="0.2">
      <c r="A869" s="49"/>
      <c r="B869" s="58"/>
    </row>
    <row r="870" spans="1:2" x14ac:dyDescent="0.2">
      <c r="A870" s="49"/>
      <c r="B870" s="58"/>
    </row>
    <row r="871" spans="1:2" x14ac:dyDescent="0.2">
      <c r="A871" s="49"/>
      <c r="B871" s="58"/>
    </row>
    <row r="872" spans="1:2" x14ac:dyDescent="0.2">
      <c r="A872" s="49"/>
      <c r="B872" s="58"/>
    </row>
    <row r="873" spans="1:2" x14ac:dyDescent="0.2">
      <c r="A873" s="49"/>
      <c r="B873" s="58"/>
    </row>
    <row r="874" spans="1:2" x14ac:dyDescent="0.2">
      <c r="A874" s="49"/>
      <c r="B874" s="58"/>
    </row>
    <row r="875" spans="1:2" x14ac:dyDescent="0.2">
      <c r="A875" s="49"/>
      <c r="B875" s="58"/>
    </row>
    <row r="876" spans="1:2" x14ac:dyDescent="0.2">
      <c r="A876" s="49"/>
      <c r="B876" s="58"/>
    </row>
    <row r="877" spans="1:2" x14ac:dyDescent="0.2">
      <c r="A877" s="49"/>
      <c r="B877" s="58"/>
    </row>
    <row r="878" spans="1:2" x14ac:dyDescent="0.2">
      <c r="A878" s="49"/>
      <c r="B878" s="58"/>
    </row>
    <row r="879" spans="1:2" x14ac:dyDescent="0.2">
      <c r="A879" s="49"/>
      <c r="B879" s="58"/>
    </row>
    <row r="880" spans="1:2" x14ac:dyDescent="0.2">
      <c r="A880" s="49"/>
      <c r="B880" s="58"/>
    </row>
    <row r="881" spans="1:2" x14ac:dyDescent="0.2">
      <c r="A881" s="49"/>
      <c r="B881" s="58"/>
    </row>
    <row r="882" spans="1:2" x14ac:dyDescent="0.2">
      <c r="A882" s="49"/>
      <c r="B882" s="58"/>
    </row>
    <row r="883" spans="1:2" x14ac:dyDescent="0.2">
      <c r="A883" s="49"/>
      <c r="B883" s="58"/>
    </row>
    <row r="884" spans="1:2" x14ac:dyDescent="0.2">
      <c r="A884" s="49"/>
      <c r="B884" s="58"/>
    </row>
    <row r="885" spans="1:2" x14ac:dyDescent="0.2">
      <c r="A885" s="49"/>
      <c r="B885" s="58"/>
    </row>
    <row r="886" spans="1:2" x14ac:dyDescent="0.2">
      <c r="A886" s="49"/>
      <c r="B886" s="58"/>
    </row>
    <row r="887" spans="1:2" x14ac:dyDescent="0.2">
      <c r="A887" s="49"/>
      <c r="B887" s="58"/>
    </row>
    <row r="888" spans="1:2" x14ac:dyDescent="0.2">
      <c r="A888" s="49"/>
      <c r="B888" s="58"/>
    </row>
    <row r="889" spans="1:2" x14ac:dyDescent="0.2">
      <c r="A889" s="49"/>
      <c r="B889" s="58"/>
    </row>
    <row r="890" spans="1:2" x14ac:dyDescent="0.2">
      <c r="A890" s="49"/>
      <c r="B890" s="58"/>
    </row>
    <row r="891" spans="1:2" x14ac:dyDescent="0.2">
      <c r="A891" s="49"/>
      <c r="B891" s="58"/>
    </row>
    <row r="892" spans="1:2" x14ac:dyDescent="0.2">
      <c r="A892" s="49"/>
      <c r="B892" s="58"/>
    </row>
    <row r="893" spans="1:2" x14ac:dyDescent="0.2">
      <c r="A893" s="49"/>
      <c r="B893" s="58"/>
    </row>
    <row r="894" spans="1:2" x14ac:dyDescent="0.2">
      <c r="A894" s="49"/>
      <c r="B894" s="58"/>
    </row>
    <row r="895" spans="1:2" x14ac:dyDescent="0.2">
      <c r="A895" s="49"/>
      <c r="B895" s="58"/>
    </row>
    <row r="896" spans="1:2" x14ac:dyDescent="0.2">
      <c r="A896" s="49"/>
      <c r="B896" s="58"/>
    </row>
    <row r="897" spans="1:2" x14ac:dyDescent="0.2">
      <c r="A897" s="49"/>
      <c r="B897" s="58"/>
    </row>
    <row r="898" spans="1:2" x14ac:dyDescent="0.2">
      <c r="A898" s="49"/>
      <c r="B898" s="58"/>
    </row>
    <row r="899" spans="1:2" x14ac:dyDescent="0.2">
      <c r="A899" s="49"/>
      <c r="B899" s="58"/>
    </row>
    <row r="900" spans="1:2" x14ac:dyDescent="0.2">
      <c r="A900" s="49"/>
      <c r="B900" s="58"/>
    </row>
    <row r="901" spans="1:2" x14ac:dyDescent="0.2">
      <c r="A901" s="49"/>
      <c r="B901" s="58"/>
    </row>
    <row r="902" spans="1:2" x14ac:dyDescent="0.2">
      <c r="A902" s="49"/>
      <c r="B902" s="58"/>
    </row>
    <row r="903" spans="1:2" x14ac:dyDescent="0.2">
      <c r="A903" s="49"/>
      <c r="B903" s="58"/>
    </row>
    <row r="904" spans="1:2" x14ac:dyDescent="0.2">
      <c r="A904" s="49"/>
      <c r="B904" s="58"/>
    </row>
    <row r="905" spans="1:2" x14ac:dyDescent="0.2">
      <c r="A905" s="49"/>
      <c r="B905" s="58"/>
    </row>
    <row r="906" spans="1:2" x14ac:dyDescent="0.2">
      <c r="A906" s="49"/>
      <c r="B906" s="58"/>
    </row>
    <row r="907" spans="1:2" x14ac:dyDescent="0.2">
      <c r="A907" s="49"/>
      <c r="B907" s="58"/>
    </row>
    <row r="908" spans="1:2" x14ac:dyDescent="0.2">
      <c r="A908" s="49"/>
      <c r="B908" s="58"/>
    </row>
    <row r="909" spans="1:2" x14ac:dyDescent="0.2">
      <c r="A909" s="49"/>
      <c r="B909" s="58"/>
    </row>
    <row r="910" spans="1:2" x14ac:dyDescent="0.2">
      <c r="A910" s="49"/>
      <c r="B910" s="58"/>
    </row>
    <row r="911" spans="1:2" x14ac:dyDescent="0.2">
      <c r="A911" s="49"/>
      <c r="B911" s="58"/>
    </row>
    <row r="912" spans="1:2" x14ac:dyDescent="0.2">
      <c r="A912" s="49"/>
      <c r="B912" s="58"/>
    </row>
    <row r="913" spans="1:2" x14ac:dyDescent="0.2">
      <c r="A913" s="49"/>
      <c r="B913" s="58"/>
    </row>
    <row r="914" spans="1:2" x14ac:dyDescent="0.2">
      <c r="A914" s="49"/>
      <c r="B914" s="58"/>
    </row>
    <row r="915" spans="1:2" x14ac:dyDescent="0.2">
      <c r="A915" s="49"/>
      <c r="B915" s="58"/>
    </row>
    <row r="916" spans="1:2" x14ac:dyDescent="0.2">
      <c r="A916" s="49"/>
      <c r="B916" s="58"/>
    </row>
    <row r="917" spans="1:2" x14ac:dyDescent="0.2">
      <c r="A917" s="49"/>
      <c r="B917" s="58"/>
    </row>
    <row r="918" spans="1:2" x14ac:dyDescent="0.2">
      <c r="A918" s="49"/>
      <c r="B918" s="58"/>
    </row>
    <row r="919" spans="1:2" x14ac:dyDescent="0.2">
      <c r="A919" s="49"/>
      <c r="B919" s="58"/>
    </row>
    <row r="920" spans="1:2" x14ac:dyDescent="0.2">
      <c r="A920" s="49"/>
      <c r="B920" s="58"/>
    </row>
    <row r="921" spans="1:2" x14ac:dyDescent="0.2">
      <c r="A921" s="49"/>
      <c r="B921" s="58"/>
    </row>
    <row r="922" spans="1:2" x14ac:dyDescent="0.2">
      <c r="A922" s="49"/>
      <c r="B922" s="58"/>
    </row>
    <row r="923" spans="1:2" x14ac:dyDescent="0.2">
      <c r="A923" s="49"/>
      <c r="B923" s="58"/>
    </row>
    <row r="924" spans="1:2" x14ac:dyDescent="0.2">
      <c r="A924" s="49"/>
      <c r="B924" s="58"/>
    </row>
    <row r="925" spans="1:2" x14ac:dyDescent="0.2">
      <c r="A925" s="49"/>
      <c r="B925" s="58"/>
    </row>
    <row r="926" spans="1:2" x14ac:dyDescent="0.2">
      <c r="A926" s="49"/>
      <c r="B926" s="58"/>
    </row>
    <row r="927" spans="1:2" x14ac:dyDescent="0.2">
      <c r="A927" s="49"/>
      <c r="B927" s="58"/>
    </row>
    <row r="928" spans="1:2" x14ac:dyDescent="0.2">
      <c r="A928" s="49"/>
      <c r="B928" s="58"/>
    </row>
    <row r="929" spans="1:2" x14ac:dyDescent="0.2">
      <c r="A929" s="49"/>
      <c r="B929" s="58"/>
    </row>
    <row r="930" spans="1:2" x14ac:dyDescent="0.2">
      <c r="A930" s="49"/>
      <c r="B930" s="58"/>
    </row>
    <row r="931" spans="1:2" x14ac:dyDescent="0.2">
      <c r="A931" s="49"/>
      <c r="B931" s="58"/>
    </row>
    <row r="932" spans="1:2" x14ac:dyDescent="0.2">
      <c r="A932" s="49"/>
      <c r="B932" s="58"/>
    </row>
    <row r="933" spans="1:2" x14ac:dyDescent="0.2">
      <c r="A933" s="49"/>
      <c r="B933" s="58"/>
    </row>
    <row r="934" spans="1:2" x14ac:dyDescent="0.2">
      <c r="A934" s="49"/>
      <c r="B934" s="58"/>
    </row>
    <row r="935" spans="1:2" x14ac:dyDescent="0.2">
      <c r="A935" s="49"/>
      <c r="B935" s="58"/>
    </row>
    <row r="936" spans="1:2" x14ac:dyDescent="0.2">
      <c r="A936" s="49"/>
      <c r="B936" s="58"/>
    </row>
    <row r="937" spans="1:2" x14ac:dyDescent="0.2">
      <c r="A937" s="49"/>
      <c r="B937" s="58"/>
    </row>
    <row r="938" spans="1:2" x14ac:dyDescent="0.2">
      <c r="A938" s="49"/>
      <c r="B938" s="58"/>
    </row>
    <row r="939" spans="1:2" x14ac:dyDescent="0.2">
      <c r="A939" s="49"/>
      <c r="B939" s="58"/>
    </row>
    <row r="940" spans="1:2" x14ac:dyDescent="0.2">
      <c r="A940" s="49"/>
      <c r="B940" s="58"/>
    </row>
    <row r="941" spans="1:2" x14ac:dyDescent="0.2">
      <c r="A941" s="49"/>
      <c r="B941" s="58"/>
    </row>
    <row r="942" spans="1:2" x14ac:dyDescent="0.2">
      <c r="A942" s="49"/>
      <c r="B942" s="58"/>
    </row>
    <row r="943" spans="1:2" x14ac:dyDescent="0.2">
      <c r="A943" s="49"/>
      <c r="B943" s="58"/>
    </row>
    <row r="944" spans="1:2" x14ac:dyDescent="0.2">
      <c r="A944" s="49"/>
      <c r="B944" s="58"/>
    </row>
    <row r="945" spans="1:2" x14ac:dyDescent="0.2">
      <c r="A945" s="49"/>
      <c r="B945" s="58"/>
    </row>
    <row r="946" spans="1:2" x14ac:dyDescent="0.2">
      <c r="A946" s="49"/>
      <c r="B946" s="58"/>
    </row>
    <row r="947" spans="1:2" x14ac:dyDescent="0.2">
      <c r="A947" s="49"/>
      <c r="B947" s="58"/>
    </row>
    <row r="948" spans="1:2" x14ac:dyDescent="0.2">
      <c r="A948" s="49"/>
      <c r="B948" s="58"/>
    </row>
    <row r="949" spans="1:2" x14ac:dyDescent="0.2">
      <c r="A949" s="49"/>
      <c r="B949" s="58"/>
    </row>
    <row r="950" spans="1:2" x14ac:dyDescent="0.2">
      <c r="A950" s="49"/>
      <c r="B950" s="58"/>
    </row>
    <row r="951" spans="1:2" x14ac:dyDescent="0.2">
      <c r="A951" s="49"/>
      <c r="B951" s="58"/>
    </row>
    <row r="952" spans="1:2" x14ac:dyDescent="0.2">
      <c r="A952" s="49"/>
      <c r="B952" s="58"/>
    </row>
    <row r="953" spans="1:2" x14ac:dyDescent="0.2">
      <c r="A953" s="49"/>
      <c r="B953" s="58"/>
    </row>
    <row r="954" spans="1:2" x14ac:dyDescent="0.2">
      <c r="A954" s="49"/>
      <c r="B954" s="58"/>
    </row>
    <row r="955" spans="1:2" x14ac:dyDescent="0.2">
      <c r="A955" s="49"/>
      <c r="B955" s="58"/>
    </row>
    <row r="956" spans="1:2" x14ac:dyDescent="0.2">
      <c r="A956" s="49"/>
      <c r="B956" s="58"/>
    </row>
    <row r="957" spans="1:2" x14ac:dyDescent="0.2">
      <c r="A957" s="49"/>
      <c r="B957" s="58"/>
    </row>
    <row r="958" spans="1:2" x14ac:dyDescent="0.2">
      <c r="A958" s="49"/>
      <c r="B958" s="58"/>
    </row>
    <row r="959" spans="1:2" x14ac:dyDescent="0.2">
      <c r="A959" s="49"/>
      <c r="B959" s="58"/>
    </row>
    <row r="960" spans="1:2" x14ac:dyDescent="0.2">
      <c r="A960" s="49"/>
      <c r="B960" s="58"/>
    </row>
    <row r="961" spans="1:2" x14ac:dyDescent="0.2">
      <c r="A961" s="49"/>
      <c r="B961" s="58"/>
    </row>
    <row r="962" spans="1:2" x14ac:dyDescent="0.2">
      <c r="A962" s="49"/>
      <c r="B962" s="58"/>
    </row>
    <row r="963" spans="1:2" x14ac:dyDescent="0.2">
      <c r="A963" s="49"/>
      <c r="B963" s="58"/>
    </row>
    <row r="964" spans="1:2" x14ac:dyDescent="0.2">
      <c r="A964" s="49"/>
      <c r="B964" s="58"/>
    </row>
    <row r="965" spans="1:2" x14ac:dyDescent="0.2">
      <c r="A965" s="49"/>
      <c r="B965" s="58"/>
    </row>
    <row r="966" spans="1:2" x14ac:dyDescent="0.2">
      <c r="A966" s="49"/>
      <c r="B966" s="58"/>
    </row>
    <row r="967" spans="1:2" x14ac:dyDescent="0.2">
      <c r="A967" s="49"/>
      <c r="B967" s="58"/>
    </row>
    <row r="968" spans="1:2" x14ac:dyDescent="0.2">
      <c r="A968" s="49"/>
      <c r="B968" s="58"/>
    </row>
    <row r="969" spans="1:2" x14ac:dyDescent="0.2">
      <c r="A969" s="49"/>
      <c r="B969" s="58"/>
    </row>
    <row r="970" spans="1:2" x14ac:dyDescent="0.2">
      <c r="A970" s="49"/>
      <c r="B970" s="58"/>
    </row>
    <row r="971" spans="1:2" x14ac:dyDescent="0.2">
      <c r="A971" s="49"/>
      <c r="B971" s="58"/>
    </row>
    <row r="972" spans="1:2" x14ac:dyDescent="0.2">
      <c r="A972" s="49"/>
      <c r="B972" s="58"/>
    </row>
    <row r="973" spans="1:2" x14ac:dyDescent="0.2">
      <c r="A973" s="49"/>
      <c r="B973" s="58"/>
    </row>
    <row r="974" spans="1:2" x14ac:dyDescent="0.2">
      <c r="A974" s="49"/>
      <c r="B974" s="58"/>
    </row>
    <row r="975" spans="1:2" x14ac:dyDescent="0.2">
      <c r="A975" s="49"/>
      <c r="B975" s="58"/>
    </row>
    <row r="976" spans="1:2" x14ac:dyDescent="0.2">
      <c r="A976" s="49"/>
      <c r="B976" s="58"/>
    </row>
    <row r="977" spans="1:2" x14ac:dyDescent="0.2">
      <c r="A977" s="49"/>
      <c r="B977" s="58"/>
    </row>
    <row r="978" spans="1:2" x14ac:dyDescent="0.2">
      <c r="A978" s="49"/>
      <c r="B978" s="58"/>
    </row>
    <row r="979" spans="1:2" x14ac:dyDescent="0.2">
      <c r="A979" s="49"/>
      <c r="B979" s="58"/>
    </row>
    <row r="980" spans="1:2" x14ac:dyDescent="0.2">
      <c r="A980" s="49"/>
      <c r="B980" s="58"/>
    </row>
    <row r="981" spans="1:2" x14ac:dyDescent="0.2">
      <c r="A981" s="49"/>
      <c r="B981" s="58"/>
    </row>
    <row r="982" spans="1:2" x14ac:dyDescent="0.2">
      <c r="A982" s="49"/>
      <c r="B982" s="58"/>
    </row>
    <row r="983" spans="1:2" x14ac:dyDescent="0.2">
      <c r="A983" s="49"/>
      <c r="B983" s="58"/>
    </row>
    <row r="984" spans="1:2" x14ac:dyDescent="0.2">
      <c r="A984" s="49"/>
      <c r="B984" s="58"/>
    </row>
    <row r="985" spans="1:2" x14ac:dyDescent="0.2">
      <c r="A985" s="49"/>
      <c r="B985" s="58"/>
    </row>
    <row r="986" spans="1:2" x14ac:dyDescent="0.2">
      <c r="A986" s="49"/>
      <c r="B986" s="58"/>
    </row>
    <row r="987" spans="1:2" x14ac:dyDescent="0.2">
      <c r="A987" s="49"/>
      <c r="B987" s="58"/>
    </row>
    <row r="988" spans="1:2" x14ac:dyDescent="0.2">
      <c r="A988" s="49"/>
      <c r="B988" s="58"/>
    </row>
    <row r="989" spans="1:2" x14ac:dyDescent="0.2">
      <c r="A989" s="49"/>
      <c r="B989" s="58"/>
    </row>
    <row r="990" spans="1:2" x14ac:dyDescent="0.2">
      <c r="A990" s="49"/>
      <c r="B990" s="58"/>
    </row>
    <row r="991" spans="1:2" x14ac:dyDescent="0.2">
      <c r="A991" s="49"/>
      <c r="B991" s="58"/>
    </row>
    <row r="992" spans="1:2" x14ac:dyDescent="0.2">
      <c r="A992" s="49"/>
      <c r="B992" s="58"/>
    </row>
    <row r="993" spans="1:2" x14ac:dyDescent="0.2">
      <c r="A993" s="49"/>
      <c r="B993" s="58"/>
    </row>
    <row r="994" spans="1:2" x14ac:dyDescent="0.2">
      <c r="A994" s="49"/>
      <c r="B994" s="58"/>
    </row>
    <row r="995" spans="1:2" x14ac:dyDescent="0.2">
      <c r="A995" s="49"/>
      <c r="B995" s="58"/>
    </row>
    <row r="996" spans="1:2" x14ac:dyDescent="0.2">
      <c r="A996" s="49"/>
      <c r="B996" s="58"/>
    </row>
    <row r="997" spans="1:2" x14ac:dyDescent="0.2">
      <c r="A997" s="49"/>
      <c r="B997" s="58"/>
    </row>
    <row r="998" spans="1:2" x14ac:dyDescent="0.2">
      <c r="A998" s="49"/>
      <c r="B998" s="58"/>
    </row>
    <row r="999" spans="1:2" x14ac:dyDescent="0.2">
      <c r="A999" s="49"/>
      <c r="B999" s="58"/>
    </row>
    <row r="1000" spans="1:2" x14ac:dyDescent="0.2">
      <c r="A1000" s="49"/>
      <c r="B1000" s="58"/>
    </row>
    <row r="1001" spans="1:2" x14ac:dyDescent="0.2">
      <c r="A1001" s="49"/>
      <c r="B1001" s="58"/>
    </row>
    <row r="1002" spans="1:2" x14ac:dyDescent="0.2">
      <c r="A1002" s="49"/>
      <c r="B1002" s="58"/>
    </row>
    <row r="1003" spans="1:2" x14ac:dyDescent="0.2">
      <c r="A1003" s="49"/>
      <c r="B1003" s="58"/>
    </row>
    <row r="1004" spans="1:2" x14ac:dyDescent="0.2">
      <c r="A1004" s="49"/>
      <c r="B1004" s="58"/>
    </row>
    <row r="1005" spans="1:2" x14ac:dyDescent="0.2">
      <c r="A1005" s="49"/>
      <c r="B1005" s="58"/>
    </row>
    <row r="1006" spans="1:2" x14ac:dyDescent="0.2">
      <c r="A1006" s="49"/>
      <c r="B1006" s="58"/>
    </row>
    <row r="1007" spans="1:2" x14ac:dyDescent="0.2">
      <c r="A1007" s="49"/>
      <c r="B1007" s="58"/>
    </row>
    <row r="1008" spans="1:2" x14ac:dyDescent="0.2">
      <c r="A1008" s="49"/>
      <c r="B1008" s="58"/>
    </row>
    <row r="1009" spans="1:2" x14ac:dyDescent="0.2">
      <c r="A1009" s="49"/>
      <c r="B1009" s="58"/>
    </row>
    <row r="1010" spans="1:2" x14ac:dyDescent="0.2">
      <c r="A1010" s="49"/>
      <c r="B1010" s="58"/>
    </row>
    <row r="1011" spans="1:2" x14ac:dyDescent="0.2">
      <c r="A1011" s="49"/>
      <c r="B1011" s="58"/>
    </row>
    <row r="1012" spans="1:2" x14ac:dyDescent="0.2">
      <c r="A1012" s="49"/>
      <c r="B1012" s="58"/>
    </row>
    <row r="1013" spans="1:2" x14ac:dyDescent="0.2">
      <c r="A1013" s="49"/>
      <c r="B1013" s="58"/>
    </row>
    <row r="1014" spans="1:2" x14ac:dyDescent="0.2">
      <c r="A1014" s="49"/>
      <c r="B1014" s="58"/>
    </row>
    <row r="1015" spans="1:2" x14ac:dyDescent="0.2">
      <c r="A1015" s="49"/>
      <c r="B1015" s="58"/>
    </row>
    <row r="1016" spans="1:2" x14ac:dyDescent="0.2">
      <c r="A1016" s="49"/>
      <c r="B1016" s="58"/>
    </row>
    <row r="1017" spans="1:2" x14ac:dyDescent="0.2">
      <c r="A1017" s="49"/>
      <c r="B1017" s="58"/>
    </row>
    <row r="1018" spans="1:2" x14ac:dyDescent="0.2">
      <c r="A1018" s="49"/>
      <c r="B1018" s="58"/>
    </row>
    <row r="1019" spans="1:2" x14ac:dyDescent="0.2">
      <c r="A1019" s="49"/>
      <c r="B1019" s="58"/>
    </row>
    <row r="1020" spans="1:2" x14ac:dyDescent="0.2">
      <c r="A1020" s="49"/>
      <c r="B1020" s="58"/>
    </row>
    <row r="1021" spans="1:2" x14ac:dyDescent="0.2">
      <c r="A1021" s="49"/>
      <c r="B1021" s="58"/>
    </row>
    <row r="1022" spans="1:2" x14ac:dyDescent="0.2">
      <c r="A1022" s="49"/>
      <c r="B1022" s="58"/>
    </row>
    <row r="1023" spans="1:2" x14ac:dyDescent="0.2">
      <c r="A1023" s="49"/>
      <c r="B1023" s="58"/>
    </row>
    <row r="1024" spans="1:2" x14ac:dyDescent="0.2">
      <c r="A1024" s="49"/>
      <c r="B1024" s="58"/>
    </row>
    <row r="1025" spans="1:2" x14ac:dyDescent="0.2">
      <c r="A1025" s="49"/>
      <c r="B1025" s="58"/>
    </row>
    <row r="1026" spans="1:2" x14ac:dyDescent="0.2">
      <c r="A1026" s="49"/>
      <c r="B1026" s="58"/>
    </row>
    <row r="1027" spans="1:2" x14ac:dyDescent="0.2">
      <c r="A1027" s="49"/>
      <c r="B1027" s="58"/>
    </row>
    <row r="1028" spans="1:2" x14ac:dyDescent="0.2">
      <c r="A1028" s="49"/>
      <c r="B1028" s="58"/>
    </row>
    <row r="1029" spans="1:2" x14ac:dyDescent="0.2">
      <c r="A1029" s="49"/>
      <c r="B1029" s="58"/>
    </row>
    <row r="1030" spans="1:2" x14ac:dyDescent="0.2">
      <c r="A1030" s="49"/>
      <c r="B1030" s="58"/>
    </row>
    <row r="1031" spans="1:2" x14ac:dyDescent="0.2">
      <c r="A1031" s="49"/>
      <c r="B1031" s="58"/>
    </row>
    <row r="1032" spans="1:2" x14ac:dyDescent="0.2">
      <c r="A1032" s="49"/>
      <c r="B1032" s="58"/>
    </row>
    <row r="1033" spans="1:2" x14ac:dyDescent="0.2">
      <c r="A1033" s="49"/>
      <c r="B1033" s="58"/>
    </row>
    <row r="1034" spans="1:2" x14ac:dyDescent="0.2">
      <c r="A1034" s="49"/>
      <c r="B1034" s="58"/>
    </row>
    <row r="1035" spans="1:2" x14ac:dyDescent="0.2">
      <c r="A1035" s="49"/>
      <c r="B1035" s="58"/>
    </row>
    <row r="1036" spans="1:2" x14ac:dyDescent="0.2">
      <c r="A1036" s="49"/>
      <c r="B1036" s="58"/>
    </row>
    <row r="1037" spans="1:2" x14ac:dyDescent="0.2">
      <c r="A1037" s="49"/>
      <c r="B1037" s="58"/>
    </row>
    <row r="1038" spans="1:2" x14ac:dyDescent="0.2">
      <c r="A1038" s="49"/>
      <c r="B1038" s="58"/>
    </row>
    <row r="1039" spans="1:2" x14ac:dyDescent="0.2">
      <c r="A1039" s="49"/>
      <c r="B1039" s="58"/>
    </row>
    <row r="1040" spans="1:2" x14ac:dyDescent="0.2">
      <c r="A1040" s="49"/>
      <c r="B1040" s="58"/>
    </row>
    <row r="1041" spans="1:2" x14ac:dyDescent="0.2">
      <c r="A1041" s="49"/>
      <c r="B1041" s="58"/>
    </row>
    <row r="1042" spans="1:2" x14ac:dyDescent="0.2">
      <c r="A1042" s="49"/>
      <c r="B1042" s="58"/>
    </row>
    <row r="1043" spans="1:2" x14ac:dyDescent="0.2">
      <c r="A1043" s="49"/>
      <c r="B1043" s="58"/>
    </row>
    <row r="1044" spans="1:2" x14ac:dyDescent="0.2">
      <c r="A1044" s="49"/>
      <c r="B1044" s="58"/>
    </row>
    <row r="1045" spans="1:2" x14ac:dyDescent="0.2">
      <c r="A1045" s="49"/>
      <c r="B1045" s="58"/>
    </row>
    <row r="1046" spans="1:2" x14ac:dyDescent="0.2">
      <c r="A1046" s="49"/>
      <c r="B1046" s="58"/>
    </row>
    <row r="1047" spans="1:2" x14ac:dyDescent="0.2">
      <c r="A1047" s="49"/>
      <c r="B1047" s="58"/>
    </row>
    <row r="1048" spans="1:2" x14ac:dyDescent="0.2">
      <c r="A1048" s="49"/>
      <c r="B1048" s="58"/>
    </row>
    <row r="1049" spans="1:2" x14ac:dyDescent="0.2">
      <c r="A1049" s="49"/>
      <c r="B1049" s="58"/>
    </row>
    <row r="1050" spans="1:2" x14ac:dyDescent="0.2">
      <c r="A1050" s="49"/>
      <c r="B1050" s="58"/>
    </row>
    <row r="1051" spans="1:2" x14ac:dyDescent="0.2">
      <c r="A1051" s="49"/>
      <c r="B1051" s="58"/>
    </row>
    <row r="1052" spans="1:2" x14ac:dyDescent="0.2">
      <c r="A1052" s="49"/>
      <c r="B1052" s="58"/>
    </row>
    <row r="1053" spans="1:2" x14ac:dyDescent="0.2">
      <c r="A1053" s="49"/>
      <c r="B1053" s="58"/>
    </row>
    <row r="1054" spans="1:2" x14ac:dyDescent="0.2">
      <c r="A1054" s="49"/>
      <c r="B1054" s="58"/>
    </row>
    <row r="1055" spans="1:2" x14ac:dyDescent="0.2">
      <c r="A1055" s="49"/>
      <c r="B1055" s="58"/>
    </row>
    <row r="1056" spans="1:2" x14ac:dyDescent="0.2">
      <c r="A1056" s="49"/>
      <c r="B1056" s="58"/>
    </row>
    <row r="1057" spans="1:2" x14ac:dyDescent="0.2">
      <c r="A1057" s="49"/>
      <c r="B1057" s="58"/>
    </row>
    <row r="1058" spans="1:2" x14ac:dyDescent="0.2">
      <c r="A1058" s="49"/>
      <c r="B1058" s="58"/>
    </row>
    <row r="1059" spans="1:2" x14ac:dyDescent="0.2">
      <c r="A1059" s="49"/>
      <c r="B1059" s="58"/>
    </row>
    <row r="1060" spans="1:2" x14ac:dyDescent="0.2">
      <c r="A1060" s="49"/>
      <c r="B1060" s="58"/>
    </row>
    <row r="1061" spans="1:2" x14ac:dyDescent="0.2">
      <c r="A1061" s="49"/>
      <c r="B1061" s="58"/>
    </row>
    <row r="1062" spans="1:2" x14ac:dyDescent="0.2">
      <c r="A1062" s="49"/>
      <c r="B1062" s="58"/>
    </row>
    <row r="1063" spans="1:2" x14ac:dyDescent="0.2">
      <c r="A1063" s="49"/>
      <c r="B1063" s="58"/>
    </row>
    <row r="1064" spans="1:2" x14ac:dyDescent="0.2">
      <c r="A1064" s="49"/>
      <c r="B1064" s="58"/>
    </row>
    <row r="1065" spans="1:2" x14ac:dyDescent="0.2">
      <c r="A1065" s="49"/>
      <c r="B1065" s="58"/>
    </row>
    <row r="1066" spans="1:2" x14ac:dyDescent="0.2">
      <c r="A1066" s="49"/>
      <c r="B1066" s="58"/>
    </row>
    <row r="1067" spans="1:2" x14ac:dyDescent="0.2">
      <c r="A1067" s="49"/>
      <c r="B1067" s="58"/>
    </row>
    <row r="1068" spans="1:2" x14ac:dyDescent="0.2">
      <c r="A1068" s="49"/>
      <c r="B1068" s="58"/>
    </row>
    <row r="1069" spans="1:2" x14ac:dyDescent="0.2">
      <c r="A1069" s="49"/>
      <c r="B1069" s="58"/>
    </row>
    <row r="1070" spans="1:2" x14ac:dyDescent="0.2">
      <c r="A1070" s="49"/>
      <c r="B1070" s="58"/>
    </row>
    <row r="1071" spans="1:2" x14ac:dyDescent="0.2">
      <c r="A1071" s="49"/>
      <c r="B1071" s="58"/>
    </row>
    <row r="1072" spans="1:2" x14ac:dyDescent="0.2">
      <c r="A1072" s="49"/>
      <c r="B1072" s="58"/>
    </row>
    <row r="1073" spans="1:2" x14ac:dyDescent="0.2">
      <c r="A1073" s="49"/>
      <c r="B1073" s="58"/>
    </row>
    <row r="1074" spans="1:2" x14ac:dyDescent="0.2">
      <c r="A1074" s="49"/>
      <c r="B1074" s="58"/>
    </row>
    <row r="1075" spans="1:2" x14ac:dyDescent="0.2">
      <c r="A1075" s="49"/>
      <c r="B1075" s="58"/>
    </row>
    <row r="1076" spans="1:2" x14ac:dyDescent="0.2">
      <c r="A1076" s="49"/>
      <c r="B1076" s="58"/>
    </row>
    <row r="1077" spans="1:2" x14ac:dyDescent="0.2">
      <c r="A1077" s="49"/>
      <c r="B1077" s="58"/>
    </row>
    <row r="1078" spans="1:2" x14ac:dyDescent="0.2">
      <c r="A1078" s="49"/>
      <c r="B1078" s="58"/>
    </row>
    <row r="1079" spans="1:2" x14ac:dyDescent="0.2">
      <c r="A1079" s="49"/>
      <c r="B1079" s="58"/>
    </row>
    <row r="1080" spans="1:2" x14ac:dyDescent="0.2">
      <c r="A1080" s="49"/>
      <c r="B1080" s="58"/>
    </row>
    <row r="1081" spans="1:2" x14ac:dyDescent="0.2">
      <c r="A1081" s="49"/>
      <c r="B1081" s="58"/>
    </row>
    <row r="1082" spans="1:2" x14ac:dyDescent="0.2">
      <c r="A1082" s="49"/>
      <c r="B1082" s="58"/>
    </row>
    <row r="1083" spans="1:2" x14ac:dyDescent="0.2">
      <c r="A1083" s="49"/>
      <c r="B1083" s="58"/>
    </row>
    <row r="1084" spans="1:2" x14ac:dyDescent="0.2">
      <c r="A1084" s="49"/>
      <c r="B1084" s="58"/>
    </row>
    <row r="1085" spans="1:2" x14ac:dyDescent="0.2">
      <c r="A1085" s="49"/>
      <c r="B1085" s="58"/>
    </row>
    <row r="1086" spans="1:2" x14ac:dyDescent="0.2">
      <c r="A1086" s="49"/>
      <c r="B1086" s="58"/>
    </row>
    <row r="1087" spans="1:2" x14ac:dyDescent="0.2">
      <c r="A1087" s="49"/>
      <c r="B1087" s="58"/>
    </row>
    <row r="1088" spans="1:2" x14ac:dyDescent="0.2">
      <c r="A1088" s="49"/>
      <c r="B1088" s="58"/>
    </row>
    <row r="1089" spans="1:2" x14ac:dyDescent="0.2">
      <c r="A1089" s="49"/>
      <c r="B1089" s="58"/>
    </row>
    <row r="1090" spans="1:2" x14ac:dyDescent="0.2">
      <c r="A1090" s="49"/>
      <c r="B1090" s="58"/>
    </row>
    <row r="1091" spans="1:2" x14ac:dyDescent="0.2">
      <c r="A1091" s="49"/>
      <c r="B1091" s="58"/>
    </row>
    <row r="1092" spans="1:2" x14ac:dyDescent="0.2">
      <c r="A1092" s="49"/>
      <c r="B1092" s="58"/>
    </row>
    <row r="1093" spans="1:2" x14ac:dyDescent="0.2">
      <c r="A1093" s="49"/>
      <c r="B1093" s="58"/>
    </row>
    <row r="1094" spans="1:2" x14ac:dyDescent="0.2">
      <c r="A1094" s="49"/>
      <c r="B1094" s="58"/>
    </row>
    <row r="1095" spans="1:2" x14ac:dyDescent="0.2">
      <c r="A1095" s="49"/>
      <c r="B1095" s="58"/>
    </row>
    <row r="1096" spans="1:2" x14ac:dyDescent="0.2">
      <c r="A1096" s="49"/>
      <c r="B1096" s="58"/>
    </row>
    <row r="1097" spans="1:2" x14ac:dyDescent="0.2">
      <c r="A1097" s="49"/>
      <c r="B1097" s="58"/>
    </row>
    <row r="1098" spans="1:2" x14ac:dyDescent="0.2">
      <c r="A1098" s="49"/>
      <c r="B1098" s="58"/>
    </row>
    <row r="1099" spans="1:2" x14ac:dyDescent="0.2">
      <c r="A1099" s="49"/>
      <c r="B1099" s="58"/>
    </row>
    <row r="1100" spans="1:2" x14ac:dyDescent="0.2">
      <c r="A1100" s="49"/>
      <c r="B1100" s="58"/>
    </row>
    <row r="1101" spans="1:2" x14ac:dyDescent="0.2">
      <c r="A1101" s="49"/>
      <c r="B1101" s="58"/>
    </row>
    <row r="1102" spans="1:2" x14ac:dyDescent="0.2">
      <c r="A1102" s="49"/>
      <c r="B1102" s="58"/>
    </row>
    <row r="1103" spans="1:2" x14ac:dyDescent="0.2">
      <c r="A1103" s="49"/>
      <c r="B1103" s="58"/>
    </row>
    <row r="1104" spans="1:2" x14ac:dyDescent="0.2">
      <c r="A1104" s="49"/>
      <c r="B1104" s="58"/>
    </row>
    <row r="1105" spans="1:2" x14ac:dyDescent="0.2">
      <c r="A1105" s="49"/>
      <c r="B1105" s="58"/>
    </row>
    <row r="1106" spans="1:2" x14ac:dyDescent="0.2">
      <c r="A1106" s="49"/>
      <c r="B1106" s="58"/>
    </row>
    <row r="1107" spans="1:2" x14ac:dyDescent="0.2">
      <c r="A1107" s="49"/>
      <c r="B1107" s="58"/>
    </row>
    <row r="1108" spans="1:2" x14ac:dyDescent="0.2">
      <c r="A1108" s="49"/>
      <c r="B1108" s="58"/>
    </row>
    <row r="1109" spans="1:2" x14ac:dyDescent="0.2">
      <c r="A1109" s="49"/>
      <c r="B1109" s="58"/>
    </row>
    <row r="1110" spans="1:2" x14ac:dyDescent="0.2">
      <c r="A1110" s="49"/>
      <c r="B1110" s="58"/>
    </row>
    <row r="1111" spans="1:2" x14ac:dyDescent="0.2">
      <c r="A1111" s="49"/>
      <c r="B1111" s="58"/>
    </row>
    <row r="1112" spans="1:2" x14ac:dyDescent="0.2">
      <c r="A1112" s="49"/>
      <c r="B1112" s="58"/>
    </row>
    <row r="1113" spans="1:2" x14ac:dyDescent="0.2">
      <c r="A1113" s="49"/>
      <c r="B1113" s="58"/>
    </row>
    <row r="1114" spans="1:2" x14ac:dyDescent="0.2">
      <c r="A1114" s="49"/>
      <c r="B1114" s="58"/>
    </row>
    <row r="1115" spans="1:2" x14ac:dyDescent="0.2">
      <c r="A1115" s="49"/>
      <c r="B1115" s="58"/>
    </row>
    <row r="1116" spans="1:2" x14ac:dyDescent="0.2">
      <c r="A1116" s="49"/>
      <c r="B1116" s="58"/>
    </row>
    <row r="1117" spans="1:2" x14ac:dyDescent="0.2">
      <c r="A1117" s="49"/>
      <c r="B1117" s="58"/>
    </row>
    <row r="1118" spans="1:2" x14ac:dyDescent="0.2">
      <c r="A1118" s="49"/>
      <c r="B1118" s="58"/>
    </row>
    <row r="1119" spans="1:2" x14ac:dyDescent="0.2">
      <c r="A1119" s="49"/>
      <c r="B1119" s="58"/>
    </row>
    <row r="1120" spans="1:2" x14ac:dyDescent="0.2">
      <c r="A1120" s="49"/>
      <c r="B1120" s="58"/>
    </row>
    <row r="1121" spans="1:2" x14ac:dyDescent="0.2">
      <c r="A1121" s="49"/>
      <c r="B1121" s="58"/>
    </row>
    <row r="1122" spans="1:2" x14ac:dyDescent="0.2">
      <c r="A1122" s="49"/>
      <c r="B1122" s="58"/>
    </row>
    <row r="1123" spans="1:2" x14ac:dyDescent="0.2">
      <c r="A1123" s="49"/>
      <c r="B1123" s="58"/>
    </row>
    <row r="1124" spans="1:2" x14ac:dyDescent="0.2">
      <c r="A1124" s="49"/>
      <c r="B1124" s="58"/>
    </row>
    <row r="1125" spans="1:2" x14ac:dyDescent="0.2">
      <c r="A1125" s="49"/>
      <c r="B1125" s="58"/>
    </row>
    <row r="1126" spans="1:2" x14ac:dyDescent="0.2">
      <c r="A1126" s="49"/>
      <c r="B1126" s="58"/>
    </row>
    <row r="1127" spans="1:2" x14ac:dyDescent="0.2">
      <c r="A1127" s="49"/>
      <c r="B1127" s="58"/>
    </row>
    <row r="1128" spans="1:2" x14ac:dyDescent="0.2">
      <c r="A1128" s="49"/>
      <c r="B1128" s="58"/>
    </row>
    <row r="1129" spans="1:2" x14ac:dyDescent="0.2">
      <c r="A1129" s="49"/>
      <c r="B1129" s="58"/>
    </row>
    <row r="1130" spans="1:2" x14ac:dyDescent="0.2">
      <c r="A1130" s="49"/>
      <c r="B1130" s="58"/>
    </row>
    <row r="1131" spans="1:2" x14ac:dyDescent="0.2">
      <c r="A1131" s="49"/>
      <c r="B1131" s="58"/>
    </row>
    <row r="1132" spans="1:2" x14ac:dyDescent="0.2">
      <c r="A1132" s="49"/>
      <c r="B1132" s="58"/>
    </row>
    <row r="1133" spans="1:2" x14ac:dyDescent="0.2">
      <c r="A1133" s="49"/>
      <c r="B1133" s="58"/>
    </row>
    <row r="1134" spans="1:2" x14ac:dyDescent="0.2">
      <c r="A1134" s="49"/>
      <c r="B1134" s="58"/>
    </row>
    <row r="1135" spans="1:2" x14ac:dyDescent="0.2">
      <c r="A1135" s="49"/>
      <c r="B1135" s="58"/>
    </row>
    <row r="1136" spans="1:2" x14ac:dyDescent="0.2">
      <c r="A1136" s="49"/>
      <c r="B1136" s="58"/>
    </row>
    <row r="1137" spans="1:2" x14ac:dyDescent="0.2">
      <c r="A1137" s="49"/>
      <c r="B1137" s="58"/>
    </row>
    <row r="1138" spans="1:2" x14ac:dyDescent="0.2">
      <c r="A1138" s="49"/>
      <c r="B1138" s="58"/>
    </row>
    <row r="1139" spans="1:2" x14ac:dyDescent="0.2">
      <c r="A1139" s="49"/>
      <c r="B1139" s="58"/>
    </row>
    <row r="1140" spans="1:2" x14ac:dyDescent="0.2">
      <c r="A1140" s="49"/>
      <c r="B1140" s="58"/>
    </row>
    <row r="1141" spans="1:2" x14ac:dyDescent="0.2">
      <c r="A1141" s="49"/>
      <c r="B1141" s="58"/>
    </row>
    <row r="1142" spans="1:2" x14ac:dyDescent="0.2">
      <c r="A1142" s="49"/>
      <c r="B1142" s="58"/>
    </row>
    <row r="1143" spans="1:2" x14ac:dyDescent="0.2">
      <c r="A1143" s="49"/>
      <c r="B1143" s="58"/>
    </row>
    <row r="1144" spans="1:2" x14ac:dyDescent="0.2">
      <c r="A1144" s="49"/>
      <c r="B1144" s="58"/>
    </row>
    <row r="1145" spans="1:2" x14ac:dyDescent="0.2">
      <c r="A1145" s="49"/>
      <c r="B1145" s="58"/>
    </row>
    <row r="1146" spans="1:2" x14ac:dyDescent="0.2">
      <c r="A1146" s="49"/>
      <c r="B1146" s="58"/>
    </row>
    <row r="1147" spans="1:2" x14ac:dyDescent="0.2">
      <c r="A1147" s="49"/>
      <c r="B1147" s="58"/>
    </row>
    <row r="1148" spans="1:2" x14ac:dyDescent="0.2">
      <c r="A1148" s="49"/>
      <c r="B1148" s="58"/>
    </row>
    <row r="1149" spans="1:2" x14ac:dyDescent="0.2">
      <c r="A1149" s="49"/>
      <c r="B1149" s="58"/>
    </row>
    <row r="1150" spans="1:2" x14ac:dyDescent="0.2">
      <c r="A1150" s="49"/>
      <c r="B1150" s="58"/>
    </row>
    <row r="1151" spans="1:2" x14ac:dyDescent="0.2">
      <c r="A1151" s="49"/>
      <c r="B1151" s="58"/>
    </row>
    <row r="1152" spans="1:2" x14ac:dyDescent="0.2">
      <c r="A1152" s="49"/>
      <c r="B1152" s="58"/>
    </row>
    <row r="1153" spans="1:2" x14ac:dyDescent="0.2">
      <c r="A1153" s="49"/>
      <c r="B1153" s="58"/>
    </row>
    <row r="1154" spans="1:2" x14ac:dyDescent="0.2">
      <c r="A1154" s="49"/>
      <c r="B1154" s="58"/>
    </row>
    <row r="1155" spans="1:2" x14ac:dyDescent="0.2">
      <c r="A1155" s="49"/>
      <c r="B1155" s="58"/>
    </row>
    <row r="1156" spans="1:2" x14ac:dyDescent="0.2">
      <c r="A1156" s="49"/>
      <c r="B1156" s="58"/>
    </row>
    <row r="1157" spans="1:2" x14ac:dyDescent="0.2">
      <c r="A1157" s="49"/>
      <c r="B1157" s="58"/>
    </row>
    <row r="1158" spans="1:2" x14ac:dyDescent="0.2">
      <c r="A1158" s="49"/>
      <c r="B1158" s="58"/>
    </row>
    <row r="1159" spans="1:2" x14ac:dyDescent="0.2">
      <c r="A1159" s="49"/>
      <c r="B1159" s="58"/>
    </row>
    <row r="1160" spans="1:2" x14ac:dyDescent="0.2">
      <c r="A1160" s="49"/>
      <c r="B1160" s="58"/>
    </row>
    <row r="1161" spans="1:2" x14ac:dyDescent="0.2">
      <c r="A1161" s="49"/>
      <c r="B1161" s="58"/>
    </row>
    <row r="1162" spans="1:2" x14ac:dyDescent="0.2">
      <c r="A1162" s="49"/>
      <c r="B1162" s="58"/>
    </row>
    <row r="1163" spans="1:2" x14ac:dyDescent="0.2">
      <c r="A1163" s="49"/>
      <c r="B1163" s="58"/>
    </row>
    <row r="1164" spans="1:2" x14ac:dyDescent="0.2">
      <c r="A1164" s="49"/>
      <c r="B1164" s="58"/>
    </row>
    <row r="1165" spans="1:2" x14ac:dyDescent="0.2">
      <c r="A1165" s="49"/>
      <c r="B1165" s="58"/>
    </row>
    <row r="1166" spans="1:2" x14ac:dyDescent="0.2">
      <c r="A1166" s="49"/>
      <c r="B1166" s="58"/>
    </row>
    <row r="1167" spans="1:2" x14ac:dyDescent="0.2">
      <c r="A1167" s="49"/>
      <c r="B1167" s="58"/>
    </row>
    <row r="1168" spans="1:2" x14ac:dyDescent="0.2">
      <c r="A1168" s="49"/>
      <c r="B1168" s="58"/>
    </row>
    <row r="1169" spans="1:2" x14ac:dyDescent="0.2">
      <c r="A1169" s="49"/>
      <c r="B1169" s="58"/>
    </row>
    <row r="1170" spans="1:2" x14ac:dyDescent="0.2">
      <c r="A1170" s="49"/>
      <c r="B1170" s="58"/>
    </row>
    <row r="1171" spans="1:2" x14ac:dyDescent="0.2">
      <c r="A1171" s="49"/>
      <c r="B1171" s="58"/>
    </row>
    <row r="1172" spans="1:2" x14ac:dyDescent="0.2">
      <c r="A1172" s="49"/>
      <c r="B1172" s="58"/>
    </row>
    <row r="1173" spans="1:2" x14ac:dyDescent="0.2">
      <c r="A1173" s="49"/>
      <c r="B1173" s="5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maps_OTHER</vt:lpstr>
      <vt:lpstr>maps_sites</vt:lpstr>
      <vt:lpstr>maps_samples</vt:lpstr>
      <vt:lpstr>wide_samples</vt:lpstr>
      <vt:lpstr>maps_measures</vt:lpstr>
      <vt:lpstr>wide_measures</vt:lpstr>
      <vt:lpstr>wide_measurestest</vt:lpstr>
      <vt:lpstr>enums_samples</vt:lpstr>
      <vt:lpstr>wide_sampleRelationships</vt:lpstr>
      <vt:lpstr>maps_repositories</vt:lpstr>
      <vt:lpstr>wide_repositories</vt:lpstr>
      <vt:lpstr>maps_qualityReports</vt:lpstr>
      <vt:lpstr>maps_protocolSteps</vt:lpstr>
      <vt:lpstr>wide_protocolSteps</vt:lpstr>
      <vt:lpstr>maps_protocols</vt:lpstr>
      <vt:lpstr>wide_protocols</vt:lpstr>
      <vt:lpstr>maps_polygons</vt:lpstr>
      <vt:lpstr>wide_measures2</vt:lpstr>
      <vt:lpstr>enums_measures</vt:lpstr>
      <vt:lpstr>enums_measures2</vt:lpstr>
      <vt:lpstr>maps_instruments</vt:lpstr>
      <vt:lpstr>maps_datasets</vt:lpstr>
      <vt:lpstr>wide_datasets</vt:lpstr>
      <vt:lpstr>wide_contacts</vt:lpstr>
      <vt:lpstr>maps_addresses</vt:lpstr>
      <vt:lpstr>enums_addresses</vt:lpstr>
      <vt:lpstr>maps_accessions</vt:lpstr>
      <vt:lpstr>PHA4GEVars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Mathew Thomson</dc:creator>
  <cp:lastModifiedBy>Martin Wellman</cp:lastModifiedBy>
  <dcterms:created xsi:type="dcterms:W3CDTF">2024-07-02T17:12:19Z</dcterms:created>
  <dcterms:modified xsi:type="dcterms:W3CDTF">2025-02-24T17:51:21Z</dcterms:modified>
</cp:coreProperties>
</file>
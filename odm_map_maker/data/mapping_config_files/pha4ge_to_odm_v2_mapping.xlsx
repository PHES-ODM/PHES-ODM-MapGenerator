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26AD8CCF-E901-144F-917B-C6FBFA573CA9}" xr6:coauthVersionLast="47" xr6:coauthVersionMax="47" xr10:uidLastSave="{00000000-0000-0000-0000-000000000000}"/>
  <bookViews>
    <workbookView xWindow="160" yWindow="660" windowWidth="40800" windowHeight="20740" firstSheet="19" activeTab="22"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E13" i="22"/>
  <c r="C3" i="38"/>
  <c r="C4" i="38"/>
  <c r="C5" i="38"/>
  <c r="E12" i="22"/>
  <c r="E11" i="22"/>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4"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3" i="22"/>
  <c r="E5" i="22"/>
  <c r="E6" i="22"/>
  <c r="E7" i="22"/>
  <c r="E8" i="22"/>
  <c r="E9" i="22"/>
  <c r="E10"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2" i="24"/>
  <c r="E21" i="24"/>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4" i="17"/>
  <c r="F5" i="17"/>
  <c r="F6" i="17"/>
  <c r="F7" i="17"/>
  <c r="F8" i="17"/>
  <c r="F9" i="17"/>
  <c r="F10" i="17"/>
  <c r="F15" i="17"/>
  <c r="F16" i="17"/>
  <c r="F11" i="17"/>
  <c r="F12" i="17"/>
  <c r="F13"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<sst xmlns="http://schemas.openxmlformats.org/spreadsheetml/2006/main" count="9764" uniqueCount="2120">
  <si>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</si>
  <si>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</si>
  <si>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</si>
  <si>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</si>
  <si>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</si>
  <si>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</si>
  <si>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</si>
  <si>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</si>
  <si>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</si>
  <si>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</si>
  <si>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</si>
  <si>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</si>
  <si>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</si>
  <si>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</si>
  <si>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</si>
  <si>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</si>
  <si>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</si>
  <si>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</si>
  <si>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</si>
  <si>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</si>
  <si>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</si>
  <si>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</si>
  <si>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</si>
  <si>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</si>
  <si>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</si>
  <si>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</si>
  <si>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</si>
  <si>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</si>
  <si>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</si>
  <si>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</si>
  <si>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</si>
  <si>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</si>
  <si>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</si>
  <si>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</si>
  <si>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</si>
  <si>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</si>
  <si>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</si>
  <si>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</si>
  <si>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</si>
  <si>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</si>
  <si>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</si>
  <si>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</si>
  <si>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</si>
  <si>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</si>
  <si>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</si>
  <si>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</si>
  <si>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</si>
  <si>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</si>
  <si>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</si>
  <si>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</si>
  <si>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</si>
  <si>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</si>
  <si>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</si>
  <si>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</si>
  <si>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</si>
  <si>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</si>
  <si>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</si>
  <si>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</si>
  <si>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</si>
  <si>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</si>
  <si>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</si>
  <si>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</si>
  <si>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</si>
  <si>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</si>
  <si>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</si>
  <si>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</si>
  <si>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</si>
  <si>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</si>
  <si>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</si>
  <si>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</si>
  <si>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</si>
  <si>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</si>
  <si>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</si>
  <si>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</si>
  <si>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</si>
  <si>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</si>
  <si>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</si>
  <si>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</si>
  <si>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</si>
  <si>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</si>
  <si>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</si>
  <si>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</si>
  <si>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</si>
  <si>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</si>
  <si>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</si>
  <si>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</si>
  <si>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</si>
  <si>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</si>
  <si>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</si>
  <si>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</si>
  <si>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</si>
  <si>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</si>
  <si>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</si>
  <si>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</si>
  <si>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</si>
  <si>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</si>
  <si>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</si>
  <si>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</si>
  <si>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</si>
  <si>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</si>
  <si>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</si>
  <si>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</si>
  <si>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</si>
  <si>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</si>
  <si>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</si>
  <si>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</si>
  <si>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</si>
  <si>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</si>
  <si>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</si>
  <si>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</si>
  <si>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</si>
  <si>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</si>
  <si>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</si>
  <si>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</si>
  <si>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</si>
  <si>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</si>
  <si>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</si>
  <si>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</si>
  <si>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</si>
  <si>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</si>
  <si>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</si>
  <si>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</si>
  <si>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</si>
  <si>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</si>
  <si>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</si>
  <si>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</si>
  <si>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</si>
  <si>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</si>
  <si>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</si>
  <si>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</si>
  <si>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</si>
  <si>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</si>
  <si>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</si>
  <si>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</si>
  <si>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</si>
  <si>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</si>
  <si>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</si>
  <si>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</si>
  <si>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</si>
  <si>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</si>
  <si>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</si>
  <si>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</si>
  <si>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</si>
  <si>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</si>
  <si>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</si>
  <si>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</si>
  <si>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</si>
  <si>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</si>
  <si>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</si>
  <si>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</si>
  <si>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</si>
  <si>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</si>
  <si>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</si>
  <si>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</si>
  <si>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</si>
  <si>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</si>
  <si>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</si>
  <si>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</si>
  <si>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</si>
  <si>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</si>
  <si>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</si>
  <si>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</si>
  <si>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</si>
  <si>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</si>
  <si>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</si>
  <si>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</si>
  <si>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</si>
  <si>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</si>
  <si>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</si>
  <si>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</si>
  <si>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</si>
  <si>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</si>
  <si>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</si>
  <si>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</si>
  <si>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</si>
  <si>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</si>
  <si>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</si>
  <si>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</si>
  <si>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</si>
  <si>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</si>
  <si>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</si>
  <si>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</si>
  <si>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</si>
  <si>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</si>
  <si>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</si>
  <si>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</si>
  <si>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</si>
  <si>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</si>
  <si>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</si>
  <si>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</si>
  <si>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</si>
  <si>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</si>
  <si>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</si>
  <si>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</si>
  <si>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</si>
  <si>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</si>
  <si>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</si>
  <si>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</si>
  <si>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</si>
  <si>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</si>
  <si>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</si>
  <si>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</si>
  <si>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</si>
  <si>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</si>
  <si>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</si>
  <si>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</si>
  <si>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</si>
  <si>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</si>
  <si>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</si>
  <si>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</si>
  <si>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</si>
  <si>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</si>
  <si>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</si>
  <si>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</si>
  <si>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</si>
  <si>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</si>
  <si>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</si>
  <si>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</si>
  <si>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</si>
  <si>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</si>
  <si>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</si>
  <si>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</si>
  <si>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</si>
  <si>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</si>
  <si>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</si>
  <si>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</si>
  <si>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</si>
  <si>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</si>
  <si>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</si>
  <si>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</si>
  <si>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</si>
  <si>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</si>
  <si>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</si>
  <si>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</si>
  <si>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</si>
  <si>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</si>
  <si>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</si>
  <si>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</si>
  <si>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</si>
  <si>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</si>
  <si>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</si>
  <si>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</si>
  <si>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</si>
  <si>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</si>
  <si>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</si>
  <si>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</si>
  <si>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</si>
  <si>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</si>
  <si>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</si>
  <si>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</si>
  <si>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</si>
  <si>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</si>
  <si>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</si>
  <si>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</si>
  <si>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</si>
  <si>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</si>
  <si>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</si>
  <si>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</si>
  <si>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</si>
  <si>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</si>
  <si>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</si>
  <si>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</si>
  <si>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</si>
  <si>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</si>
  <si>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</si>
  <si>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</si>
  <si>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</si>
  <si>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</si>
  <si>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</si>
  <si>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</si>
  <si>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</si>
  <si>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</si>
  <si>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</si>
  <si>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</si>
  <si>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</si>
  <si>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</si>
  <si>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</si>
  <si>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</si>
  <si>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</si>
  <si>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</si>
  <si>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</si>
  <si>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</si>
  <si>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</si>
  <si>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</si>
  <si>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</si>
  <si>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</si>
  <si>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</si>
  <si>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</si>
  <si>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</si>
  <si>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</si>
  <si>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</si>
  <si>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</si>
  <si>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</si>
  <si>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</si>
  <si>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</si>
  <si>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</si>
  <si>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</si>
  <si>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</si>
  <si>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</si>
  <si>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</si>
  <si>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</si>
  <si>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</si>
  <si>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</si>
  <si>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</si>
  <si>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</si>
  <si>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</si>
  <si>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</si>
  <si>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</si>
  <si>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</si>
  <si>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</si>
  <si>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</si>
  <si>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</si>
  <si>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</si>
  <si>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</si>
  <si>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</si>
  <si>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</si>
  <si>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</si>
  <si>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</si>
  <si>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</si>
  <si>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</si>
  <si>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</si>
  <si>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</si>
  <si>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</si>
  <si>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</si>
  <si>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</si>
  <si>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</si>
  <si>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</si>
  <si>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</si>
  <si>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</si>
  <si>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</si>
  <si>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</si>
  <si>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</si>
  <si>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</si>
  <si>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</si>
  <si>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</si>
  <si>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</si>
  <si>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</si>
  <si>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</si>
  <si>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</si>
  <si>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</si>
  <si>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</si>
  <si>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</si>
  <si>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</si>
  <si>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</si>
  <si>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</si>
  <si>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</si>
  <si>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</si>
  <si>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</si>
  <si>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</si>
  <si>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</si>
  <si>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</si>
  <si>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</si>
  <si>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</si>
  <si>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</si>
  <si>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</si>
  <si>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</si>
  <si>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</si>
  <si>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</si>
  <si>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</si>
  <si>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</si>
  <si>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</si>
  <si>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</si>
  <si>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</si>
  <si>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</si>
  <si>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</si>
  <si>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</si>
  <si>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</si>
  <si>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</si>
  <si>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</si>
  <si>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</si>
  <si>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</si>
  <si>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</si>
  <si>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</si>
  <si>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</si>
  <si>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</si>
  <si>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</si>
  <si>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</si>
  <si>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</si>
  <si>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</si>
  <si>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</si>
  <si>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</si>
  <si>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</si>
  <si>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</si>
  <si>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</si>
  <si>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</si>
  <si>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</si>
  <si>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</si>
  <si>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</si>
  <si>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</si>
  <si>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</si>
  <si>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</si>
  <si>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</si>
  <si>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</si>
  <si>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</si>
  <si>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</si>
  <si>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</si>
  <si>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</si>
  <si>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</si>
  <si>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</si>
  <si>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</si>
  <si>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</si>
  <si>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</si>
  <si>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</si>
  <si>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</si>
  <si>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</si>
  <si>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</si>
  <si>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</si>
  <si>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</si>
  <si>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</si>
  <si>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</si>
  <si>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</si>
  <si>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</si>
  <si>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</si>
  <si>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</si>
  <si>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</si>
  <si>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</si>
  <si>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</si>
  <si>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</si>
  <si>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</si>
  <si>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</si>
  <si>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</si>
  <si>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</si>
  <si>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</si>
  <si>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</si>
  <si>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</si>
  <si>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</si>
  <si>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</si>
  <si>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</si>
  <si>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</si>
  <si>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</si>
  <si>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</si>
  <si>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</si>
  <si>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</si>
  <si>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</si>
  <si>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</si>
  <si>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</si>
  <si>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</si>
  <si>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</si>
  <si>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</si>
  <si>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</si>
  <si>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</si>
  <si>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</si>
  <si>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</si>
  <si>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</si>
  <si>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</si>
  <si>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</si>
  <si>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</si>
  <si>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</si>
  <si>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</si>
  <si>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</si>
  <si>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</si>
  <si>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</si>
  <si>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</si>
  <si>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</si>
  <si>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</si>
  <si>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</si>
  <si>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</si>
  <si>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</si>
  <si>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</si>
  <si>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</si>
  <si>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</si>
  <si>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</si>
  <si>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</si>
  <si>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</si>
  <si>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</si>
  <si>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</si>
  <si>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</si>
  <si>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</si>
  <si>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</si>
  <si>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</si>
  <si>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</si>
  <si>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</si>
  <si>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</si>
  <si>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</si>
  <si>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</si>
  <si>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</si>
  <si>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</si>
  <si>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</si>
  <si>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</si>
  <si>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</si>
  <si>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</si>
  <si>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</si>
  <si>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</si>
  <si>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</si>
  <si>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</si>
  <si>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</si>
  <si>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</si>
  <si>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</si>
  <si>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</si>
  <si>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</si>
  <si>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</si>
  <si>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</si>
  <si>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</si>
  <si>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</si>
  <si>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</si>
  <si>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</si>
  <si>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</si>
  <si>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</si>
  <si>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</si>
  <si>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</si>
  <si>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</si>
  <si>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</si>
  <si>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</si>
  <si>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</si>
  <si>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</si>
  <si>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</si>
  <si>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</si>
  <si>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</si>
  <si>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</si>
  <si>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</si>
  <si>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</si>
  <si>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</si>
  <si>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</si>
  <si>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</si>
  <si>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</si>
  <si>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</si>
  <si>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</si>
  <si>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</si>
  <si>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</si>
  <si>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</si>
  <si>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</si>
  <si>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</si>
  <si>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</si>
  <si>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</si>
  <si>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</si>
  <si>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</si>
  <si>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</si>
  <si>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</si>
  <si>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</si>
  <si>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</si>
  <si>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</si>
  <si>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</si>
  <si>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</si>
  <si>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</si>
  <si>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</si>
  <si>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</si>
  <si>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</si>
  <si>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</si>
  <si>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</si>
  <si>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</si>
  <si>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</si>
  <si>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</si>
  <si>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</si>
  <si>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</si>
  <si>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</si>
  <si>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</si>
  <si>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</si>
  <si>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</si>
  <si>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</si>
  <si>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</si>
  <si>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</si>
  <si>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</si>
  <si>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</si>
  <si>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</si>
  <si>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</si>
  <si>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</si>
  <si>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</si>
  <si>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</si>
  <si>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</si>
  <si>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</si>
  <si>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</si>
  <si>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</si>
  <si>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</si>
  <si>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</si>
  <si>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</si>
  <si>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</si>
  <si>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</si>
  <si>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</si>
  <si>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</si>
  <si>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</si>
  <si>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</si>
  <si>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</si>
  <si>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</si>
  <si>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</si>
  <si>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</si>
  <si>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</si>
  <si>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</si>
  <si>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</si>
  <si>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</si>
  <si>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</si>
  <si>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</si>
  <si>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</si>
  <si>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</si>
  <si>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</si>
  <si>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</si>
  <si>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</si>
  <si>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</si>
  <si>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</si>
  <si>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</si>
  <si>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</si>
  <si>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</si>
  <si>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</si>
  <si>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</si>
  <si>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</si>
  <si>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</si>
  <si>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</si>
  <si>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</si>
  <si>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</si>
  <si>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</si>
  <si>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</si>
  <si>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</si>
  <si>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</si>
  <si>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</si>
  <si>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</si>
  <si>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</si>
  <si>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</si>
  <si>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</si>
  <si>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</si>
  <si>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</si>
  <si>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</si>
  <si>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</si>
  <si>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</si>
  <si>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</si>
  <si>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</si>
  <si>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</si>
  <si>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</si>
  <si>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</si>
  <si>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</si>
  <si>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</si>
  <si>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</si>
  <si>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</si>
  <si>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</si>
  <si>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</si>
  <si>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</si>
  <si>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</si>
  <si>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</si>
  <si>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</si>
  <si>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</si>
  <si>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</si>
  <si>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</si>
  <si>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</si>
  <si>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</si>
  <si>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</si>
  <si>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</si>
  <si>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</si>
  <si>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</si>
  <si>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</si>
  <si>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</si>
  <si>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</si>
  <si>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</si>
  <si>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</si>
  <si>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</si>
  <si>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</si>
  <si>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</si>
  <si>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</si>
  <si>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</si>
  <si>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</si>
  <si>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</si>
  <si>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</si>
  <si>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</si>
  <si>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</si>
  <si>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</si>
  <si>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</si>
  <si>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</si>
  <si>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</si>
  <si>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</si>
  <si>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</si>
  <si>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</si>
  <si>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</si>
  <si>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</si>
  <si>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</si>
  <si>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</si>
  <si>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</si>
  <si>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</si>
  <si>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</si>
  <si>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</si>
  <si>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</si>
  <si>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</si>
  <si>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</si>
  <si>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</si>
  <si>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</si>
  <si>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</si>
  <si>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</si>
  <si>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</si>
  <si>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</si>
  <si>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</si>
  <si>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</si>
  <si>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</si>
  <si>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</si>
  <si>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</si>
  <si>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</si>
  <si>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</si>
  <si>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</si>
  <si>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</si>
  <si>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</si>
  <si>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</si>
  <si>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</si>
  <si>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</si>
  <si>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</si>
  <si>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</si>
  <si>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</si>
  <si>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</si>
  <si>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</si>
  <si>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</si>
  <si>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</si>
  <si>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</si>
  <si>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</si>
  <si>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</si>
  <si>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</si>
  <si>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</si>
  <si>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</si>
  <si>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</si>
  <si>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</si>
  <si>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</si>
  <si>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</si>
  <si>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</si>
  <si>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</si>
  <si>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</si>
  <si>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</si>
  <si>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</si>
  <si>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</si>
  <si>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</si>
  <si>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</si>
  <si>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</si>
  <si>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</si>
  <si>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</si>
  <si>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</si>
  <si>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</si>
  <si>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</si>
  <si>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</si>
  <si>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</si>
  <si>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</si>
  <si>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</si>
  <si>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</si>
  <si>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</si>
  <si>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</si>
  <si>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</si>
  <si>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</si>
  <si>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</si>
  <si>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</si>
  <si>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</si>
  <si>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</si>
  <si>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</si>
  <si>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</si>
  <si>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</si>
  <si>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</si>
  <si>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</si>
  <si>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</si>
  <si>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</si>
  <si>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</si>
  <si>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</si>
  <si>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</si>
  <si>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</si>
  <si>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</si>
  <si>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</si>
  <si>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</si>
  <si>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</si>
  <si>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</si>
  <si>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</si>
  <si>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</si>
  <si>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</si>
  <si>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</si>
  <si>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</si>
  <si>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</si>
  <si>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</si>
  <si>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</si>
  <si>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</si>
  <si>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</si>
  <si>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</si>
  <si>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</si>
  <si>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</si>
  <si>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</si>
  <si>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</si>
  <si>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</si>
  <si>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</si>
  <si>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</si>
  <si>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</si>
  <si>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</si>
  <si>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</si>
  <si>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</si>
  <si>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</si>
  <si>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</si>
  <si>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</si>
  <si>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</si>
  <si>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</si>
  <si>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</si>
  <si>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</si>
  <si>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</si>
  <si>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</si>
  <si>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</si>
  <si>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</si>
  <si>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</si>
  <si>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</si>
  <si>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</si>
  <si>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</si>
  <si>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</si>
  <si>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</si>
  <si>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</si>
  <si>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</si>
  <si>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</si>
  <si>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</si>
  <si>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</si>
  <si>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</si>
  <si>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</si>
  <si>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</si>
  <si>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</si>
  <si>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</si>
  <si>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</si>
  <si>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</si>
  <si>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</si>
  <si>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</si>
  <si>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</si>
  <si>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</si>
  <si>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</si>
  <si>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</si>
  <si>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</si>
  <si>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</si>
  <si>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</si>
  <si>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</si>
  <si>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</si>
  <si>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</si>
  <si>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</si>
  <si>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</si>
  <si>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</si>
  <si>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</si>
  <si>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</si>
  <si>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</si>
  <si>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</si>
  <si>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</si>
  <si>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</si>
  <si>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</si>
  <si>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</si>
  <si>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</si>
  <si>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</si>
  <si>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</si>
  <si>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</si>
  <si>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</si>
  <si>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</si>
  <si>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</si>
  <si>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</si>
  <si>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</si>
  <si>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</si>
  <si>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</si>
  <si>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</si>
  <si>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</si>
  <si>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</si>
  <si>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</si>
  <si>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</si>
  <si>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</si>
  <si>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</si>
  <si>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</si>
  <si>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</si>
  <si>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</si>
  <si>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</si>
  <si>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</si>
  <si>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</si>
  <si>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</si>
  <si>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</si>
  <si>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</si>
  <si>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</si>
  <si>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</si>
  <si>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</si>
  <si>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</si>
  <si>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</si>
  <si>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</si>
  <si>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</si>
  <si>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</si>
  <si>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</si>
  <si>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</si>
  <si>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</si>
  <si>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</si>
  <si>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</si>
  <si>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</si>
  <si>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</si>
  <si>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</si>
  <si>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</si>
  <si>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</si>
  <si>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</si>
  <si>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</si>
  <si>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</si>
  <si>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</si>
  <si>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</si>
  <si>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</si>
  <si>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</si>
  <si>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</si>
  <si>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</si>
  <si>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</si>
  <si>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</si>
  <si>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</si>
  <si>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</si>
  <si>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</si>
  <si>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</si>
  <si>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</si>
  <si>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</si>
  <si>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</si>
  <si>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</si>
  <si>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</si>
  <si>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</si>
  <si>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</si>
  <si>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</si>
  <si>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</si>
  <si>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</si>
  <si>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</si>
  <si>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</si>
  <si>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</si>
  <si>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</si>
  <si>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</si>
  <si>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</si>
  <si>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</si>
  <si>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</si>
  <si>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</si>
  <si>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</si>
  <si>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</si>
  <si>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</si>
  <si>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</si>
  <si>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</si>
  <si>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</si>
  <si>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</si>
  <si>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</si>
  <si>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</si>
  <si>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</si>
  <si>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</si>
  <si>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</si>
  <si>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</si>
  <si>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</si>
  <si>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</si>
  <si>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</si>
  <si>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</si>
  <si>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</si>
  <si>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</si>
  <si>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</si>
  <si>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</si>
  <si>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</si>
  <si>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</si>
  <si>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</si>
  <si>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</si>
  <si>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</si>
  <si>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</si>
  <si>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</si>
  <si>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</si>
  <si>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</si>
  <si>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</si>
  <si>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</si>
  <si>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</si>
  <si>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</si>
  <si>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</si>
  <si>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</si>
  <si>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</si>
  <si>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</si>
  <si>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</si>
  <si>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</si>
  <si>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</si>
  <si>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</si>
  <si>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</si>
  <si>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</si>
  <si>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</si>
  <si>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</si>
  <si>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</si>
  <si>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</si>
  <si>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</si>
  <si>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</si>
  <si>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</si>
  <si>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</si>
  <si>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</si>
  <si>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</si>
  <si>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</si>
  <si>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</si>
  <si>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</si>
  <si>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</si>
  <si>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</si>
  <si>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</si>
  <si>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</si>
  <si>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</si>
  <si>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</si>
  <si>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</si>
  <si>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</si>
  <si>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</si>
  <si>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</si>
  <si>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</si>
  <si>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</si>
  <si>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</si>
  <si>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</si>
  <si>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</si>
  <si>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</si>
  <si>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</si>
  <si>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</si>
  <si>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</si>
  <si>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</si>
  <si>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</si>
  <si>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</si>
  <si>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</si>
  <si>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</si>
  <si>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</si>
  <si>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</si>
  <si>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</si>
  <si>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</si>
  <si>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</si>
  <si>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</si>
  <si>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</si>
  <si>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</si>
  <si>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</si>
  <si>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</si>
  <si>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</si>
  <si>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</si>
  <si>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</si>
  <si>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</si>
  <si>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</si>
  <si>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</si>
  <si>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</si>
  <si>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</si>
  <si>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</si>
  <si>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</si>
  <si>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</si>
  <si>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</si>
  <si>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</si>
  <si>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</si>
  <si>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</si>
  <si>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</si>
  <si>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</si>
  <si>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</si>
  <si>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</si>
  <si>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</si>
  <si>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</si>
  <si>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</si>
  <si>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</si>
  <si>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</si>
  <si>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</si>
  <si>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</si>
  <si>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</si>
  <si>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</si>
  <si>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</si>
  <si>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</si>
  <si>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</si>
  <si>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</si>
  <si>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</si>
  <si>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</si>
  <si>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</si>
  <si>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</si>
  <si>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</si>
  <si>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</si>
  <si>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</si>
  <si>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</si>
  <si>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</si>
  <si>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</si>
  <si>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</si>
  <si>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</si>
  <si>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</si>
  <si>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</si>
  <si>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</si>
  <si>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</si>
  <si>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</si>
  <si>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</si>
  <si>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</si>
  <si>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</si>
  <si>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</si>
  <si>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</si>
  <si>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</si>
  <si>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</si>
  <si>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</si>
  <si>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</si>
  <si>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</si>
  <si>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</si>
  <si>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</si>
  <si>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</si>
  <si>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</si>
  <si>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</si>
  <si>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</si>
  <si>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</si>
  <si>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</si>
  <si>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</si>
  <si>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</si>
  <si>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</si>
  <si>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</si>
  <si>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</si>
  <si>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</si>
  <si>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</si>
  <si>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</si>
  <si>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</si>
  <si>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</si>
  <si>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</si>
  <si>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</si>
  <si>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</si>
  <si>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</si>
  <si>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</si>
  <si>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</si>
  <si>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</si>
  <si>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</si>
  <si>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</si>
  <si>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</si>
  <si>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</si>
  <si>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</si>
  <si>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</si>
  <si>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</si>
  <si>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</si>
  <si>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</si>
  <si>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</si>
  <si>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</si>
  <si>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</si>
  <si>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</si>
  <si>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</si>
  <si>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</si>
  <si>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</si>
  <si>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</si>
  <si>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</si>
  <si>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</si>
  <si>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</si>
  <si>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</si>
  <si>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</si>
  <si>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</si>
  <si>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</si>
  <si>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</si>
  <si>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</si>
  <si>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</si>
  <si>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</si>
  <si>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</si>
  <si>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</si>
  <si>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</si>
  <si>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</si>
  <si>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</si>
  <si>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</si>
  <si>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</si>
  <si>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</si>
  <si>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</si>
  <si>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</si>
  <si>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</si>
  <si>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</si>
  <si>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</si>
  <si>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</si>
  <si>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</si>
  <si>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</si>
  <si>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</si>
  <si>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</si>
  <si>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</si>
  <si>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</si>
  <si>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</si>
  <si>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</si>
  <si>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</si>
  <si>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</si>
  <si>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</si>
  <si>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</si>
  <si>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</si>
  <si>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</si>
  <si>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</si>
  <si>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</si>
  <si>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</si>
  <si>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</si>
  <si>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</si>
  <si>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</si>
  <si>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</si>
  <si>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</si>
  <si>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</si>
  <si>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</si>
  <si>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</si>
  <si>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</si>
  <si>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</si>
  <si>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</si>
  <si>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</si>
  <si>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</si>
  <si>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</si>
  <si>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</si>
  <si>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</si>
  <si>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</si>
  <si>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</si>
  <si>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</si>
  <si>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</si>
  <si>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</si>
  <si>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</si>
  <si>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</si>
  <si>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</si>
  <si>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</si>
  <si>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</si>
  <si>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</si>
  <si>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</si>
  <si>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</si>
  <si>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</si>
  <si>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</si>
  <si>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</si>
  <si>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</si>
  <si>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</si>
  <si>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</si>
  <si>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</si>
  <si>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</si>
  <si>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</si>
  <si>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</si>
  <si>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</si>
  <si>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</si>
  <si>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</si>
  <si>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</si>
  <si>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</si>
  <si>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</si>
  <si>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</si>
  <si>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</si>
  <si>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</si>
  <si>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</si>
  <si>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</si>
  <si>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</si>
  <si>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</si>
  <si>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</si>
  <si>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</si>
  <si>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</si>
  <si>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</si>
  <si>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</si>
  <si>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</si>
  <si>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</si>
  <si>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</si>
  <si>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</si>
  <si>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</si>
  <si>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</si>
  <si>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</si>
  <si>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</si>
  <si>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</si>
  <si>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</si>
  <si>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</si>
  <si>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</si>
  <si>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</si>
  <si>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</si>
  <si>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</si>
  <si>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</si>
  <si>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</si>
  <si>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</si>
  <si>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</si>
  <si>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</si>
  <si>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</si>
  <si>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</si>
  <si>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</si>
  <si>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</si>
  <si>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</si>
  <si>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</si>
  <si>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</si>
  <si>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</si>
  <si>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</si>
  <si>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</si>
  <si>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</si>
  <si>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</si>
  <si>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</si>
  <si>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</si>
  <si>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</si>
  <si>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</si>
  <si>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</si>
  <si>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</si>
  <si>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</si>
  <si>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</si>
  <si>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</si>
  <si>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</si>
  <si>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</si>
  <si>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</si>
  <si>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</si>
  <si>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</si>
  <si>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</si>
  <si>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</si>
  <si>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</si>
  <si>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</si>
  <si>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</si>
  <si>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</si>
  <si>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</si>
  <si>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</si>
  <si>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</si>
  <si>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</si>
  <si>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</si>
  <si>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</si>
  <si>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</si>
  <si>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</si>
  <si>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</si>
  <si>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</si>
  <si>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</si>
  <si>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</si>
  <si>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</si>
  <si>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</si>
  <si>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</si>
  <si>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</si>
  <si>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reportable</t>
  </si>
  <si>
    <t>report with sequencing measure</t>
  </si>
  <si>
    <t>Generate a quality report with the the quality flag "qf1" to accompany this report, and then report both with the sequencing measure</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</si>
  <si>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</si>
  <si>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</si>
  <si>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</si>
  <si>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</si>
  <si>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</si>
  <si>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</si>
  <si>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</si>
  <si>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</si>
  <si>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</si>
  <si>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</si>
  <si>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</si>
  <si>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</si>
  <si>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</si>
  <si>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</si>
  <si>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</si>
  <si>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</si>
  <si>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</si>
  <si>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</si>
  <si>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</si>
  <si>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</si>
  <si>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</si>
  <si>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</si>
  <si>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</si>
  <si>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</si>
  <si>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</si>
  <si>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</si>
  <si>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</si>
  <si>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</si>
  <si>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</si>
  <si>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</si>
  <si>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</si>
  <si>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</si>
  <si>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</si>
  <si>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</si>
  <si>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</si>
  <si>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</si>
  <si>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</si>
  <si>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</si>
  <si>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</si>
  <si>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</si>
  <si>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</si>
  <si>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</si>
  <si>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</si>
  <si>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</si>
  <si>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</si>
  <si>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</si>
  <si>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</si>
  <si>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</si>
  <si>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</si>
  <si>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</si>
  <si>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</si>
  <si>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</si>
  <si>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</si>
  <si>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</si>
  <si>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</si>
  <si>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</si>
  <si>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</si>
  <si>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</si>
  <si>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</si>
  <si>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</si>
  <si>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</si>
  <si>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</si>
  <si>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</si>
  <si>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</si>
  <si>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</si>
  <si>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</si>
  <si>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</si>
  <si>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</si>
  <si>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</si>
  <si>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</si>
  <si>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</si>
  <si>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</si>
  <si>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</si>
  <si>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</si>
  <si>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</si>
  <si>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</si>
  <si>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</si>
  <si>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</si>
  <si>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</si>
  <si>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</si>
  <si>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</si>
  <si>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</si>
  <si>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</si>
  <si>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</si>
  <si>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</si>
  <si>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</si>
  <si>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</si>
  <si>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</si>
  <si>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</si>
  <si>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</si>
  <si>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</si>
  <si>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</si>
  <si>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</si>
  <si>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</si>
  <si>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</si>
  <si>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</si>
  <si>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</si>
  <si>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</si>
  <si>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</si>
  <si>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</si>
  <si>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</si>
  <si>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</si>
  <si>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</si>
  <si>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</si>
  <si>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</si>
  <si>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</si>
  <si>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</si>
  <si>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</si>
  <si>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</si>
  <si>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</si>
  <si>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</si>
  <si>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</si>
  <si>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</si>
  <si>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</si>
  <si>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</si>
  <si>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</si>
  <si>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</si>
  <si>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</si>
  <si>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</si>
  <si>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</si>
  <si>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</si>
  <si>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</si>
  <si>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</si>
  <si>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</si>
  <si>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</si>
  <si>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</si>
  <si>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</si>
  <si>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</si>
  <si>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</si>
  <si>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</si>
  <si>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</si>
  <si>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</si>
  <si>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</si>
  <si>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</si>
  <si>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</si>
  <si>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</si>
  <si>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</si>
  <si>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</si>
  <si>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</si>
  <si>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</si>
  <si>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</si>
  <si>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</si>
  <si>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</si>
  <si>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</si>
  <si>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</si>
  <si>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</si>
  <si>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</si>
  <si>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</si>
  <si>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</si>
  <si>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</si>
  <si>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</si>
  <si>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</si>
  <si>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</si>
  <si>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</si>
  <si>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</si>
  <si>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</si>
  <si>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</si>
  <si>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</si>
  <si>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</si>
  <si>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</si>
  <si>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</si>
  <si>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</si>
  <si>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</si>
  <si>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</si>
  <si>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</si>
  <si>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</si>
  <si>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</si>
  <si>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</si>
  <si>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</si>
  <si>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</si>
  <si>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</si>
  <si>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</si>
  <si>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</si>
  <si>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</si>
  <si>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</si>
  <si>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</si>
  <si>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</si>
  <si>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</si>
  <si>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</si>
  <si>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</si>
  <si>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</si>
  <si>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</si>
  <si>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</si>
  <si>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</si>
  <si>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</si>
  <si>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</si>
  <si>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</si>
  <si>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</si>
  <si>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</si>
  <si>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</si>
  <si>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</si>
  <si>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</si>
  <si>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</si>
  <si>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</si>
  <si>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</si>
  <si>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</si>
  <si>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</si>
  <si>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</si>
  <si>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</si>
  <si>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</si>
  <si>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</si>
  <si>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</si>
  <si>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</si>
  <si>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</si>
  <si>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</si>
  <si>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</si>
  <si>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</si>
  <si>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</si>
  <si>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</si>
  <si>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</si>
  <si>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</si>
  <si>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</si>
  <si>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</si>
  <si>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</si>
  <si>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</si>
  <si>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</si>
  <si>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</si>
  <si>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</si>
  <si>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</si>
  <si>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</si>
  <si>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</si>
  <si>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</si>
  <si>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</si>
  <si>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</si>
  <si>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</si>
  <si>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</si>
  <si>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</si>
  <si>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</si>
  <si>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</si>
  <si>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</si>
  <si>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</si>
  <si>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</si>
  <si>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</si>
  <si>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</si>
  <si>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</si>
  <si>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</si>
  <si>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</si>
  <si>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</si>
  <si>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</si>
  <si>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</si>
  <si>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</si>
  <si>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</si>
  <si>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</si>
  <si>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</si>
  <si>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</si>
  <si>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</si>
  <si>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</si>
  <si>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</si>
  <si>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</si>
  <si>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</si>
  <si>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</si>
  <si>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</si>
  <si>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</si>
  <si>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</si>
  <si>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</si>
  <si>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</si>
  <si>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</si>
  <si>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</si>
  <si>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</si>
  <si>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</si>
  <si>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</si>
  <si>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</si>
  <si>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</si>
  <si>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</si>
  <si>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</si>
  <si>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</si>
  <si>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</si>
  <si>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</si>
  <si>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</si>
  <si>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</si>
  <si>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</si>
  <si>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</si>
  <si>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</si>
  <si>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</si>
  <si>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</si>
  <si>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</si>
  <si>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</si>
  <si>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</si>
  <si>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</si>
  <si>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</si>
  <si>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</si>
  <si>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</si>
  <si>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</si>
  <si>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</si>
  <si>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</si>
  <si>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</si>
  <si>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</si>
  <si>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</si>
  <si>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</si>
  <si>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</si>
  <si>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</si>
  <si>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</si>
  <si>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</si>
  <si>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</si>
  <si>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</si>
  <si>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</si>
  <si>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</si>
  <si>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</si>
  <si>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</si>
  <si>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</si>
  <si>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</si>
  <si>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</si>
  <si>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</si>
  <si>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</si>
  <si>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</si>
  <si>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</si>
  <si>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</si>
  <si>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</si>
  <si>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</si>
  <si>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</si>
  <si>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</si>
  <si>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</si>
  <si>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</si>
  <si>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</si>
  <si>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</si>
  <si>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</si>
  <si>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</si>
  <si>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</si>
  <si>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</si>
  <si>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</si>
  <si>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</si>
  <si>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</si>
  <si>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</si>
  <si>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</si>
  <si>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</si>
  <si>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</si>
  <si>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</si>
  <si>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</si>
  <si>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</si>
  <si>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</si>
  <si>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</si>
  <si>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</si>
  <si>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</si>
  <si>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</si>
  <si>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</si>
  <si>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</si>
  <si>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</si>
  <si>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</si>
  <si>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</si>
  <si>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</si>
  <si>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</si>
  <si>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</si>
  <si>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</si>
  <si>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</si>
  <si>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</si>
  <si>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</si>
  <si>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</si>
  <si>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</si>
  <si>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</si>
  <si>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</si>
  <si>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</si>
  <si>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</si>
  <si>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</si>
  <si>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</si>
  <si>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</si>
  <si>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</si>
  <si>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</si>
  <si>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</si>
  <si>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</si>
  <si>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</si>
  <si>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</si>
  <si>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</si>
  <si>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</si>
  <si>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</si>
  <si>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</si>
  <si>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</si>
  <si>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</si>
  <si>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</si>
  <si>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</si>
  <si>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</si>
  <si>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</si>
  <si>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</si>
  <si>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</si>
  <si>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</si>
  <si>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</si>
  <si>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</si>
  <si>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</si>
  <si>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</si>
  <si>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</si>
  <si>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</si>
  <si>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</si>
  <si>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</si>
  <si>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</si>
  <si>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</si>
  <si>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</si>
  <si>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</si>
  <si>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</si>
  <si>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</si>
  <si>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</si>
  <si>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</si>
  <si>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</si>
  <si>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</si>
  <si>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</si>
  <si>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</si>
  <si>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</si>
  <si>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</si>
  <si>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</si>
  <si>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</si>
  <si>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</si>
  <si>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</si>
  <si>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</si>
  <si>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</si>
  <si>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</si>
  <si>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</si>
  <si>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</si>
  <si>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</si>
  <si>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</si>
  <si>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</si>
  <si>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</si>
  <si>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</si>
  <si>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</si>
  <si>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</si>
  <si>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</si>
  <si>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</si>
  <si>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</si>
  <si>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</si>
  <si>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</si>
  <si>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</si>
  <si>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</si>
  <si>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</si>
  <si>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</si>
  <si>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</si>
  <si>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</si>
  <si>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</si>
  <si>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</si>
  <si>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</si>
  <si>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</si>
  <si>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</si>
  <si>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</si>
  <si>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</si>
  <si>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</si>
  <si>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</si>
  <si>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</si>
  <si>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</si>
  <si>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</si>
  <si>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</si>
  <si>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</si>
  <si>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</si>
  <si>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</si>
  <si>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</si>
  <si>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</si>
  <si>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</si>
  <si>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</si>
  <si>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</si>
  <si>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</si>
  <si>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</si>
  <si>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</si>
  <si>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</si>
  <si>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</si>
  <si>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</si>
  <si>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</si>
  <si>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</si>
  <si>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</si>
  <si>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</si>
  <si>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</si>
  <si>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</si>
  <si>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</si>
  <si>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</si>
  <si>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</si>
  <si>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</si>
  <si>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</si>
  <si>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</si>
  <si>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</si>
  <si>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</si>
  <si>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</si>
  <si>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</si>
  <si>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</si>
  <si>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</si>
  <si>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</si>
  <si>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</si>
  <si>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</si>
  <si>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</si>
  <si>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</si>
  <si>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</si>
  <si>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</si>
  <si>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</si>
  <si>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</si>
  <si>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</si>
  <si>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</si>
  <si>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</si>
  <si>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</si>
  <si>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</si>
  <si>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</si>
  <si>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</si>
  <si>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</si>
  <si>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</si>
  <si>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</si>
  <si>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</si>
  <si>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</si>
  <si>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</si>
  <si>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</si>
  <si>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</si>
  <si>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</si>
  <si>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</si>
  <si>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</si>
  <si>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</si>
  <si>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</si>
  <si>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</si>
  <si>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</si>
  <si>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</si>
  <si>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</si>
  <si>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</si>
  <si>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</si>
  <si>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</si>
  <si>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</si>
  <si>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</si>
  <si>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</si>
  <si>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</si>
  <si>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</si>
  <si>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</si>
  <si>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</si>
  <si>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</si>
  <si>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</si>
  <si>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</si>
  <si>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</si>
  <si>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</si>
  <si>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</si>
  <si>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</si>
  <si>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</si>
  <si>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</si>
  <si>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</si>
  <si>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</si>
  <si>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</si>
  <si>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</si>
  <si>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</si>
  <si>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</si>
  <si>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</si>
  <si>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</si>
  <si>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</si>
  <si>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</si>
  <si>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</si>
  <si>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</si>
  <si>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</si>
  <si>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</si>
  <si>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</si>
  <si>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</si>
  <si>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</si>
  <si>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</si>
  <si>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</si>
  <si>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</si>
  <si>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</si>
  <si>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</si>
  <si>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</si>
  <si>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</si>
  <si>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</si>
  <si>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</si>
  <si>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</si>
  <si>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</si>
  <si>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</si>
  <si>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</si>
  <si>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</si>
  <si>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</si>
  <si>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</si>
  <si>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</si>
  <si>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</si>
  <si>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</si>
  <si>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</si>
  <si>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</si>
  <si>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</si>
  <si>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</si>
  <si>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</si>
  <si>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</si>
  <si>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</si>
  <si>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</si>
  <si>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</si>
  <si>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</si>
  <si>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</si>
  <si>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See notes; Is not in PHA4GE schema for Sars-Cov2 but is in schema for WastewaterPathogenAgnostic</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</si>
  <si>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</si>
  <si>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</si>
  <si>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</si>
  <si>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</si>
  <si>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</si>
  <si>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</si>
  <si>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</si>
  <si>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</si>
  <si>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</si>
  <si>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</si>
  <si>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</si>
  <si>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</si>
  <si>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</si>
  <si>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</si>
  <si>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</si>
  <si>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</si>
  <si>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</si>
  <si>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</si>
  <si>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</si>
  <si>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</si>
  <si>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</si>
  <si>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</si>
  <si>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</si>
  <si>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</si>
  <si>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</si>
  <si>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</si>
  <si>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</si>
  <si>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</si>
  <si>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</si>
  <si>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</si>
  <si>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</si>
  <si>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</si>
  <si>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</si>
  <si>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</si>
  <si>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</si>
  <si>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</si>
  <si>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</si>
  <si>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</si>
  <si>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</si>
  <si>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</si>
  <si>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</si>
  <si>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</si>
  <si>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</si>
  <si>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</si>
  <si>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</si>
  <si>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</si>
  <si>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</si>
  <si>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</si>
  <si>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</si>
  <si>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</si>
  <si>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</si>
  <si>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</si>
  <si>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</si>
  <si>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</si>
  <si>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</si>
  <si>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</si>
  <si>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</si>
  <si>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</si>
  <si>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</si>
  <si>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</si>
  <si>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</si>
  <si>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</si>
  <si>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</si>
  <si>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</si>
  <si>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</si>
  <si>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</si>
  <si>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</si>
  <si>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</si>
  <si>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</si>
  <si>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</si>
  <si>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</si>
  <si>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</si>
  <si>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</si>
  <si>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</si>
  <si>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</si>
  <si>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</si>
  <si>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</si>
  <si>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</si>
  <si>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Good, apply to all rows</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</si>
  <si>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</si>
  <si>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</si>
  <si>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</si>
  <si>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</si>
  <si>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</si>
  <si>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</si>
  <si>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</si>
  <si>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</si>
  <si>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</si>
  <si>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</si>
  <si>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</si>
  <si>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</si>
  <si>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</si>
  <si>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</si>
  <si>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</si>
  <si>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</si>
  <si>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</si>
  <si>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</si>
  <si>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</si>
  <si>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</si>
  <si>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</si>
  <si>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</si>
  <si>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</si>
  <si>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</si>
  <si>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</si>
  <si>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</si>
  <si>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</si>
  <si>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</si>
  <si>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</si>
  <si>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</si>
  <si>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</si>
  <si>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</si>
  <si>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</si>
  <si>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</si>
  <si>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</si>
  <si>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</si>
  <si>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</si>
  <si>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</si>
  <si>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</si>
  <si>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</si>
  <si>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</si>
  <si>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</si>
  <si>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</si>
  <si>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</si>
  <si>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</si>
  <si>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</si>
  <si>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</si>
  <si>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</si>
  <si>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</si>
  <si>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</si>
  <si>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</si>
  <si>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</si>
  <si>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</si>
  <si>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</si>
  <si>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</si>
  <si>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</si>
  <si>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</si>
  <si>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</si>
  <si>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</si>
  <si>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</si>
  <si>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</si>
  <si>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</si>
  <si>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</si>
  <si>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</si>
  <si>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</si>
  <si>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</si>
  <si>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</si>
  <si>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</si>
  <si>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</si>
  <si>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</si>
  <si>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</si>
  <si>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</si>
  <si>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</si>
  <si>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</si>
  <si>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</si>
  <si>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</si>
  <si>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</si>
  <si>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</si>
  <si>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</si>
  <si>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</si>
  <si>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</si>
  <si>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</si>
  <si>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</si>
  <si>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</si>
  <si>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</si>
  <si>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</si>
  <si>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</si>
  <si>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</si>
  <si>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</si>
  <si>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</si>
  <si>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</si>
  <si>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</si>
  <si>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</si>
  <si>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</si>
  <si>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</si>
  <si>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</si>
  <si>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</si>
  <si>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</si>
  <si>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</si>
  <si>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</si>
  <si>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</si>
  <si>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</si>
  <si>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</si>
  <si>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</si>
  <si>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</si>
  <si>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</si>
  <si>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</si>
  <si>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</si>
  <si>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</si>
  <si>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</si>
  <si>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</si>
  <si>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</si>
  <si>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</si>
  <si>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</si>
  <si>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</si>
  <si>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</si>
  <si>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</si>
  <si>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</si>
  <si>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</si>
  <si>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</si>
  <si>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</si>
  <si>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</si>
  <si>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</si>
  <si>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</si>
  <si>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</si>
  <si>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</si>
  <si>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</si>
  <si>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</si>
  <si>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</si>
  <si>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</si>
  <si>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</si>
  <si>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</si>
  <si>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</si>
  <si>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</si>
  <si>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</si>
  <si>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</si>
  <si>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</si>
  <si>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</si>
  <si>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</si>
  <si>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</si>
  <si>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</si>
  <si>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</si>
  <si>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</si>
  <si>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</si>
  <si>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</si>
  <si>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</si>
  <si>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</si>
  <si>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</si>
  <si>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</si>
  <si>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</si>
  <si>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</si>
  <si>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</si>
  <si>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</si>
  <si>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</si>
  <si>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</si>
  <si>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</si>
  <si>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</si>
  <si>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</si>
  <si>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</si>
  <si>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</si>
  <si>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</si>
  <si>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</si>
  <si>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</si>
  <si>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</si>
  <si>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</si>
  <si>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</si>
  <si>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</si>
  <si>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</si>
  <si>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</si>
  <si>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</si>
  <si>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</si>
  <si>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</si>
  <si>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</si>
  <si>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</si>
  <si>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</si>
  <si>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</si>
  <si>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</si>
  <si>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</si>
  <si>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</si>
  <si>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</si>
  <si>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</si>
  <si>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</si>
  <si>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</si>
  <si>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</si>
  <si>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</si>
  <si>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</si>
  <si>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</si>
  <si>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</si>
  <si>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</si>
  <si>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</si>
  <si>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</si>
  <si>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</si>
  <si>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</si>
  <si>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</si>
  <si>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</si>
  <si>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</si>
  <si>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</si>
  <si>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</si>
  <si>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</si>
  <si>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</si>
  <si>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</si>
  <si>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</si>
  <si>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</si>
  <si>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</si>
  <si>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</si>
  <si>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 mirror_source: True }</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</si>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</sst>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7">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6"/>
  <sheetViews>
    <sheetView workbookViewId="0">
      <pane ySplit="1" topLeftCell="A2" activePane="bottomLeft" state="frozen"/>
      <selection activeCell="K8" sqref="I2:K8"/>
      <selection pane="bottomLeft" activeCell="K8" sqref="I2:K8"/>
    </sheetView>
  </sheetViews>
  <sheetFormatPr baseColWidth="10" defaultRowHeight="16" x14ac:dyDescent="0.2"/>
  <cols>
    <col min="2" max="2" width="15.5" bestFit="1" customWidth="1"/>
  </cols>
  <sheetData>
    <row r="1" spans="1:4" s="17" customFormat="1" x14ac:dyDescent="0.2">
      <c r="A1" s="17" t="s">
        <v>2110</v>
      </c>
      <c r="B1" s="17" t="s">
        <v>3</v>
      </c>
      <c r="C1" s="17" t="s">
        <v>6</v>
      </c>
      <c r="D1" s="17" t="s">
        <v>2116</v>
      </c>
    </row>
    <row r="2" spans="1:4" x14ac:dyDescent="0.2">
      <c r="A2" t="s">
        <v>2111</v>
      </c>
      <c r="B2" t="s">
        <v>436</v>
      </c>
      <c r="C2" t="s">
        <v>441</v>
      </c>
      <c r="D2" t="s">
        <v>2115</v>
      </c>
    </row>
    <row r="3" spans="1:4" x14ac:dyDescent="0.2">
      <c r="A3" t="s">
        <v>2111</v>
      </c>
      <c r="B3" t="s">
        <v>439</v>
      </c>
      <c r="C3" t="s">
        <v>2112</v>
      </c>
    </row>
    <row r="4" spans="1:4" x14ac:dyDescent="0.2">
      <c r="A4" t="s">
        <v>2111</v>
      </c>
      <c r="B4" t="s">
        <v>437</v>
      </c>
      <c r="C4" t="s">
        <v>2113</v>
      </c>
    </row>
    <row r="5" spans="1:4" x14ac:dyDescent="0.2">
      <c r="A5" t="s">
        <v>2111</v>
      </c>
      <c r="B5" t="s">
        <v>438</v>
      </c>
      <c r="C5" t="s">
        <v>1055</v>
      </c>
    </row>
    <row r="6" spans="1:4" x14ac:dyDescent="0.2">
      <c r="A6" t="s">
        <v>2111</v>
      </c>
      <c r="B6" t="s">
        <v>440</v>
      </c>
      <c r="C6" t="s">
        <v>1056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topLeftCell="J1"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1386</v>
      </c>
      <c r="B1" s="74" t="s">
        <v>0</v>
      </c>
      <c r="C1" s="74" t="s">
        <v>10</v>
      </c>
      <c r="D1" s="74" t="s">
        <v>1765</v>
      </c>
      <c r="E1" s="74" t="s">
        <v>1</v>
      </c>
      <c r="F1" s="74" t="s">
        <v>2</v>
      </c>
      <c r="G1" s="74" t="s">
        <v>3</v>
      </c>
      <c r="H1" s="74" t="s">
        <v>4</v>
      </c>
      <c r="I1" s="74" t="s">
        <v>1688</v>
      </c>
      <c r="J1" s="74" t="s">
        <v>5</v>
      </c>
      <c r="K1" s="74" t="s">
        <v>6</v>
      </c>
      <c r="L1" s="74" t="s">
        <v>1726</v>
      </c>
      <c r="M1" s="74" t="s">
        <v>1676</v>
      </c>
      <c r="N1" s="74" t="s">
        <v>8</v>
      </c>
      <c r="O1" s="74" t="s">
        <v>9</v>
      </c>
      <c r="P1" s="74" t="s">
        <v>1668</v>
      </c>
    </row>
    <row r="2" spans="1:16" x14ac:dyDescent="0.2">
      <c r="A2">
        <v>4</v>
      </c>
      <c r="B2" t="b">
        <v>0</v>
      </c>
      <c r="C2" t="s">
        <v>1111</v>
      </c>
      <c r="D2" t="str">
        <f>IF(F2&lt;&gt;"",VLOOKUP(F2,PHA4GEVars!$A$7:$B$241,2,FALSE),"")</f>
        <v>AMR detection information</v>
      </c>
      <c r="E2" t="s">
        <v>1754</v>
      </c>
      <c r="F2" t="s">
        <v>1114</v>
      </c>
      <c r="G2" t="s">
        <v>441</v>
      </c>
      <c r="H2" t="s">
        <v>1377</v>
      </c>
      <c r="J2" t="s">
        <v>1381</v>
      </c>
      <c r="K2" t="s">
        <v>1644</v>
      </c>
      <c r="O2" t="s">
        <v>1529</v>
      </c>
      <c r="P2" t="s">
        <v>1831</v>
      </c>
    </row>
    <row r="3" spans="1:16" x14ac:dyDescent="0.2">
      <c r="A3">
        <v>5</v>
      </c>
      <c r="B3" t="b">
        <v>0</v>
      </c>
      <c r="C3" t="s">
        <v>1111</v>
      </c>
      <c r="D3" t="str">
        <f>IF(F3&lt;&gt;"",VLOOKUP(F3,PHA4GEVars!$A$7:$B$241,2,FALSE),"")</f>
        <v>AMR detection information</v>
      </c>
      <c r="E3" t="s">
        <v>1754</v>
      </c>
      <c r="F3" t="s">
        <v>1115</v>
      </c>
      <c r="G3" t="s">
        <v>441</v>
      </c>
      <c r="H3" t="s">
        <v>1377</v>
      </c>
      <c r="J3" t="s">
        <v>1384</v>
      </c>
      <c r="K3" t="s">
        <v>1645</v>
      </c>
      <c r="O3" t="s">
        <v>1530</v>
      </c>
      <c r="P3" t="s">
        <v>1831</v>
      </c>
    </row>
    <row r="4" spans="1:16" x14ac:dyDescent="0.2">
      <c r="A4">
        <v>849</v>
      </c>
      <c r="B4" t="b">
        <v>0</v>
      </c>
      <c r="C4" t="s">
        <v>1108</v>
      </c>
      <c r="D4" t="str">
        <f>IF(F4&lt;&gt;"",VLOOKUP(F4,PHA4GEVars!$A$7:$B$241,2,FALSE),"")</f>
        <v>Taxonomic identification information</v>
      </c>
      <c r="E4" t="s">
        <v>1754</v>
      </c>
      <c r="F4" t="s">
        <v>97</v>
      </c>
      <c r="G4" t="s">
        <v>441</v>
      </c>
      <c r="H4" t="s">
        <v>1377</v>
      </c>
      <c r="J4" t="s">
        <v>1381</v>
      </c>
      <c r="K4" t="s">
        <v>1382</v>
      </c>
      <c r="O4" t="s">
        <v>1383</v>
      </c>
      <c r="P4" t="s">
        <v>1832</v>
      </c>
    </row>
    <row r="5" spans="1:16" x14ac:dyDescent="0.2">
      <c r="A5">
        <v>850</v>
      </c>
      <c r="B5" t="b">
        <v>0</v>
      </c>
      <c r="C5" t="s">
        <v>1108</v>
      </c>
      <c r="D5" t="str">
        <f>IF(F5&lt;&gt;"",VLOOKUP(F5,PHA4GEVars!$A$7:$B$241,2,FALSE),"")</f>
        <v>Taxonomic identification information</v>
      </c>
      <c r="E5" t="s">
        <v>1754</v>
      </c>
      <c r="F5" t="s">
        <v>99</v>
      </c>
      <c r="G5" t="s">
        <v>441</v>
      </c>
      <c r="H5" t="s">
        <v>1377</v>
      </c>
      <c r="J5" t="s">
        <v>1384</v>
      </c>
      <c r="K5" t="s">
        <v>1385</v>
      </c>
      <c r="P5" t="s">
        <v>1832</v>
      </c>
    </row>
    <row r="7" spans="1:16" x14ac:dyDescent="0.2">
      <c r="A7">
        <v>43</v>
      </c>
      <c r="B7" t="b">
        <v>1</v>
      </c>
      <c r="C7" t="s">
        <v>11</v>
      </c>
      <c r="D7" t="str">
        <f>IF(F7&lt;&gt;"",VLOOKUP(F7,PHA4GEVars!$A$7:$B$241,2,FALSE),"")</f>
        <v>Bioinformatics and QC metrics</v>
      </c>
      <c r="E7" t="s">
        <v>1754</v>
      </c>
      <c r="F7" t="s">
        <v>93</v>
      </c>
      <c r="G7" t="s">
        <v>441</v>
      </c>
      <c r="H7" t="s">
        <v>1377</v>
      </c>
      <c r="J7" t="s">
        <v>1378</v>
      </c>
      <c r="K7" t="s">
        <v>1379</v>
      </c>
      <c r="O7" t="s">
        <v>1380</v>
      </c>
      <c r="P7" t="s">
        <v>1675</v>
      </c>
    </row>
    <row r="8" spans="1:16" x14ac:dyDescent="0.2">
      <c r="B8" t="b">
        <v>1</v>
      </c>
      <c r="D8" t="str">
        <f>IF(F8&lt;&gt;"",VLOOKUP(F8,PHA4GEVars!$A$7:$B$241,2,FALSE),"")</f>
        <v>Sequence information</v>
      </c>
      <c r="E8" t="s">
        <v>1754</v>
      </c>
      <c r="F8" t="s">
        <v>120</v>
      </c>
      <c r="H8" t="s">
        <v>1377</v>
      </c>
      <c r="J8" t="s">
        <v>1231</v>
      </c>
      <c r="K8" t="s">
        <v>1578</v>
      </c>
    </row>
    <row r="9" spans="1:16" x14ac:dyDescent="0.2">
      <c r="B9" t="b">
        <v>1</v>
      </c>
      <c r="E9" t="s">
        <v>1754</v>
      </c>
      <c r="H9" t="s">
        <v>1377</v>
      </c>
      <c r="J9" t="s">
        <v>2008</v>
      </c>
      <c r="L9" t="s">
        <v>2007</v>
      </c>
    </row>
    <row r="10" spans="1:16" x14ac:dyDescent="0.2">
      <c r="B10" t="b">
        <v>1</v>
      </c>
      <c r="E10" t="s">
        <v>1754</v>
      </c>
      <c r="H10" t="s">
        <v>1377</v>
      </c>
      <c r="J10" t="s">
        <v>1972</v>
      </c>
      <c r="L10" t="s">
        <v>1973</v>
      </c>
    </row>
    <row r="11" spans="1:16" x14ac:dyDescent="0.2">
      <c r="B11" t="b">
        <v>1</v>
      </c>
      <c r="E11" t="s">
        <v>1754</v>
      </c>
      <c r="H11" t="s">
        <v>1377</v>
      </c>
      <c r="J11" t="s">
        <v>1976</v>
      </c>
      <c r="L11" t="s">
        <v>2100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2" activePane="bottomLeft" state="frozen"/>
      <selection pane="bottomLeft" activeCell="L14" sqref="L14"/>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1386</v>
      </c>
      <c r="B1" s="17" t="s">
        <v>0</v>
      </c>
      <c r="C1" s="17" t="s">
        <v>10</v>
      </c>
      <c r="D1" s="17" t="s">
        <v>1765</v>
      </c>
      <c r="E1" s="17" t="s">
        <v>1</v>
      </c>
      <c r="F1" s="17" t="s">
        <v>2</v>
      </c>
      <c r="G1" s="17" t="s">
        <v>3</v>
      </c>
      <c r="H1" s="17" t="s">
        <v>4</v>
      </c>
      <c r="I1" s="17" t="s">
        <v>1858</v>
      </c>
      <c r="J1" s="17" t="s">
        <v>6</v>
      </c>
      <c r="K1" s="17" t="s">
        <v>7</v>
      </c>
      <c r="L1" s="17" t="s">
        <v>8</v>
      </c>
      <c r="M1" s="17" t="s">
        <v>9</v>
      </c>
      <c r="N1" s="17" t="s">
        <v>1678</v>
      </c>
    </row>
    <row r="2" spans="1:14" x14ac:dyDescent="0.2">
      <c r="A2">
        <v>338</v>
      </c>
      <c r="B2" t="b">
        <f t="shared" ref="B2:B65" si="0">IF(OR(G2="NA",H2="wide_value"),"",TRUE)</f>
        <v>1</v>
      </c>
      <c r="C2" t="s">
        <v>108</v>
      </c>
      <c r="D2" t="str">
        <f>IF(F2&lt;&gt;"",VLOOKUP(F2,PHA4GEVars!$A$7:$B$241,2,FALSE),"")</f>
        <v>Sample collection and processing</v>
      </c>
      <c r="E2" t="s">
        <v>1754</v>
      </c>
      <c r="F2" t="s">
        <v>1775</v>
      </c>
      <c r="G2" s="31" t="s">
        <v>443</v>
      </c>
      <c r="H2" t="s">
        <v>1189</v>
      </c>
      <c r="I2" t="s">
        <v>1190</v>
      </c>
      <c r="J2" s="15" t="s">
        <v>442</v>
      </c>
      <c r="M2" s="1" t="s">
        <v>1191</v>
      </c>
      <c r="N2" t="s">
        <v>1759</v>
      </c>
    </row>
    <row r="3" spans="1:14" x14ac:dyDescent="0.2">
      <c r="A3">
        <v>339</v>
      </c>
      <c r="B3" t="b">
        <f t="shared" si="0"/>
        <v>1</v>
      </c>
      <c r="C3" t="s">
        <v>108</v>
      </c>
      <c r="D3" t="str">
        <f>IF(F3&lt;&gt;"",VLOOKUP(F3,PHA4GEVars!$A$7:$B$241,2,FALSE),"")</f>
        <v>Sample collection and processing</v>
      </c>
      <c r="E3" t="s">
        <v>1754</v>
      </c>
      <c r="F3" t="s">
        <v>1775</v>
      </c>
      <c r="G3" s="31" t="s">
        <v>445</v>
      </c>
      <c r="H3" t="s">
        <v>1189</v>
      </c>
      <c r="I3" t="s">
        <v>1190</v>
      </c>
      <c r="J3" s="15" t="s">
        <v>444</v>
      </c>
      <c r="M3" s="1" t="s">
        <v>1191</v>
      </c>
      <c r="N3" t="s">
        <v>1759</v>
      </c>
    </row>
    <row r="4" spans="1:14" x14ac:dyDescent="0.2">
      <c r="A4">
        <v>340</v>
      </c>
      <c r="B4" t="b">
        <f t="shared" si="0"/>
        <v>1</v>
      </c>
      <c r="C4" t="s">
        <v>108</v>
      </c>
      <c r="D4" t="str">
        <f>IF(F4&lt;&gt;"",VLOOKUP(F4,PHA4GEVars!$A$7:$B$241,2,FALSE),"")</f>
        <v>Sample collection and processing</v>
      </c>
      <c r="E4" t="s">
        <v>1754</v>
      </c>
      <c r="F4" t="s">
        <v>1775</v>
      </c>
      <c r="G4" s="31" t="s">
        <v>447</v>
      </c>
      <c r="H4" t="s">
        <v>1189</v>
      </c>
      <c r="I4" t="s">
        <v>1190</v>
      </c>
      <c r="J4" s="15" t="s">
        <v>446</v>
      </c>
      <c r="M4" s="1" t="s">
        <v>1191</v>
      </c>
      <c r="N4" t="s">
        <v>1759</v>
      </c>
    </row>
    <row r="5" spans="1:14" x14ac:dyDescent="0.2">
      <c r="A5">
        <v>341</v>
      </c>
      <c r="B5" t="b">
        <f t="shared" si="0"/>
        <v>1</v>
      </c>
      <c r="C5" t="s">
        <v>108</v>
      </c>
      <c r="D5" t="str">
        <f>IF(F5&lt;&gt;"",VLOOKUP(F5,PHA4GEVars!$A$7:$B$241,2,FALSE),"")</f>
        <v>Sample collection and processing</v>
      </c>
      <c r="E5" t="s">
        <v>1754</v>
      </c>
      <c r="F5" t="s">
        <v>1775</v>
      </c>
      <c r="G5" s="31" t="s">
        <v>449</v>
      </c>
      <c r="H5" t="s">
        <v>1189</v>
      </c>
      <c r="I5" t="s">
        <v>1190</v>
      </c>
      <c r="J5" s="15" t="s">
        <v>448</v>
      </c>
      <c r="M5" s="1" t="s">
        <v>1191</v>
      </c>
      <c r="N5" t="s">
        <v>1759</v>
      </c>
    </row>
    <row r="6" spans="1:14" x14ac:dyDescent="0.2">
      <c r="A6">
        <v>342</v>
      </c>
      <c r="B6" t="b">
        <f t="shared" si="0"/>
        <v>1</v>
      </c>
      <c r="C6" t="s">
        <v>108</v>
      </c>
      <c r="D6" t="str">
        <f>IF(F6&lt;&gt;"",VLOOKUP(F6,PHA4GEVars!$A$7:$B$241,2,FALSE),"")</f>
        <v>Sample collection and processing</v>
      </c>
      <c r="E6" t="s">
        <v>1754</v>
      </c>
      <c r="F6" t="s">
        <v>1775</v>
      </c>
      <c r="G6" s="31" t="s">
        <v>451</v>
      </c>
      <c r="H6" t="s">
        <v>1189</v>
      </c>
      <c r="I6" t="s">
        <v>1190</v>
      </c>
      <c r="J6" s="15" t="s">
        <v>450</v>
      </c>
      <c r="M6" s="1" t="s">
        <v>1191</v>
      </c>
      <c r="N6" t="s">
        <v>1759</v>
      </c>
    </row>
    <row r="7" spans="1:14" x14ac:dyDescent="0.2">
      <c r="A7">
        <v>343</v>
      </c>
      <c r="B7" t="b">
        <f t="shared" si="0"/>
        <v>1</v>
      </c>
      <c r="C7" t="s">
        <v>108</v>
      </c>
      <c r="D7" t="str">
        <f>IF(F7&lt;&gt;"",VLOOKUP(F7,PHA4GEVars!$A$7:$B$241,2,FALSE),"")</f>
        <v>Sample collection and processing</v>
      </c>
      <c r="E7" t="s">
        <v>1754</v>
      </c>
      <c r="F7" t="s">
        <v>1775</v>
      </c>
      <c r="G7" s="31" t="s">
        <v>453</v>
      </c>
      <c r="H7" t="s">
        <v>1189</v>
      </c>
      <c r="I7" t="s">
        <v>1190</v>
      </c>
      <c r="J7" s="15" t="s">
        <v>452</v>
      </c>
      <c r="M7" s="1" t="s">
        <v>1191</v>
      </c>
      <c r="N7" t="s">
        <v>1759</v>
      </c>
    </row>
    <row r="8" spans="1:14" x14ac:dyDescent="0.2">
      <c r="A8">
        <v>344</v>
      </c>
      <c r="B8" t="b">
        <f t="shared" si="0"/>
        <v>1</v>
      </c>
      <c r="C8" t="s">
        <v>108</v>
      </c>
      <c r="D8" t="str">
        <f>IF(F8&lt;&gt;"",VLOOKUP(F8,PHA4GEVars!$A$7:$B$241,2,FALSE),"")</f>
        <v>Sample collection and processing</v>
      </c>
      <c r="E8" t="s">
        <v>1754</v>
      </c>
      <c r="F8" t="s">
        <v>1775</v>
      </c>
      <c r="G8" s="31" t="s">
        <v>455</v>
      </c>
      <c r="H8" t="s">
        <v>1189</v>
      </c>
      <c r="I8" t="s">
        <v>1190</v>
      </c>
      <c r="J8" s="15" t="s">
        <v>454</v>
      </c>
      <c r="M8" s="1" t="s">
        <v>1191</v>
      </c>
      <c r="N8" t="s">
        <v>1759</v>
      </c>
    </row>
    <row r="9" spans="1:14" x14ac:dyDescent="0.2">
      <c r="A9">
        <v>345</v>
      </c>
      <c r="B9" t="b">
        <f t="shared" si="0"/>
        <v>1</v>
      </c>
      <c r="C9" t="s">
        <v>108</v>
      </c>
      <c r="D9" t="str">
        <f>IF(F9&lt;&gt;"",VLOOKUP(F9,PHA4GEVars!$A$7:$B$241,2,FALSE),"")</f>
        <v>Sample collection and processing</v>
      </c>
      <c r="E9" t="s">
        <v>1754</v>
      </c>
      <c r="F9" t="s">
        <v>1775</v>
      </c>
      <c r="G9" s="31" t="s">
        <v>457</v>
      </c>
      <c r="H9" t="s">
        <v>1189</v>
      </c>
      <c r="I9" t="s">
        <v>1190</v>
      </c>
      <c r="J9" s="15" t="s">
        <v>456</v>
      </c>
      <c r="M9" s="1" t="s">
        <v>1191</v>
      </c>
      <c r="N9" t="s">
        <v>1759</v>
      </c>
    </row>
    <row r="10" spans="1:14" x14ac:dyDescent="0.2">
      <c r="A10">
        <v>346</v>
      </c>
      <c r="B10" t="b">
        <f t="shared" si="0"/>
        <v>1</v>
      </c>
      <c r="C10" t="s">
        <v>108</v>
      </c>
      <c r="D10" t="str">
        <f>IF(F10&lt;&gt;"",VLOOKUP(F10,PHA4GEVars!$A$7:$B$241,2,FALSE),"")</f>
        <v>Sample collection and processing</v>
      </c>
      <c r="E10" t="s">
        <v>1754</v>
      </c>
      <c r="F10" t="s">
        <v>1775</v>
      </c>
      <c r="G10" s="31" t="s">
        <v>459</v>
      </c>
      <c r="H10" t="s">
        <v>1189</v>
      </c>
      <c r="I10" t="s">
        <v>1190</v>
      </c>
      <c r="J10" s="15" t="s">
        <v>458</v>
      </c>
      <c r="M10" s="1" t="s">
        <v>1191</v>
      </c>
      <c r="N10" t="s">
        <v>1759</v>
      </c>
    </row>
    <row r="11" spans="1:14" x14ac:dyDescent="0.2">
      <c r="A11">
        <v>347</v>
      </c>
      <c r="B11" t="b">
        <f t="shared" si="0"/>
        <v>1</v>
      </c>
      <c r="C11" t="s">
        <v>108</v>
      </c>
      <c r="D11" t="str">
        <f>IF(F11&lt;&gt;"",VLOOKUP(F11,PHA4GEVars!$A$7:$B$241,2,FALSE),"")</f>
        <v>Sample collection and processing</v>
      </c>
      <c r="E11" t="s">
        <v>1754</v>
      </c>
      <c r="F11" t="s">
        <v>1775</v>
      </c>
      <c r="G11" s="31" t="s">
        <v>461</v>
      </c>
      <c r="H11" t="s">
        <v>1189</v>
      </c>
      <c r="I11" t="s">
        <v>1190</v>
      </c>
      <c r="J11" s="15" t="s">
        <v>460</v>
      </c>
      <c r="M11" s="1" t="s">
        <v>1191</v>
      </c>
      <c r="N11" t="s">
        <v>1759</v>
      </c>
    </row>
    <row r="12" spans="1:14" x14ac:dyDescent="0.2">
      <c r="A12">
        <v>348</v>
      </c>
      <c r="B12" t="b">
        <f t="shared" si="0"/>
        <v>1</v>
      </c>
      <c r="C12" t="s">
        <v>108</v>
      </c>
      <c r="D12" t="str">
        <f>IF(F12&lt;&gt;"",VLOOKUP(F12,PHA4GEVars!$A$7:$B$241,2,FALSE),"")</f>
        <v>Sample collection and processing</v>
      </c>
      <c r="E12" t="s">
        <v>1754</v>
      </c>
      <c r="F12" t="s">
        <v>1775</v>
      </c>
      <c r="G12" s="31" t="s">
        <v>463</v>
      </c>
      <c r="H12" t="s">
        <v>1189</v>
      </c>
      <c r="I12" t="s">
        <v>1190</v>
      </c>
      <c r="J12" s="15" t="s">
        <v>462</v>
      </c>
      <c r="M12" s="1" t="s">
        <v>1191</v>
      </c>
      <c r="N12" t="s">
        <v>1759</v>
      </c>
    </row>
    <row r="13" spans="1:14" x14ac:dyDescent="0.2">
      <c r="A13">
        <v>349</v>
      </c>
      <c r="B13" t="b">
        <f t="shared" si="0"/>
        <v>1</v>
      </c>
      <c r="C13" t="s">
        <v>108</v>
      </c>
      <c r="D13" t="str">
        <f>IF(F13&lt;&gt;"",VLOOKUP(F13,PHA4GEVars!$A$7:$B$241,2,FALSE),"")</f>
        <v>Sample collection and processing</v>
      </c>
      <c r="E13" t="s">
        <v>1754</v>
      </c>
      <c r="F13" t="s">
        <v>1775</v>
      </c>
      <c r="G13" s="31" t="s">
        <v>465</v>
      </c>
      <c r="H13" t="s">
        <v>1189</v>
      </c>
      <c r="I13" t="s">
        <v>1190</v>
      </c>
      <c r="J13" s="15" t="s">
        <v>464</v>
      </c>
      <c r="M13" s="1" t="s">
        <v>1191</v>
      </c>
      <c r="N13" t="s">
        <v>1759</v>
      </c>
    </row>
    <row r="14" spans="1:14" x14ac:dyDescent="0.2">
      <c r="A14">
        <v>350</v>
      </c>
      <c r="B14" t="b">
        <f t="shared" si="0"/>
        <v>1</v>
      </c>
      <c r="C14" t="s">
        <v>108</v>
      </c>
      <c r="D14" t="str">
        <f>IF(F14&lt;&gt;"",VLOOKUP(F14,PHA4GEVars!$A$7:$B$241,2,FALSE),"")</f>
        <v>Sample collection and processing</v>
      </c>
      <c r="E14" t="s">
        <v>1754</v>
      </c>
      <c r="F14" t="s">
        <v>1775</v>
      </c>
      <c r="G14" s="31" t="s">
        <v>466</v>
      </c>
      <c r="H14" t="s">
        <v>1189</v>
      </c>
      <c r="I14" t="s">
        <v>1190</v>
      </c>
      <c r="J14" t="s">
        <v>1393</v>
      </c>
      <c r="L14" t="s">
        <v>1394</v>
      </c>
      <c r="M14" s="1" t="s">
        <v>1191</v>
      </c>
      <c r="N14" t="s">
        <v>1759</v>
      </c>
    </row>
    <row r="15" spans="1:14" x14ac:dyDescent="0.2">
      <c r="A15">
        <v>351</v>
      </c>
      <c r="B15" t="b">
        <f t="shared" si="0"/>
        <v>1</v>
      </c>
      <c r="C15" t="s">
        <v>108</v>
      </c>
      <c r="D15" t="str">
        <f>IF(F15&lt;&gt;"",VLOOKUP(F15,PHA4GEVars!$A$7:$B$241,2,FALSE),"")</f>
        <v>Sample collection and processing</v>
      </c>
      <c r="E15" t="s">
        <v>1754</v>
      </c>
      <c r="F15" t="s">
        <v>1775</v>
      </c>
      <c r="G15" s="31" t="s">
        <v>468</v>
      </c>
      <c r="H15" t="s">
        <v>1189</v>
      </c>
      <c r="I15" t="s">
        <v>1190</v>
      </c>
      <c r="J15" s="15" t="s">
        <v>467</v>
      </c>
      <c r="M15" s="1" t="s">
        <v>1191</v>
      </c>
      <c r="N15" t="s">
        <v>1759</v>
      </c>
    </row>
    <row r="16" spans="1:14" x14ac:dyDescent="0.2">
      <c r="A16">
        <v>352</v>
      </c>
      <c r="B16" t="b">
        <f t="shared" si="0"/>
        <v>1</v>
      </c>
      <c r="C16" t="s">
        <v>108</v>
      </c>
      <c r="D16" t="str">
        <f>IF(F16&lt;&gt;"",VLOOKUP(F16,PHA4GEVars!$A$7:$B$241,2,FALSE),"")</f>
        <v>Sample collection and processing</v>
      </c>
      <c r="E16" t="s">
        <v>1754</v>
      </c>
      <c r="F16" t="s">
        <v>1775</v>
      </c>
      <c r="G16" s="31" t="s">
        <v>470</v>
      </c>
      <c r="H16" t="s">
        <v>1189</v>
      </c>
      <c r="I16" t="s">
        <v>1190</v>
      </c>
      <c r="J16" s="15" t="s">
        <v>469</v>
      </c>
      <c r="M16" s="1" t="s">
        <v>1191</v>
      </c>
      <c r="N16" t="s">
        <v>1759</v>
      </c>
    </row>
    <row r="17" spans="1:14" x14ac:dyDescent="0.2">
      <c r="A17">
        <v>353</v>
      </c>
      <c r="B17" t="b">
        <f t="shared" si="0"/>
        <v>1</v>
      </c>
      <c r="C17" t="s">
        <v>108</v>
      </c>
      <c r="D17" t="str">
        <f>IF(F17&lt;&gt;"",VLOOKUP(F17,PHA4GEVars!$A$7:$B$241,2,FALSE),"")</f>
        <v>Sample collection and processing</v>
      </c>
      <c r="E17" t="s">
        <v>1754</v>
      </c>
      <c r="F17" t="s">
        <v>1775</v>
      </c>
      <c r="G17" s="31" t="s">
        <v>472</v>
      </c>
      <c r="H17" t="s">
        <v>1189</v>
      </c>
      <c r="I17" t="s">
        <v>1190</v>
      </c>
      <c r="J17" s="15" t="s">
        <v>471</v>
      </c>
      <c r="M17" s="1" t="s">
        <v>1191</v>
      </c>
      <c r="N17" t="s">
        <v>1759</v>
      </c>
    </row>
    <row r="18" spans="1:14" x14ac:dyDescent="0.2">
      <c r="A18">
        <v>354</v>
      </c>
      <c r="B18" t="b">
        <f t="shared" si="0"/>
        <v>1</v>
      </c>
      <c r="C18" t="s">
        <v>108</v>
      </c>
      <c r="D18" t="str">
        <f>IF(F18&lt;&gt;"",VLOOKUP(F18,PHA4GEVars!$A$7:$B$241,2,FALSE),"")</f>
        <v>Sample collection and processing</v>
      </c>
      <c r="E18" t="s">
        <v>1754</v>
      </c>
      <c r="F18" t="s">
        <v>1775</v>
      </c>
      <c r="G18" s="31" t="s">
        <v>474</v>
      </c>
      <c r="H18" t="s">
        <v>1189</v>
      </c>
      <c r="I18" t="s">
        <v>1190</v>
      </c>
      <c r="J18" s="15" t="s">
        <v>473</v>
      </c>
      <c r="M18" s="1" t="s">
        <v>1191</v>
      </c>
      <c r="N18" t="s">
        <v>1759</v>
      </c>
    </row>
    <row r="19" spans="1:14" x14ac:dyDescent="0.2">
      <c r="A19">
        <v>355</v>
      </c>
      <c r="B19" t="b">
        <f t="shared" si="0"/>
        <v>1</v>
      </c>
      <c r="C19" t="s">
        <v>108</v>
      </c>
      <c r="D19" t="str">
        <f>IF(F19&lt;&gt;"",VLOOKUP(F19,PHA4GEVars!$A$7:$B$241,2,FALSE),"")</f>
        <v>Sample collection and processing</v>
      </c>
      <c r="E19" t="s">
        <v>1754</v>
      </c>
      <c r="F19" t="s">
        <v>1775</v>
      </c>
      <c r="G19" s="31" t="s">
        <v>476</v>
      </c>
      <c r="H19" t="s">
        <v>1189</v>
      </c>
      <c r="I19" t="s">
        <v>1190</v>
      </c>
      <c r="J19" s="15" t="s">
        <v>475</v>
      </c>
      <c r="M19" s="1" t="s">
        <v>1191</v>
      </c>
      <c r="N19" t="s">
        <v>1759</v>
      </c>
    </row>
    <row r="20" spans="1:14" x14ac:dyDescent="0.2">
      <c r="A20">
        <v>356</v>
      </c>
      <c r="B20" t="b">
        <f t="shared" si="0"/>
        <v>1</v>
      </c>
      <c r="C20" t="s">
        <v>108</v>
      </c>
      <c r="D20" t="str">
        <f>IF(F20&lt;&gt;"",VLOOKUP(F20,PHA4GEVars!$A$7:$B$241,2,FALSE),"")</f>
        <v>Sample collection and processing</v>
      </c>
      <c r="E20" t="s">
        <v>1754</v>
      </c>
      <c r="F20" t="s">
        <v>1775</v>
      </c>
      <c r="G20" s="31" t="s">
        <v>477</v>
      </c>
      <c r="H20" t="s">
        <v>1189</v>
      </c>
      <c r="I20" t="s">
        <v>1190</v>
      </c>
      <c r="J20" s="15" t="s">
        <v>1395</v>
      </c>
      <c r="L20" t="s">
        <v>1396</v>
      </c>
      <c r="M20" s="1" t="s">
        <v>1191</v>
      </c>
      <c r="N20" t="s">
        <v>1759</v>
      </c>
    </row>
    <row r="21" spans="1:14" x14ac:dyDescent="0.2">
      <c r="A21">
        <v>357</v>
      </c>
      <c r="B21" t="b">
        <f t="shared" si="0"/>
        <v>1</v>
      </c>
      <c r="C21" t="s">
        <v>108</v>
      </c>
      <c r="D21" t="str">
        <f>IF(F21&lt;&gt;"",VLOOKUP(F21,PHA4GEVars!$A$7:$B$241,2,FALSE),"")</f>
        <v>Sample collection and processing</v>
      </c>
      <c r="E21" t="s">
        <v>1754</v>
      </c>
      <c r="F21" t="s">
        <v>1775</v>
      </c>
      <c r="G21" s="31" t="s">
        <v>479</v>
      </c>
      <c r="H21" t="s">
        <v>1189</v>
      </c>
      <c r="I21" t="s">
        <v>1190</v>
      </c>
      <c r="J21" s="15" t="s">
        <v>478</v>
      </c>
      <c r="M21" s="1" t="s">
        <v>1191</v>
      </c>
      <c r="N21" t="s">
        <v>1759</v>
      </c>
    </row>
    <row r="22" spans="1:14" x14ac:dyDescent="0.2">
      <c r="A22">
        <v>358</v>
      </c>
      <c r="B22" t="b">
        <f t="shared" si="0"/>
        <v>1</v>
      </c>
      <c r="C22" t="s">
        <v>108</v>
      </c>
      <c r="D22" t="str">
        <f>IF(F22&lt;&gt;"",VLOOKUP(F22,PHA4GEVars!$A$7:$B$241,2,FALSE),"")</f>
        <v>Sample collection and processing</v>
      </c>
      <c r="E22" t="s">
        <v>1754</v>
      </c>
      <c r="F22" t="s">
        <v>1775</v>
      </c>
      <c r="G22" s="31" t="s">
        <v>481</v>
      </c>
      <c r="H22" t="s">
        <v>1189</v>
      </c>
      <c r="I22" t="s">
        <v>1190</v>
      </c>
      <c r="J22" s="15" t="s">
        <v>480</v>
      </c>
      <c r="M22" s="1" t="s">
        <v>1191</v>
      </c>
      <c r="N22" t="s">
        <v>1759</v>
      </c>
    </row>
    <row r="23" spans="1:14" x14ac:dyDescent="0.2">
      <c r="A23">
        <v>359</v>
      </c>
      <c r="B23" t="b">
        <f t="shared" si="0"/>
        <v>1</v>
      </c>
      <c r="C23" t="s">
        <v>108</v>
      </c>
      <c r="D23" t="str">
        <f>IF(F23&lt;&gt;"",VLOOKUP(F23,PHA4GEVars!$A$7:$B$241,2,FALSE),"")</f>
        <v>Sample collection and processing</v>
      </c>
      <c r="E23" t="s">
        <v>1754</v>
      </c>
      <c r="F23" t="s">
        <v>1775</v>
      </c>
      <c r="G23" s="31" t="s">
        <v>482</v>
      </c>
      <c r="H23" t="s">
        <v>1189</v>
      </c>
      <c r="I23" t="s">
        <v>1190</v>
      </c>
      <c r="J23" s="15" t="s">
        <v>1397</v>
      </c>
      <c r="L23" t="s">
        <v>1398</v>
      </c>
      <c r="M23" s="1" t="s">
        <v>1191</v>
      </c>
      <c r="N23" t="s">
        <v>1759</v>
      </c>
    </row>
    <row r="24" spans="1:14" x14ac:dyDescent="0.2">
      <c r="A24">
        <v>360</v>
      </c>
      <c r="B24" t="b">
        <f t="shared" si="0"/>
        <v>1</v>
      </c>
      <c r="C24" t="s">
        <v>108</v>
      </c>
      <c r="D24" t="str">
        <f>IF(F24&lt;&gt;"",VLOOKUP(F24,PHA4GEVars!$A$7:$B$241,2,FALSE),"")</f>
        <v>Sample collection and processing</v>
      </c>
      <c r="E24" t="s">
        <v>1754</v>
      </c>
      <c r="F24" t="s">
        <v>1775</v>
      </c>
      <c r="G24" s="31" t="s">
        <v>484</v>
      </c>
      <c r="H24" t="s">
        <v>1189</v>
      </c>
      <c r="I24" t="s">
        <v>1190</v>
      </c>
      <c r="J24" s="15" t="s">
        <v>483</v>
      </c>
      <c r="M24" s="1" t="s">
        <v>1191</v>
      </c>
      <c r="N24" t="s">
        <v>1759</v>
      </c>
    </row>
    <row r="25" spans="1:14" x14ac:dyDescent="0.2">
      <c r="A25">
        <v>361</v>
      </c>
      <c r="B25" t="b">
        <f t="shared" si="0"/>
        <v>1</v>
      </c>
      <c r="C25" t="s">
        <v>108</v>
      </c>
      <c r="D25" t="str">
        <f>IF(F25&lt;&gt;"",VLOOKUP(F25,PHA4GEVars!$A$7:$B$241,2,FALSE),"")</f>
        <v>Sample collection and processing</v>
      </c>
      <c r="E25" t="s">
        <v>1754</v>
      </c>
      <c r="F25" t="s">
        <v>1775</v>
      </c>
      <c r="G25" s="31" t="s">
        <v>486</v>
      </c>
      <c r="H25" t="s">
        <v>1189</v>
      </c>
      <c r="I25" t="s">
        <v>1190</v>
      </c>
      <c r="J25" s="15" t="s">
        <v>485</v>
      </c>
      <c r="M25" s="1" t="s">
        <v>1191</v>
      </c>
      <c r="N25" t="s">
        <v>1759</v>
      </c>
    </row>
    <row r="26" spans="1:14" x14ac:dyDescent="0.2">
      <c r="A26">
        <v>362</v>
      </c>
      <c r="B26" t="b">
        <f t="shared" si="0"/>
        <v>1</v>
      </c>
      <c r="C26" t="s">
        <v>108</v>
      </c>
      <c r="D26" t="str">
        <f>IF(F26&lt;&gt;"",VLOOKUP(F26,PHA4GEVars!$A$7:$B$241,2,FALSE),"")</f>
        <v>Sample collection and processing</v>
      </c>
      <c r="E26" t="s">
        <v>1754</v>
      </c>
      <c r="F26" t="s">
        <v>1775</v>
      </c>
      <c r="G26" s="31" t="s">
        <v>488</v>
      </c>
      <c r="H26" t="s">
        <v>1189</v>
      </c>
      <c r="I26" t="s">
        <v>1190</v>
      </c>
      <c r="J26" s="15" t="s">
        <v>487</v>
      </c>
      <c r="M26" s="1" t="s">
        <v>1191</v>
      </c>
      <c r="N26" t="s">
        <v>1759</v>
      </c>
    </row>
    <row r="27" spans="1:14" x14ac:dyDescent="0.2">
      <c r="A27">
        <v>363</v>
      </c>
      <c r="B27" t="b">
        <f t="shared" si="0"/>
        <v>1</v>
      </c>
      <c r="C27" t="s">
        <v>108</v>
      </c>
      <c r="D27" t="str">
        <f>IF(F27&lt;&gt;"",VLOOKUP(F27,PHA4GEVars!$A$7:$B$241,2,FALSE),"")</f>
        <v>Sample collection and processing</v>
      </c>
      <c r="E27" t="s">
        <v>1754</v>
      </c>
      <c r="F27" t="s">
        <v>1775</v>
      </c>
      <c r="G27" s="31" t="s">
        <v>490</v>
      </c>
      <c r="H27" t="s">
        <v>1189</v>
      </c>
      <c r="I27" t="s">
        <v>1190</v>
      </c>
      <c r="J27" s="15" t="s">
        <v>489</v>
      </c>
      <c r="M27" s="1" t="s">
        <v>1191</v>
      </c>
      <c r="N27" t="s">
        <v>1759</v>
      </c>
    </row>
    <row r="28" spans="1:14" x14ac:dyDescent="0.2">
      <c r="A28">
        <v>364</v>
      </c>
      <c r="B28" t="b">
        <f t="shared" si="0"/>
        <v>1</v>
      </c>
      <c r="C28" t="s">
        <v>108</v>
      </c>
      <c r="D28" t="str">
        <f>IF(F28&lt;&gt;"",VLOOKUP(F28,PHA4GEVars!$A$7:$B$241,2,FALSE),"")</f>
        <v>Sample collection and processing</v>
      </c>
      <c r="E28" t="s">
        <v>1754</v>
      </c>
      <c r="F28" t="s">
        <v>1775</v>
      </c>
      <c r="G28" s="31" t="s">
        <v>492</v>
      </c>
      <c r="H28" t="s">
        <v>1189</v>
      </c>
      <c r="I28" t="s">
        <v>1190</v>
      </c>
      <c r="J28" s="15" t="s">
        <v>491</v>
      </c>
      <c r="M28" s="1" t="s">
        <v>1191</v>
      </c>
      <c r="N28" t="s">
        <v>1759</v>
      </c>
    </row>
    <row r="29" spans="1:14" x14ac:dyDescent="0.2">
      <c r="A29">
        <v>365</v>
      </c>
      <c r="B29" t="b">
        <f t="shared" si="0"/>
        <v>1</v>
      </c>
      <c r="C29" t="s">
        <v>108</v>
      </c>
      <c r="D29" t="str">
        <f>IF(F29&lt;&gt;"",VLOOKUP(F29,PHA4GEVars!$A$7:$B$241,2,FALSE),"")</f>
        <v>Sample collection and processing</v>
      </c>
      <c r="E29" t="s">
        <v>1754</v>
      </c>
      <c r="F29" t="s">
        <v>1775</v>
      </c>
      <c r="G29" s="31" t="s">
        <v>494</v>
      </c>
      <c r="H29" t="s">
        <v>1189</v>
      </c>
      <c r="I29" t="s">
        <v>1190</v>
      </c>
      <c r="J29" s="15" t="s">
        <v>493</v>
      </c>
      <c r="M29" s="1" t="s">
        <v>1191</v>
      </c>
      <c r="N29" t="s">
        <v>1759</v>
      </c>
    </row>
    <row r="30" spans="1:14" x14ac:dyDescent="0.2">
      <c r="A30">
        <v>366</v>
      </c>
      <c r="B30" t="b">
        <f t="shared" si="0"/>
        <v>1</v>
      </c>
      <c r="C30" t="s">
        <v>108</v>
      </c>
      <c r="D30" t="str">
        <f>IF(F30&lt;&gt;"",VLOOKUP(F30,PHA4GEVars!$A$7:$B$241,2,FALSE),"")</f>
        <v>Sample collection and processing</v>
      </c>
      <c r="E30" t="s">
        <v>1754</v>
      </c>
      <c r="F30" t="s">
        <v>1775</v>
      </c>
      <c r="G30" s="31" t="s">
        <v>496</v>
      </c>
      <c r="H30" t="s">
        <v>1189</v>
      </c>
      <c r="I30" t="s">
        <v>1190</v>
      </c>
      <c r="J30" s="15" t="s">
        <v>495</v>
      </c>
      <c r="M30" s="1" t="s">
        <v>1191</v>
      </c>
      <c r="N30" t="s">
        <v>1759</v>
      </c>
    </row>
    <row r="31" spans="1:14" x14ac:dyDescent="0.2">
      <c r="A31">
        <v>367</v>
      </c>
      <c r="B31" t="b">
        <f t="shared" si="0"/>
        <v>1</v>
      </c>
      <c r="C31" t="s">
        <v>108</v>
      </c>
      <c r="D31" t="str">
        <f>IF(F31&lt;&gt;"",VLOOKUP(F31,PHA4GEVars!$A$7:$B$241,2,FALSE),"")</f>
        <v>Sample collection and processing</v>
      </c>
      <c r="E31" t="s">
        <v>1754</v>
      </c>
      <c r="F31" t="s">
        <v>1775</v>
      </c>
      <c r="G31" s="31" t="s">
        <v>498</v>
      </c>
      <c r="H31" t="s">
        <v>1189</v>
      </c>
      <c r="I31" t="s">
        <v>1190</v>
      </c>
      <c r="J31" s="15" t="s">
        <v>497</v>
      </c>
      <c r="M31" s="1" t="s">
        <v>1191</v>
      </c>
      <c r="N31" t="s">
        <v>1759</v>
      </c>
    </row>
    <row r="32" spans="1:14" x14ac:dyDescent="0.2">
      <c r="A32">
        <v>368</v>
      </c>
      <c r="B32" t="b">
        <f t="shared" si="0"/>
        <v>1</v>
      </c>
      <c r="C32" t="s">
        <v>108</v>
      </c>
      <c r="D32" t="str">
        <f>IF(F32&lt;&gt;"",VLOOKUP(F32,PHA4GEVars!$A$7:$B$241,2,FALSE),"")</f>
        <v>Sample collection and processing</v>
      </c>
      <c r="E32" t="s">
        <v>1754</v>
      </c>
      <c r="F32" t="s">
        <v>1775</v>
      </c>
      <c r="G32" s="31" t="s">
        <v>500</v>
      </c>
      <c r="H32" t="s">
        <v>1189</v>
      </c>
      <c r="I32" t="s">
        <v>1190</v>
      </c>
      <c r="J32" s="15" t="s">
        <v>499</v>
      </c>
      <c r="M32" s="1" t="s">
        <v>1191</v>
      </c>
      <c r="N32" t="s">
        <v>1759</v>
      </c>
    </row>
    <row r="33" spans="1:14" x14ac:dyDescent="0.2">
      <c r="A33">
        <v>369</v>
      </c>
      <c r="B33" t="b">
        <f t="shared" si="0"/>
        <v>1</v>
      </c>
      <c r="C33" t="s">
        <v>108</v>
      </c>
      <c r="D33" t="str">
        <f>IF(F33&lt;&gt;"",VLOOKUP(F33,PHA4GEVars!$A$7:$B$241,2,FALSE),"")</f>
        <v>Sample collection and processing</v>
      </c>
      <c r="E33" t="s">
        <v>1754</v>
      </c>
      <c r="F33" t="s">
        <v>1775</v>
      </c>
      <c r="G33" s="31" t="s">
        <v>502</v>
      </c>
      <c r="H33" t="s">
        <v>1189</v>
      </c>
      <c r="I33" t="s">
        <v>1190</v>
      </c>
      <c r="J33" s="15" t="s">
        <v>501</v>
      </c>
      <c r="M33" s="1" t="s">
        <v>1191</v>
      </c>
      <c r="N33" t="s">
        <v>1759</v>
      </c>
    </row>
    <row r="34" spans="1:14" x14ac:dyDescent="0.2">
      <c r="A34">
        <v>370</v>
      </c>
      <c r="B34" t="b">
        <f t="shared" si="0"/>
        <v>1</v>
      </c>
      <c r="C34" t="s">
        <v>108</v>
      </c>
      <c r="D34" t="str">
        <f>IF(F34&lt;&gt;"",VLOOKUP(F34,PHA4GEVars!$A$7:$B$241,2,FALSE),"")</f>
        <v>Sample collection and processing</v>
      </c>
      <c r="E34" t="s">
        <v>1754</v>
      </c>
      <c r="F34" t="s">
        <v>1775</v>
      </c>
      <c r="G34" s="31" t="s">
        <v>504</v>
      </c>
      <c r="H34" t="s">
        <v>1189</v>
      </c>
      <c r="I34" t="s">
        <v>1190</v>
      </c>
      <c r="J34" s="15" t="s">
        <v>503</v>
      </c>
      <c r="M34" s="1" t="s">
        <v>1191</v>
      </c>
      <c r="N34" t="s">
        <v>1759</v>
      </c>
    </row>
    <row r="35" spans="1:14" x14ac:dyDescent="0.2">
      <c r="A35">
        <v>371</v>
      </c>
      <c r="B35" t="b">
        <f t="shared" si="0"/>
        <v>1</v>
      </c>
      <c r="C35" t="s">
        <v>108</v>
      </c>
      <c r="D35" t="str">
        <f>IF(F35&lt;&gt;"",VLOOKUP(F35,PHA4GEVars!$A$7:$B$241,2,FALSE),"")</f>
        <v>Sample collection and processing</v>
      </c>
      <c r="E35" t="s">
        <v>1754</v>
      </c>
      <c r="F35" t="s">
        <v>1775</v>
      </c>
      <c r="G35" s="31" t="s">
        <v>506</v>
      </c>
      <c r="H35" t="s">
        <v>1189</v>
      </c>
      <c r="I35" t="s">
        <v>1190</v>
      </c>
      <c r="J35" s="15" t="s">
        <v>505</v>
      </c>
      <c r="M35" s="1" t="s">
        <v>1191</v>
      </c>
      <c r="N35" t="s">
        <v>1759</v>
      </c>
    </row>
    <row r="36" spans="1:14" x14ac:dyDescent="0.2">
      <c r="A36">
        <v>372</v>
      </c>
      <c r="B36" t="b">
        <f t="shared" si="0"/>
        <v>1</v>
      </c>
      <c r="C36" t="s">
        <v>108</v>
      </c>
      <c r="D36" t="str">
        <f>IF(F36&lt;&gt;"",VLOOKUP(F36,PHA4GEVars!$A$7:$B$241,2,FALSE),"")</f>
        <v>Sample collection and processing</v>
      </c>
      <c r="E36" t="s">
        <v>1754</v>
      </c>
      <c r="F36" t="s">
        <v>1775</v>
      </c>
      <c r="G36" s="31" t="s">
        <v>508</v>
      </c>
      <c r="H36" t="s">
        <v>1189</v>
      </c>
      <c r="I36" t="s">
        <v>1190</v>
      </c>
      <c r="J36" s="15" t="s">
        <v>507</v>
      </c>
      <c r="M36" s="1" t="s">
        <v>1191</v>
      </c>
      <c r="N36" t="s">
        <v>1759</v>
      </c>
    </row>
    <row r="37" spans="1:14" x14ac:dyDescent="0.2">
      <c r="A37">
        <v>373</v>
      </c>
      <c r="B37" t="b">
        <f t="shared" si="0"/>
        <v>1</v>
      </c>
      <c r="C37" t="s">
        <v>108</v>
      </c>
      <c r="D37" t="str">
        <f>IF(F37&lt;&gt;"",VLOOKUP(F37,PHA4GEVars!$A$7:$B$241,2,FALSE),"")</f>
        <v>Sample collection and processing</v>
      </c>
      <c r="E37" t="s">
        <v>1754</v>
      </c>
      <c r="F37" t="s">
        <v>1775</v>
      </c>
      <c r="G37" s="31" t="s">
        <v>510</v>
      </c>
      <c r="H37" t="s">
        <v>1189</v>
      </c>
      <c r="I37" t="s">
        <v>1190</v>
      </c>
      <c r="J37" s="15" t="s">
        <v>509</v>
      </c>
      <c r="M37" s="1" t="s">
        <v>1191</v>
      </c>
      <c r="N37" t="s">
        <v>1759</v>
      </c>
    </row>
    <row r="38" spans="1:14" x14ac:dyDescent="0.2">
      <c r="A38">
        <v>374</v>
      </c>
      <c r="B38" t="b">
        <f t="shared" si="0"/>
        <v>1</v>
      </c>
      <c r="C38" t="s">
        <v>108</v>
      </c>
      <c r="D38" t="str">
        <f>IF(F38&lt;&gt;"",VLOOKUP(F38,PHA4GEVars!$A$7:$B$241,2,FALSE),"")</f>
        <v>Sample collection and processing</v>
      </c>
      <c r="E38" t="s">
        <v>1754</v>
      </c>
      <c r="F38" t="s">
        <v>1775</v>
      </c>
      <c r="G38" s="31" t="s">
        <v>512</v>
      </c>
      <c r="H38" t="s">
        <v>1189</v>
      </c>
      <c r="I38" t="s">
        <v>1190</v>
      </c>
      <c r="J38" s="15" t="s">
        <v>511</v>
      </c>
      <c r="M38" s="1" t="s">
        <v>1191</v>
      </c>
      <c r="N38" t="s">
        <v>1759</v>
      </c>
    </row>
    <row r="39" spans="1:14" x14ac:dyDescent="0.2">
      <c r="A39">
        <v>375</v>
      </c>
      <c r="B39" t="b">
        <f t="shared" si="0"/>
        <v>1</v>
      </c>
      <c r="C39" t="s">
        <v>108</v>
      </c>
      <c r="D39" t="str">
        <f>IF(F39&lt;&gt;"",VLOOKUP(F39,PHA4GEVars!$A$7:$B$241,2,FALSE),"")</f>
        <v>Sample collection and processing</v>
      </c>
      <c r="E39" t="s">
        <v>1754</v>
      </c>
      <c r="F39" t="s">
        <v>1775</v>
      </c>
      <c r="G39" s="31" t="s">
        <v>514</v>
      </c>
      <c r="H39" t="s">
        <v>1189</v>
      </c>
      <c r="I39" t="s">
        <v>1190</v>
      </c>
      <c r="J39" s="15" t="s">
        <v>513</v>
      </c>
      <c r="M39" s="1" t="s">
        <v>1191</v>
      </c>
      <c r="N39" t="s">
        <v>1759</v>
      </c>
    </row>
    <row r="40" spans="1:14" x14ac:dyDescent="0.2">
      <c r="A40">
        <v>376</v>
      </c>
      <c r="B40" t="b">
        <f t="shared" si="0"/>
        <v>1</v>
      </c>
      <c r="C40" t="s">
        <v>108</v>
      </c>
      <c r="D40" t="str">
        <f>IF(F40&lt;&gt;"",VLOOKUP(F40,PHA4GEVars!$A$7:$B$241,2,FALSE),"")</f>
        <v>Sample collection and processing</v>
      </c>
      <c r="E40" t="s">
        <v>1754</v>
      </c>
      <c r="F40" t="s">
        <v>1775</v>
      </c>
      <c r="G40" s="31" t="s">
        <v>516</v>
      </c>
      <c r="H40" t="s">
        <v>1189</v>
      </c>
      <c r="I40" t="s">
        <v>1190</v>
      </c>
      <c r="J40" s="15" t="s">
        <v>515</v>
      </c>
      <c r="M40" s="1" t="s">
        <v>1191</v>
      </c>
      <c r="N40" t="s">
        <v>1759</v>
      </c>
    </row>
    <row r="41" spans="1:14" x14ac:dyDescent="0.2">
      <c r="A41">
        <v>377</v>
      </c>
      <c r="B41" t="b">
        <f t="shared" si="0"/>
        <v>1</v>
      </c>
      <c r="C41" t="s">
        <v>108</v>
      </c>
      <c r="D41" t="str">
        <f>IF(F41&lt;&gt;"",VLOOKUP(F41,PHA4GEVars!$A$7:$B$241,2,FALSE),"")</f>
        <v>Sample collection and processing</v>
      </c>
      <c r="E41" t="s">
        <v>1754</v>
      </c>
      <c r="F41" t="s">
        <v>1775</v>
      </c>
      <c r="G41" s="31" t="s">
        <v>518</v>
      </c>
      <c r="H41" t="s">
        <v>1189</v>
      </c>
      <c r="I41" t="s">
        <v>1190</v>
      </c>
      <c r="J41" s="15" t="s">
        <v>517</v>
      </c>
      <c r="M41" s="1" t="s">
        <v>1191</v>
      </c>
      <c r="N41" t="s">
        <v>1759</v>
      </c>
    </row>
    <row r="42" spans="1:14" x14ac:dyDescent="0.2">
      <c r="A42">
        <v>378</v>
      </c>
      <c r="B42" t="b">
        <f t="shared" si="0"/>
        <v>1</v>
      </c>
      <c r="C42" t="s">
        <v>108</v>
      </c>
      <c r="D42" t="str">
        <f>IF(F42&lt;&gt;"",VLOOKUP(F42,PHA4GEVars!$A$7:$B$241,2,FALSE),"")</f>
        <v>Sample collection and processing</v>
      </c>
      <c r="E42" t="s">
        <v>1754</v>
      </c>
      <c r="F42" t="s">
        <v>1775</v>
      </c>
      <c r="G42" s="31" t="s">
        <v>520</v>
      </c>
      <c r="H42" t="s">
        <v>1189</v>
      </c>
      <c r="I42" t="s">
        <v>1190</v>
      </c>
      <c r="J42" s="15" t="s">
        <v>519</v>
      </c>
      <c r="M42" s="1" t="s">
        <v>1191</v>
      </c>
      <c r="N42" t="s">
        <v>1759</v>
      </c>
    </row>
    <row r="43" spans="1:14" x14ac:dyDescent="0.2">
      <c r="A43">
        <v>379</v>
      </c>
      <c r="B43" t="b">
        <f t="shared" si="0"/>
        <v>1</v>
      </c>
      <c r="C43" t="s">
        <v>108</v>
      </c>
      <c r="D43" t="str">
        <f>IF(F43&lt;&gt;"",VLOOKUP(F43,PHA4GEVars!$A$7:$B$241,2,FALSE),"")</f>
        <v>Sample collection and processing</v>
      </c>
      <c r="E43" t="s">
        <v>1754</v>
      </c>
      <c r="F43" t="s">
        <v>1775</v>
      </c>
      <c r="G43" s="31" t="s">
        <v>522</v>
      </c>
      <c r="H43" t="s">
        <v>1189</v>
      </c>
      <c r="I43" t="s">
        <v>1190</v>
      </c>
      <c r="J43" s="15" t="s">
        <v>521</v>
      </c>
      <c r="M43" s="1" t="s">
        <v>1191</v>
      </c>
      <c r="N43" t="s">
        <v>1759</v>
      </c>
    </row>
    <row r="44" spans="1:14" x14ac:dyDescent="0.2">
      <c r="A44">
        <v>380</v>
      </c>
      <c r="B44" t="b">
        <f t="shared" si="0"/>
        <v>1</v>
      </c>
      <c r="C44" t="s">
        <v>108</v>
      </c>
      <c r="D44" t="str">
        <f>IF(F44&lt;&gt;"",VLOOKUP(F44,PHA4GEVars!$A$7:$B$241,2,FALSE),"")</f>
        <v>Sample collection and processing</v>
      </c>
      <c r="E44" t="s">
        <v>1754</v>
      </c>
      <c r="F44" t="s">
        <v>1775</v>
      </c>
      <c r="G44" s="31" t="s">
        <v>524</v>
      </c>
      <c r="H44" t="s">
        <v>1189</v>
      </c>
      <c r="I44" t="s">
        <v>1190</v>
      </c>
      <c r="J44" s="15" t="s">
        <v>523</v>
      </c>
      <c r="M44" s="1" t="s">
        <v>1191</v>
      </c>
      <c r="N44" t="s">
        <v>1759</v>
      </c>
    </row>
    <row r="45" spans="1:14" x14ac:dyDescent="0.2">
      <c r="A45">
        <v>381</v>
      </c>
      <c r="B45" t="b">
        <f t="shared" si="0"/>
        <v>1</v>
      </c>
      <c r="C45" t="s">
        <v>108</v>
      </c>
      <c r="D45" t="str">
        <f>IF(F45&lt;&gt;"",VLOOKUP(F45,PHA4GEVars!$A$7:$B$241,2,FALSE),"")</f>
        <v>Sample collection and processing</v>
      </c>
      <c r="E45" t="s">
        <v>1754</v>
      </c>
      <c r="F45" t="s">
        <v>1775</v>
      </c>
      <c r="G45" s="31" t="s">
        <v>526</v>
      </c>
      <c r="H45" t="s">
        <v>1189</v>
      </c>
      <c r="I45" t="s">
        <v>1190</v>
      </c>
      <c r="J45" s="15" t="s">
        <v>525</v>
      </c>
      <c r="M45" s="1" t="s">
        <v>1191</v>
      </c>
      <c r="N45" t="s">
        <v>1759</v>
      </c>
    </row>
    <row r="46" spans="1:14" x14ac:dyDescent="0.2">
      <c r="A46">
        <v>382</v>
      </c>
      <c r="B46" t="b">
        <f t="shared" si="0"/>
        <v>1</v>
      </c>
      <c r="C46" t="s">
        <v>108</v>
      </c>
      <c r="D46" t="str">
        <f>IF(F46&lt;&gt;"",VLOOKUP(F46,PHA4GEVars!$A$7:$B$241,2,FALSE),"")</f>
        <v>Sample collection and processing</v>
      </c>
      <c r="E46" t="s">
        <v>1754</v>
      </c>
      <c r="F46" t="s">
        <v>1775</v>
      </c>
      <c r="G46" s="31" t="s">
        <v>528</v>
      </c>
      <c r="H46" t="s">
        <v>1189</v>
      </c>
      <c r="I46" t="s">
        <v>1190</v>
      </c>
      <c r="J46" s="15" t="s">
        <v>527</v>
      </c>
      <c r="M46" s="1" t="s">
        <v>1191</v>
      </c>
      <c r="N46" t="s">
        <v>1759</v>
      </c>
    </row>
    <row r="47" spans="1:14" x14ac:dyDescent="0.2">
      <c r="A47">
        <v>383</v>
      </c>
      <c r="B47" t="b">
        <f t="shared" si="0"/>
        <v>1</v>
      </c>
      <c r="C47" t="s">
        <v>108</v>
      </c>
      <c r="D47" t="str">
        <f>IF(F47&lt;&gt;"",VLOOKUP(F47,PHA4GEVars!$A$7:$B$241,2,FALSE),"")</f>
        <v>Sample collection and processing</v>
      </c>
      <c r="E47" t="s">
        <v>1754</v>
      </c>
      <c r="F47" t="s">
        <v>1775</v>
      </c>
      <c r="G47" s="31" t="s">
        <v>530</v>
      </c>
      <c r="H47" t="s">
        <v>1189</v>
      </c>
      <c r="I47" t="s">
        <v>1190</v>
      </c>
      <c r="J47" s="15" t="s">
        <v>529</v>
      </c>
      <c r="M47" s="1" t="s">
        <v>1191</v>
      </c>
      <c r="N47" t="s">
        <v>1759</v>
      </c>
    </row>
    <row r="48" spans="1:14" x14ac:dyDescent="0.2">
      <c r="A48">
        <v>384</v>
      </c>
      <c r="B48" t="b">
        <f t="shared" si="0"/>
        <v>1</v>
      </c>
      <c r="C48" t="s">
        <v>108</v>
      </c>
      <c r="D48" t="str">
        <f>IF(F48&lt;&gt;"",VLOOKUP(F48,PHA4GEVars!$A$7:$B$241,2,FALSE),"")</f>
        <v>Sample collection and processing</v>
      </c>
      <c r="E48" t="s">
        <v>1754</v>
      </c>
      <c r="F48" t="s">
        <v>1775</v>
      </c>
      <c r="G48" s="31" t="s">
        <v>532</v>
      </c>
      <c r="H48" t="s">
        <v>1189</v>
      </c>
      <c r="I48" t="s">
        <v>1190</v>
      </c>
      <c r="J48" s="15" t="s">
        <v>531</v>
      </c>
      <c r="M48" s="1" t="s">
        <v>1191</v>
      </c>
      <c r="N48" t="s">
        <v>1759</v>
      </c>
    </row>
    <row r="49" spans="1:14" x14ac:dyDescent="0.2">
      <c r="A49">
        <v>385</v>
      </c>
      <c r="B49" t="b">
        <f t="shared" si="0"/>
        <v>1</v>
      </c>
      <c r="C49" t="s">
        <v>108</v>
      </c>
      <c r="D49" t="str">
        <f>IF(F49&lt;&gt;"",VLOOKUP(F49,PHA4GEVars!$A$7:$B$241,2,FALSE),"")</f>
        <v>Sample collection and processing</v>
      </c>
      <c r="E49" t="s">
        <v>1754</v>
      </c>
      <c r="F49" t="s">
        <v>1775</v>
      </c>
      <c r="G49" s="31" t="s">
        <v>534</v>
      </c>
      <c r="H49" t="s">
        <v>1189</v>
      </c>
      <c r="I49" t="s">
        <v>1190</v>
      </c>
      <c r="J49" s="15" t="s">
        <v>533</v>
      </c>
      <c r="M49" s="1" t="s">
        <v>1191</v>
      </c>
      <c r="N49" t="s">
        <v>1759</v>
      </c>
    </row>
    <row r="50" spans="1:14" x14ac:dyDescent="0.2">
      <c r="A50">
        <v>386</v>
      </c>
      <c r="B50" t="b">
        <f t="shared" si="0"/>
        <v>1</v>
      </c>
      <c r="C50" t="s">
        <v>108</v>
      </c>
      <c r="D50" t="str">
        <f>IF(F50&lt;&gt;"",VLOOKUP(F50,PHA4GEVars!$A$7:$B$241,2,FALSE),"")</f>
        <v>Sample collection and processing</v>
      </c>
      <c r="E50" t="s">
        <v>1754</v>
      </c>
      <c r="F50" t="s">
        <v>1775</v>
      </c>
      <c r="G50" s="31" t="s">
        <v>536</v>
      </c>
      <c r="H50" t="s">
        <v>1189</v>
      </c>
      <c r="I50" t="s">
        <v>1190</v>
      </c>
      <c r="J50" s="15" t="s">
        <v>535</v>
      </c>
      <c r="M50" s="1" t="s">
        <v>1191</v>
      </c>
      <c r="N50" t="s">
        <v>1759</v>
      </c>
    </row>
    <row r="51" spans="1:14" x14ac:dyDescent="0.2">
      <c r="A51">
        <v>387</v>
      </c>
      <c r="B51" t="b">
        <f t="shared" si="0"/>
        <v>1</v>
      </c>
      <c r="C51" t="s">
        <v>108</v>
      </c>
      <c r="D51" t="str">
        <f>IF(F51&lt;&gt;"",VLOOKUP(F51,PHA4GEVars!$A$7:$B$241,2,FALSE),"")</f>
        <v>Sample collection and processing</v>
      </c>
      <c r="E51" t="s">
        <v>1754</v>
      </c>
      <c r="F51" t="s">
        <v>1775</v>
      </c>
      <c r="G51" s="31" t="s">
        <v>537</v>
      </c>
      <c r="H51" t="s">
        <v>1189</v>
      </c>
      <c r="I51" t="s">
        <v>1190</v>
      </c>
      <c r="J51" s="15" t="s">
        <v>1399</v>
      </c>
      <c r="L51" t="s">
        <v>1398</v>
      </c>
      <c r="M51" s="1" t="s">
        <v>1191</v>
      </c>
      <c r="N51" t="s">
        <v>1759</v>
      </c>
    </row>
    <row r="52" spans="1:14" x14ac:dyDescent="0.2">
      <c r="A52">
        <v>388</v>
      </c>
      <c r="B52" t="b">
        <f t="shared" si="0"/>
        <v>1</v>
      </c>
      <c r="C52" t="s">
        <v>108</v>
      </c>
      <c r="D52" t="str">
        <f>IF(F52&lt;&gt;"",VLOOKUP(F52,PHA4GEVars!$A$7:$B$241,2,FALSE),"")</f>
        <v>Sample collection and processing</v>
      </c>
      <c r="E52" t="s">
        <v>1754</v>
      </c>
      <c r="F52" t="s">
        <v>1775</v>
      </c>
      <c r="G52" s="31" t="s">
        <v>539</v>
      </c>
      <c r="H52" t="s">
        <v>1189</v>
      </c>
      <c r="I52" t="s">
        <v>1190</v>
      </c>
      <c r="J52" s="15" t="s">
        <v>538</v>
      </c>
      <c r="M52" s="1" t="s">
        <v>1191</v>
      </c>
      <c r="N52" t="s">
        <v>1759</v>
      </c>
    </row>
    <row r="53" spans="1:14" x14ac:dyDescent="0.2">
      <c r="A53">
        <v>389</v>
      </c>
      <c r="B53" t="b">
        <f t="shared" si="0"/>
        <v>1</v>
      </c>
      <c r="C53" t="s">
        <v>108</v>
      </c>
      <c r="D53" t="str">
        <f>IF(F53&lt;&gt;"",VLOOKUP(F53,PHA4GEVars!$A$7:$B$241,2,FALSE),"")</f>
        <v>Sample collection and processing</v>
      </c>
      <c r="E53" t="s">
        <v>1754</v>
      </c>
      <c r="F53" t="s">
        <v>1775</v>
      </c>
      <c r="G53" s="31" t="s">
        <v>541</v>
      </c>
      <c r="H53" t="s">
        <v>1189</v>
      </c>
      <c r="I53" t="s">
        <v>1190</v>
      </c>
      <c r="J53" s="15" t="s">
        <v>540</v>
      </c>
      <c r="M53" s="1" t="s">
        <v>1191</v>
      </c>
      <c r="N53" t="s">
        <v>1759</v>
      </c>
    </row>
    <row r="54" spans="1:14" x14ac:dyDescent="0.2">
      <c r="A54">
        <v>390</v>
      </c>
      <c r="B54" t="b">
        <f t="shared" si="0"/>
        <v>1</v>
      </c>
      <c r="C54" t="s">
        <v>108</v>
      </c>
      <c r="D54" t="str">
        <f>IF(F54&lt;&gt;"",VLOOKUP(F54,PHA4GEVars!$A$7:$B$241,2,FALSE),"")</f>
        <v>Sample collection and processing</v>
      </c>
      <c r="E54" t="s">
        <v>1754</v>
      </c>
      <c r="F54" t="s">
        <v>1775</v>
      </c>
      <c r="G54" s="31" t="s">
        <v>543</v>
      </c>
      <c r="H54" t="s">
        <v>1189</v>
      </c>
      <c r="I54" t="s">
        <v>1190</v>
      </c>
      <c r="J54" s="15" t="s">
        <v>542</v>
      </c>
      <c r="M54" s="1" t="s">
        <v>1191</v>
      </c>
      <c r="N54" t="s">
        <v>1759</v>
      </c>
    </row>
    <row r="55" spans="1:14" x14ac:dyDescent="0.2">
      <c r="A55">
        <v>391</v>
      </c>
      <c r="B55" t="b">
        <f t="shared" si="0"/>
        <v>1</v>
      </c>
      <c r="C55" t="s">
        <v>108</v>
      </c>
      <c r="D55" t="str">
        <f>IF(F55&lt;&gt;"",VLOOKUP(F55,PHA4GEVars!$A$7:$B$241,2,FALSE),"")</f>
        <v>Sample collection and processing</v>
      </c>
      <c r="E55" t="s">
        <v>1754</v>
      </c>
      <c r="F55" t="s">
        <v>1775</v>
      </c>
      <c r="G55" s="31" t="s">
        <v>545</v>
      </c>
      <c r="H55" t="s">
        <v>1189</v>
      </c>
      <c r="I55" t="s">
        <v>1190</v>
      </c>
      <c r="J55" s="15" t="s">
        <v>544</v>
      </c>
      <c r="M55" s="1" t="s">
        <v>1191</v>
      </c>
      <c r="N55" t="s">
        <v>1759</v>
      </c>
    </row>
    <row r="56" spans="1:14" x14ac:dyDescent="0.2">
      <c r="A56">
        <v>392</v>
      </c>
      <c r="B56" t="b">
        <f t="shared" si="0"/>
        <v>1</v>
      </c>
      <c r="C56" t="s">
        <v>108</v>
      </c>
      <c r="D56" t="str">
        <f>IF(F56&lt;&gt;"",VLOOKUP(F56,PHA4GEVars!$A$7:$B$241,2,FALSE),"")</f>
        <v>Sample collection and processing</v>
      </c>
      <c r="E56" t="s">
        <v>1754</v>
      </c>
      <c r="F56" t="s">
        <v>1775</v>
      </c>
      <c r="G56" s="31" t="s">
        <v>546</v>
      </c>
      <c r="H56" t="s">
        <v>1189</v>
      </c>
      <c r="I56" t="s">
        <v>1190</v>
      </c>
      <c r="J56" s="15" t="s">
        <v>1400</v>
      </c>
      <c r="L56" t="s">
        <v>1394</v>
      </c>
      <c r="M56" s="1" t="s">
        <v>1191</v>
      </c>
      <c r="N56" t="s">
        <v>1759</v>
      </c>
    </row>
    <row r="57" spans="1:14" x14ac:dyDescent="0.2">
      <c r="A57">
        <v>393</v>
      </c>
      <c r="B57" t="b">
        <f t="shared" si="0"/>
        <v>1</v>
      </c>
      <c r="C57" t="s">
        <v>108</v>
      </c>
      <c r="D57" t="str">
        <f>IF(F57&lt;&gt;"",VLOOKUP(F57,PHA4GEVars!$A$7:$B$241,2,FALSE),"")</f>
        <v>Sample collection and processing</v>
      </c>
      <c r="E57" t="s">
        <v>1754</v>
      </c>
      <c r="F57" t="s">
        <v>1775</v>
      </c>
      <c r="G57" s="31" t="s">
        <v>548</v>
      </c>
      <c r="H57" t="s">
        <v>1189</v>
      </c>
      <c r="I57" t="s">
        <v>1190</v>
      </c>
      <c r="J57" s="15" t="s">
        <v>547</v>
      </c>
      <c r="M57" s="1" t="s">
        <v>1191</v>
      </c>
      <c r="N57" t="s">
        <v>1759</v>
      </c>
    </row>
    <row r="58" spans="1:14" x14ac:dyDescent="0.2">
      <c r="A58">
        <v>394</v>
      </c>
      <c r="B58" t="b">
        <f t="shared" si="0"/>
        <v>1</v>
      </c>
      <c r="C58" t="s">
        <v>108</v>
      </c>
      <c r="D58" t="str">
        <f>IF(F58&lt;&gt;"",VLOOKUP(F58,PHA4GEVars!$A$7:$B$241,2,FALSE),"")</f>
        <v>Sample collection and processing</v>
      </c>
      <c r="E58" t="s">
        <v>1754</v>
      </c>
      <c r="F58" t="s">
        <v>1775</v>
      </c>
      <c r="G58" s="31" t="s">
        <v>550</v>
      </c>
      <c r="H58" t="s">
        <v>1189</v>
      </c>
      <c r="I58" t="s">
        <v>1190</v>
      </c>
      <c r="J58" s="15" t="s">
        <v>549</v>
      </c>
      <c r="M58" s="1" t="s">
        <v>1191</v>
      </c>
      <c r="N58" t="s">
        <v>1759</v>
      </c>
    </row>
    <row r="59" spans="1:14" x14ac:dyDescent="0.2">
      <c r="A59">
        <v>395</v>
      </c>
      <c r="B59" t="b">
        <f t="shared" si="0"/>
        <v>1</v>
      </c>
      <c r="C59" t="s">
        <v>108</v>
      </c>
      <c r="D59" t="str">
        <f>IF(F59&lt;&gt;"",VLOOKUP(F59,PHA4GEVars!$A$7:$B$241,2,FALSE),"")</f>
        <v>Sample collection and processing</v>
      </c>
      <c r="E59" t="s">
        <v>1754</v>
      </c>
      <c r="F59" t="s">
        <v>1775</v>
      </c>
      <c r="G59" s="31" t="s">
        <v>552</v>
      </c>
      <c r="H59" t="s">
        <v>1189</v>
      </c>
      <c r="I59" t="s">
        <v>1190</v>
      </c>
      <c r="J59" s="15" t="s">
        <v>551</v>
      </c>
      <c r="M59" s="1" t="s">
        <v>1191</v>
      </c>
      <c r="N59" t="s">
        <v>1759</v>
      </c>
    </row>
    <row r="60" spans="1:14" x14ac:dyDescent="0.2">
      <c r="A60">
        <v>396</v>
      </c>
      <c r="B60" t="b">
        <f t="shared" si="0"/>
        <v>1</v>
      </c>
      <c r="C60" t="s">
        <v>108</v>
      </c>
      <c r="D60" t="str">
        <f>IF(F60&lt;&gt;"",VLOOKUP(F60,PHA4GEVars!$A$7:$B$241,2,FALSE),"")</f>
        <v>Sample collection and processing</v>
      </c>
      <c r="E60" t="s">
        <v>1754</v>
      </c>
      <c r="F60" t="s">
        <v>1775</v>
      </c>
      <c r="G60" s="31" t="s">
        <v>554</v>
      </c>
      <c r="H60" t="s">
        <v>1189</v>
      </c>
      <c r="I60" t="s">
        <v>1190</v>
      </c>
      <c r="J60" s="15" t="s">
        <v>553</v>
      </c>
      <c r="M60" s="1" t="s">
        <v>1191</v>
      </c>
      <c r="N60" t="s">
        <v>1759</v>
      </c>
    </row>
    <row r="61" spans="1:14" x14ac:dyDescent="0.2">
      <c r="A61">
        <v>397</v>
      </c>
      <c r="B61" t="b">
        <f t="shared" si="0"/>
        <v>1</v>
      </c>
      <c r="C61" t="s">
        <v>108</v>
      </c>
      <c r="D61" t="str">
        <f>IF(F61&lt;&gt;"",VLOOKUP(F61,PHA4GEVars!$A$7:$B$241,2,FALSE),"")</f>
        <v>Sample collection and processing</v>
      </c>
      <c r="E61" t="s">
        <v>1754</v>
      </c>
      <c r="F61" t="s">
        <v>1775</v>
      </c>
      <c r="G61" s="31" t="s">
        <v>556</v>
      </c>
      <c r="H61" t="s">
        <v>1189</v>
      </c>
      <c r="I61" t="s">
        <v>1190</v>
      </c>
      <c r="J61" s="15" t="s">
        <v>555</v>
      </c>
      <c r="M61" s="1" t="s">
        <v>1191</v>
      </c>
      <c r="N61" t="s">
        <v>1759</v>
      </c>
    </row>
    <row r="62" spans="1:14" x14ac:dyDescent="0.2">
      <c r="A62">
        <v>398</v>
      </c>
      <c r="B62" t="b">
        <f t="shared" si="0"/>
        <v>1</v>
      </c>
      <c r="C62" t="s">
        <v>108</v>
      </c>
      <c r="D62" t="str">
        <f>IF(F62&lt;&gt;"",VLOOKUP(F62,PHA4GEVars!$A$7:$B$241,2,FALSE),"")</f>
        <v>Sample collection and processing</v>
      </c>
      <c r="E62" t="s">
        <v>1754</v>
      </c>
      <c r="F62" t="s">
        <v>1775</v>
      </c>
      <c r="G62" s="31" t="s">
        <v>558</v>
      </c>
      <c r="H62" t="s">
        <v>1189</v>
      </c>
      <c r="I62" t="s">
        <v>1190</v>
      </c>
      <c r="J62" s="15" t="s">
        <v>557</v>
      </c>
      <c r="M62" s="1" t="s">
        <v>1191</v>
      </c>
      <c r="N62" t="s">
        <v>1759</v>
      </c>
    </row>
    <row r="63" spans="1:14" x14ac:dyDescent="0.2">
      <c r="A63">
        <v>399</v>
      </c>
      <c r="B63" t="b">
        <f t="shared" si="0"/>
        <v>1</v>
      </c>
      <c r="C63" t="s">
        <v>108</v>
      </c>
      <c r="D63" t="str">
        <f>IF(F63&lt;&gt;"",VLOOKUP(F63,PHA4GEVars!$A$7:$B$241,2,FALSE),"")</f>
        <v>Sample collection and processing</v>
      </c>
      <c r="E63" t="s">
        <v>1754</v>
      </c>
      <c r="F63" t="s">
        <v>1775</v>
      </c>
      <c r="G63" s="31" t="s">
        <v>560</v>
      </c>
      <c r="H63" t="s">
        <v>1189</v>
      </c>
      <c r="I63" t="s">
        <v>1190</v>
      </c>
      <c r="J63" s="15" t="s">
        <v>559</v>
      </c>
      <c r="M63" s="1" t="s">
        <v>1191</v>
      </c>
      <c r="N63" t="s">
        <v>1759</v>
      </c>
    </row>
    <row r="64" spans="1:14" x14ac:dyDescent="0.2">
      <c r="A64">
        <v>400</v>
      </c>
      <c r="B64" t="b">
        <f t="shared" si="0"/>
        <v>1</v>
      </c>
      <c r="C64" t="s">
        <v>108</v>
      </c>
      <c r="D64" t="str">
        <f>IF(F64&lt;&gt;"",VLOOKUP(F64,PHA4GEVars!$A$7:$B$241,2,FALSE),"")</f>
        <v>Sample collection and processing</v>
      </c>
      <c r="E64" t="s">
        <v>1754</v>
      </c>
      <c r="F64" t="s">
        <v>1775</v>
      </c>
      <c r="G64" s="31" t="s">
        <v>562</v>
      </c>
      <c r="H64" t="s">
        <v>1189</v>
      </c>
      <c r="I64" t="s">
        <v>1190</v>
      </c>
      <c r="J64" s="15" t="s">
        <v>561</v>
      </c>
      <c r="M64" s="1" t="s">
        <v>1191</v>
      </c>
      <c r="N64" t="s">
        <v>1759</v>
      </c>
    </row>
    <row r="65" spans="1:14" x14ac:dyDescent="0.2">
      <c r="A65">
        <v>401</v>
      </c>
      <c r="B65" t="b">
        <f t="shared" si="0"/>
        <v>1</v>
      </c>
      <c r="C65" t="s">
        <v>108</v>
      </c>
      <c r="D65" t="str">
        <f>IF(F65&lt;&gt;"",VLOOKUP(F65,PHA4GEVars!$A$7:$B$241,2,FALSE),"")</f>
        <v>Sample collection and processing</v>
      </c>
      <c r="E65" t="s">
        <v>1754</v>
      </c>
      <c r="F65" t="s">
        <v>1775</v>
      </c>
      <c r="G65" s="31" t="s">
        <v>564</v>
      </c>
      <c r="H65" t="s">
        <v>1189</v>
      </c>
      <c r="I65" t="s">
        <v>1190</v>
      </c>
      <c r="J65" s="15" t="s">
        <v>563</v>
      </c>
      <c r="M65" s="1" t="s">
        <v>1191</v>
      </c>
      <c r="N65" t="s">
        <v>1759</v>
      </c>
    </row>
    <row r="66" spans="1:14" x14ac:dyDescent="0.2">
      <c r="A66">
        <v>402</v>
      </c>
      <c r="B66" t="b">
        <f t="shared" ref="B66:B129" si="1">IF(OR(G66="NA",H66="wide_value"),"",TRUE)</f>
        <v>1</v>
      </c>
      <c r="C66" t="s">
        <v>108</v>
      </c>
      <c r="D66" t="str">
        <f>IF(F66&lt;&gt;"",VLOOKUP(F66,PHA4GEVars!$A$7:$B$241,2,FALSE),"")</f>
        <v>Sample collection and processing</v>
      </c>
      <c r="E66" t="s">
        <v>1754</v>
      </c>
      <c r="F66" t="s">
        <v>1775</v>
      </c>
      <c r="G66" s="31" t="s">
        <v>566</v>
      </c>
      <c r="H66" t="s">
        <v>1189</v>
      </c>
      <c r="I66" t="s">
        <v>1190</v>
      </c>
      <c r="J66" s="15" t="s">
        <v>565</v>
      </c>
      <c r="M66" s="1" t="s">
        <v>1191</v>
      </c>
      <c r="N66" t="s">
        <v>1759</v>
      </c>
    </row>
    <row r="67" spans="1:14" x14ac:dyDescent="0.2">
      <c r="A67">
        <v>403</v>
      </c>
      <c r="B67" t="b">
        <f t="shared" si="1"/>
        <v>1</v>
      </c>
      <c r="C67" t="s">
        <v>108</v>
      </c>
      <c r="D67" t="str">
        <f>IF(F67&lt;&gt;"",VLOOKUP(F67,PHA4GEVars!$A$7:$B$241,2,FALSE),"")</f>
        <v>Sample collection and processing</v>
      </c>
      <c r="E67" t="s">
        <v>1754</v>
      </c>
      <c r="F67" t="s">
        <v>1775</v>
      </c>
      <c r="G67" s="31" t="s">
        <v>568</v>
      </c>
      <c r="H67" t="s">
        <v>1189</v>
      </c>
      <c r="I67" t="s">
        <v>1190</v>
      </c>
      <c r="J67" s="15" t="s">
        <v>567</v>
      </c>
      <c r="M67" s="1" t="s">
        <v>1191</v>
      </c>
      <c r="N67" t="s">
        <v>1759</v>
      </c>
    </row>
    <row r="68" spans="1:14" x14ac:dyDescent="0.2">
      <c r="A68">
        <v>404</v>
      </c>
      <c r="B68" t="b">
        <f t="shared" si="1"/>
        <v>1</v>
      </c>
      <c r="C68" t="s">
        <v>108</v>
      </c>
      <c r="D68" t="str">
        <f>IF(F68&lt;&gt;"",VLOOKUP(F68,PHA4GEVars!$A$7:$B$241,2,FALSE),"")</f>
        <v>Sample collection and processing</v>
      </c>
      <c r="E68" t="s">
        <v>1754</v>
      </c>
      <c r="F68" t="s">
        <v>1775</v>
      </c>
      <c r="G68" s="31" t="s">
        <v>570</v>
      </c>
      <c r="H68" t="s">
        <v>1189</v>
      </c>
      <c r="I68" t="s">
        <v>1190</v>
      </c>
      <c r="J68" s="15" t="s">
        <v>569</v>
      </c>
      <c r="M68" s="1" t="s">
        <v>1191</v>
      </c>
      <c r="N68" t="s">
        <v>1759</v>
      </c>
    </row>
    <row r="69" spans="1:14" x14ac:dyDescent="0.2">
      <c r="A69">
        <v>405</v>
      </c>
      <c r="B69" t="b">
        <f t="shared" si="1"/>
        <v>1</v>
      </c>
      <c r="C69" t="s">
        <v>108</v>
      </c>
      <c r="D69" t="str">
        <f>IF(F69&lt;&gt;"",VLOOKUP(F69,PHA4GEVars!$A$7:$B$241,2,FALSE),"")</f>
        <v>Sample collection and processing</v>
      </c>
      <c r="E69" t="s">
        <v>1754</v>
      </c>
      <c r="F69" t="s">
        <v>1775</v>
      </c>
      <c r="G69" s="31" t="s">
        <v>572</v>
      </c>
      <c r="H69" t="s">
        <v>1189</v>
      </c>
      <c r="I69" t="s">
        <v>1190</v>
      </c>
      <c r="J69" s="15" t="s">
        <v>571</v>
      </c>
      <c r="M69" s="1" t="s">
        <v>1191</v>
      </c>
      <c r="N69" t="s">
        <v>1759</v>
      </c>
    </row>
    <row r="70" spans="1:14" x14ac:dyDescent="0.2">
      <c r="A70">
        <v>406</v>
      </c>
      <c r="B70" t="b">
        <f t="shared" si="1"/>
        <v>1</v>
      </c>
      <c r="C70" t="s">
        <v>108</v>
      </c>
      <c r="D70" t="str">
        <f>IF(F70&lt;&gt;"",VLOOKUP(F70,PHA4GEVars!$A$7:$B$241,2,FALSE),"")</f>
        <v>Sample collection and processing</v>
      </c>
      <c r="E70" t="s">
        <v>1754</v>
      </c>
      <c r="F70" t="s">
        <v>1775</v>
      </c>
      <c r="G70" s="31" t="s">
        <v>574</v>
      </c>
      <c r="H70" t="s">
        <v>1189</v>
      </c>
      <c r="I70" t="s">
        <v>1190</v>
      </c>
      <c r="J70" s="15" t="s">
        <v>573</v>
      </c>
      <c r="M70" s="1" t="s">
        <v>1191</v>
      </c>
      <c r="N70" t="s">
        <v>1759</v>
      </c>
    </row>
    <row r="71" spans="1:14" x14ac:dyDescent="0.2">
      <c r="A71">
        <v>407</v>
      </c>
      <c r="B71" t="b">
        <f t="shared" si="1"/>
        <v>1</v>
      </c>
      <c r="C71" t="s">
        <v>108</v>
      </c>
      <c r="D71" t="str">
        <f>IF(F71&lt;&gt;"",VLOOKUP(F71,PHA4GEVars!$A$7:$B$241,2,FALSE),"")</f>
        <v>Sample collection and processing</v>
      </c>
      <c r="E71" t="s">
        <v>1754</v>
      </c>
      <c r="F71" t="s">
        <v>1775</v>
      </c>
      <c r="G71" s="31" t="s">
        <v>576</v>
      </c>
      <c r="H71" t="s">
        <v>1189</v>
      </c>
      <c r="I71" t="s">
        <v>1190</v>
      </c>
      <c r="J71" s="15" t="s">
        <v>575</v>
      </c>
      <c r="M71" s="1" t="s">
        <v>1191</v>
      </c>
      <c r="N71" t="s">
        <v>1759</v>
      </c>
    </row>
    <row r="72" spans="1:14" x14ac:dyDescent="0.2">
      <c r="A72">
        <v>408</v>
      </c>
      <c r="B72" t="b">
        <f t="shared" si="1"/>
        <v>1</v>
      </c>
      <c r="C72" t="s">
        <v>108</v>
      </c>
      <c r="D72" t="str">
        <f>IF(F72&lt;&gt;"",VLOOKUP(F72,PHA4GEVars!$A$7:$B$241,2,FALSE),"")</f>
        <v>Sample collection and processing</v>
      </c>
      <c r="E72" t="s">
        <v>1754</v>
      </c>
      <c r="F72" t="s">
        <v>1775</v>
      </c>
      <c r="G72" s="31" t="s">
        <v>578</v>
      </c>
      <c r="H72" t="s">
        <v>1189</v>
      </c>
      <c r="I72" t="s">
        <v>1190</v>
      </c>
      <c r="J72" s="15" t="s">
        <v>577</v>
      </c>
      <c r="M72" s="1" t="s">
        <v>1191</v>
      </c>
      <c r="N72" t="s">
        <v>1759</v>
      </c>
    </row>
    <row r="73" spans="1:14" x14ac:dyDescent="0.2">
      <c r="A73">
        <v>409</v>
      </c>
      <c r="B73" t="b">
        <f t="shared" si="1"/>
        <v>1</v>
      </c>
      <c r="C73" t="s">
        <v>108</v>
      </c>
      <c r="D73" t="str">
        <f>IF(F73&lt;&gt;"",VLOOKUP(F73,PHA4GEVars!$A$7:$B$241,2,FALSE),"")</f>
        <v>Sample collection and processing</v>
      </c>
      <c r="E73" t="s">
        <v>1754</v>
      </c>
      <c r="F73" t="s">
        <v>1775</v>
      </c>
      <c r="G73" s="31" t="s">
        <v>580</v>
      </c>
      <c r="H73" t="s">
        <v>1189</v>
      </c>
      <c r="I73" t="s">
        <v>1190</v>
      </c>
      <c r="J73" s="15" t="s">
        <v>579</v>
      </c>
      <c r="M73" s="1" t="s">
        <v>1191</v>
      </c>
      <c r="N73" t="s">
        <v>1759</v>
      </c>
    </row>
    <row r="74" spans="1:14" x14ac:dyDescent="0.2">
      <c r="A74">
        <v>410</v>
      </c>
      <c r="B74" t="b">
        <f t="shared" si="1"/>
        <v>1</v>
      </c>
      <c r="C74" t="s">
        <v>108</v>
      </c>
      <c r="D74" t="str">
        <f>IF(F74&lt;&gt;"",VLOOKUP(F74,PHA4GEVars!$A$7:$B$241,2,FALSE),"")</f>
        <v>Sample collection and processing</v>
      </c>
      <c r="E74" t="s">
        <v>1754</v>
      </c>
      <c r="F74" t="s">
        <v>1775</v>
      </c>
      <c r="G74" s="31" t="s">
        <v>582</v>
      </c>
      <c r="H74" t="s">
        <v>1189</v>
      </c>
      <c r="I74" t="s">
        <v>1190</v>
      </c>
      <c r="J74" s="15" t="s">
        <v>581</v>
      </c>
      <c r="M74" s="1" t="s">
        <v>1191</v>
      </c>
      <c r="N74" t="s">
        <v>1759</v>
      </c>
    </row>
    <row r="75" spans="1:14" x14ac:dyDescent="0.2">
      <c r="A75">
        <v>411</v>
      </c>
      <c r="B75" t="b">
        <f t="shared" si="1"/>
        <v>1</v>
      </c>
      <c r="C75" t="s">
        <v>108</v>
      </c>
      <c r="D75" t="str">
        <f>IF(F75&lt;&gt;"",VLOOKUP(F75,PHA4GEVars!$A$7:$B$241,2,FALSE),"")</f>
        <v>Sample collection and processing</v>
      </c>
      <c r="E75" t="s">
        <v>1754</v>
      </c>
      <c r="F75" t="s">
        <v>1775</v>
      </c>
      <c r="G75" s="31" t="s">
        <v>584</v>
      </c>
      <c r="H75" t="s">
        <v>1189</v>
      </c>
      <c r="I75" t="s">
        <v>1190</v>
      </c>
      <c r="J75" s="15" t="s">
        <v>583</v>
      </c>
      <c r="M75" s="1" t="s">
        <v>1191</v>
      </c>
      <c r="N75" t="s">
        <v>1759</v>
      </c>
    </row>
    <row r="76" spans="1:14" x14ac:dyDescent="0.2">
      <c r="A76">
        <v>412</v>
      </c>
      <c r="B76" t="b">
        <f t="shared" si="1"/>
        <v>1</v>
      </c>
      <c r="C76" t="s">
        <v>108</v>
      </c>
      <c r="D76" t="str">
        <f>IF(F76&lt;&gt;"",VLOOKUP(F76,PHA4GEVars!$A$7:$B$241,2,FALSE),"")</f>
        <v>Sample collection and processing</v>
      </c>
      <c r="E76" t="s">
        <v>1754</v>
      </c>
      <c r="F76" t="s">
        <v>1775</v>
      </c>
      <c r="G76" s="31" t="s">
        <v>586</v>
      </c>
      <c r="H76" t="s">
        <v>1189</v>
      </c>
      <c r="I76" t="s">
        <v>1190</v>
      </c>
      <c r="J76" s="15" t="s">
        <v>585</v>
      </c>
      <c r="M76" s="1" t="s">
        <v>1191</v>
      </c>
      <c r="N76" t="s">
        <v>1759</v>
      </c>
    </row>
    <row r="77" spans="1:14" x14ac:dyDescent="0.2">
      <c r="A77">
        <v>413</v>
      </c>
      <c r="B77" t="b">
        <f t="shared" si="1"/>
        <v>1</v>
      </c>
      <c r="C77" t="s">
        <v>108</v>
      </c>
      <c r="D77" t="str">
        <f>IF(F77&lt;&gt;"",VLOOKUP(F77,PHA4GEVars!$A$7:$B$241,2,FALSE),"")</f>
        <v>Sample collection and processing</v>
      </c>
      <c r="E77" t="s">
        <v>1754</v>
      </c>
      <c r="F77" t="s">
        <v>1775</v>
      </c>
      <c r="G77" s="31" t="s">
        <v>587</v>
      </c>
      <c r="H77" t="s">
        <v>1189</v>
      </c>
      <c r="I77" t="s">
        <v>1190</v>
      </c>
      <c r="J77" s="15" t="s">
        <v>1401</v>
      </c>
      <c r="L77" t="s">
        <v>1398</v>
      </c>
      <c r="M77" s="1" t="s">
        <v>1191</v>
      </c>
      <c r="N77" t="s">
        <v>1759</v>
      </c>
    </row>
    <row r="78" spans="1:14" x14ac:dyDescent="0.2">
      <c r="A78">
        <v>414</v>
      </c>
      <c r="B78" t="b">
        <f t="shared" si="1"/>
        <v>1</v>
      </c>
      <c r="C78" t="s">
        <v>108</v>
      </c>
      <c r="D78" t="str">
        <f>IF(F78&lt;&gt;"",VLOOKUP(F78,PHA4GEVars!$A$7:$B$241,2,FALSE),"")</f>
        <v>Sample collection and processing</v>
      </c>
      <c r="E78" t="s">
        <v>1754</v>
      </c>
      <c r="F78" t="s">
        <v>1775</v>
      </c>
      <c r="G78" s="31" t="s">
        <v>589</v>
      </c>
      <c r="H78" t="s">
        <v>1189</v>
      </c>
      <c r="I78" t="s">
        <v>1190</v>
      </c>
      <c r="J78" s="15" t="s">
        <v>588</v>
      </c>
      <c r="M78" s="1" t="s">
        <v>1191</v>
      </c>
      <c r="N78" t="s">
        <v>1759</v>
      </c>
    </row>
    <row r="79" spans="1:14" x14ac:dyDescent="0.2">
      <c r="A79">
        <v>415</v>
      </c>
      <c r="B79" t="b">
        <f t="shared" si="1"/>
        <v>1</v>
      </c>
      <c r="C79" t="s">
        <v>108</v>
      </c>
      <c r="D79" t="str">
        <f>IF(F79&lt;&gt;"",VLOOKUP(F79,PHA4GEVars!$A$7:$B$241,2,FALSE),"")</f>
        <v>Sample collection and processing</v>
      </c>
      <c r="E79" t="s">
        <v>1754</v>
      </c>
      <c r="F79" t="s">
        <v>1775</v>
      </c>
      <c r="G79" s="31" t="s">
        <v>591</v>
      </c>
      <c r="H79" t="s">
        <v>1189</v>
      </c>
      <c r="I79" t="s">
        <v>1190</v>
      </c>
      <c r="J79" s="15" t="s">
        <v>590</v>
      </c>
      <c r="M79" s="1" t="s">
        <v>1191</v>
      </c>
      <c r="N79" t="s">
        <v>1759</v>
      </c>
    </row>
    <row r="80" spans="1:14" x14ac:dyDescent="0.2">
      <c r="A80">
        <v>416</v>
      </c>
      <c r="B80" t="b">
        <f t="shared" si="1"/>
        <v>1</v>
      </c>
      <c r="C80" t="s">
        <v>108</v>
      </c>
      <c r="D80" t="str">
        <f>IF(F80&lt;&gt;"",VLOOKUP(F80,PHA4GEVars!$A$7:$B$241,2,FALSE),"")</f>
        <v>Sample collection and processing</v>
      </c>
      <c r="E80" t="s">
        <v>1754</v>
      </c>
      <c r="F80" t="s">
        <v>1775</v>
      </c>
      <c r="G80" s="31" t="s">
        <v>593</v>
      </c>
      <c r="H80" t="s">
        <v>1189</v>
      </c>
      <c r="I80" t="s">
        <v>1190</v>
      </c>
      <c r="J80" s="15" t="s">
        <v>592</v>
      </c>
      <c r="M80" s="1" t="s">
        <v>1191</v>
      </c>
      <c r="N80" t="s">
        <v>1759</v>
      </c>
    </row>
    <row r="81" spans="1:14" x14ac:dyDescent="0.2">
      <c r="A81">
        <v>417</v>
      </c>
      <c r="B81" t="b">
        <f t="shared" si="1"/>
        <v>1</v>
      </c>
      <c r="C81" t="s">
        <v>108</v>
      </c>
      <c r="D81" t="str">
        <f>IF(F81&lt;&gt;"",VLOOKUP(F81,PHA4GEVars!$A$7:$B$241,2,FALSE),"")</f>
        <v>Sample collection and processing</v>
      </c>
      <c r="E81" t="s">
        <v>1754</v>
      </c>
      <c r="F81" t="s">
        <v>1775</v>
      </c>
      <c r="G81" s="31" t="s">
        <v>595</v>
      </c>
      <c r="H81" t="s">
        <v>1189</v>
      </c>
      <c r="I81" t="s">
        <v>1190</v>
      </c>
      <c r="J81" s="15" t="s">
        <v>594</v>
      </c>
      <c r="M81" s="1" t="s">
        <v>1191</v>
      </c>
      <c r="N81" t="s">
        <v>1759</v>
      </c>
    </row>
    <row r="82" spans="1:14" x14ac:dyDescent="0.2">
      <c r="A82">
        <v>418</v>
      </c>
      <c r="B82" t="b">
        <f t="shared" si="1"/>
        <v>1</v>
      </c>
      <c r="C82" t="s">
        <v>108</v>
      </c>
      <c r="D82" t="str">
        <f>IF(F82&lt;&gt;"",VLOOKUP(F82,PHA4GEVars!$A$7:$B$241,2,FALSE),"")</f>
        <v>Sample collection and processing</v>
      </c>
      <c r="E82" t="s">
        <v>1754</v>
      </c>
      <c r="F82" t="s">
        <v>1775</v>
      </c>
      <c r="G82" s="31" t="s">
        <v>597</v>
      </c>
      <c r="H82" t="s">
        <v>1189</v>
      </c>
      <c r="I82" t="s">
        <v>1190</v>
      </c>
      <c r="J82" s="15" t="s">
        <v>596</v>
      </c>
      <c r="M82" s="1" t="s">
        <v>1191</v>
      </c>
      <c r="N82" t="s">
        <v>1759</v>
      </c>
    </row>
    <row r="83" spans="1:14" x14ac:dyDescent="0.2">
      <c r="A83">
        <v>419</v>
      </c>
      <c r="B83" t="b">
        <f t="shared" si="1"/>
        <v>1</v>
      </c>
      <c r="C83" t="s">
        <v>108</v>
      </c>
      <c r="D83" t="str">
        <f>IF(F83&lt;&gt;"",VLOOKUP(F83,PHA4GEVars!$A$7:$B$241,2,FALSE),"")</f>
        <v>Sample collection and processing</v>
      </c>
      <c r="E83" t="s">
        <v>1754</v>
      </c>
      <c r="F83" t="s">
        <v>1775</v>
      </c>
      <c r="G83" s="31" t="s">
        <v>599</v>
      </c>
      <c r="H83" t="s">
        <v>1189</v>
      </c>
      <c r="I83" t="s">
        <v>1190</v>
      </c>
      <c r="J83" s="15" t="s">
        <v>598</v>
      </c>
      <c r="M83" s="1" t="s">
        <v>1191</v>
      </c>
      <c r="N83" t="s">
        <v>1759</v>
      </c>
    </row>
    <row r="84" spans="1:14" x14ac:dyDescent="0.2">
      <c r="A84">
        <v>420</v>
      </c>
      <c r="B84" t="b">
        <f t="shared" si="1"/>
        <v>1</v>
      </c>
      <c r="C84" t="s">
        <v>108</v>
      </c>
      <c r="D84" t="str">
        <f>IF(F84&lt;&gt;"",VLOOKUP(F84,PHA4GEVars!$A$7:$B$241,2,FALSE),"")</f>
        <v>Sample collection and processing</v>
      </c>
      <c r="E84" t="s">
        <v>1754</v>
      </c>
      <c r="F84" t="s">
        <v>1775</v>
      </c>
      <c r="G84" s="31" t="s">
        <v>601</v>
      </c>
      <c r="H84" t="s">
        <v>1189</v>
      </c>
      <c r="I84" t="s">
        <v>1190</v>
      </c>
      <c r="J84" s="15" t="s">
        <v>600</v>
      </c>
      <c r="M84" s="1" t="s">
        <v>1191</v>
      </c>
      <c r="N84" t="s">
        <v>1759</v>
      </c>
    </row>
    <row r="85" spans="1:14" x14ac:dyDescent="0.2">
      <c r="A85">
        <v>421</v>
      </c>
      <c r="B85" t="b">
        <f t="shared" si="1"/>
        <v>1</v>
      </c>
      <c r="C85" t="s">
        <v>108</v>
      </c>
      <c r="D85" t="str">
        <f>IF(F85&lt;&gt;"",VLOOKUP(F85,PHA4GEVars!$A$7:$B$241,2,FALSE),"")</f>
        <v>Sample collection and processing</v>
      </c>
      <c r="E85" t="s">
        <v>1754</v>
      </c>
      <c r="F85" t="s">
        <v>1775</v>
      </c>
      <c r="G85" s="31" t="s">
        <v>603</v>
      </c>
      <c r="H85" t="s">
        <v>1189</v>
      </c>
      <c r="I85" t="s">
        <v>1190</v>
      </c>
      <c r="J85" s="15" t="s">
        <v>602</v>
      </c>
      <c r="M85" s="1" t="s">
        <v>1191</v>
      </c>
      <c r="N85" t="s">
        <v>1759</v>
      </c>
    </row>
    <row r="86" spans="1:14" x14ac:dyDescent="0.2">
      <c r="A86">
        <v>422</v>
      </c>
      <c r="B86" t="b">
        <f t="shared" si="1"/>
        <v>1</v>
      </c>
      <c r="C86" t="s">
        <v>108</v>
      </c>
      <c r="D86" t="str">
        <f>IF(F86&lt;&gt;"",VLOOKUP(F86,PHA4GEVars!$A$7:$B$241,2,FALSE),"")</f>
        <v>Sample collection and processing</v>
      </c>
      <c r="E86" t="s">
        <v>1754</v>
      </c>
      <c r="F86" t="s">
        <v>1775</v>
      </c>
      <c r="G86" s="31" t="s">
        <v>605</v>
      </c>
      <c r="H86" t="s">
        <v>1189</v>
      </c>
      <c r="I86" t="s">
        <v>1190</v>
      </c>
      <c r="J86" s="15" t="s">
        <v>604</v>
      </c>
      <c r="M86" s="1" t="s">
        <v>1191</v>
      </c>
      <c r="N86" t="s">
        <v>1759</v>
      </c>
    </row>
    <row r="87" spans="1:14" x14ac:dyDescent="0.2">
      <c r="A87">
        <v>423</v>
      </c>
      <c r="B87" t="b">
        <f t="shared" si="1"/>
        <v>1</v>
      </c>
      <c r="C87" t="s">
        <v>108</v>
      </c>
      <c r="D87" t="str">
        <f>IF(F87&lt;&gt;"",VLOOKUP(F87,PHA4GEVars!$A$7:$B$241,2,FALSE),"")</f>
        <v>Sample collection and processing</v>
      </c>
      <c r="E87" t="s">
        <v>1754</v>
      </c>
      <c r="F87" t="s">
        <v>1775</v>
      </c>
      <c r="G87" s="31" t="s">
        <v>607</v>
      </c>
      <c r="H87" t="s">
        <v>1189</v>
      </c>
      <c r="I87" t="s">
        <v>1190</v>
      </c>
      <c r="J87" s="15" t="s">
        <v>606</v>
      </c>
      <c r="M87" s="1" t="s">
        <v>1191</v>
      </c>
      <c r="N87" t="s">
        <v>1759</v>
      </c>
    </row>
    <row r="88" spans="1:14" x14ac:dyDescent="0.2">
      <c r="A88">
        <v>424</v>
      </c>
      <c r="B88" t="b">
        <f t="shared" si="1"/>
        <v>1</v>
      </c>
      <c r="C88" t="s">
        <v>108</v>
      </c>
      <c r="D88" t="str">
        <f>IF(F88&lt;&gt;"",VLOOKUP(F88,PHA4GEVars!$A$7:$B$241,2,FALSE),"")</f>
        <v>Sample collection and processing</v>
      </c>
      <c r="E88" t="s">
        <v>1754</v>
      </c>
      <c r="F88" t="s">
        <v>1775</v>
      </c>
      <c r="G88" s="31" t="s">
        <v>608</v>
      </c>
      <c r="H88" t="s">
        <v>1189</v>
      </c>
      <c r="I88" t="s">
        <v>1190</v>
      </c>
      <c r="J88" s="15" t="s">
        <v>1402</v>
      </c>
      <c r="L88" t="s">
        <v>1406</v>
      </c>
      <c r="M88" s="1" t="s">
        <v>1191</v>
      </c>
      <c r="N88" t="s">
        <v>1759</v>
      </c>
    </row>
    <row r="89" spans="1:14" x14ac:dyDescent="0.2">
      <c r="A89">
        <v>425</v>
      </c>
      <c r="B89" t="b">
        <f t="shared" si="1"/>
        <v>1</v>
      </c>
      <c r="C89" t="s">
        <v>108</v>
      </c>
      <c r="D89" t="str">
        <f>IF(F89&lt;&gt;"",VLOOKUP(F89,PHA4GEVars!$A$7:$B$241,2,FALSE),"")</f>
        <v>Sample collection and processing</v>
      </c>
      <c r="E89" t="s">
        <v>1754</v>
      </c>
      <c r="F89" t="s">
        <v>1775</v>
      </c>
      <c r="G89" s="31" t="s">
        <v>610</v>
      </c>
      <c r="H89" t="s">
        <v>1189</v>
      </c>
      <c r="I89" t="s">
        <v>1190</v>
      </c>
      <c r="J89" s="15" t="s">
        <v>609</v>
      </c>
      <c r="M89" s="1" t="s">
        <v>1191</v>
      </c>
      <c r="N89" t="s">
        <v>1759</v>
      </c>
    </row>
    <row r="90" spans="1:14" x14ac:dyDescent="0.2">
      <c r="A90">
        <v>426</v>
      </c>
      <c r="B90" t="b">
        <f t="shared" si="1"/>
        <v>1</v>
      </c>
      <c r="C90" t="s">
        <v>108</v>
      </c>
      <c r="D90" t="str">
        <f>IF(F90&lt;&gt;"",VLOOKUP(F90,PHA4GEVars!$A$7:$B$241,2,FALSE),"")</f>
        <v>Sample collection and processing</v>
      </c>
      <c r="E90" t="s">
        <v>1754</v>
      </c>
      <c r="F90" t="s">
        <v>1775</v>
      </c>
      <c r="G90" s="31" t="s">
        <v>612</v>
      </c>
      <c r="H90" t="s">
        <v>1189</v>
      </c>
      <c r="I90" t="s">
        <v>1190</v>
      </c>
      <c r="J90" s="15" t="s">
        <v>611</v>
      </c>
      <c r="M90" s="1" t="s">
        <v>1191</v>
      </c>
      <c r="N90" t="s">
        <v>1759</v>
      </c>
    </row>
    <row r="91" spans="1:14" x14ac:dyDescent="0.2">
      <c r="A91">
        <v>427</v>
      </c>
      <c r="B91" t="b">
        <f t="shared" si="1"/>
        <v>1</v>
      </c>
      <c r="C91" t="s">
        <v>108</v>
      </c>
      <c r="D91" t="str">
        <f>IF(F91&lt;&gt;"",VLOOKUP(F91,PHA4GEVars!$A$7:$B$241,2,FALSE),"")</f>
        <v>Sample collection and processing</v>
      </c>
      <c r="E91" t="s">
        <v>1754</v>
      </c>
      <c r="F91" t="s">
        <v>1775</v>
      </c>
      <c r="G91" s="31" t="s">
        <v>614</v>
      </c>
      <c r="H91" t="s">
        <v>1189</v>
      </c>
      <c r="I91" t="s">
        <v>1190</v>
      </c>
      <c r="J91" s="15" t="s">
        <v>613</v>
      </c>
      <c r="M91" s="1" t="s">
        <v>1191</v>
      </c>
      <c r="N91" t="s">
        <v>1759</v>
      </c>
    </row>
    <row r="92" spans="1:14" x14ac:dyDescent="0.2">
      <c r="A92">
        <v>428</v>
      </c>
      <c r="B92" t="b">
        <f t="shared" si="1"/>
        <v>1</v>
      </c>
      <c r="C92" t="s">
        <v>108</v>
      </c>
      <c r="D92" t="str">
        <f>IF(F92&lt;&gt;"",VLOOKUP(F92,PHA4GEVars!$A$7:$B$241,2,FALSE),"")</f>
        <v>Sample collection and processing</v>
      </c>
      <c r="E92" t="s">
        <v>1754</v>
      </c>
      <c r="F92" t="s">
        <v>1775</v>
      </c>
      <c r="G92" s="31" t="s">
        <v>616</v>
      </c>
      <c r="H92" t="s">
        <v>1189</v>
      </c>
      <c r="I92" t="s">
        <v>1190</v>
      </c>
      <c r="J92" s="15" t="s">
        <v>615</v>
      </c>
      <c r="M92" s="1" t="s">
        <v>1191</v>
      </c>
      <c r="N92" t="s">
        <v>1759</v>
      </c>
    </row>
    <row r="93" spans="1:14" x14ac:dyDescent="0.2">
      <c r="A93">
        <v>429</v>
      </c>
      <c r="B93" t="b">
        <f t="shared" si="1"/>
        <v>1</v>
      </c>
      <c r="C93" t="s">
        <v>108</v>
      </c>
      <c r="D93" t="str">
        <f>IF(F93&lt;&gt;"",VLOOKUP(F93,PHA4GEVars!$A$7:$B$241,2,FALSE),"")</f>
        <v>Sample collection and processing</v>
      </c>
      <c r="E93" t="s">
        <v>1754</v>
      </c>
      <c r="F93" t="s">
        <v>1775</v>
      </c>
      <c r="G93" s="31" t="s">
        <v>617</v>
      </c>
      <c r="H93" t="s">
        <v>1189</v>
      </c>
      <c r="I93" t="s">
        <v>1190</v>
      </c>
      <c r="J93" s="15" t="s">
        <v>1403</v>
      </c>
      <c r="L93" t="s">
        <v>1398</v>
      </c>
      <c r="M93" s="1" t="s">
        <v>1191</v>
      </c>
      <c r="N93" t="s">
        <v>1759</v>
      </c>
    </row>
    <row r="94" spans="1:14" x14ac:dyDescent="0.2">
      <c r="A94">
        <v>430</v>
      </c>
      <c r="B94" t="b">
        <f t="shared" si="1"/>
        <v>1</v>
      </c>
      <c r="C94" t="s">
        <v>108</v>
      </c>
      <c r="D94" t="str">
        <f>IF(F94&lt;&gt;"",VLOOKUP(F94,PHA4GEVars!$A$7:$B$241,2,FALSE),"")</f>
        <v>Sample collection and processing</v>
      </c>
      <c r="E94" t="s">
        <v>1754</v>
      </c>
      <c r="F94" t="s">
        <v>1775</v>
      </c>
      <c r="G94" s="31" t="s">
        <v>619</v>
      </c>
      <c r="H94" t="s">
        <v>1189</v>
      </c>
      <c r="I94" t="s">
        <v>1190</v>
      </c>
      <c r="J94" s="15" t="s">
        <v>618</v>
      </c>
      <c r="M94" s="1" t="s">
        <v>1191</v>
      </c>
      <c r="N94" t="s">
        <v>1759</v>
      </c>
    </row>
    <row r="95" spans="1:14" x14ac:dyDescent="0.2">
      <c r="A95">
        <v>431</v>
      </c>
      <c r="B95" t="b">
        <f t="shared" si="1"/>
        <v>1</v>
      </c>
      <c r="C95" t="s">
        <v>108</v>
      </c>
      <c r="D95" t="str">
        <f>IF(F95&lt;&gt;"",VLOOKUP(F95,PHA4GEVars!$A$7:$B$241,2,FALSE),"")</f>
        <v>Sample collection and processing</v>
      </c>
      <c r="E95" t="s">
        <v>1754</v>
      </c>
      <c r="F95" t="s">
        <v>1775</v>
      </c>
      <c r="G95" s="31" t="s">
        <v>621</v>
      </c>
      <c r="H95" t="s">
        <v>1189</v>
      </c>
      <c r="I95" t="s">
        <v>1190</v>
      </c>
      <c r="J95" s="15" t="s">
        <v>620</v>
      </c>
      <c r="M95" s="1" t="s">
        <v>1191</v>
      </c>
      <c r="N95" t="s">
        <v>1759</v>
      </c>
    </row>
    <row r="96" spans="1:14" x14ac:dyDescent="0.2">
      <c r="A96">
        <v>432</v>
      </c>
      <c r="B96" t="b">
        <f t="shared" si="1"/>
        <v>1</v>
      </c>
      <c r="C96" t="s">
        <v>108</v>
      </c>
      <c r="D96" t="str">
        <f>IF(F96&lt;&gt;"",VLOOKUP(F96,PHA4GEVars!$A$7:$B$241,2,FALSE),"")</f>
        <v>Sample collection and processing</v>
      </c>
      <c r="E96" t="s">
        <v>1754</v>
      </c>
      <c r="F96" t="s">
        <v>1775</v>
      </c>
      <c r="G96" s="31" t="s">
        <v>623</v>
      </c>
      <c r="H96" t="s">
        <v>1189</v>
      </c>
      <c r="I96" t="s">
        <v>1190</v>
      </c>
      <c r="J96" s="15" t="s">
        <v>622</v>
      </c>
      <c r="M96" s="1" t="s">
        <v>1191</v>
      </c>
      <c r="N96" t="s">
        <v>1759</v>
      </c>
    </row>
    <row r="97" spans="1:14" x14ac:dyDescent="0.2">
      <c r="A97">
        <v>433</v>
      </c>
      <c r="B97" t="b">
        <f t="shared" si="1"/>
        <v>1</v>
      </c>
      <c r="C97" t="s">
        <v>108</v>
      </c>
      <c r="D97" t="str">
        <f>IF(F97&lt;&gt;"",VLOOKUP(F97,PHA4GEVars!$A$7:$B$241,2,FALSE),"")</f>
        <v>Sample collection and processing</v>
      </c>
      <c r="E97" t="s">
        <v>1754</v>
      </c>
      <c r="F97" t="s">
        <v>1775</v>
      </c>
      <c r="G97" s="31" t="s">
        <v>625</v>
      </c>
      <c r="H97" t="s">
        <v>1189</v>
      </c>
      <c r="I97" t="s">
        <v>1190</v>
      </c>
      <c r="J97" s="15" t="s">
        <v>624</v>
      </c>
      <c r="M97" s="1" t="s">
        <v>1191</v>
      </c>
      <c r="N97" t="s">
        <v>1759</v>
      </c>
    </row>
    <row r="98" spans="1:14" x14ac:dyDescent="0.2">
      <c r="A98">
        <v>434</v>
      </c>
      <c r="B98" t="b">
        <f t="shared" si="1"/>
        <v>1</v>
      </c>
      <c r="C98" t="s">
        <v>108</v>
      </c>
      <c r="D98" t="str">
        <f>IF(F98&lt;&gt;"",VLOOKUP(F98,PHA4GEVars!$A$7:$B$241,2,FALSE),"")</f>
        <v>Sample collection and processing</v>
      </c>
      <c r="E98" t="s">
        <v>1754</v>
      </c>
      <c r="F98" t="s">
        <v>1775</v>
      </c>
      <c r="G98" s="31" t="s">
        <v>627</v>
      </c>
      <c r="H98" t="s">
        <v>1189</v>
      </c>
      <c r="I98" t="s">
        <v>1190</v>
      </c>
      <c r="J98" s="15" t="s">
        <v>626</v>
      </c>
      <c r="M98" s="1" t="s">
        <v>1191</v>
      </c>
      <c r="N98" t="s">
        <v>1759</v>
      </c>
    </row>
    <row r="99" spans="1:14" x14ac:dyDescent="0.2">
      <c r="A99">
        <v>435</v>
      </c>
      <c r="B99" t="b">
        <f t="shared" si="1"/>
        <v>1</v>
      </c>
      <c r="C99" t="s">
        <v>108</v>
      </c>
      <c r="D99" t="str">
        <f>IF(F99&lt;&gt;"",VLOOKUP(F99,PHA4GEVars!$A$7:$B$241,2,FALSE),"")</f>
        <v>Sample collection and processing</v>
      </c>
      <c r="E99" t="s">
        <v>1754</v>
      </c>
      <c r="F99" t="s">
        <v>1775</v>
      </c>
      <c r="G99" s="31" t="s">
        <v>629</v>
      </c>
      <c r="H99" t="s">
        <v>1189</v>
      </c>
      <c r="I99" t="s">
        <v>1190</v>
      </c>
      <c r="J99" s="15" t="s">
        <v>628</v>
      </c>
      <c r="M99" s="1" t="s">
        <v>1191</v>
      </c>
      <c r="N99" t="s">
        <v>1759</v>
      </c>
    </row>
    <row r="100" spans="1:14" x14ac:dyDescent="0.2">
      <c r="A100">
        <v>436</v>
      </c>
      <c r="B100" t="b">
        <f t="shared" si="1"/>
        <v>1</v>
      </c>
      <c r="C100" t="s">
        <v>108</v>
      </c>
      <c r="D100" t="str">
        <f>IF(F100&lt;&gt;"",VLOOKUP(F100,PHA4GEVars!$A$7:$B$241,2,FALSE),"")</f>
        <v>Sample collection and processing</v>
      </c>
      <c r="E100" t="s">
        <v>1754</v>
      </c>
      <c r="F100" t="s">
        <v>1775</v>
      </c>
      <c r="G100" s="31" t="s">
        <v>631</v>
      </c>
      <c r="H100" t="s">
        <v>1189</v>
      </c>
      <c r="I100" t="s">
        <v>1190</v>
      </c>
      <c r="J100" s="15" t="s">
        <v>630</v>
      </c>
      <c r="M100" s="1" t="s">
        <v>1191</v>
      </c>
      <c r="N100" t="s">
        <v>1759</v>
      </c>
    </row>
    <row r="101" spans="1:14" x14ac:dyDescent="0.2">
      <c r="A101">
        <v>437</v>
      </c>
      <c r="B101" t="b">
        <f t="shared" si="1"/>
        <v>1</v>
      </c>
      <c r="C101" t="s">
        <v>108</v>
      </c>
      <c r="D101" t="str">
        <f>IF(F101&lt;&gt;"",VLOOKUP(F101,PHA4GEVars!$A$7:$B$241,2,FALSE),"")</f>
        <v>Sample collection and processing</v>
      </c>
      <c r="E101" t="s">
        <v>1754</v>
      </c>
      <c r="F101" t="s">
        <v>1775</v>
      </c>
      <c r="G101" s="31" t="s">
        <v>633</v>
      </c>
      <c r="H101" t="s">
        <v>1189</v>
      </c>
      <c r="I101" t="s">
        <v>1190</v>
      </c>
      <c r="J101" s="15" t="s">
        <v>632</v>
      </c>
      <c r="M101" s="1" t="s">
        <v>1191</v>
      </c>
      <c r="N101" t="s">
        <v>1759</v>
      </c>
    </row>
    <row r="102" spans="1:14" x14ac:dyDescent="0.2">
      <c r="A102">
        <v>438</v>
      </c>
      <c r="B102" t="b">
        <f t="shared" si="1"/>
        <v>1</v>
      </c>
      <c r="C102" t="s">
        <v>108</v>
      </c>
      <c r="D102" t="str">
        <f>IF(F102&lt;&gt;"",VLOOKUP(F102,PHA4GEVars!$A$7:$B$241,2,FALSE),"")</f>
        <v>Sample collection and processing</v>
      </c>
      <c r="E102" t="s">
        <v>1754</v>
      </c>
      <c r="F102" t="s">
        <v>1775</v>
      </c>
      <c r="G102" s="31" t="s">
        <v>635</v>
      </c>
      <c r="H102" t="s">
        <v>1189</v>
      </c>
      <c r="I102" t="s">
        <v>1190</v>
      </c>
      <c r="J102" s="15" t="s">
        <v>634</v>
      </c>
      <c r="M102" s="1" t="s">
        <v>1191</v>
      </c>
      <c r="N102" t="s">
        <v>1759</v>
      </c>
    </row>
    <row r="103" spans="1:14" x14ac:dyDescent="0.2">
      <c r="A103">
        <v>439</v>
      </c>
      <c r="B103" t="b">
        <f t="shared" si="1"/>
        <v>1</v>
      </c>
      <c r="C103" t="s">
        <v>108</v>
      </c>
      <c r="D103" t="str">
        <f>IF(F103&lt;&gt;"",VLOOKUP(F103,PHA4GEVars!$A$7:$B$241,2,FALSE),"")</f>
        <v>Sample collection and processing</v>
      </c>
      <c r="E103" t="s">
        <v>1754</v>
      </c>
      <c r="F103" t="s">
        <v>1775</v>
      </c>
      <c r="G103" s="31" t="s">
        <v>637</v>
      </c>
      <c r="H103" t="s">
        <v>1189</v>
      </c>
      <c r="I103" t="s">
        <v>1190</v>
      </c>
      <c r="J103" s="15" t="s">
        <v>636</v>
      </c>
      <c r="M103" s="1" t="s">
        <v>1191</v>
      </c>
      <c r="N103" t="s">
        <v>1759</v>
      </c>
    </row>
    <row r="104" spans="1:14" x14ac:dyDescent="0.2">
      <c r="A104">
        <v>440</v>
      </c>
      <c r="B104" t="b">
        <f t="shared" si="1"/>
        <v>1</v>
      </c>
      <c r="C104" t="s">
        <v>108</v>
      </c>
      <c r="D104" t="str">
        <f>IF(F104&lt;&gt;"",VLOOKUP(F104,PHA4GEVars!$A$7:$B$241,2,FALSE),"")</f>
        <v>Sample collection and processing</v>
      </c>
      <c r="E104" t="s">
        <v>1754</v>
      </c>
      <c r="F104" t="s">
        <v>1775</v>
      </c>
      <c r="G104" s="31" t="s">
        <v>639</v>
      </c>
      <c r="H104" t="s">
        <v>1189</v>
      </c>
      <c r="I104" t="s">
        <v>1190</v>
      </c>
      <c r="J104" s="15" t="s">
        <v>638</v>
      </c>
      <c r="M104" s="1" t="s">
        <v>1191</v>
      </c>
      <c r="N104" t="s">
        <v>1759</v>
      </c>
    </row>
    <row r="105" spans="1:14" x14ac:dyDescent="0.2">
      <c r="A105">
        <v>441</v>
      </c>
      <c r="B105" t="b">
        <f t="shared" si="1"/>
        <v>1</v>
      </c>
      <c r="C105" t="s">
        <v>108</v>
      </c>
      <c r="D105" t="str">
        <f>IF(F105&lt;&gt;"",VLOOKUP(F105,PHA4GEVars!$A$7:$B$241,2,FALSE),"")</f>
        <v>Sample collection and processing</v>
      </c>
      <c r="E105" t="s">
        <v>1754</v>
      </c>
      <c r="F105" t="s">
        <v>1775</v>
      </c>
      <c r="G105" s="31" t="s">
        <v>641</v>
      </c>
      <c r="H105" t="s">
        <v>1189</v>
      </c>
      <c r="I105" t="s">
        <v>1190</v>
      </c>
      <c r="J105" s="15" t="s">
        <v>640</v>
      </c>
      <c r="M105" s="1" t="s">
        <v>1191</v>
      </c>
      <c r="N105" t="s">
        <v>1759</v>
      </c>
    </row>
    <row r="106" spans="1:14" x14ac:dyDescent="0.2">
      <c r="A106">
        <v>442</v>
      </c>
      <c r="B106" t="b">
        <f t="shared" si="1"/>
        <v>1</v>
      </c>
      <c r="C106" t="s">
        <v>108</v>
      </c>
      <c r="D106" t="str">
        <f>IF(F106&lt;&gt;"",VLOOKUP(F106,PHA4GEVars!$A$7:$B$241,2,FALSE),"")</f>
        <v>Sample collection and processing</v>
      </c>
      <c r="E106" t="s">
        <v>1754</v>
      </c>
      <c r="F106" t="s">
        <v>1775</v>
      </c>
      <c r="G106" s="31" t="s">
        <v>643</v>
      </c>
      <c r="H106" t="s">
        <v>1189</v>
      </c>
      <c r="I106" t="s">
        <v>1190</v>
      </c>
      <c r="J106" s="15" t="s">
        <v>642</v>
      </c>
      <c r="M106" s="1" t="s">
        <v>1191</v>
      </c>
      <c r="N106" t="s">
        <v>1759</v>
      </c>
    </row>
    <row r="107" spans="1:14" x14ac:dyDescent="0.2">
      <c r="A107">
        <v>443</v>
      </c>
      <c r="B107" t="b">
        <f t="shared" si="1"/>
        <v>1</v>
      </c>
      <c r="C107" t="s">
        <v>108</v>
      </c>
      <c r="D107" t="str">
        <f>IF(F107&lt;&gt;"",VLOOKUP(F107,PHA4GEVars!$A$7:$B$241,2,FALSE),"")</f>
        <v>Sample collection and processing</v>
      </c>
      <c r="E107" t="s">
        <v>1754</v>
      </c>
      <c r="F107" t="s">
        <v>1775</v>
      </c>
      <c r="G107" s="31" t="s">
        <v>645</v>
      </c>
      <c r="H107" t="s">
        <v>1189</v>
      </c>
      <c r="I107" t="s">
        <v>1190</v>
      </c>
      <c r="J107" s="15" t="s">
        <v>644</v>
      </c>
      <c r="M107" s="1" t="s">
        <v>1191</v>
      </c>
      <c r="N107" t="s">
        <v>1759</v>
      </c>
    </row>
    <row r="108" spans="1:14" x14ac:dyDescent="0.2">
      <c r="A108">
        <v>444</v>
      </c>
      <c r="B108" t="b">
        <f t="shared" si="1"/>
        <v>1</v>
      </c>
      <c r="C108" t="s">
        <v>108</v>
      </c>
      <c r="D108" t="str">
        <f>IF(F108&lt;&gt;"",VLOOKUP(F108,PHA4GEVars!$A$7:$B$241,2,FALSE),"")</f>
        <v>Sample collection and processing</v>
      </c>
      <c r="E108" t="s">
        <v>1754</v>
      </c>
      <c r="F108" t="s">
        <v>1775</v>
      </c>
      <c r="G108" s="31" t="s">
        <v>646</v>
      </c>
      <c r="H108" t="s">
        <v>1189</v>
      </c>
      <c r="I108" t="s">
        <v>1190</v>
      </c>
      <c r="J108" s="15" t="s">
        <v>1404</v>
      </c>
      <c r="L108" t="s">
        <v>1396</v>
      </c>
      <c r="M108" s="1" t="s">
        <v>1191</v>
      </c>
      <c r="N108" t="s">
        <v>1759</v>
      </c>
    </row>
    <row r="109" spans="1:14" x14ac:dyDescent="0.2">
      <c r="A109">
        <v>445</v>
      </c>
      <c r="B109" t="b">
        <f t="shared" si="1"/>
        <v>1</v>
      </c>
      <c r="C109" t="s">
        <v>108</v>
      </c>
      <c r="D109" t="str">
        <f>IF(F109&lt;&gt;"",VLOOKUP(F109,PHA4GEVars!$A$7:$B$241,2,FALSE),"")</f>
        <v>Sample collection and processing</v>
      </c>
      <c r="E109" t="s">
        <v>1754</v>
      </c>
      <c r="F109" t="s">
        <v>1775</v>
      </c>
      <c r="G109" s="31" t="s">
        <v>648</v>
      </c>
      <c r="H109" t="s">
        <v>1189</v>
      </c>
      <c r="I109" t="s">
        <v>1190</v>
      </c>
      <c r="J109" s="15" t="s">
        <v>647</v>
      </c>
      <c r="M109" s="1" t="s">
        <v>1191</v>
      </c>
      <c r="N109" t="s">
        <v>1759</v>
      </c>
    </row>
    <row r="110" spans="1:14" x14ac:dyDescent="0.2">
      <c r="A110">
        <v>446</v>
      </c>
      <c r="B110" t="b">
        <f t="shared" si="1"/>
        <v>1</v>
      </c>
      <c r="C110" t="s">
        <v>108</v>
      </c>
      <c r="D110" t="str">
        <f>IF(F110&lt;&gt;"",VLOOKUP(F110,PHA4GEVars!$A$7:$B$241,2,FALSE),"")</f>
        <v>Sample collection and processing</v>
      </c>
      <c r="E110" t="s">
        <v>1754</v>
      </c>
      <c r="F110" t="s">
        <v>1775</v>
      </c>
      <c r="G110" s="31" t="s">
        <v>650</v>
      </c>
      <c r="H110" t="s">
        <v>1189</v>
      </c>
      <c r="I110" t="s">
        <v>1190</v>
      </c>
      <c r="J110" s="15" t="s">
        <v>649</v>
      </c>
      <c r="M110" s="1" t="s">
        <v>1191</v>
      </c>
      <c r="N110" t="s">
        <v>1759</v>
      </c>
    </row>
    <row r="111" spans="1:14" x14ac:dyDescent="0.2">
      <c r="A111">
        <v>447</v>
      </c>
      <c r="B111" t="b">
        <f t="shared" si="1"/>
        <v>1</v>
      </c>
      <c r="C111" t="s">
        <v>108</v>
      </c>
      <c r="D111" t="str">
        <f>IF(F111&lt;&gt;"",VLOOKUP(F111,PHA4GEVars!$A$7:$B$241,2,FALSE),"")</f>
        <v>Sample collection and processing</v>
      </c>
      <c r="E111" t="s">
        <v>1754</v>
      </c>
      <c r="F111" t="s">
        <v>1775</v>
      </c>
      <c r="G111" s="31" t="s">
        <v>652</v>
      </c>
      <c r="H111" t="s">
        <v>1189</v>
      </c>
      <c r="I111" t="s">
        <v>1190</v>
      </c>
      <c r="J111" s="15" t="s">
        <v>651</v>
      </c>
      <c r="M111" s="1" t="s">
        <v>1191</v>
      </c>
      <c r="N111" t="s">
        <v>1759</v>
      </c>
    </row>
    <row r="112" spans="1:14" x14ac:dyDescent="0.2">
      <c r="A112">
        <v>448</v>
      </c>
      <c r="B112" t="b">
        <f t="shared" si="1"/>
        <v>1</v>
      </c>
      <c r="C112" t="s">
        <v>108</v>
      </c>
      <c r="D112" t="str">
        <f>IF(F112&lt;&gt;"",VLOOKUP(F112,PHA4GEVars!$A$7:$B$241,2,FALSE),"")</f>
        <v>Sample collection and processing</v>
      </c>
      <c r="E112" t="s">
        <v>1754</v>
      </c>
      <c r="F112" t="s">
        <v>1775</v>
      </c>
      <c r="G112" s="31" t="s">
        <v>654</v>
      </c>
      <c r="H112" t="s">
        <v>1189</v>
      </c>
      <c r="I112" t="s">
        <v>1190</v>
      </c>
      <c r="J112" s="15" t="s">
        <v>653</v>
      </c>
      <c r="M112" s="1" t="s">
        <v>1191</v>
      </c>
      <c r="N112" t="s">
        <v>1759</v>
      </c>
    </row>
    <row r="113" spans="1:14" x14ac:dyDescent="0.2">
      <c r="A113">
        <v>449</v>
      </c>
      <c r="B113" t="b">
        <f t="shared" si="1"/>
        <v>1</v>
      </c>
      <c r="C113" t="s">
        <v>108</v>
      </c>
      <c r="D113" t="str">
        <f>IF(F113&lt;&gt;"",VLOOKUP(F113,PHA4GEVars!$A$7:$B$241,2,FALSE),"")</f>
        <v>Sample collection and processing</v>
      </c>
      <c r="E113" t="s">
        <v>1754</v>
      </c>
      <c r="F113" t="s">
        <v>1775</v>
      </c>
      <c r="G113" s="31" t="s">
        <v>656</v>
      </c>
      <c r="H113" t="s">
        <v>1189</v>
      </c>
      <c r="I113" t="s">
        <v>1190</v>
      </c>
      <c r="J113" s="15" t="s">
        <v>655</v>
      </c>
      <c r="M113" s="1" t="s">
        <v>1191</v>
      </c>
      <c r="N113" t="s">
        <v>1759</v>
      </c>
    </row>
    <row r="114" spans="1:14" x14ac:dyDescent="0.2">
      <c r="A114">
        <v>450</v>
      </c>
      <c r="B114" t="b">
        <f t="shared" si="1"/>
        <v>1</v>
      </c>
      <c r="C114" t="s">
        <v>108</v>
      </c>
      <c r="D114" t="str">
        <f>IF(F114&lt;&gt;"",VLOOKUP(F114,PHA4GEVars!$A$7:$B$241,2,FALSE),"")</f>
        <v>Sample collection and processing</v>
      </c>
      <c r="E114" t="s">
        <v>1754</v>
      </c>
      <c r="F114" t="s">
        <v>1775</v>
      </c>
      <c r="G114" s="31" t="s">
        <v>658</v>
      </c>
      <c r="H114" t="s">
        <v>1189</v>
      </c>
      <c r="I114" t="s">
        <v>1190</v>
      </c>
      <c r="J114" s="15" t="s">
        <v>657</v>
      </c>
      <c r="M114" s="1" t="s">
        <v>1191</v>
      </c>
      <c r="N114" t="s">
        <v>1759</v>
      </c>
    </row>
    <row r="115" spans="1:14" x14ac:dyDescent="0.2">
      <c r="A115">
        <v>451</v>
      </c>
      <c r="B115" t="b">
        <f t="shared" si="1"/>
        <v>1</v>
      </c>
      <c r="C115" t="s">
        <v>108</v>
      </c>
      <c r="D115" t="str">
        <f>IF(F115&lt;&gt;"",VLOOKUP(F115,PHA4GEVars!$A$7:$B$241,2,FALSE),"")</f>
        <v>Sample collection and processing</v>
      </c>
      <c r="E115" t="s">
        <v>1754</v>
      </c>
      <c r="F115" t="s">
        <v>1775</v>
      </c>
      <c r="G115" s="31" t="s">
        <v>660</v>
      </c>
      <c r="H115" t="s">
        <v>1189</v>
      </c>
      <c r="I115" t="s">
        <v>1190</v>
      </c>
      <c r="J115" s="15" t="s">
        <v>659</v>
      </c>
      <c r="M115" s="1" t="s">
        <v>1191</v>
      </c>
      <c r="N115" t="s">
        <v>1759</v>
      </c>
    </row>
    <row r="116" spans="1:14" x14ac:dyDescent="0.2">
      <c r="A116">
        <v>452</v>
      </c>
      <c r="B116" t="b">
        <f t="shared" si="1"/>
        <v>1</v>
      </c>
      <c r="C116" t="s">
        <v>108</v>
      </c>
      <c r="D116" t="str">
        <f>IF(F116&lt;&gt;"",VLOOKUP(F116,PHA4GEVars!$A$7:$B$241,2,FALSE),"")</f>
        <v>Sample collection and processing</v>
      </c>
      <c r="E116" t="s">
        <v>1754</v>
      </c>
      <c r="F116" t="s">
        <v>1775</v>
      </c>
      <c r="G116" s="31" t="s">
        <v>662</v>
      </c>
      <c r="H116" t="s">
        <v>1189</v>
      </c>
      <c r="I116" t="s">
        <v>1190</v>
      </c>
      <c r="J116" s="15" t="s">
        <v>661</v>
      </c>
      <c r="M116" s="1" t="s">
        <v>1191</v>
      </c>
      <c r="N116" t="s">
        <v>1759</v>
      </c>
    </row>
    <row r="117" spans="1:14" x14ac:dyDescent="0.2">
      <c r="A117">
        <v>453</v>
      </c>
      <c r="B117" t="b">
        <f t="shared" si="1"/>
        <v>1</v>
      </c>
      <c r="C117" t="s">
        <v>108</v>
      </c>
      <c r="D117" t="str">
        <f>IF(F117&lt;&gt;"",VLOOKUP(F117,PHA4GEVars!$A$7:$B$241,2,FALSE),"")</f>
        <v>Sample collection and processing</v>
      </c>
      <c r="E117" t="s">
        <v>1754</v>
      </c>
      <c r="F117" t="s">
        <v>1775</v>
      </c>
      <c r="G117" s="31" t="s">
        <v>664</v>
      </c>
      <c r="H117" t="s">
        <v>1189</v>
      </c>
      <c r="I117" t="s">
        <v>1190</v>
      </c>
      <c r="J117" s="15" t="s">
        <v>663</v>
      </c>
      <c r="M117" s="1" t="s">
        <v>1191</v>
      </c>
      <c r="N117" t="s">
        <v>1759</v>
      </c>
    </row>
    <row r="118" spans="1:14" x14ac:dyDescent="0.2">
      <c r="A118">
        <v>454</v>
      </c>
      <c r="B118" t="b">
        <f t="shared" si="1"/>
        <v>1</v>
      </c>
      <c r="C118" t="s">
        <v>108</v>
      </c>
      <c r="D118" t="str">
        <f>IF(F118&lt;&gt;"",VLOOKUP(F118,PHA4GEVars!$A$7:$B$241,2,FALSE),"")</f>
        <v>Sample collection and processing</v>
      </c>
      <c r="E118" t="s">
        <v>1754</v>
      </c>
      <c r="F118" t="s">
        <v>1775</v>
      </c>
      <c r="G118" s="31" t="s">
        <v>666</v>
      </c>
      <c r="H118" t="s">
        <v>1189</v>
      </c>
      <c r="I118" t="s">
        <v>1190</v>
      </c>
      <c r="J118" s="15" t="s">
        <v>665</v>
      </c>
      <c r="M118" s="1" t="s">
        <v>1191</v>
      </c>
      <c r="N118" t="s">
        <v>1759</v>
      </c>
    </row>
    <row r="119" spans="1:14" x14ac:dyDescent="0.2">
      <c r="A119">
        <v>455</v>
      </c>
      <c r="B119" t="b">
        <f t="shared" si="1"/>
        <v>1</v>
      </c>
      <c r="C119" t="s">
        <v>108</v>
      </c>
      <c r="D119" t="str">
        <f>IF(F119&lt;&gt;"",VLOOKUP(F119,PHA4GEVars!$A$7:$B$241,2,FALSE),"")</f>
        <v>Sample collection and processing</v>
      </c>
      <c r="E119" t="s">
        <v>1754</v>
      </c>
      <c r="F119" t="s">
        <v>1775</v>
      </c>
      <c r="G119" s="31" t="s">
        <v>668</v>
      </c>
      <c r="H119" t="s">
        <v>1189</v>
      </c>
      <c r="I119" t="s">
        <v>1190</v>
      </c>
      <c r="J119" s="15" t="s">
        <v>667</v>
      </c>
      <c r="M119" s="1" t="s">
        <v>1191</v>
      </c>
      <c r="N119" t="s">
        <v>1759</v>
      </c>
    </row>
    <row r="120" spans="1:14" x14ac:dyDescent="0.2">
      <c r="A120">
        <v>456</v>
      </c>
      <c r="B120" t="b">
        <f t="shared" si="1"/>
        <v>1</v>
      </c>
      <c r="C120" t="s">
        <v>108</v>
      </c>
      <c r="D120" t="str">
        <f>IF(F120&lt;&gt;"",VLOOKUP(F120,PHA4GEVars!$A$7:$B$241,2,FALSE),"")</f>
        <v>Sample collection and processing</v>
      </c>
      <c r="E120" t="s">
        <v>1754</v>
      </c>
      <c r="F120" t="s">
        <v>1775</v>
      </c>
      <c r="G120" s="31" t="s">
        <v>669</v>
      </c>
      <c r="H120" t="s">
        <v>1189</v>
      </c>
      <c r="I120" t="s">
        <v>1190</v>
      </c>
      <c r="J120" s="15" t="s">
        <v>885</v>
      </c>
      <c r="M120" s="1" t="s">
        <v>1191</v>
      </c>
      <c r="N120" t="s">
        <v>1759</v>
      </c>
    </row>
    <row r="121" spans="1:14" x14ac:dyDescent="0.2">
      <c r="A121">
        <v>457</v>
      </c>
      <c r="B121" t="b">
        <f t="shared" si="1"/>
        <v>1</v>
      </c>
      <c r="C121" t="s">
        <v>108</v>
      </c>
      <c r="D121" t="str">
        <f>IF(F121&lt;&gt;"",VLOOKUP(F121,PHA4GEVars!$A$7:$B$241,2,FALSE),"")</f>
        <v>Sample collection and processing</v>
      </c>
      <c r="E121" t="s">
        <v>1754</v>
      </c>
      <c r="F121" t="s">
        <v>1775</v>
      </c>
      <c r="G121" s="31" t="s">
        <v>671</v>
      </c>
      <c r="H121" t="s">
        <v>1189</v>
      </c>
      <c r="I121" t="s">
        <v>1190</v>
      </c>
      <c r="J121" s="15" t="s">
        <v>670</v>
      </c>
      <c r="M121" s="1" t="s">
        <v>1191</v>
      </c>
      <c r="N121" t="s">
        <v>1759</v>
      </c>
    </row>
    <row r="122" spans="1:14" x14ac:dyDescent="0.2">
      <c r="A122">
        <v>458</v>
      </c>
      <c r="B122" t="b">
        <f t="shared" si="1"/>
        <v>1</v>
      </c>
      <c r="C122" t="s">
        <v>108</v>
      </c>
      <c r="D122" t="str">
        <f>IF(F122&lt;&gt;"",VLOOKUP(F122,PHA4GEVars!$A$7:$B$241,2,FALSE),"")</f>
        <v>Sample collection and processing</v>
      </c>
      <c r="E122" t="s">
        <v>1754</v>
      </c>
      <c r="F122" t="s">
        <v>1775</v>
      </c>
      <c r="G122" s="31" t="s">
        <v>672</v>
      </c>
      <c r="H122" t="s">
        <v>1189</v>
      </c>
      <c r="I122" t="s">
        <v>1190</v>
      </c>
      <c r="J122" s="15" t="s">
        <v>1405</v>
      </c>
      <c r="L122" t="s">
        <v>1396</v>
      </c>
      <c r="M122" s="1" t="s">
        <v>1191</v>
      </c>
      <c r="N122" t="s">
        <v>1759</v>
      </c>
    </row>
    <row r="123" spans="1:14" x14ac:dyDescent="0.2">
      <c r="A123">
        <v>459</v>
      </c>
      <c r="B123" t="b">
        <f t="shared" si="1"/>
        <v>1</v>
      </c>
      <c r="C123" t="s">
        <v>108</v>
      </c>
      <c r="D123" t="str">
        <f>IF(F123&lt;&gt;"",VLOOKUP(F123,PHA4GEVars!$A$7:$B$241,2,FALSE),"")</f>
        <v>Sample collection and processing</v>
      </c>
      <c r="E123" t="s">
        <v>1754</v>
      </c>
      <c r="F123" t="s">
        <v>1775</v>
      </c>
      <c r="G123" s="31" t="s">
        <v>674</v>
      </c>
      <c r="H123" t="s">
        <v>1189</v>
      </c>
      <c r="I123" t="s">
        <v>1190</v>
      </c>
      <c r="J123" s="15" t="s">
        <v>673</v>
      </c>
      <c r="M123" s="1" t="s">
        <v>1191</v>
      </c>
      <c r="N123" t="s">
        <v>1759</v>
      </c>
    </row>
    <row r="124" spans="1:14" x14ac:dyDescent="0.2">
      <c r="A124">
        <v>460</v>
      </c>
      <c r="B124" t="b">
        <f t="shared" si="1"/>
        <v>1</v>
      </c>
      <c r="C124" t="s">
        <v>108</v>
      </c>
      <c r="D124" t="str">
        <f>IF(F124&lt;&gt;"",VLOOKUP(F124,PHA4GEVars!$A$7:$B$241,2,FALSE),"")</f>
        <v>Sample collection and processing</v>
      </c>
      <c r="E124" t="s">
        <v>1754</v>
      </c>
      <c r="F124" t="s">
        <v>1775</v>
      </c>
      <c r="G124" s="31" t="s">
        <v>675</v>
      </c>
      <c r="H124" t="s">
        <v>1189</v>
      </c>
      <c r="I124" t="s">
        <v>1190</v>
      </c>
      <c r="J124" s="15" t="s">
        <v>1407</v>
      </c>
      <c r="L124" t="s">
        <v>1396</v>
      </c>
      <c r="M124" s="1" t="s">
        <v>1191</v>
      </c>
      <c r="N124" t="s">
        <v>1759</v>
      </c>
    </row>
    <row r="125" spans="1:14" x14ac:dyDescent="0.2">
      <c r="A125">
        <v>461</v>
      </c>
      <c r="B125" t="b">
        <f t="shared" si="1"/>
        <v>1</v>
      </c>
      <c r="C125" t="s">
        <v>108</v>
      </c>
      <c r="D125" t="str">
        <f>IF(F125&lt;&gt;"",VLOOKUP(F125,PHA4GEVars!$A$7:$B$241,2,FALSE),"")</f>
        <v>Sample collection and processing</v>
      </c>
      <c r="E125" t="s">
        <v>1754</v>
      </c>
      <c r="F125" t="s">
        <v>1775</v>
      </c>
      <c r="G125" s="31" t="s">
        <v>677</v>
      </c>
      <c r="H125" t="s">
        <v>1189</v>
      </c>
      <c r="I125" t="s">
        <v>1190</v>
      </c>
      <c r="J125" s="15" t="s">
        <v>676</v>
      </c>
      <c r="M125" s="1" t="s">
        <v>1191</v>
      </c>
      <c r="N125" t="s">
        <v>1759</v>
      </c>
    </row>
    <row r="126" spans="1:14" x14ac:dyDescent="0.2">
      <c r="A126">
        <v>462</v>
      </c>
      <c r="B126" t="b">
        <f t="shared" si="1"/>
        <v>1</v>
      </c>
      <c r="C126" t="s">
        <v>108</v>
      </c>
      <c r="D126" t="str">
        <f>IF(F126&lt;&gt;"",VLOOKUP(F126,PHA4GEVars!$A$7:$B$241,2,FALSE),"")</f>
        <v>Sample collection and processing</v>
      </c>
      <c r="E126" t="s">
        <v>1754</v>
      </c>
      <c r="F126" t="s">
        <v>1775</v>
      </c>
      <c r="G126" s="31" t="s">
        <v>678</v>
      </c>
      <c r="H126" t="s">
        <v>1189</v>
      </c>
      <c r="I126" s="15" t="s">
        <v>1190</v>
      </c>
      <c r="J126" s="15" t="s">
        <v>1408</v>
      </c>
      <c r="L126" t="s">
        <v>1398</v>
      </c>
      <c r="M126" s="1" t="s">
        <v>1191</v>
      </c>
      <c r="N126" t="s">
        <v>1759</v>
      </c>
    </row>
    <row r="127" spans="1:14" x14ac:dyDescent="0.2">
      <c r="A127">
        <v>463</v>
      </c>
      <c r="B127" t="b">
        <f t="shared" si="1"/>
        <v>1</v>
      </c>
      <c r="C127" t="s">
        <v>108</v>
      </c>
      <c r="D127" t="str">
        <f>IF(F127&lt;&gt;"",VLOOKUP(F127,PHA4GEVars!$A$7:$B$241,2,FALSE),"")</f>
        <v>Sample collection and processing</v>
      </c>
      <c r="E127" t="s">
        <v>1754</v>
      </c>
      <c r="F127" t="s">
        <v>1775</v>
      </c>
      <c r="G127" s="31" t="s">
        <v>680</v>
      </c>
      <c r="H127" t="s">
        <v>1189</v>
      </c>
      <c r="I127" t="s">
        <v>1190</v>
      </c>
      <c r="J127" s="15" t="s">
        <v>679</v>
      </c>
      <c r="M127" s="1" t="s">
        <v>1191</v>
      </c>
      <c r="N127" t="s">
        <v>1759</v>
      </c>
    </row>
    <row r="128" spans="1:14" x14ac:dyDescent="0.2">
      <c r="A128">
        <v>464</v>
      </c>
      <c r="B128" t="b">
        <f t="shared" si="1"/>
        <v>1</v>
      </c>
      <c r="C128" t="s">
        <v>108</v>
      </c>
      <c r="D128" t="str">
        <f>IF(F128&lt;&gt;"",VLOOKUP(F128,PHA4GEVars!$A$7:$B$241,2,FALSE),"")</f>
        <v>Sample collection and processing</v>
      </c>
      <c r="E128" t="s">
        <v>1754</v>
      </c>
      <c r="F128" t="s">
        <v>1775</v>
      </c>
      <c r="G128" s="31" t="s">
        <v>682</v>
      </c>
      <c r="H128" t="s">
        <v>1189</v>
      </c>
      <c r="I128" t="s">
        <v>1190</v>
      </c>
      <c r="J128" s="15" t="s">
        <v>681</v>
      </c>
      <c r="M128" s="1" t="s">
        <v>1191</v>
      </c>
      <c r="N128" t="s">
        <v>1759</v>
      </c>
    </row>
    <row r="129" spans="1:14" x14ac:dyDescent="0.2">
      <c r="A129">
        <v>465</v>
      </c>
      <c r="B129" t="b">
        <f t="shared" si="1"/>
        <v>1</v>
      </c>
      <c r="C129" t="s">
        <v>108</v>
      </c>
      <c r="D129" t="str">
        <f>IF(F129&lt;&gt;"",VLOOKUP(F129,PHA4GEVars!$A$7:$B$241,2,FALSE),"")</f>
        <v>Sample collection and processing</v>
      </c>
      <c r="E129" t="s">
        <v>1754</v>
      </c>
      <c r="F129" t="s">
        <v>1775</v>
      </c>
      <c r="G129" s="31" t="s">
        <v>683</v>
      </c>
      <c r="H129" t="s">
        <v>1189</v>
      </c>
      <c r="I129" s="15" t="s">
        <v>1190</v>
      </c>
      <c r="J129" s="15" t="s">
        <v>1409</v>
      </c>
      <c r="L129" t="s">
        <v>1398</v>
      </c>
      <c r="M129" s="1" t="s">
        <v>1191</v>
      </c>
      <c r="N129" t="s">
        <v>1759</v>
      </c>
    </row>
    <row r="130" spans="1:14" x14ac:dyDescent="0.2">
      <c r="A130">
        <v>466</v>
      </c>
      <c r="B130" t="b">
        <f t="shared" ref="B130:B193" si="2">IF(OR(G130="NA",H130="wide_value"),"",TRUE)</f>
        <v>1</v>
      </c>
      <c r="C130" t="s">
        <v>108</v>
      </c>
      <c r="D130" t="str">
        <f>IF(F130&lt;&gt;"",VLOOKUP(F130,PHA4GEVars!$A$7:$B$241,2,FALSE),"")</f>
        <v>Sample collection and processing</v>
      </c>
      <c r="E130" t="s">
        <v>1754</v>
      </c>
      <c r="F130" t="s">
        <v>1775</v>
      </c>
      <c r="G130" s="31" t="s">
        <v>684</v>
      </c>
      <c r="H130" t="s">
        <v>1189</v>
      </c>
      <c r="I130" s="15" t="s">
        <v>1190</v>
      </c>
      <c r="J130" s="15" t="s">
        <v>1410</v>
      </c>
      <c r="L130" t="s">
        <v>1396</v>
      </c>
      <c r="M130" s="1" t="s">
        <v>1191</v>
      </c>
      <c r="N130" t="s">
        <v>1759</v>
      </c>
    </row>
    <row r="131" spans="1:14" x14ac:dyDescent="0.2">
      <c r="A131">
        <v>467</v>
      </c>
      <c r="B131" t="b">
        <f t="shared" si="2"/>
        <v>1</v>
      </c>
      <c r="C131" t="s">
        <v>108</v>
      </c>
      <c r="D131" t="str">
        <f>IF(F131&lt;&gt;"",VLOOKUP(F131,PHA4GEVars!$A$7:$B$241,2,FALSE),"")</f>
        <v>Sample collection and processing</v>
      </c>
      <c r="E131" t="s">
        <v>1754</v>
      </c>
      <c r="F131" t="s">
        <v>1775</v>
      </c>
      <c r="G131" s="31" t="s">
        <v>686</v>
      </c>
      <c r="H131" t="s">
        <v>1189</v>
      </c>
      <c r="I131" t="s">
        <v>1190</v>
      </c>
      <c r="J131" s="15" t="s">
        <v>685</v>
      </c>
      <c r="M131" s="1" t="s">
        <v>1191</v>
      </c>
      <c r="N131" t="s">
        <v>1759</v>
      </c>
    </row>
    <row r="132" spans="1:14" x14ac:dyDescent="0.2">
      <c r="A132">
        <v>468</v>
      </c>
      <c r="B132" t="b">
        <f t="shared" si="2"/>
        <v>1</v>
      </c>
      <c r="C132" t="s">
        <v>108</v>
      </c>
      <c r="D132" t="str">
        <f>IF(F132&lt;&gt;"",VLOOKUP(F132,PHA4GEVars!$A$7:$B$241,2,FALSE),"")</f>
        <v>Sample collection and processing</v>
      </c>
      <c r="E132" t="s">
        <v>1754</v>
      </c>
      <c r="F132" t="s">
        <v>1775</v>
      </c>
      <c r="G132" s="31" t="s">
        <v>688</v>
      </c>
      <c r="H132" t="s">
        <v>1189</v>
      </c>
      <c r="I132" t="s">
        <v>1190</v>
      </c>
      <c r="J132" s="15" t="s">
        <v>687</v>
      </c>
      <c r="M132" s="1" t="s">
        <v>1191</v>
      </c>
      <c r="N132" t="s">
        <v>1759</v>
      </c>
    </row>
    <row r="133" spans="1:14" x14ac:dyDescent="0.2">
      <c r="A133">
        <v>469</v>
      </c>
      <c r="B133" t="b">
        <f t="shared" si="2"/>
        <v>1</v>
      </c>
      <c r="C133" t="s">
        <v>108</v>
      </c>
      <c r="D133" t="str">
        <f>IF(F133&lt;&gt;"",VLOOKUP(F133,PHA4GEVars!$A$7:$B$241,2,FALSE),"")</f>
        <v>Sample collection and processing</v>
      </c>
      <c r="E133" t="s">
        <v>1754</v>
      </c>
      <c r="F133" t="s">
        <v>1775</v>
      </c>
      <c r="G133" s="31" t="s">
        <v>690</v>
      </c>
      <c r="H133" t="s">
        <v>1189</v>
      </c>
      <c r="I133" t="s">
        <v>1190</v>
      </c>
      <c r="J133" s="15" t="s">
        <v>689</v>
      </c>
      <c r="M133" s="1" t="s">
        <v>1191</v>
      </c>
      <c r="N133" t="s">
        <v>1759</v>
      </c>
    </row>
    <row r="134" spans="1:14" x14ac:dyDescent="0.2">
      <c r="A134">
        <v>470</v>
      </c>
      <c r="B134" t="b">
        <f t="shared" si="2"/>
        <v>1</v>
      </c>
      <c r="C134" t="s">
        <v>108</v>
      </c>
      <c r="D134" t="str">
        <f>IF(F134&lt;&gt;"",VLOOKUP(F134,PHA4GEVars!$A$7:$B$241,2,FALSE),"")</f>
        <v>Sample collection and processing</v>
      </c>
      <c r="E134" t="s">
        <v>1754</v>
      </c>
      <c r="F134" t="s">
        <v>1775</v>
      </c>
      <c r="G134" s="31" t="s">
        <v>692</v>
      </c>
      <c r="H134" t="s">
        <v>1189</v>
      </c>
      <c r="I134" t="s">
        <v>1190</v>
      </c>
      <c r="J134" s="15" t="s">
        <v>691</v>
      </c>
      <c r="M134" s="1" t="s">
        <v>1191</v>
      </c>
      <c r="N134" t="s">
        <v>1759</v>
      </c>
    </row>
    <row r="135" spans="1:14" x14ac:dyDescent="0.2">
      <c r="A135">
        <v>471</v>
      </c>
      <c r="B135" t="b">
        <f t="shared" si="2"/>
        <v>1</v>
      </c>
      <c r="C135" t="s">
        <v>108</v>
      </c>
      <c r="D135" t="str">
        <f>IF(F135&lt;&gt;"",VLOOKUP(F135,PHA4GEVars!$A$7:$B$241,2,FALSE),"")</f>
        <v>Sample collection and processing</v>
      </c>
      <c r="E135" t="s">
        <v>1754</v>
      </c>
      <c r="F135" t="s">
        <v>1775</v>
      </c>
      <c r="G135" s="31" t="s">
        <v>694</v>
      </c>
      <c r="H135" t="s">
        <v>1189</v>
      </c>
      <c r="I135" t="s">
        <v>1190</v>
      </c>
      <c r="J135" s="15" t="s">
        <v>693</v>
      </c>
      <c r="M135" s="1" t="s">
        <v>1191</v>
      </c>
      <c r="N135" t="s">
        <v>1759</v>
      </c>
    </row>
    <row r="136" spans="1:14" x14ac:dyDescent="0.2">
      <c r="A136">
        <v>472</v>
      </c>
      <c r="B136" t="b">
        <f t="shared" si="2"/>
        <v>1</v>
      </c>
      <c r="C136" t="s">
        <v>108</v>
      </c>
      <c r="D136" t="str">
        <f>IF(F136&lt;&gt;"",VLOOKUP(F136,PHA4GEVars!$A$7:$B$241,2,FALSE),"")</f>
        <v>Sample collection and processing</v>
      </c>
      <c r="E136" t="s">
        <v>1754</v>
      </c>
      <c r="F136" t="s">
        <v>1775</v>
      </c>
      <c r="G136" s="31" t="s">
        <v>696</v>
      </c>
      <c r="H136" t="s">
        <v>1189</v>
      </c>
      <c r="I136" t="s">
        <v>1190</v>
      </c>
      <c r="J136" s="15" t="s">
        <v>695</v>
      </c>
      <c r="M136" s="1" t="s">
        <v>1191</v>
      </c>
      <c r="N136" t="s">
        <v>1759</v>
      </c>
    </row>
    <row r="137" spans="1:14" x14ac:dyDescent="0.2">
      <c r="A137">
        <v>473</v>
      </c>
      <c r="B137" t="b">
        <f t="shared" si="2"/>
        <v>1</v>
      </c>
      <c r="C137" t="s">
        <v>108</v>
      </c>
      <c r="D137" t="str">
        <f>IF(F137&lt;&gt;"",VLOOKUP(F137,PHA4GEVars!$A$7:$B$241,2,FALSE),"")</f>
        <v>Sample collection and processing</v>
      </c>
      <c r="E137" t="s">
        <v>1754</v>
      </c>
      <c r="F137" t="s">
        <v>1775</v>
      </c>
      <c r="G137" s="31" t="s">
        <v>698</v>
      </c>
      <c r="H137" t="s">
        <v>1189</v>
      </c>
      <c r="I137" t="s">
        <v>1190</v>
      </c>
      <c r="J137" s="15" t="s">
        <v>697</v>
      </c>
      <c r="M137" s="1" t="s">
        <v>1191</v>
      </c>
      <c r="N137" t="s">
        <v>1759</v>
      </c>
    </row>
    <row r="138" spans="1:14" x14ac:dyDescent="0.2">
      <c r="A138">
        <v>474</v>
      </c>
      <c r="B138" t="b">
        <f t="shared" si="2"/>
        <v>1</v>
      </c>
      <c r="C138" t="s">
        <v>108</v>
      </c>
      <c r="D138" t="str">
        <f>IF(F138&lt;&gt;"",VLOOKUP(F138,PHA4GEVars!$A$7:$B$241,2,FALSE),"")</f>
        <v>Sample collection and processing</v>
      </c>
      <c r="E138" t="s">
        <v>1754</v>
      </c>
      <c r="F138" t="s">
        <v>1775</v>
      </c>
      <c r="G138" s="31" t="s">
        <v>700</v>
      </c>
      <c r="H138" t="s">
        <v>1189</v>
      </c>
      <c r="I138" t="s">
        <v>1190</v>
      </c>
      <c r="J138" s="15" t="s">
        <v>699</v>
      </c>
      <c r="M138" s="1" t="s">
        <v>1191</v>
      </c>
      <c r="N138" t="s">
        <v>1759</v>
      </c>
    </row>
    <row r="139" spans="1:14" x14ac:dyDescent="0.2">
      <c r="A139">
        <v>475</v>
      </c>
      <c r="B139" t="b">
        <f t="shared" si="2"/>
        <v>1</v>
      </c>
      <c r="C139" t="s">
        <v>108</v>
      </c>
      <c r="D139" t="str">
        <f>IF(F139&lt;&gt;"",VLOOKUP(F139,PHA4GEVars!$A$7:$B$241,2,FALSE),"")</f>
        <v>Sample collection and processing</v>
      </c>
      <c r="E139" t="s">
        <v>1754</v>
      </c>
      <c r="F139" t="s">
        <v>1775</v>
      </c>
      <c r="G139" s="31" t="s">
        <v>702</v>
      </c>
      <c r="H139" t="s">
        <v>1189</v>
      </c>
      <c r="I139" t="s">
        <v>1190</v>
      </c>
      <c r="J139" s="15" t="s">
        <v>701</v>
      </c>
      <c r="M139" s="1" t="s">
        <v>1191</v>
      </c>
      <c r="N139" t="s">
        <v>1759</v>
      </c>
    </row>
    <row r="140" spans="1:14" x14ac:dyDescent="0.2">
      <c r="A140">
        <v>476</v>
      </c>
      <c r="B140" t="b">
        <f t="shared" si="2"/>
        <v>1</v>
      </c>
      <c r="C140" t="s">
        <v>108</v>
      </c>
      <c r="D140" t="str">
        <f>IF(F140&lt;&gt;"",VLOOKUP(F140,PHA4GEVars!$A$7:$B$241,2,FALSE),"")</f>
        <v>Sample collection and processing</v>
      </c>
      <c r="E140" t="s">
        <v>1754</v>
      </c>
      <c r="F140" t="s">
        <v>1775</v>
      </c>
      <c r="G140" s="31" t="s">
        <v>704</v>
      </c>
      <c r="H140" t="s">
        <v>1189</v>
      </c>
      <c r="I140" t="s">
        <v>1190</v>
      </c>
      <c r="J140" s="15" t="s">
        <v>703</v>
      </c>
      <c r="M140" s="1" t="s">
        <v>1191</v>
      </c>
      <c r="N140" t="s">
        <v>1759</v>
      </c>
    </row>
    <row r="141" spans="1:14" x14ac:dyDescent="0.2">
      <c r="A141">
        <v>477</v>
      </c>
      <c r="B141" t="b">
        <f t="shared" si="2"/>
        <v>1</v>
      </c>
      <c r="C141" t="s">
        <v>108</v>
      </c>
      <c r="D141" t="str">
        <f>IF(F141&lt;&gt;"",VLOOKUP(F141,PHA4GEVars!$A$7:$B$241,2,FALSE),"")</f>
        <v>Sample collection and processing</v>
      </c>
      <c r="E141" t="s">
        <v>1754</v>
      </c>
      <c r="F141" t="s">
        <v>1775</v>
      </c>
      <c r="G141" s="31" t="s">
        <v>706</v>
      </c>
      <c r="H141" t="s">
        <v>1189</v>
      </c>
      <c r="I141" t="s">
        <v>1190</v>
      </c>
      <c r="J141" s="15" t="s">
        <v>705</v>
      </c>
      <c r="M141" s="1" t="s">
        <v>1191</v>
      </c>
      <c r="N141" t="s">
        <v>1759</v>
      </c>
    </row>
    <row r="142" spans="1:14" x14ac:dyDescent="0.2">
      <c r="A142">
        <v>478</v>
      </c>
      <c r="B142" t="b">
        <f t="shared" si="2"/>
        <v>1</v>
      </c>
      <c r="C142" t="s">
        <v>108</v>
      </c>
      <c r="D142" t="str">
        <f>IF(F142&lt;&gt;"",VLOOKUP(F142,PHA4GEVars!$A$7:$B$241,2,FALSE),"")</f>
        <v>Sample collection and processing</v>
      </c>
      <c r="E142" t="s">
        <v>1754</v>
      </c>
      <c r="F142" t="s">
        <v>1775</v>
      </c>
      <c r="G142" s="31" t="s">
        <v>707</v>
      </c>
      <c r="H142" t="s">
        <v>1189</v>
      </c>
      <c r="I142" s="15" t="s">
        <v>1190</v>
      </c>
      <c r="J142" s="15" t="s">
        <v>1411</v>
      </c>
      <c r="L142" t="s">
        <v>1418</v>
      </c>
      <c r="M142" s="1" t="s">
        <v>1191</v>
      </c>
      <c r="N142" t="s">
        <v>1759</v>
      </c>
    </row>
    <row r="143" spans="1:14" x14ac:dyDescent="0.2">
      <c r="A143">
        <v>479</v>
      </c>
      <c r="B143" t="b">
        <f t="shared" si="2"/>
        <v>1</v>
      </c>
      <c r="C143" t="s">
        <v>108</v>
      </c>
      <c r="D143" t="str">
        <f>IF(F143&lt;&gt;"",VLOOKUP(F143,PHA4GEVars!$A$7:$B$241,2,FALSE),"")</f>
        <v>Sample collection and processing</v>
      </c>
      <c r="E143" t="s">
        <v>1754</v>
      </c>
      <c r="F143" t="s">
        <v>1775</v>
      </c>
      <c r="G143" s="31" t="s">
        <v>709</v>
      </c>
      <c r="H143" t="s">
        <v>1189</v>
      </c>
      <c r="I143" t="s">
        <v>1190</v>
      </c>
      <c r="J143" s="15" t="s">
        <v>708</v>
      </c>
      <c r="M143" s="1" t="s">
        <v>1191</v>
      </c>
      <c r="N143" t="s">
        <v>1759</v>
      </c>
    </row>
    <row r="144" spans="1:14" x14ac:dyDescent="0.2">
      <c r="A144">
        <v>480</v>
      </c>
      <c r="B144" t="b">
        <f t="shared" si="2"/>
        <v>1</v>
      </c>
      <c r="C144" t="s">
        <v>108</v>
      </c>
      <c r="D144" t="str">
        <f>IF(F144&lt;&gt;"",VLOOKUP(F144,PHA4GEVars!$A$7:$B$241,2,FALSE),"")</f>
        <v>Sample collection and processing</v>
      </c>
      <c r="E144" t="s">
        <v>1754</v>
      </c>
      <c r="F144" t="s">
        <v>1775</v>
      </c>
      <c r="G144" s="31" t="s">
        <v>711</v>
      </c>
      <c r="H144" t="s">
        <v>1189</v>
      </c>
      <c r="I144" t="s">
        <v>1190</v>
      </c>
      <c r="J144" s="15" t="s">
        <v>710</v>
      </c>
      <c r="M144" s="1" t="s">
        <v>1191</v>
      </c>
      <c r="N144" t="s">
        <v>1759</v>
      </c>
    </row>
    <row r="145" spans="1:14" x14ac:dyDescent="0.2">
      <c r="A145">
        <v>481</v>
      </c>
      <c r="B145" t="b">
        <f t="shared" si="2"/>
        <v>1</v>
      </c>
      <c r="C145" t="s">
        <v>108</v>
      </c>
      <c r="D145" t="str">
        <f>IF(F145&lt;&gt;"",VLOOKUP(F145,PHA4GEVars!$A$7:$B$241,2,FALSE),"")</f>
        <v>Sample collection and processing</v>
      </c>
      <c r="E145" t="s">
        <v>1754</v>
      </c>
      <c r="F145" t="s">
        <v>1775</v>
      </c>
      <c r="G145" s="31" t="s">
        <v>713</v>
      </c>
      <c r="H145" t="s">
        <v>1189</v>
      </c>
      <c r="I145" t="s">
        <v>1190</v>
      </c>
      <c r="J145" s="15" t="s">
        <v>712</v>
      </c>
      <c r="M145" s="1" t="s">
        <v>1191</v>
      </c>
      <c r="N145" t="s">
        <v>1759</v>
      </c>
    </row>
    <row r="146" spans="1:14" x14ac:dyDescent="0.2">
      <c r="A146">
        <v>482</v>
      </c>
      <c r="B146" t="b">
        <f t="shared" si="2"/>
        <v>1</v>
      </c>
      <c r="C146" t="s">
        <v>108</v>
      </c>
      <c r="D146" t="str">
        <f>IF(F146&lt;&gt;"",VLOOKUP(F146,PHA4GEVars!$A$7:$B$241,2,FALSE),"")</f>
        <v>Sample collection and processing</v>
      </c>
      <c r="E146" t="s">
        <v>1754</v>
      </c>
      <c r="F146" t="s">
        <v>1775</v>
      </c>
      <c r="G146" s="31" t="s">
        <v>715</v>
      </c>
      <c r="H146" t="s">
        <v>1189</v>
      </c>
      <c r="I146" t="s">
        <v>1190</v>
      </c>
      <c r="J146" s="15" t="s">
        <v>714</v>
      </c>
      <c r="M146" s="1" t="s">
        <v>1191</v>
      </c>
      <c r="N146" t="s">
        <v>1759</v>
      </c>
    </row>
    <row r="147" spans="1:14" x14ac:dyDescent="0.2">
      <c r="A147">
        <v>483</v>
      </c>
      <c r="B147" t="b">
        <f t="shared" si="2"/>
        <v>1</v>
      </c>
      <c r="C147" t="s">
        <v>108</v>
      </c>
      <c r="D147" t="str">
        <f>IF(F147&lt;&gt;"",VLOOKUP(F147,PHA4GEVars!$A$7:$B$241,2,FALSE),"")</f>
        <v>Sample collection and processing</v>
      </c>
      <c r="E147" t="s">
        <v>1754</v>
      </c>
      <c r="F147" t="s">
        <v>1775</v>
      </c>
      <c r="G147" s="31" t="s">
        <v>717</v>
      </c>
      <c r="H147" t="s">
        <v>1189</v>
      </c>
      <c r="I147" t="s">
        <v>1190</v>
      </c>
      <c r="J147" s="15" t="s">
        <v>716</v>
      </c>
      <c r="M147" s="1" t="s">
        <v>1191</v>
      </c>
      <c r="N147" t="s">
        <v>1759</v>
      </c>
    </row>
    <row r="148" spans="1:14" x14ac:dyDescent="0.2">
      <c r="A148">
        <v>484</v>
      </c>
      <c r="B148" t="b">
        <f t="shared" si="2"/>
        <v>1</v>
      </c>
      <c r="C148" t="s">
        <v>108</v>
      </c>
      <c r="D148" t="str">
        <f>IF(F148&lt;&gt;"",VLOOKUP(F148,PHA4GEVars!$A$7:$B$241,2,FALSE),"")</f>
        <v>Sample collection and processing</v>
      </c>
      <c r="E148" t="s">
        <v>1754</v>
      </c>
      <c r="F148" t="s">
        <v>1775</v>
      </c>
      <c r="G148" s="31" t="s">
        <v>719</v>
      </c>
      <c r="H148" t="s">
        <v>1189</v>
      </c>
      <c r="I148" t="s">
        <v>1190</v>
      </c>
      <c r="J148" s="15" t="s">
        <v>718</v>
      </c>
      <c r="M148" s="1" t="s">
        <v>1191</v>
      </c>
      <c r="N148" t="s">
        <v>1759</v>
      </c>
    </row>
    <row r="149" spans="1:14" x14ac:dyDescent="0.2">
      <c r="A149">
        <v>485</v>
      </c>
      <c r="B149" t="b">
        <f t="shared" si="2"/>
        <v>1</v>
      </c>
      <c r="C149" t="s">
        <v>108</v>
      </c>
      <c r="D149" t="str">
        <f>IF(F149&lt;&gt;"",VLOOKUP(F149,PHA4GEVars!$A$7:$B$241,2,FALSE),"")</f>
        <v>Sample collection and processing</v>
      </c>
      <c r="E149" t="s">
        <v>1754</v>
      </c>
      <c r="F149" t="s">
        <v>1775</v>
      </c>
      <c r="G149" s="31" t="s">
        <v>721</v>
      </c>
      <c r="H149" t="s">
        <v>1189</v>
      </c>
      <c r="I149" t="s">
        <v>1190</v>
      </c>
      <c r="J149" s="15" t="s">
        <v>720</v>
      </c>
      <c r="M149" s="1" t="s">
        <v>1191</v>
      </c>
      <c r="N149" t="s">
        <v>1759</v>
      </c>
    </row>
    <row r="150" spans="1:14" x14ac:dyDescent="0.2">
      <c r="A150">
        <v>486</v>
      </c>
      <c r="B150" t="b">
        <f t="shared" si="2"/>
        <v>1</v>
      </c>
      <c r="C150" t="s">
        <v>108</v>
      </c>
      <c r="D150" t="str">
        <f>IF(F150&lt;&gt;"",VLOOKUP(F150,PHA4GEVars!$A$7:$B$241,2,FALSE),"")</f>
        <v>Sample collection and processing</v>
      </c>
      <c r="E150" t="s">
        <v>1754</v>
      </c>
      <c r="F150" t="s">
        <v>1775</v>
      </c>
      <c r="G150" s="31" t="s">
        <v>723</v>
      </c>
      <c r="H150" t="s">
        <v>1189</v>
      </c>
      <c r="I150" t="s">
        <v>1190</v>
      </c>
      <c r="J150" s="15" t="s">
        <v>722</v>
      </c>
      <c r="M150" s="1" t="s">
        <v>1191</v>
      </c>
      <c r="N150" t="s">
        <v>1759</v>
      </c>
    </row>
    <row r="151" spans="1:14" x14ac:dyDescent="0.2">
      <c r="A151">
        <v>487</v>
      </c>
      <c r="B151" t="b">
        <f t="shared" si="2"/>
        <v>1</v>
      </c>
      <c r="C151" t="s">
        <v>108</v>
      </c>
      <c r="D151" t="str">
        <f>IF(F151&lt;&gt;"",VLOOKUP(F151,PHA4GEVars!$A$7:$B$241,2,FALSE),"")</f>
        <v>Sample collection and processing</v>
      </c>
      <c r="E151" t="s">
        <v>1754</v>
      </c>
      <c r="F151" t="s">
        <v>1775</v>
      </c>
      <c r="G151" s="31" t="s">
        <v>725</v>
      </c>
      <c r="H151" t="s">
        <v>1189</v>
      </c>
      <c r="I151" t="s">
        <v>1190</v>
      </c>
      <c r="J151" s="15" t="s">
        <v>724</v>
      </c>
      <c r="M151" s="1" t="s">
        <v>1191</v>
      </c>
      <c r="N151" t="s">
        <v>1759</v>
      </c>
    </row>
    <row r="152" spans="1:14" x14ac:dyDescent="0.2">
      <c r="A152">
        <v>488</v>
      </c>
      <c r="B152" t="b">
        <f t="shared" si="2"/>
        <v>1</v>
      </c>
      <c r="C152" t="s">
        <v>108</v>
      </c>
      <c r="D152" t="str">
        <f>IF(F152&lt;&gt;"",VLOOKUP(F152,PHA4GEVars!$A$7:$B$241,2,FALSE),"")</f>
        <v>Sample collection and processing</v>
      </c>
      <c r="E152" t="s">
        <v>1754</v>
      </c>
      <c r="F152" t="s">
        <v>1775</v>
      </c>
      <c r="G152" s="31" t="s">
        <v>727</v>
      </c>
      <c r="H152" t="s">
        <v>1189</v>
      </c>
      <c r="I152" t="s">
        <v>1190</v>
      </c>
      <c r="J152" s="15" t="s">
        <v>726</v>
      </c>
      <c r="M152" s="1" t="s">
        <v>1191</v>
      </c>
      <c r="N152" t="s">
        <v>1759</v>
      </c>
    </row>
    <row r="153" spans="1:14" x14ac:dyDescent="0.2">
      <c r="A153">
        <v>489</v>
      </c>
      <c r="B153" t="b">
        <f t="shared" si="2"/>
        <v>1</v>
      </c>
      <c r="C153" t="s">
        <v>108</v>
      </c>
      <c r="D153" t="str">
        <f>IF(F153&lt;&gt;"",VLOOKUP(F153,PHA4GEVars!$A$7:$B$241,2,FALSE),"")</f>
        <v>Sample collection and processing</v>
      </c>
      <c r="E153" t="s">
        <v>1754</v>
      </c>
      <c r="F153" t="s">
        <v>1775</v>
      </c>
      <c r="G153" s="31" t="s">
        <v>729</v>
      </c>
      <c r="H153" t="s">
        <v>1189</v>
      </c>
      <c r="I153" t="s">
        <v>1190</v>
      </c>
      <c r="J153" s="15" t="s">
        <v>728</v>
      </c>
      <c r="M153" s="1" t="s">
        <v>1191</v>
      </c>
      <c r="N153" t="s">
        <v>1759</v>
      </c>
    </row>
    <row r="154" spans="1:14" x14ac:dyDescent="0.2">
      <c r="A154">
        <v>490</v>
      </c>
      <c r="B154" t="b">
        <f t="shared" si="2"/>
        <v>1</v>
      </c>
      <c r="C154" t="s">
        <v>108</v>
      </c>
      <c r="D154" t="str">
        <f>IF(F154&lt;&gt;"",VLOOKUP(F154,PHA4GEVars!$A$7:$B$241,2,FALSE),"")</f>
        <v>Sample collection and processing</v>
      </c>
      <c r="E154" t="s">
        <v>1754</v>
      </c>
      <c r="F154" t="s">
        <v>1775</v>
      </c>
      <c r="G154" s="31" t="s">
        <v>731</v>
      </c>
      <c r="H154" t="s">
        <v>1189</v>
      </c>
      <c r="I154" t="s">
        <v>1190</v>
      </c>
      <c r="J154" s="15" t="s">
        <v>730</v>
      </c>
      <c r="M154" s="1" t="s">
        <v>1191</v>
      </c>
      <c r="N154" t="s">
        <v>1759</v>
      </c>
    </row>
    <row r="155" spans="1:14" x14ac:dyDescent="0.2">
      <c r="A155">
        <v>491</v>
      </c>
      <c r="B155" t="b">
        <f t="shared" si="2"/>
        <v>1</v>
      </c>
      <c r="C155" t="s">
        <v>108</v>
      </c>
      <c r="D155" t="str">
        <f>IF(F155&lt;&gt;"",VLOOKUP(F155,PHA4GEVars!$A$7:$B$241,2,FALSE),"")</f>
        <v>Sample collection and processing</v>
      </c>
      <c r="E155" t="s">
        <v>1754</v>
      </c>
      <c r="F155" t="s">
        <v>1775</v>
      </c>
      <c r="G155" s="31" t="s">
        <v>733</v>
      </c>
      <c r="H155" t="s">
        <v>1189</v>
      </c>
      <c r="I155" t="s">
        <v>1190</v>
      </c>
      <c r="J155" s="15" t="s">
        <v>732</v>
      </c>
      <c r="M155" s="1" t="s">
        <v>1191</v>
      </c>
      <c r="N155" t="s">
        <v>1759</v>
      </c>
    </row>
    <row r="156" spans="1:14" x14ac:dyDescent="0.2">
      <c r="A156">
        <v>492</v>
      </c>
      <c r="B156" t="b">
        <f t="shared" si="2"/>
        <v>1</v>
      </c>
      <c r="C156" t="s">
        <v>108</v>
      </c>
      <c r="D156" t="str">
        <f>IF(F156&lt;&gt;"",VLOOKUP(F156,PHA4GEVars!$A$7:$B$241,2,FALSE),"")</f>
        <v>Sample collection and processing</v>
      </c>
      <c r="E156" t="s">
        <v>1754</v>
      </c>
      <c r="F156" t="s">
        <v>1775</v>
      </c>
      <c r="G156" s="31" t="s">
        <v>735</v>
      </c>
      <c r="H156" t="s">
        <v>1189</v>
      </c>
      <c r="I156" t="s">
        <v>1190</v>
      </c>
      <c r="J156" s="15" t="s">
        <v>734</v>
      </c>
      <c r="M156" s="1" t="s">
        <v>1191</v>
      </c>
      <c r="N156" t="s">
        <v>1759</v>
      </c>
    </row>
    <row r="157" spans="1:14" x14ac:dyDescent="0.2">
      <c r="A157">
        <v>493</v>
      </c>
      <c r="B157" t="b">
        <f t="shared" si="2"/>
        <v>1</v>
      </c>
      <c r="C157" t="s">
        <v>108</v>
      </c>
      <c r="D157" t="str">
        <f>IF(F157&lt;&gt;"",VLOOKUP(F157,PHA4GEVars!$A$7:$B$241,2,FALSE),"")</f>
        <v>Sample collection and processing</v>
      </c>
      <c r="E157" t="s">
        <v>1754</v>
      </c>
      <c r="F157" t="s">
        <v>1775</v>
      </c>
      <c r="G157" s="31" t="s">
        <v>737</v>
      </c>
      <c r="H157" t="s">
        <v>1189</v>
      </c>
      <c r="I157" t="s">
        <v>1190</v>
      </c>
      <c r="J157" s="15" t="s">
        <v>736</v>
      </c>
      <c r="M157" s="1" t="s">
        <v>1191</v>
      </c>
      <c r="N157" t="s">
        <v>1759</v>
      </c>
    </row>
    <row r="158" spans="1:14" x14ac:dyDescent="0.2">
      <c r="A158">
        <v>494</v>
      </c>
      <c r="B158" t="b">
        <f t="shared" si="2"/>
        <v>1</v>
      </c>
      <c r="C158" t="s">
        <v>108</v>
      </c>
      <c r="D158" t="str">
        <f>IF(F158&lt;&gt;"",VLOOKUP(F158,PHA4GEVars!$A$7:$B$241,2,FALSE),"")</f>
        <v>Sample collection and processing</v>
      </c>
      <c r="E158" t="s">
        <v>1754</v>
      </c>
      <c r="F158" t="s">
        <v>1775</v>
      </c>
      <c r="G158" s="31" t="s">
        <v>739</v>
      </c>
      <c r="H158" t="s">
        <v>1189</v>
      </c>
      <c r="I158" t="s">
        <v>1190</v>
      </c>
      <c r="J158" s="15" t="s">
        <v>738</v>
      </c>
      <c r="M158" s="1" t="s">
        <v>1191</v>
      </c>
      <c r="N158" t="s">
        <v>1759</v>
      </c>
    </row>
    <row r="159" spans="1:14" x14ac:dyDescent="0.2">
      <c r="A159">
        <v>495</v>
      </c>
      <c r="B159" t="b">
        <f t="shared" si="2"/>
        <v>1</v>
      </c>
      <c r="C159" t="s">
        <v>108</v>
      </c>
      <c r="D159" t="str">
        <f>IF(F159&lt;&gt;"",VLOOKUP(F159,PHA4GEVars!$A$7:$B$241,2,FALSE),"")</f>
        <v>Sample collection and processing</v>
      </c>
      <c r="E159" t="s">
        <v>1754</v>
      </c>
      <c r="F159" t="s">
        <v>1775</v>
      </c>
      <c r="G159" s="31" t="s">
        <v>740</v>
      </c>
      <c r="H159" t="s">
        <v>1189</v>
      </c>
      <c r="I159" s="15" t="s">
        <v>1190</v>
      </c>
      <c r="J159" s="15" t="s">
        <v>1412</v>
      </c>
      <c r="L159" t="s">
        <v>1396</v>
      </c>
      <c r="M159" s="1" t="s">
        <v>1191</v>
      </c>
      <c r="N159" t="s">
        <v>1759</v>
      </c>
    </row>
    <row r="160" spans="1:14" x14ac:dyDescent="0.2">
      <c r="A160">
        <v>496</v>
      </c>
      <c r="B160" t="b">
        <f t="shared" si="2"/>
        <v>1</v>
      </c>
      <c r="C160" t="s">
        <v>108</v>
      </c>
      <c r="D160" t="str">
        <f>IF(F160&lt;&gt;"",VLOOKUP(F160,PHA4GEVars!$A$7:$B$241,2,FALSE),"")</f>
        <v>Sample collection and processing</v>
      </c>
      <c r="E160" t="s">
        <v>1754</v>
      </c>
      <c r="F160" t="s">
        <v>1775</v>
      </c>
      <c r="G160" s="31" t="s">
        <v>742</v>
      </c>
      <c r="H160" t="s">
        <v>1189</v>
      </c>
      <c r="I160" t="s">
        <v>1190</v>
      </c>
      <c r="J160" s="15" t="s">
        <v>741</v>
      </c>
      <c r="M160" s="1" t="s">
        <v>1191</v>
      </c>
      <c r="N160" t="s">
        <v>1759</v>
      </c>
    </row>
    <row r="161" spans="1:14" x14ac:dyDescent="0.2">
      <c r="A161">
        <v>497</v>
      </c>
      <c r="B161" t="b">
        <f t="shared" si="2"/>
        <v>1</v>
      </c>
      <c r="C161" t="s">
        <v>108</v>
      </c>
      <c r="D161" t="str">
        <f>IF(F161&lt;&gt;"",VLOOKUP(F161,PHA4GEVars!$A$7:$B$241,2,FALSE),"")</f>
        <v>Sample collection and processing</v>
      </c>
      <c r="E161" t="s">
        <v>1754</v>
      </c>
      <c r="F161" t="s">
        <v>1775</v>
      </c>
      <c r="G161" s="31" t="s">
        <v>744</v>
      </c>
      <c r="H161" t="s">
        <v>1189</v>
      </c>
      <c r="I161" t="s">
        <v>1190</v>
      </c>
      <c r="J161" s="15" t="s">
        <v>743</v>
      </c>
      <c r="M161" s="1" t="s">
        <v>1191</v>
      </c>
      <c r="N161" t="s">
        <v>1759</v>
      </c>
    </row>
    <row r="162" spans="1:14" x14ac:dyDescent="0.2">
      <c r="A162">
        <v>498</v>
      </c>
      <c r="B162" t="b">
        <f t="shared" si="2"/>
        <v>1</v>
      </c>
      <c r="C162" t="s">
        <v>108</v>
      </c>
      <c r="D162" t="str">
        <f>IF(F162&lt;&gt;"",VLOOKUP(F162,PHA4GEVars!$A$7:$B$241,2,FALSE),"")</f>
        <v>Sample collection and processing</v>
      </c>
      <c r="E162" t="s">
        <v>1754</v>
      </c>
      <c r="F162" t="s">
        <v>1775</v>
      </c>
      <c r="G162" s="31" t="s">
        <v>746</v>
      </c>
      <c r="H162" t="s">
        <v>1189</v>
      </c>
      <c r="I162" t="s">
        <v>1190</v>
      </c>
      <c r="J162" s="15" t="s">
        <v>745</v>
      </c>
      <c r="M162" s="1" t="s">
        <v>1191</v>
      </c>
      <c r="N162" t="s">
        <v>1759</v>
      </c>
    </row>
    <row r="163" spans="1:14" x14ac:dyDescent="0.2">
      <c r="A163">
        <v>499</v>
      </c>
      <c r="B163" t="b">
        <f t="shared" si="2"/>
        <v>1</v>
      </c>
      <c r="C163" t="s">
        <v>108</v>
      </c>
      <c r="D163" t="str">
        <f>IF(F163&lt;&gt;"",VLOOKUP(F163,PHA4GEVars!$A$7:$B$241,2,FALSE),"")</f>
        <v>Sample collection and processing</v>
      </c>
      <c r="E163" t="s">
        <v>1754</v>
      </c>
      <c r="F163" t="s">
        <v>1775</v>
      </c>
      <c r="G163" s="31" t="s">
        <v>748</v>
      </c>
      <c r="H163" t="s">
        <v>1189</v>
      </c>
      <c r="I163" t="s">
        <v>1190</v>
      </c>
      <c r="J163" s="15" t="s">
        <v>747</v>
      </c>
      <c r="M163" s="1" t="s">
        <v>1191</v>
      </c>
      <c r="N163" t="s">
        <v>1759</v>
      </c>
    </row>
    <row r="164" spans="1:14" x14ac:dyDescent="0.2">
      <c r="A164">
        <v>500</v>
      </c>
      <c r="B164" t="b">
        <f t="shared" si="2"/>
        <v>1</v>
      </c>
      <c r="C164" t="s">
        <v>108</v>
      </c>
      <c r="D164" t="str">
        <f>IF(F164&lt;&gt;"",VLOOKUP(F164,PHA4GEVars!$A$7:$B$241,2,FALSE),"")</f>
        <v>Sample collection and processing</v>
      </c>
      <c r="E164" t="s">
        <v>1754</v>
      </c>
      <c r="F164" t="s">
        <v>1775</v>
      </c>
      <c r="G164" s="31" t="s">
        <v>750</v>
      </c>
      <c r="H164" t="s">
        <v>1189</v>
      </c>
      <c r="I164" t="s">
        <v>1190</v>
      </c>
      <c r="J164" s="15" t="s">
        <v>749</v>
      </c>
      <c r="M164" s="1" t="s">
        <v>1191</v>
      </c>
      <c r="N164" t="s">
        <v>1759</v>
      </c>
    </row>
    <row r="165" spans="1:14" x14ac:dyDescent="0.2">
      <c r="A165">
        <v>501</v>
      </c>
      <c r="B165" t="b">
        <f t="shared" si="2"/>
        <v>1</v>
      </c>
      <c r="C165" t="s">
        <v>108</v>
      </c>
      <c r="D165" t="str">
        <f>IF(F165&lt;&gt;"",VLOOKUP(F165,PHA4GEVars!$A$7:$B$241,2,FALSE),"")</f>
        <v>Sample collection and processing</v>
      </c>
      <c r="E165" t="s">
        <v>1754</v>
      </c>
      <c r="F165" t="s">
        <v>1775</v>
      </c>
      <c r="G165" s="31" t="s">
        <v>752</v>
      </c>
      <c r="H165" t="s">
        <v>1189</v>
      </c>
      <c r="I165" t="s">
        <v>1190</v>
      </c>
      <c r="J165" s="15" t="s">
        <v>751</v>
      </c>
      <c r="M165" s="1" t="s">
        <v>1191</v>
      </c>
      <c r="N165" t="s">
        <v>1759</v>
      </c>
    </row>
    <row r="166" spans="1:14" x14ac:dyDescent="0.2">
      <c r="A166">
        <v>502</v>
      </c>
      <c r="B166" t="b">
        <f t="shared" si="2"/>
        <v>1</v>
      </c>
      <c r="C166" t="s">
        <v>108</v>
      </c>
      <c r="D166" t="str">
        <f>IF(F166&lt;&gt;"",VLOOKUP(F166,PHA4GEVars!$A$7:$B$241,2,FALSE),"")</f>
        <v>Sample collection and processing</v>
      </c>
      <c r="E166" t="s">
        <v>1754</v>
      </c>
      <c r="F166" t="s">
        <v>1775</v>
      </c>
      <c r="G166" s="31" t="s">
        <v>754</v>
      </c>
      <c r="H166" t="s">
        <v>1189</v>
      </c>
      <c r="I166" t="s">
        <v>1190</v>
      </c>
      <c r="J166" s="15" t="s">
        <v>753</v>
      </c>
      <c r="M166" s="1" t="s">
        <v>1191</v>
      </c>
      <c r="N166" t="s">
        <v>1759</v>
      </c>
    </row>
    <row r="167" spans="1:14" x14ac:dyDescent="0.2">
      <c r="A167">
        <v>503</v>
      </c>
      <c r="B167" t="b">
        <f t="shared" si="2"/>
        <v>1</v>
      </c>
      <c r="C167" t="s">
        <v>108</v>
      </c>
      <c r="D167" t="str">
        <f>IF(F167&lt;&gt;"",VLOOKUP(F167,PHA4GEVars!$A$7:$B$241,2,FALSE),"")</f>
        <v>Sample collection and processing</v>
      </c>
      <c r="E167" t="s">
        <v>1754</v>
      </c>
      <c r="F167" t="s">
        <v>1775</v>
      </c>
      <c r="G167" s="31" t="s">
        <v>756</v>
      </c>
      <c r="H167" t="s">
        <v>1189</v>
      </c>
      <c r="I167" t="s">
        <v>1190</v>
      </c>
      <c r="J167" s="15" t="s">
        <v>755</v>
      </c>
      <c r="M167" s="1" t="s">
        <v>1191</v>
      </c>
      <c r="N167" t="s">
        <v>1759</v>
      </c>
    </row>
    <row r="168" spans="1:14" x14ac:dyDescent="0.2">
      <c r="A168">
        <v>504</v>
      </c>
      <c r="B168" t="b">
        <f t="shared" si="2"/>
        <v>1</v>
      </c>
      <c r="C168" t="s">
        <v>108</v>
      </c>
      <c r="D168" t="str">
        <f>IF(F168&lt;&gt;"",VLOOKUP(F168,PHA4GEVars!$A$7:$B$241,2,FALSE),"")</f>
        <v>Sample collection and processing</v>
      </c>
      <c r="E168" t="s">
        <v>1754</v>
      </c>
      <c r="F168" t="s">
        <v>1775</v>
      </c>
      <c r="G168" s="31" t="s">
        <v>757</v>
      </c>
      <c r="H168" t="s">
        <v>1189</v>
      </c>
      <c r="I168" t="s">
        <v>1190</v>
      </c>
      <c r="J168" s="15" t="s">
        <v>441</v>
      </c>
      <c r="M168" s="1" t="s">
        <v>1191</v>
      </c>
      <c r="N168" t="s">
        <v>1759</v>
      </c>
    </row>
    <row r="169" spans="1:14" x14ac:dyDescent="0.2">
      <c r="A169">
        <v>505</v>
      </c>
      <c r="B169" t="b">
        <f t="shared" si="2"/>
        <v>1</v>
      </c>
      <c r="C169" t="s">
        <v>108</v>
      </c>
      <c r="D169" t="str">
        <f>IF(F169&lt;&gt;"",VLOOKUP(F169,PHA4GEVars!$A$7:$B$241,2,FALSE),"")</f>
        <v>Sample collection and processing</v>
      </c>
      <c r="E169" t="s">
        <v>1754</v>
      </c>
      <c r="F169" t="s">
        <v>1775</v>
      </c>
      <c r="G169" s="31" t="s">
        <v>759</v>
      </c>
      <c r="H169" t="s">
        <v>1189</v>
      </c>
      <c r="I169" t="s">
        <v>1190</v>
      </c>
      <c r="J169" s="15" t="s">
        <v>758</v>
      </c>
      <c r="M169" s="1" t="s">
        <v>1191</v>
      </c>
      <c r="N169" t="s">
        <v>1759</v>
      </c>
    </row>
    <row r="170" spans="1:14" x14ac:dyDescent="0.2">
      <c r="A170">
        <v>506</v>
      </c>
      <c r="B170" t="b">
        <f t="shared" si="2"/>
        <v>1</v>
      </c>
      <c r="C170" t="s">
        <v>108</v>
      </c>
      <c r="D170" t="str">
        <f>IF(F170&lt;&gt;"",VLOOKUP(F170,PHA4GEVars!$A$7:$B$241,2,FALSE),"")</f>
        <v>Sample collection and processing</v>
      </c>
      <c r="E170" t="s">
        <v>1754</v>
      </c>
      <c r="F170" t="s">
        <v>1775</v>
      </c>
      <c r="G170" s="31" t="s">
        <v>760</v>
      </c>
      <c r="H170" t="s">
        <v>1189</v>
      </c>
      <c r="I170" s="15" t="s">
        <v>1190</v>
      </c>
      <c r="J170" s="15" t="s">
        <v>1392</v>
      </c>
      <c r="L170" t="s">
        <v>1396</v>
      </c>
      <c r="M170" s="1" t="s">
        <v>1191</v>
      </c>
      <c r="N170" t="s">
        <v>1759</v>
      </c>
    </row>
    <row r="171" spans="1:14" x14ac:dyDescent="0.2">
      <c r="A171">
        <v>507</v>
      </c>
      <c r="B171" t="b">
        <f t="shared" si="2"/>
        <v>1</v>
      </c>
      <c r="C171" t="s">
        <v>108</v>
      </c>
      <c r="D171" t="str">
        <f>IF(F171&lt;&gt;"",VLOOKUP(F171,PHA4GEVars!$A$7:$B$241,2,FALSE),"")</f>
        <v>Sample collection and processing</v>
      </c>
      <c r="E171" t="s">
        <v>1754</v>
      </c>
      <c r="F171" t="s">
        <v>1775</v>
      </c>
      <c r="G171" s="31" t="s">
        <v>762</v>
      </c>
      <c r="H171" t="s">
        <v>1189</v>
      </c>
      <c r="I171" t="s">
        <v>1190</v>
      </c>
      <c r="J171" s="15" t="s">
        <v>761</v>
      </c>
      <c r="M171" s="1" t="s">
        <v>1191</v>
      </c>
      <c r="N171" t="s">
        <v>1759</v>
      </c>
    </row>
    <row r="172" spans="1:14" x14ac:dyDescent="0.2">
      <c r="A172">
        <v>508</v>
      </c>
      <c r="B172" t="b">
        <f t="shared" si="2"/>
        <v>1</v>
      </c>
      <c r="C172" t="s">
        <v>108</v>
      </c>
      <c r="D172" t="str">
        <f>IF(F172&lt;&gt;"",VLOOKUP(F172,PHA4GEVars!$A$7:$B$241,2,FALSE),"")</f>
        <v>Sample collection and processing</v>
      </c>
      <c r="E172" t="s">
        <v>1754</v>
      </c>
      <c r="F172" t="s">
        <v>1775</v>
      </c>
      <c r="G172" s="31" t="s">
        <v>764</v>
      </c>
      <c r="H172" t="s">
        <v>1189</v>
      </c>
      <c r="I172" t="s">
        <v>1190</v>
      </c>
      <c r="J172" s="15" t="s">
        <v>763</v>
      </c>
      <c r="M172" s="1" t="s">
        <v>1191</v>
      </c>
      <c r="N172" t="s">
        <v>1759</v>
      </c>
    </row>
    <row r="173" spans="1:14" x14ac:dyDescent="0.2">
      <c r="A173">
        <v>509</v>
      </c>
      <c r="B173" t="b">
        <f t="shared" si="2"/>
        <v>1</v>
      </c>
      <c r="C173" t="s">
        <v>108</v>
      </c>
      <c r="D173" t="str">
        <f>IF(F173&lt;&gt;"",VLOOKUP(F173,PHA4GEVars!$A$7:$B$241,2,FALSE),"")</f>
        <v>Sample collection and processing</v>
      </c>
      <c r="E173" t="s">
        <v>1754</v>
      </c>
      <c r="F173" t="s">
        <v>1775</v>
      </c>
      <c r="G173" s="31" t="s">
        <v>766</v>
      </c>
      <c r="H173" t="s">
        <v>1189</v>
      </c>
      <c r="I173" t="s">
        <v>1190</v>
      </c>
      <c r="J173" s="15" t="s">
        <v>765</v>
      </c>
      <c r="M173" s="1" t="s">
        <v>1191</v>
      </c>
      <c r="N173" t="s">
        <v>1759</v>
      </c>
    </row>
    <row r="174" spans="1:14" x14ac:dyDescent="0.2">
      <c r="A174">
        <v>510</v>
      </c>
      <c r="B174" t="b">
        <f t="shared" si="2"/>
        <v>1</v>
      </c>
      <c r="C174" t="s">
        <v>108</v>
      </c>
      <c r="D174" t="str">
        <f>IF(F174&lt;&gt;"",VLOOKUP(F174,PHA4GEVars!$A$7:$B$241,2,FALSE),"")</f>
        <v>Sample collection and processing</v>
      </c>
      <c r="E174" t="s">
        <v>1754</v>
      </c>
      <c r="F174" t="s">
        <v>1775</v>
      </c>
      <c r="G174" s="31" t="s">
        <v>768</v>
      </c>
      <c r="H174" t="s">
        <v>1189</v>
      </c>
      <c r="I174" t="s">
        <v>1190</v>
      </c>
      <c r="J174" s="15" t="s">
        <v>767</v>
      </c>
      <c r="M174" s="1" t="s">
        <v>1191</v>
      </c>
      <c r="N174" t="s">
        <v>1759</v>
      </c>
    </row>
    <row r="175" spans="1:14" x14ac:dyDescent="0.2">
      <c r="A175">
        <v>511</v>
      </c>
      <c r="B175" t="b">
        <f t="shared" si="2"/>
        <v>1</v>
      </c>
      <c r="C175" t="s">
        <v>108</v>
      </c>
      <c r="D175" t="str">
        <f>IF(F175&lt;&gt;"",VLOOKUP(F175,PHA4GEVars!$A$7:$B$241,2,FALSE),"")</f>
        <v>Sample collection and processing</v>
      </c>
      <c r="E175" t="s">
        <v>1754</v>
      </c>
      <c r="F175" t="s">
        <v>1775</v>
      </c>
      <c r="G175" s="31" t="s">
        <v>770</v>
      </c>
      <c r="H175" t="s">
        <v>1189</v>
      </c>
      <c r="I175" t="s">
        <v>1190</v>
      </c>
      <c r="J175" s="15" t="s">
        <v>769</v>
      </c>
      <c r="M175" s="1" t="s">
        <v>1191</v>
      </c>
      <c r="N175" t="s">
        <v>1759</v>
      </c>
    </row>
    <row r="176" spans="1:14" x14ac:dyDescent="0.2">
      <c r="A176">
        <v>512</v>
      </c>
      <c r="B176" t="b">
        <f t="shared" si="2"/>
        <v>1</v>
      </c>
      <c r="C176" t="s">
        <v>108</v>
      </c>
      <c r="D176" t="str">
        <f>IF(F176&lt;&gt;"",VLOOKUP(F176,PHA4GEVars!$A$7:$B$241,2,FALSE),"")</f>
        <v>Sample collection and processing</v>
      </c>
      <c r="E176" t="s">
        <v>1754</v>
      </c>
      <c r="F176" t="s">
        <v>1775</v>
      </c>
      <c r="G176" s="31" t="s">
        <v>772</v>
      </c>
      <c r="H176" t="s">
        <v>1189</v>
      </c>
      <c r="I176" t="s">
        <v>1190</v>
      </c>
      <c r="J176" s="15" t="s">
        <v>771</v>
      </c>
      <c r="M176" s="1" t="s">
        <v>1191</v>
      </c>
      <c r="N176" t="s">
        <v>1759</v>
      </c>
    </row>
    <row r="177" spans="1:14" x14ac:dyDescent="0.2">
      <c r="A177">
        <v>513</v>
      </c>
      <c r="B177" t="b">
        <f t="shared" si="2"/>
        <v>1</v>
      </c>
      <c r="C177" t="s">
        <v>108</v>
      </c>
      <c r="D177" t="str">
        <f>IF(F177&lt;&gt;"",VLOOKUP(F177,PHA4GEVars!$A$7:$B$241,2,FALSE),"")</f>
        <v>Sample collection and processing</v>
      </c>
      <c r="E177" t="s">
        <v>1754</v>
      </c>
      <c r="F177" t="s">
        <v>1775</v>
      </c>
      <c r="G177" s="31" t="s">
        <v>774</v>
      </c>
      <c r="H177" t="s">
        <v>1189</v>
      </c>
      <c r="I177" t="s">
        <v>1190</v>
      </c>
      <c r="J177" s="15" t="s">
        <v>773</v>
      </c>
      <c r="M177" s="1" t="s">
        <v>1191</v>
      </c>
      <c r="N177" t="s">
        <v>1759</v>
      </c>
    </row>
    <row r="178" spans="1:14" x14ac:dyDescent="0.2">
      <c r="A178">
        <v>514</v>
      </c>
      <c r="B178" t="b">
        <f t="shared" si="2"/>
        <v>1</v>
      </c>
      <c r="C178" t="s">
        <v>108</v>
      </c>
      <c r="D178" t="str">
        <f>IF(F178&lt;&gt;"",VLOOKUP(F178,PHA4GEVars!$A$7:$B$241,2,FALSE),"")</f>
        <v>Sample collection and processing</v>
      </c>
      <c r="E178" t="s">
        <v>1754</v>
      </c>
      <c r="F178" t="s">
        <v>1775</v>
      </c>
      <c r="G178" s="31" t="s">
        <v>776</v>
      </c>
      <c r="H178" t="s">
        <v>1189</v>
      </c>
      <c r="I178" t="s">
        <v>1190</v>
      </c>
      <c r="J178" s="15" t="s">
        <v>775</v>
      </c>
      <c r="M178" s="1" t="s">
        <v>1191</v>
      </c>
      <c r="N178" t="s">
        <v>1759</v>
      </c>
    </row>
    <row r="179" spans="1:14" x14ac:dyDescent="0.2">
      <c r="A179">
        <v>515</v>
      </c>
      <c r="B179" t="b">
        <f t="shared" si="2"/>
        <v>1</v>
      </c>
      <c r="C179" t="s">
        <v>108</v>
      </c>
      <c r="D179" t="str">
        <f>IF(F179&lt;&gt;"",VLOOKUP(F179,PHA4GEVars!$A$7:$B$241,2,FALSE),"")</f>
        <v>Sample collection and processing</v>
      </c>
      <c r="E179" t="s">
        <v>1754</v>
      </c>
      <c r="F179" t="s">
        <v>1775</v>
      </c>
      <c r="G179" s="31" t="s">
        <v>778</v>
      </c>
      <c r="H179" t="s">
        <v>1189</v>
      </c>
      <c r="I179" t="s">
        <v>1190</v>
      </c>
      <c r="J179" s="15" t="s">
        <v>777</v>
      </c>
      <c r="M179" s="1" t="s">
        <v>1191</v>
      </c>
      <c r="N179" t="s">
        <v>1759</v>
      </c>
    </row>
    <row r="180" spans="1:14" x14ac:dyDescent="0.2">
      <c r="A180">
        <v>516</v>
      </c>
      <c r="B180" t="b">
        <f t="shared" si="2"/>
        <v>1</v>
      </c>
      <c r="C180" t="s">
        <v>108</v>
      </c>
      <c r="D180" t="str">
        <f>IF(F180&lt;&gt;"",VLOOKUP(F180,PHA4GEVars!$A$7:$B$241,2,FALSE),"")</f>
        <v>Sample collection and processing</v>
      </c>
      <c r="E180" t="s">
        <v>1754</v>
      </c>
      <c r="F180" t="s">
        <v>1775</v>
      </c>
      <c r="G180" s="31" t="s">
        <v>780</v>
      </c>
      <c r="H180" t="s">
        <v>1189</v>
      </c>
      <c r="I180" t="s">
        <v>1190</v>
      </c>
      <c r="J180" s="15" t="s">
        <v>779</v>
      </c>
      <c r="M180" s="1" t="s">
        <v>1191</v>
      </c>
      <c r="N180" t="s">
        <v>1759</v>
      </c>
    </row>
    <row r="181" spans="1:14" x14ac:dyDescent="0.2">
      <c r="A181">
        <v>517</v>
      </c>
      <c r="B181" t="b">
        <f t="shared" si="2"/>
        <v>1</v>
      </c>
      <c r="C181" t="s">
        <v>108</v>
      </c>
      <c r="D181" t="str">
        <f>IF(F181&lt;&gt;"",VLOOKUP(F181,PHA4GEVars!$A$7:$B$241,2,FALSE),"")</f>
        <v>Sample collection and processing</v>
      </c>
      <c r="E181" t="s">
        <v>1754</v>
      </c>
      <c r="F181" t="s">
        <v>1775</v>
      </c>
      <c r="G181" s="31" t="s">
        <v>782</v>
      </c>
      <c r="H181" t="s">
        <v>1189</v>
      </c>
      <c r="I181" t="s">
        <v>1190</v>
      </c>
      <c r="J181" s="15" t="s">
        <v>781</v>
      </c>
      <c r="M181" s="1" t="s">
        <v>1191</v>
      </c>
      <c r="N181" t="s">
        <v>1759</v>
      </c>
    </row>
    <row r="182" spans="1:14" x14ac:dyDescent="0.2">
      <c r="A182">
        <v>518</v>
      </c>
      <c r="B182" t="b">
        <f t="shared" si="2"/>
        <v>1</v>
      </c>
      <c r="C182" t="s">
        <v>108</v>
      </c>
      <c r="D182" t="str">
        <f>IF(F182&lt;&gt;"",VLOOKUP(F182,PHA4GEVars!$A$7:$B$241,2,FALSE),"")</f>
        <v>Sample collection and processing</v>
      </c>
      <c r="E182" t="s">
        <v>1754</v>
      </c>
      <c r="F182" t="s">
        <v>1775</v>
      </c>
      <c r="G182" s="31" t="s">
        <v>783</v>
      </c>
      <c r="H182" t="s">
        <v>1189</v>
      </c>
      <c r="I182" t="s">
        <v>1190</v>
      </c>
      <c r="J182" s="15" t="s">
        <v>783</v>
      </c>
      <c r="M182" s="1" t="s">
        <v>1422</v>
      </c>
      <c r="N182" t="s">
        <v>1759</v>
      </c>
    </row>
    <row r="183" spans="1:14" x14ac:dyDescent="0.2">
      <c r="A183">
        <v>519</v>
      </c>
      <c r="B183" t="b">
        <f t="shared" si="2"/>
        <v>1</v>
      </c>
      <c r="C183" t="s">
        <v>108</v>
      </c>
      <c r="D183" t="str">
        <f>IF(F183&lt;&gt;"",VLOOKUP(F183,PHA4GEVars!$A$7:$B$241,2,FALSE),"")</f>
        <v>Sample collection and processing</v>
      </c>
      <c r="E183" t="s">
        <v>1754</v>
      </c>
      <c r="F183" t="s">
        <v>1775</v>
      </c>
      <c r="G183" s="31" t="s">
        <v>785</v>
      </c>
      <c r="H183" t="s">
        <v>1189</v>
      </c>
      <c r="I183" t="s">
        <v>1190</v>
      </c>
      <c r="J183" s="15" t="s">
        <v>784</v>
      </c>
      <c r="M183" s="1" t="s">
        <v>1191</v>
      </c>
      <c r="N183" t="s">
        <v>1759</v>
      </c>
    </row>
    <row r="184" spans="1:14" x14ac:dyDescent="0.2">
      <c r="A184">
        <v>520</v>
      </c>
      <c r="B184" t="b">
        <f t="shared" si="2"/>
        <v>1</v>
      </c>
      <c r="C184" t="s">
        <v>108</v>
      </c>
      <c r="D184" t="str">
        <f>IF(F184&lt;&gt;"",VLOOKUP(F184,PHA4GEVars!$A$7:$B$241,2,FALSE),"")</f>
        <v>Sample collection and processing</v>
      </c>
      <c r="E184" t="s">
        <v>1754</v>
      </c>
      <c r="F184" t="s">
        <v>1775</v>
      </c>
      <c r="G184" s="31" t="s">
        <v>787</v>
      </c>
      <c r="H184" t="s">
        <v>1189</v>
      </c>
      <c r="I184" t="s">
        <v>1190</v>
      </c>
      <c r="J184" s="15" t="s">
        <v>786</v>
      </c>
      <c r="M184" s="1" t="s">
        <v>1191</v>
      </c>
      <c r="N184" t="s">
        <v>1759</v>
      </c>
    </row>
    <row r="185" spans="1:14" x14ac:dyDescent="0.2">
      <c r="A185">
        <v>521</v>
      </c>
      <c r="B185" t="b">
        <f t="shared" si="2"/>
        <v>1</v>
      </c>
      <c r="C185" t="s">
        <v>108</v>
      </c>
      <c r="D185" t="str">
        <f>IF(F185&lt;&gt;"",VLOOKUP(F185,PHA4GEVars!$A$7:$B$241,2,FALSE),"")</f>
        <v>Sample collection and processing</v>
      </c>
      <c r="E185" t="s">
        <v>1754</v>
      </c>
      <c r="F185" t="s">
        <v>1775</v>
      </c>
      <c r="G185" s="31" t="s">
        <v>789</v>
      </c>
      <c r="H185" t="s">
        <v>1189</v>
      </c>
      <c r="I185" t="s">
        <v>1190</v>
      </c>
      <c r="J185" s="15" t="s">
        <v>788</v>
      </c>
      <c r="M185" s="1" t="s">
        <v>1191</v>
      </c>
      <c r="N185" t="s">
        <v>1759</v>
      </c>
    </row>
    <row r="186" spans="1:14" x14ac:dyDescent="0.2">
      <c r="A186">
        <v>522</v>
      </c>
      <c r="B186" t="b">
        <f t="shared" si="2"/>
        <v>1</v>
      </c>
      <c r="C186" t="s">
        <v>108</v>
      </c>
      <c r="D186" t="str">
        <f>IF(F186&lt;&gt;"",VLOOKUP(F186,PHA4GEVars!$A$7:$B$241,2,FALSE),"")</f>
        <v>Sample collection and processing</v>
      </c>
      <c r="E186" t="s">
        <v>1754</v>
      </c>
      <c r="F186" t="s">
        <v>1775</v>
      </c>
      <c r="G186" s="31" t="s">
        <v>791</v>
      </c>
      <c r="H186" t="s">
        <v>1189</v>
      </c>
      <c r="I186" t="s">
        <v>1190</v>
      </c>
      <c r="J186" s="15" t="s">
        <v>790</v>
      </c>
      <c r="M186" s="1" t="s">
        <v>1191</v>
      </c>
      <c r="N186" t="s">
        <v>1759</v>
      </c>
    </row>
    <row r="187" spans="1:14" x14ac:dyDescent="0.2">
      <c r="A187">
        <v>523</v>
      </c>
      <c r="B187" t="b">
        <f t="shared" si="2"/>
        <v>1</v>
      </c>
      <c r="C187" t="s">
        <v>108</v>
      </c>
      <c r="D187" t="str">
        <f>IF(F187&lt;&gt;"",VLOOKUP(F187,PHA4GEVars!$A$7:$B$241,2,FALSE),"")</f>
        <v>Sample collection and processing</v>
      </c>
      <c r="E187" t="s">
        <v>1754</v>
      </c>
      <c r="F187" t="s">
        <v>1775</v>
      </c>
      <c r="G187" s="31" t="s">
        <v>793</v>
      </c>
      <c r="H187" t="s">
        <v>1189</v>
      </c>
      <c r="I187" t="s">
        <v>1190</v>
      </c>
      <c r="J187" s="15" t="s">
        <v>792</v>
      </c>
      <c r="M187" s="1" t="s">
        <v>1191</v>
      </c>
      <c r="N187" t="s">
        <v>1759</v>
      </c>
    </row>
    <row r="188" spans="1:14" x14ac:dyDescent="0.2">
      <c r="A188">
        <v>524</v>
      </c>
      <c r="B188" t="b">
        <f t="shared" si="2"/>
        <v>1</v>
      </c>
      <c r="C188" t="s">
        <v>108</v>
      </c>
      <c r="D188" t="str">
        <f>IF(F188&lt;&gt;"",VLOOKUP(F188,PHA4GEVars!$A$7:$B$241,2,FALSE),"")</f>
        <v>Sample collection and processing</v>
      </c>
      <c r="E188" t="s">
        <v>1754</v>
      </c>
      <c r="F188" t="s">
        <v>1775</v>
      </c>
      <c r="G188" s="31" t="s">
        <v>795</v>
      </c>
      <c r="H188" t="s">
        <v>1189</v>
      </c>
      <c r="I188" t="s">
        <v>1190</v>
      </c>
      <c r="J188" s="15" t="s">
        <v>794</v>
      </c>
      <c r="M188" s="1" t="s">
        <v>1191</v>
      </c>
      <c r="N188" t="s">
        <v>1759</v>
      </c>
    </row>
    <row r="189" spans="1:14" x14ac:dyDescent="0.2">
      <c r="A189">
        <v>525</v>
      </c>
      <c r="B189" t="b">
        <f t="shared" si="2"/>
        <v>1</v>
      </c>
      <c r="C189" t="s">
        <v>108</v>
      </c>
      <c r="D189" t="str">
        <f>IF(F189&lt;&gt;"",VLOOKUP(F189,PHA4GEVars!$A$7:$B$241,2,FALSE),"")</f>
        <v>Sample collection and processing</v>
      </c>
      <c r="E189" t="s">
        <v>1754</v>
      </c>
      <c r="F189" t="s">
        <v>1775</v>
      </c>
      <c r="G189" s="31" t="s">
        <v>797</v>
      </c>
      <c r="H189" t="s">
        <v>1189</v>
      </c>
      <c r="I189" t="s">
        <v>1190</v>
      </c>
      <c r="J189" s="15" t="s">
        <v>796</v>
      </c>
      <c r="M189" s="1" t="s">
        <v>1191</v>
      </c>
      <c r="N189" t="s">
        <v>1759</v>
      </c>
    </row>
    <row r="190" spans="1:14" x14ac:dyDescent="0.2">
      <c r="A190">
        <v>526</v>
      </c>
      <c r="B190" t="b">
        <f t="shared" si="2"/>
        <v>1</v>
      </c>
      <c r="C190" t="s">
        <v>108</v>
      </c>
      <c r="D190" t="str">
        <f>IF(F190&lt;&gt;"",VLOOKUP(F190,PHA4GEVars!$A$7:$B$241,2,FALSE),"")</f>
        <v>Sample collection and processing</v>
      </c>
      <c r="E190" t="s">
        <v>1754</v>
      </c>
      <c r="F190" t="s">
        <v>1775</v>
      </c>
      <c r="G190" s="31" t="s">
        <v>798</v>
      </c>
      <c r="H190" t="s">
        <v>1189</v>
      </c>
      <c r="I190" s="15" t="s">
        <v>1190</v>
      </c>
      <c r="J190" s="15" t="s">
        <v>1413</v>
      </c>
      <c r="L190" t="s">
        <v>1419</v>
      </c>
      <c r="M190" s="1" t="s">
        <v>1191</v>
      </c>
      <c r="N190" t="s">
        <v>1759</v>
      </c>
    </row>
    <row r="191" spans="1:14" x14ac:dyDescent="0.2">
      <c r="A191">
        <v>527</v>
      </c>
      <c r="B191" t="b">
        <f t="shared" si="2"/>
        <v>1</v>
      </c>
      <c r="C191" t="s">
        <v>108</v>
      </c>
      <c r="D191" t="str">
        <f>IF(F191&lt;&gt;"",VLOOKUP(F191,PHA4GEVars!$A$7:$B$241,2,FALSE),"")</f>
        <v>Sample collection and processing</v>
      </c>
      <c r="E191" t="s">
        <v>1754</v>
      </c>
      <c r="F191" t="s">
        <v>1775</v>
      </c>
      <c r="G191" s="31" t="s">
        <v>800</v>
      </c>
      <c r="H191" t="s">
        <v>1189</v>
      </c>
      <c r="I191" t="s">
        <v>1190</v>
      </c>
      <c r="J191" s="15" t="s">
        <v>799</v>
      </c>
      <c r="M191" s="1" t="s">
        <v>1191</v>
      </c>
      <c r="N191" t="s">
        <v>1759</v>
      </c>
    </row>
    <row r="192" spans="1:14" x14ac:dyDescent="0.2">
      <c r="A192">
        <v>528</v>
      </c>
      <c r="B192" t="b">
        <f t="shared" si="2"/>
        <v>1</v>
      </c>
      <c r="C192" t="s">
        <v>108</v>
      </c>
      <c r="D192" t="str">
        <f>IF(F192&lt;&gt;"",VLOOKUP(F192,PHA4GEVars!$A$7:$B$241,2,FALSE),"")</f>
        <v>Sample collection and processing</v>
      </c>
      <c r="E192" t="s">
        <v>1754</v>
      </c>
      <c r="F192" t="s">
        <v>1775</v>
      </c>
      <c r="G192" s="31" t="s">
        <v>802</v>
      </c>
      <c r="H192" t="s">
        <v>1189</v>
      </c>
      <c r="I192" t="s">
        <v>1190</v>
      </c>
      <c r="J192" s="15" t="s">
        <v>801</v>
      </c>
      <c r="M192" s="1" t="s">
        <v>1191</v>
      </c>
      <c r="N192" t="s">
        <v>1759</v>
      </c>
    </row>
    <row r="193" spans="1:14" x14ac:dyDescent="0.2">
      <c r="A193">
        <v>529</v>
      </c>
      <c r="B193" t="b">
        <f t="shared" si="2"/>
        <v>1</v>
      </c>
      <c r="C193" t="s">
        <v>108</v>
      </c>
      <c r="D193" t="str">
        <f>IF(F193&lt;&gt;"",VLOOKUP(F193,PHA4GEVars!$A$7:$B$241,2,FALSE),"")</f>
        <v>Sample collection and processing</v>
      </c>
      <c r="E193" t="s">
        <v>1754</v>
      </c>
      <c r="F193" t="s">
        <v>1775</v>
      </c>
      <c r="G193" s="31" t="s">
        <v>804</v>
      </c>
      <c r="H193" t="s">
        <v>1189</v>
      </c>
      <c r="I193" t="s">
        <v>1190</v>
      </c>
      <c r="J193" s="15" t="s">
        <v>803</v>
      </c>
      <c r="M193" s="1" t="s">
        <v>1191</v>
      </c>
      <c r="N193" t="s">
        <v>1759</v>
      </c>
    </row>
    <row r="194" spans="1:14" x14ac:dyDescent="0.2">
      <c r="A194">
        <v>530</v>
      </c>
      <c r="B194" t="b">
        <f t="shared" ref="B194:B257" si="3">IF(OR(G194="NA",H194="wide_value"),"",TRUE)</f>
        <v>1</v>
      </c>
      <c r="C194" t="s">
        <v>108</v>
      </c>
      <c r="D194" t="str">
        <f>IF(F194&lt;&gt;"",VLOOKUP(F194,PHA4GEVars!$A$7:$B$241,2,FALSE),"")</f>
        <v>Sample collection and processing</v>
      </c>
      <c r="E194" t="s">
        <v>1754</v>
      </c>
      <c r="F194" t="s">
        <v>1775</v>
      </c>
      <c r="G194" s="31" t="s">
        <v>806</v>
      </c>
      <c r="H194" t="s">
        <v>1189</v>
      </c>
      <c r="I194" t="s">
        <v>1190</v>
      </c>
      <c r="J194" s="15" t="s">
        <v>805</v>
      </c>
      <c r="M194" s="1" t="s">
        <v>1191</v>
      </c>
      <c r="N194" t="s">
        <v>1759</v>
      </c>
    </row>
    <row r="195" spans="1:14" x14ac:dyDescent="0.2">
      <c r="A195">
        <v>531</v>
      </c>
      <c r="B195" t="b">
        <f t="shared" si="3"/>
        <v>1</v>
      </c>
      <c r="C195" t="s">
        <v>108</v>
      </c>
      <c r="D195" t="str">
        <f>IF(F195&lt;&gt;"",VLOOKUP(F195,PHA4GEVars!$A$7:$B$241,2,FALSE),"")</f>
        <v>Sample collection and processing</v>
      </c>
      <c r="E195" t="s">
        <v>1754</v>
      </c>
      <c r="F195" t="s">
        <v>1775</v>
      </c>
      <c r="G195" s="31" t="s">
        <v>808</v>
      </c>
      <c r="H195" t="s">
        <v>1189</v>
      </c>
      <c r="I195" t="s">
        <v>1190</v>
      </c>
      <c r="J195" s="15" t="s">
        <v>807</v>
      </c>
      <c r="M195" s="1" t="s">
        <v>1191</v>
      </c>
      <c r="N195" t="s">
        <v>1759</v>
      </c>
    </row>
    <row r="196" spans="1:14" x14ac:dyDescent="0.2">
      <c r="A196">
        <v>532</v>
      </c>
      <c r="B196" t="b">
        <f t="shared" si="3"/>
        <v>1</v>
      </c>
      <c r="C196" t="s">
        <v>108</v>
      </c>
      <c r="D196" t="str">
        <f>IF(F196&lt;&gt;"",VLOOKUP(F196,PHA4GEVars!$A$7:$B$241,2,FALSE),"")</f>
        <v>Sample collection and processing</v>
      </c>
      <c r="E196" t="s">
        <v>1754</v>
      </c>
      <c r="F196" t="s">
        <v>1775</v>
      </c>
      <c r="G196" s="31" t="s">
        <v>810</v>
      </c>
      <c r="H196" t="s">
        <v>1189</v>
      </c>
      <c r="I196" t="s">
        <v>1190</v>
      </c>
      <c r="J196" s="15" t="s">
        <v>809</v>
      </c>
      <c r="M196" s="1" t="s">
        <v>1191</v>
      </c>
      <c r="N196" t="s">
        <v>1759</v>
      </c>
    </row>
    <row r="197" spans="1:14" x14ac:dyDescent="0.2">
      <c r="A197">
        <v>533</v>
      </c>
      <c r="B197" t="b">
        <f t="shared" si="3"/>
        <v>1</v>
      </c>
      <c r="C197" t="s">
        <v>108</v>
      </c>
      <c r="D197" t="str">
        <f>IF(F197&lt;&gt;"",VLOOKUP(F197,PHA4GEVars!$A$7:$B$241,2,FALSE),"")</f>
        <v>Sample collection and processing</v>
      </c>
      <c r="E197" t="s">
        <v>1754</v>
      </c>
      <c r="F197" t="s">
        <v>1775</v>
      </c>
      <c r="G197" s="31" t="s">
        <v>812</v>
      </c>
      <c r="H197" t="s">
        <v>1189</v>
      </c>
      <c r="I197" t="s">
        <v>1190</v>
      </c>
      <c r="J197" s="15" t="s">
        <v>811</v>
      </c>
      <c r="M197" s="1" t="s">
        <v>1191</v>
      </c>
      <c r="N197" t="s">
        <v>1759</v>
      </c>
    </row>
    <row r="198" spans="1:14" x14ac:dyDescent="0.2">
      <c r="A198">
        <v>534</v>
      </c>
      <c r="B198" t="b">
        <f t="shared" si="3"/>
        <v>1</v>
      </c>
      <c r="C198" t="s">
        <v>108</v>
      </c>
      <c r="D198" t="str">
        <f>IF(F198&lt;&gt;"",VLOOKUP(F198,PHA4GEVars!$A$7:$B$241,2,FALSE),"")</f>
        <v>Sample collection and processing</v>
      </c>
      <c r="E198" t="s">
        <v>1754</v>
      </c>
      <c r="F198" t="s">
        <v>1775</v>
      </c>
      <c r="G198" s="31" t="s">
        <v>814</v>
      </c>
      <c r="H198" t="s">
        <v>1189</v>
      </c>
      <c r="I198" t="s">
        <v>1190</v>
      </c>
      <c r="J198" s="15" t="s">
        <v>813</v>
      </c>
      <c r="M198" s="1" t="s">
        <v>1191</v>
      </c>
      <c r="N198" t="s">
        <v>1759</v>
      </c>
    </row>
    <row r="199" spans="1:14" x14ac:dyDescent="0.2">
      <c r="A199">
        <v>535</v>
      </c>
      <c r="B199" t="b">
        <f t="shared" si="3"/>
        <v>1</v>
      </c>
      <c r="C199" t="s">
        <v>108</v>
      </c>
      <c r="D199" t="str">
        <f>IF(F199&lt;&gt;"",VLOOKUP(F199,PHA4GEVars!$A$7:$B$241,2,FALSE),"")</f>
        <v>Sample collection and processing</v>
      </c>
      <c r="E199" t="s">
        <v>1754</v>
      </c>
      <c r="F199" t="s">
        <v>1775</v>
      </c>
      <c r="G199" s="31" t="s">
        <v>816</v>
      </c>
      <c r="H199" t="s">
        <v>1189</v>
      </c>
      <c r="I199" t="s">
        <v>1190</v>
      </c>
      <c r="J199" s="15" t="s">
        <v>815</v>
      </c>
      <c r="M199" s="1" t="s">
        <v>1191</v>
      </c>
      <c r="N199" t="s">
        <v>1759</v>
      </c>
    </row>
    <row r="200" spans="1:14" x14ac:dyDescent="0.2">
      <c r="A200">
        <v>536</v>
      </c>
      <c r="B200" t="b">
        <f t="shared" si="3"/>
        <v>1</v>
      </c>
      <c r="C200" t="s">
        <v>108</v>
      </c>
      <c r="D200" t="str">
        <f>IF(F200&lt;&gt;"",VLOOKUP(F200,PHA4GEVars!$A$7:$B$241,2,FALSE),"")</f>
        <v>Sample collection and processing</v>
      </c>
      <c r="E200" t="s">
        <v>1754</v>
      </c>
      <c r="F200" t="s">
        <v>1775</v>
      </c>
      <c r="G200" s="31" t="s">
        <v>818</v>
      </c>
      <c r="H200" t="s">
        <v>1189</v>
      </c>
      <c r="I200" t="s">
        <v>1190</v>
      </c>
      <c r="J200" s="15" t="s">
        <v>817</v>
      </c>
      <c r="M200" s="1" t="s">
        <v>1191</v>
      </c>
      <c r="N200" t="s">
        <v>1759</v>
      </c>
    </row>
    <row r="201" spans="1:14" x14ac:dyDescent="0.2">
      <c r="A201">
        <v>537</v>
      </c>
      <c r="B201" t="b">
        <f t="shared" si="3"/>
        <v>1</v>
      </c>
      <c r="C201" t="s">
        <v>108</v>
      </c>
      <c r="D201" t="str">
        <f>IF(F201&lt;&gt;"",VLOOKUP(F201,PHA4GEVars!$A$7:$B$241,2,FALSE),"")</f>
        <v>Sample collection and processing</v>
      </c>
      <c r="E201" t="s">
        <v>1754</v>
      </c>
      <c r="F201" t="s">
        <v>1775</v>
      </c>
      <c r="G201" s="31" t="s">
        <v>820</v>
      </c>
      <c r="H201" t="s">
        <v>1189</v>
      </c>
      <c r="I201" t="s">
        <v>1190</v>
      </c>
      <c r="J201" s="15" t="s">
        <v>819</v>
      </c>
      <c r="M201" s="1" t="s">
        <v>1191</v>
      </c>
      <c r="N201" t="s">
        <v>1759</v>
      </c>
    </row>
    <row r="202" spans="1:14" x14ac:dyDescent="0.2">
      <c r="A202">
        <v>538</v>
      </c>
      <c r="B202" t="b">
        <f t="shared" si="3"/>
        <v>1</v>
      </c>
      <c r="C202" t="s">
        <v>108</v>
      </c>
      <c r="D202" t="str">
        <f>IF(F202&lt;&gt;"",VLOOKUP(F202,PHA4GEVars!$A$7:$B$241,2,FALSE),"")</f>
        <v>Sample collection and processing</v>
      </c>
      <c r="E202" t="s">
        <v>1754</v>
      </c>
      <c r="F202" t="s">
        <v>1775</v>
      </c>
      <c r="G202" s="31" t="s">
        <v>821</v>
      </c>
      <c r="H202" t="s">
        <v>1189</v>
      </c>
      <c r="I202" s="15" t="s">
        <v>1190</v>
      </c>
      <c r="J202" s="15" t="s">
        <v>1414</v>
      </c>
      <c r="L202" t="s">
        <v>1420</v>
      </c>
      <c r="M202" s="1" t="s">
        <v>1191</v>
      </c>
      <c r="N202" t="s">
        <v>1759</v>
      </c>
    </row>
    <row r="203" spans="1:14" x14ac:dyDescent="0.2">
      <c r="A203">
        <v>539</v>
      </c>
      <c r="B203" t="b">
        <f t="shared" si="3"/>
        <v>1</v>
      </c>
      <c r="C203" t="s">
        <v>108</v>
      </c>
      <c r="D203" t="str">
        <f>IF(F203&lt;&gt;"",VLOOKUP(F203,PHA4GEVars!$A$7:$B$241,2,FALSE),"")</f>
        <v>Sample collection and processing</v>
      </c>
      <c r="E203" t="s">
        <v>1754</v>
      </c>
      <c r="F203" t="s">
        <v>1775</v>
      </c>
      <c r="G203" s="31" t="s">
        <v>823</v>
      </c>
      <c r="H203" t="s">
        <v>1189</v>
      </c>
      <c r="I203" t="s">
        <v>1190</v>
      </c>
      <c r="J203" s="15" t="s">
        <v>822</v>
      </c>
      <c r="M203" s="1" t="s">
        <v>1191</v>
      </c>
      <c r="N203" t="s">
        <v>1759</v>
      </c>
    </row>
    <row r="204" spans="1:14" x14ac:dyDescent="0.2">
      <c r="A204">
        <v>540</v>
      </c>
      <c r="B204" t="b">
        <f t="shared" si="3"/>
        <v>1</v>
      </c>
      <c r="C204" t="s">
        <v>108</v>
      </c>
      <c r="D204" t="str">
        <f>IF(F204&lt;&gt;"",VLOOKUP(F204,PHA4GEVars!$A$7:$B$241,2,FALSE),"")</f>
        <v>Sample collection and processing</v>
      </c>
      <c r="E204" t="s">
        <v>1754</v>
      </c>
      <c r="F204" t="s">
        <v>1775</v>
      </c>
      <c r="G204" s="31" t="s">
        <v>825</v>
      </c>
      <c r="H204" t="s">
        <v>1189</v>
      </c>
      <c r="I204" t="s">
        <v>1190</v>
      </c>
      <c r="J204" s="15" t="s">
        <v>824</v>
      </c>
      <c r="M204" s="1" t="s">
        <v>1191</v>
      </c>
      <c r="N204" t="s">
        <v>1759</v>
      </c>
    </row>
    <row r="205" spans="1:14" x14ac:dyDescent="0.2">
      <c r="A205">
        <v>541</v>
      </c>
      <c r="B205" t="b">
        <f t="shared" si="3"/>
        <v>1</v>
      </c>
      <c r="C205" t="s">
        <v>108</v>
      </c>
      <c r="D205" t="str">
        <f>IF(F205&lt;&gt;"",VLOOKUP(F205,PHA4GEVars!$A$7:$B$241,2,FALSE),"")</f>
        <v>Sample collection and processing</v>
      </c>
      <c r="E205" t="s">
        <v>1754</v>
      </c>
      <c r="F205" t="s">
        <v>1775</v>
      </c>
      <c r="G205" s="31" t="s">
        <v>827</v>
      </c>
      <c r="H205" t="s">
        <v>1189</v>
      </c>
      <c r="I205" t="s">
        <v>1190</v>
      </c>
      <c r="J205" s="15" t="s">
        <v>826</v>
      </c>
      <c r="M205" s="1" t="s">
        <v>1191</v>
      </c>
      <c r="N205" t="s">
        <v>1759</v>
      </c>
    </row>
    <row r="206" spans="1:14" x14ac:dyDescent="0.2">
      <c r="A206">
        <v>542</v>
      </c>
      <c r="B206" t="b">
        <f t="shared" si="3"/>
        <v>1</v>
      </c>
      <c r="C206" t="s">
        <v>108</v>
      </c>
      <c r="D206" t="str">
        <f>IF(F206&lt;&gt;"",VLOOKUP(F206,PHA4GEVars!$A$7:$B$241,2,FALSE),"")</f>
        <v>Sample collection and processing</v>
      </c>
      <c r="E206" t="s">
        <v>1754</v>
      </c>
      <c r="F206" t="s">
        <v>1775</v>
      </c>
      <c r="G206" s="31" t="s">
        <v>829</v>
      </c>
      <c r="H206" t="s">
        <v>1189</v>
      </c>
      <c r="I206" t="s">
        <v>1190</v>
      </c>
      <c r="J206" s="15" t="s">
        <v>828</v>
      </c>
      <c r="M206" s="1" t="s">
        <v>1191</v>
      </c>
      <c r="N206" t="s">
        <v>1759</v>
      </c>
    </row>
    <row r="207" spans="1:14" x14ac:dyDescent="0.2">
      <c r="A207">
        <v>543</v>
      </c>
      <c r="B207" t="b">
        <f t="shared" si="3"/>
        <v>1</v>
      </c>
      <c r="C207" t="s">
        <v>108</v>
      </c>
      <c r="D207" t="str">
        <f>IF(F207&lt;&gt;"",VLOOKUP(F207,PHA4GEVars!$A$7:$B$241,2,FALSE),"")</f>
        <v>Sample collection and processing</v>
      </c>
      <c r="E207" t="s">
        <v>1754</v>
      </c>
      <c r="F207" t="s">
        <v>1775</v>
      </c>
      <c r="G207" s="31" t="s">
        <v>831</v>
      </c>
      <c r="H207" t="s">
        <v>1189</v>
      </c>
      <c r="I207" t="s">
        <v>1190</v>
      </c>
      <c r="J207" s="15" t="s">
        <v>830</v>
      </c>
      <c r="M207" s="1" t="s">
        <v>1191</v>
      </c>
      <c r="N207" t="s">
        <v>1759</v>
      </c>
    </row>
    <row r="208" spans="1:14" x14ac:dyDescent="0.2">
      <c r="A208">
        <v>544</v>
      </c>
      <c r="B208" t="b">
        <f t="shared" si="3"/>
        <v>1</v>
      </c>
      <c r="C208" t="s">
        <v>108</v>
      </c>
      <c r="D208" t="str">
        <f>IF(F208&lt;&gt;"",VLOOKUP(F208,PHA4GEVars!$A$7:$B$241,2,FALSE),"")</f>
        <v>Sample collection and processing</v>
      </c>
      <c r="E208" t="s">
        <v>1754</v>
      </c>
      <c r="F208" t="s">
        <v>1775</v>
      </c>
      <c r="G208" s="31" t="s">
        <v>833</v>
      </c>
      <c r="H208" t="s">
        <v>1189</v>
      </c>
      <c r="I208" t="s">
        <v>1190</v>
      </c>
      <c r="J208" s="15" t="s">
        <v>832</v>
      </c>
      <c r="M208" s="1" t="s">
        <v>1191</v>
      </c>
      <c r="N208" t="s">
        <v>1759</v>
      </c>
    </row>
    <row r="209" spans="1:14" x14ac:dyDescent="0.2">
      <c r="A209">
        <v>545</v>
      </c>
      <c r="B209" t="b">
        <f t="shared" si="3"/>
        <v>1</v>
      </c>
      <c r="C209" t="s">
        <v>108</v>
      </c>
      <c r="D209" t="str">
        <f>IF(F209&lt;&gt;"",VLOOKUP(F209,PHA4GEVars!$A$7:$B$241,2,FALSE),"")</f>
        <v>Sample collection and processing</v>
      </c>
      <c r="E209" t="s">
        <v>1754</v>
      </c>
      <c r="F209" t="s">
        <v>1775</v>
      </c>
      <c r="G209" s="31" t="s">
        <v>835</v>
      </c>
      <c r="H209" t="s">
        <v>1189</v>
      </c>
      <c r="I209" t="s">
        <v>1190</v>
      </c>
      <c r="J209" s="15" t="s">
        <v>834</v>
      </c>
      <c r="M209" s="1" t="s">
        <v>1191</v>
      </c>
      <c r="N209" t="s">
        <v>1759</v>
      </c>
    </row>
    <row r="210" spans="1:14" x14ac:dyDescent="0.2">
      <c r="A210">
        <v>546</v>
      </c>
      <c r="B210" t="b">
        <f t="shared" si="3"/>
        <v>1</v>
      </c>
      <c r="C210" t="s">
        <v>108</v>
      </c>
      <c r="D210" t="str">
        <f>IF(F210&lt;&gt;"",VLOOKUP(F210,PHA4GEVars!$A$7:$B$241,2,FALSE),"")</f>
        <v>Sample collection and processing</v>
      </c>
      <c r="E210" t="s">
        <v>1754</v>
      </c>
      <c r="F210" t="s">
        <v>1775</v>
      </c>
      <c r="G210" s="31" t="s">
        <v>837</v>
      </c>
      <c r="H210" t="s">
        <v>1189</v>
      </c>
      <c r="I210" t="s">
        <v>1190</v>
      </c>
      <c r="J210" s="15" t="s">
        <v>836</v>
      </c>
      <c r="M210" s="1" t="s">
        <v>1191</v>
      </c>
      <c r="N210" t="s">
        <v>1759</v>
      </c>
    </row>
    <row r="211" spans="1:14" x14ac:dyDescent="0.2">
      <c r="A211">
        <v>547</v>
      </c>
      <c r="B211" t="b">
        <f t="shared" si="3"/>
        <v>1</v>
      </c>
      <c r="C211" t="s">
        <v>108</v>
      </c>
      <c r="D211" t="str">
        <f>IF(F211&lt;&gt;"",VLOOKUP(F211,PHA4GEVars!$A$7:$B$241,2,FALSE),"")</f>
        <v>Sample collection and processing</v>
      </c>
      <c r="E211" t="s">
        <v>1754</v>
      </c>
      <c r="F211" t="s">
        <v>1775</v>
      </c>
      <c r="G211" s="31" t="s">
        <v>839</v>
      </c>
      <c r="H211" t="s">
        <v>1189</v>
      </c>
      <c r="I211" t="s">
        <v>1190</v>
      </c>
      <c r="J211" s="15" t="s">
        <v>838</v>
      </c>
      <c r="M211" s="1" t="s">
        <v>1191</v>
      </c>
      <c r="N211" t="s">
        <v>1759</v>
      </c>
    </row>
    <row r="212" spans="1:14" x14ac:dyDescent="0.2">
      <c r="A212">
        <v>548</v>
      </c>
      <c r="B212" t="b">
        <f t="shared" si="3"/>
        <v>1</v>
      </c>
      <c r="C212" t="s">
        <v>108</v>
      </c>
      <c r="D212" t="str">
        <f>IF(F212&lt;&gt;"",VLOOKUP(F212,PHA4GEVars!$A$7:$B$241,2,FALSE),"")</f>
        <v>Sample collection and processing</v>
      </c>
      <c r="E212" t="s">
        <v>1754</v>
      </c>
      <c r="F212" t="s">
        <v>1775</v>
      </c>
      <c r="G212" s="31" t="s">
        <v>841</v>
      </c>
      <c r="H212" t="s">
        <v>1189</v>
      </c>
      <c r="I212" t="s">
        <v>1190</v>
      </c>
      <c r="J212" s="15" t="s">
        <v>840</v>
      </c>
      <c r="M212" s="1" t="s">
        <v>1191</v>
      </c>
      <c r="N212" t="s">
        <v>1759</v>
      </c>
    </row>
    <row r="213" spans="1:14" x14ac:dyDescent="0.2">
      <c r="A213">
        <v>549</v>
      </c>
      <c r="B213" t="b">
        <f t="shared" si="3"/>
        <v>1</v>
      </c>
      <c r="C213" t="s">
        <v>108</v>
      </c>
      <c r="D213" t="str">
        <f>IF(F213&lt;&gt;"",VLOOKUP(F213,PHA4GEVars!$A$7:$B$241,2,FALSE),"")</f>
        <v>Sample collection and processing</v>
      </c>
      <c r="E213" t="s">
        <v>1754</v>
      </c>
      <c r="F213" t="s">
        <v>1775</v>
      </c>
      <c r="G213" s="31" t="s">
        <v>843</v>
      </c>
      <c r="H213" t="s">
        <v>1189</v>
      </c>
      <c r="I213" t="s">
        <v>1190</v>
      </c>
      <c r="J213" s="15" t="s">
        <v>842</v>
      </c>
      <c r="M213" s="1" t="s">
        <v>1191</v>
      </c>
      <c r="N213" t="s">
        <v>1759</v>
      </c>
    </row>
    <row r="214" spans="1:14" x14ac:dyDescent="0.2">
      <c r="A214">
        <v>550</v>
      </c>
      <c r="B214" t="b">
        <f t="shared" si="3"/>
        <v>1</v>
      </c>
      <c r="C214" t="s">
        <v>108</v>
      </c>
      <c r="D214" t="str">
        <f>IF(F214&lt;&gt;"",VLOOKUP(F214,PHA4GEVars!$A$7:$B$241,2,FALSE),"")</f>
        <v>Sample collection and processing</v>
      </c>
      <c r="E214" t="s">
        <v>1754</v>
      </c>
      <c r="F214" t="s">
        <v>1775</v>
      </c>
      <c r="G214" s="31" t="s">
        <v>845</v>
      </c>
      <c r="H214" t="s">
        <v>1189</v>
      </c>
      <c r="I214" t="s">
        <v>1190</v>
      </c>
      <c r="J214" s="15" t="s">
        <v>844</v>
      </c>
      <c r="M214" s="1" t="s">
        <v>1191</v>
      </c>
      <c r="N214" t="s">
        <v>1759</v>
      </c>
    </row>
    <row r="215" spans="1:14" x14ac:dyDescent="0.2">
      <c r="A215">
        <v>551</v>
      </c>
      <c r="B215" t="b">
        <f t="shared" si="3"/>
        <v>1</v>
      </c>
      <c r="C215" t="s">
        <v>108</v>
      </c>
      <c r="D215" t="str">
        <f>IF(F215&lt;&gt;"",VLOOKUP(F215,PHA4GEVars!$A$7:$B$241,2,FALSE),"")</f>
        <v>Sample collection and processing</v>
      </c>
      <c r="E215" t="s">
        <v>1754</v>
      </c>
      <c r="F215" t="s">
        <v>1775</v>
      </c>
      <c r="G215" s="31" t="s">
        <v>847</v>
      </c>
      <c r="H215" t="s">
        <v>1189</v>
      </c>
      <c r="I215" t="s">
        <v>1190</v>
      </c>
      <c r="J215" s="15" t="s">
        <v>846</v>
      </c>
      <c r="M215" s="1" t="s">
        <v>1191</v>
      </c>
      <c r="N215" t="s">
        <v>1759</v>
      </c>
    </row>
    <row r="216" spans="1:14" x14ac:dyDescent="0.2">
      <c r="A216">
        <v>552</v>
      </c>
      <c r="B216" t="b">
        <f t="shared" si="3"/>
        <v>1</v>
      </c>
      <c r="C216" t="s">
        <v>108</v>
      </c>
      <c r="D216" t="str">
        <f>IF(F216&lt;&gt;"",VLOOKUP(F216,PHA4GEVars!$A$7:$B$241,2,FALSE),"")</f>
        <v>Sample collection and processing</v>
      </c>
      <c r="E216" t="s">
        <v>1754</v>
      </c>
      <c r="F216" t="s">
        <v>1775</v>
      </c>
      <c r="G216" s="31" t="s">
        <v>849</v>
      </c>
      <c r="H216" t="s">
        <v>1189</v>
      </c>
      <c r="I216" t="s">
        <v>1190</v>
      </c>
      <c r="J216" s="15" t="s">
        <v>848</v>
      </c>
      <c r="M216" s="1" t="s">
        <v>1191</v>
      </c>
      <c r="N216" t="s">
        <v>1759</v>
      </c>
    </row>
    <row r="217" spans="1:14" x14ac:dyDescent="0.2">
      <c r="A217">
        <v>553</v>
      </c>
      <c r="B217" t="b">
        <f t="shared" si="3"/>
        <v>1</v>
      </c>
      <c r="C217" t="s">
        <v>108</v>
      </c>
      <c r="D217" t="str">
        <f>IF(F217&lt;&gt;"",VLOOKUP(F217,PHA4GEVars!$A$7:$B$241,2,FALSE),"")</f>
        <v>Sample collection and processing</v>
      </c>
      <c r="E217" t="s">
        <v>1754</v>
      </c>
      <c r="F217" t="s">
        <v>1775</v>
      </c>
      <c r="G217" s="31" t="s">
        <v>851</v>
      </c>
      <c r="H217" t="s">
        <v>1189</v>
      </c>
      <c r="I217" t="s">
        <v>1190</v>
      </c>
      <c r="J217" s="15" t="s">
        <v>850</v>
      </c>
      <c r="M217" s="1" t="s">
        <v>1191</v>
      </c>
      <c r="N217" t="s">
        <v>1759</v>
      </c>
    </row>
    <row r="218" spans="1:14" x14ac:dyDescent="0.2">
      <c r="A218">
        <v>554</v>
      </c>
      <c r="B218" t="b">
        <f t="shared" si="3"/>
        <v>1</v>
      </c>
      <c r="C218" t="s">
        <v>108</v>
      </c>
      <c r="D218" t="str">
        <f>IF(F218&lt;&gt;"",VLOOKUP(F218,PHA4GEVars!$A$7:$B$241,2,FALSE),"")</f>
        <v>Sample collection and processing</v>
      </c>
      <c r="E218" t="s">
        <v>1754</v>
      </c>
      <c r="F218" t="s">
        <v>1775</v>
      </c>
      <c r="G218" s="31" t="s">
        <v>853</v>
      </c>
      <c r="H218" t="s">
        <v>1189</v>
      </c>
      <c r="I218" t="s">
        <v>1190</v>
      </c>
      <c r="J218" s="15" t="s">
        <v>852</v>
      </c>
      <c r="M218" s="1" t="s">
        <v>1191</v>
      </c>
      <c r="N218" t="s">
        <v>1759</v>
      </c>
    </row>
    <row r="219" spans="1:14" x14ac:dyDescent="0.2">
      <c r="A219">
        <v>555</v>
      </c>
      <c r="B219" t="b">
        <f t="shared" si="3"/>
        <v>1</v>
      </c>
      <c r="C219" t="s">
        <v>108</v>
      </c>
      <c r="D219" t="str">
        <f>IF(F219&lt;&gt;"",VLOOKUP(F219,PHA4GEVars!$A$7:$B$241,2,FALSE),"")</f>
        <v>Sample collection and processing</v>
      </c>
      <c r="E219" t="s">
        <v>1754</v>
      </c>
      <c r="F219" t="s">
        <v>1775</v>
      </c>
      <c r="G219" s="31" t="s">
        <v>855</v>
      </c>
      <c r="H219" t="s">
        <v>1189</v>
      </c>
      <c r="I219" t="s">
        <v>1190</v>
      </c>
      <c r="J219" s="15" t="s">
        <v>854</v>
      </c>
      <c r="M219" s="1" t="s">
        <v>1191</v>
      </c>
      <c r="N219" t="s">
        <v>1759</v>
      </c>
    </row>
    <row r="220" spans="1:14" x14ac:dyDescent="0.2">
      <c r="A220">
        <v>556</v>
      </c>
      <c r="B220" t="b">
        <f t="shared" si="3"/>
        <v>1</v>
      </c>
      <c r="C220" t="s">
        <v>108</v>
      </c>
      <c r="D220" t="str">
        <f>IF(F220&lt;&gt;"",VLOOKUP(F220,PHA4GEVars!$A$7:$B$241,2,FALSE),"")</f>
        <v>Sample collection and processing</v>
      </c>
      <c r="E220" t="s">
        <v>1754</v>
      </c>
      <c r="F220" t="s">
        <v>1775</v>
      </c>
      <c r="G220" s="31" t="s">
        <v>857</v>
      </c>
      <c r="H220" t="s">
        <v>1189</v>
      </c>
      <c r="I220" t="s">
        <v>1190</v>
      </c>
      <c r="J220" s="15" t="s">
        <v>856</v>
      </c>
      <c r="M220" s="1" t="s">
        <v>1191</v>
      </c>
      <c r="N220" t="s">
        <v>1759</v>
      </c>
    </row>
    <row r="221" spans="1:14" x14ac:dyDescent="0.2">
      <c r="A221">
        <v>557</v>
      </c>
      <c r="B221" t="b">
        <f t="shared" si="3"/>
        <v>1</v>
      </c>
      <c r="C221" t="s">
        <v>108</v>
      </c>
      <c r="D221" t="str">
        <f>IF(F221&lt;&gt;"",VLOOKUP(F221,PHA4GEVars!$A$7:$B$241,2,FALSE),"")</f>
        <v>Sample collection and processing</v>
      </c>
      <c r="E221" t="s">
        <v>1754</v>
      </c>
      <c r="F221" t="s">
        <v>1775</v>
      </c>
      <c r="G221" s="31" t="s">
        <v>859</v>
      </c>
      <c r="H221" t="s">
        <v>1189</v>
      </c>
      <c r="I221" t="s">
        <v>1190</v>
      </c>
      <c r="J221" s="15" t="s">
        <v>858</v>
      </c>
      <c r="M221" s="1" t="s">
        <v>1191</v>
      </c>
      <c r="N221" t="s">
        <v>1759</v>
      </c>
    </row>
    <row r="222" spans="1:14" x14ac:dyDescent="0.2">
      <c r="A222">
        <v>558</v>
      </c>
      <c r="B222" t="b">
        <f t="shared" si="3"/>
        <v>1</v>
      </c>
      <c r="C222" t="s">
        <v>108</v>
      </c>
      <c r="D222" t="str">
        <f>IF(F222&lt;&gt;"",VLOOKUP(F222,PHA4GEVars!$A$7:$B$241,2,FALSE),"")</f>
        <v>Sample collection and processing</v>
      </c>
      <c r="E222" t="s">
        <v>1754</v>
      </c>
      <c r="F222" t="s">
        <v>1775</v>
      </c>
      <c r="G222" s="31" t="s">
        <v>861</v>
      </c>
      <c r="H222" t="s">
        <v>1189</v>
      </c>
      <c r="I222" t="s">
        <v>1190</v>
      </c>
      <c r="J222" s="15" t="s">
        <v>860</v>
      </c>
      <c r="M222" s="1" t="s">
        <v>1191</v>
      </c>
      <c r="N222" t="s">
        <v>1759</v>
      </c>
    </row>
    <row r="223" spans="1:14" x14ac:dyDescent="0.2">
      <c r="A223">
        <v>559</v>
      </c>
      <c r="B223" t="b">
        <f t="shared" si="3"/>
        <v>1</v>
      </c>
      <c r="C223" t="s">
        <v>108</v>
      </c>
      <c r="D223" t="str">
        <f>IF(F223&lt;&gt;"",VLOOKUP(F223,PHA4GEVars!$A$7:$B$241,2,FALSE),"")</f>
        <v>Sample collection and processing</v>
      </c>
      <c r="E223" t="s">
        <v>1754</v>
      </c>
      <c r="F223" t="s">
        <v>1775</v>
      </c>
      <c r="G223" s="31" t="s">
        <v>863</v>
      </c>
      <c r="H223" t="s">
        <v>1189</v>
      </c>
      <c r="I223" t="s">
        <v>1190</v>
      </c>
      <c r="J223" s="15" t="s">
        <v>862</v>
      </c>
      <c r="M223" s="1" t="s">
        <v>1191</v>
      </c>
      <c r="N223" t="s">
        <v>1759</v>
      </c>
    </row>
    <row r="224" spans="1:14" x14ac:dyDescent="0.2">
      <c r="A224">
        <v>560</v>
      </c>
      <c r="B224" t="b">
        <f t="shared" si="3"/>
        <v>1</v>
      </c>
      <c r="C224" t="s">
        <v>108</v>
      </c>
      <c r="D224" t="str">
        <f>IF(F224&lt;&gt;"",VLOOKUP(F224,PHA4GEVars!$A$7:$B$241,2,FALSE),"")</f>
        <v>Sample collection and processing</v>
      </c>
      <c r="E224" t="s">
        <v>1754</v>
      </c>
      <c r="F224" t="s">
        <v>1775</v>
      </c>
      <c r="G224" s="31" t="s">
        <v>865</v>
      </c>
      <c r="H224" t="s">
        <v>1189</v>
      </c>
      <c r="I224" t="s">
        <v>1190</v>
      </c>
      <c r="J224" s="15" t="s">
        <v>864</v>
      </c>
      <c r="M224" s="1" t="s">
        <v>1191</v>
      </c>
      <c r="N224" t="s">
        <v>1759</v>
      </c>
    </row>
    <row r="225" spans="1:14" x14ac:dyDescent="0.2">
      <c r="A225">
        <v>561</v>
      </c>
      <c r="B225" t="b">
        <f t="shared" si="3"/>
        <v>1</v>
      </c>
      <c r="C225" t="s">
        <v>108</v>
      </c>
      <c r="D225" t="str">
        <f>IF(F225&lt;&gt;"",VLOOKUP(F225,PHA4GEVars!$A$7:$B$241,2,FALSE),"")</f>
        <v>Sample collection and processing</v>
      </c>
      <c r="E225" t="s">
        <v>1754</v>
      </c>
      <c r="F225" t="s">
        <v>1775</v>
      </c>
      <c r="G225" s="31" t="s">
        <v>867</v>
      </c>
      <c r="H225" t="s">
        <v>1189</v>
      </c>
      <c r="I225" t="s">
        <v>1190</v>
      </c>
      <c r="J225" s="15" t="s">
        <v>866</v>
      </c>
      <c r="M225" s="1" t="s">
        <v>1191</v>
      </c>
      <c r="N225" t="s">
        <v>1759</v>
      </c>
    </row>
    <row r="226" spans="1:14" x14ac:dyDescent="0.2">
      <c r="A226">
        <v>562</v>
      </c>
      <c r="B226" t="b">
        <f t="shared" si="3"/>
        <v>1</v>
      </c>
      <c r="C226" t="s">
        <v>108</v>
      </c>
      <c r="D226" t="str">
        <f>IF(F226&lt;&gt;"",VLOOKUP(F226,PHA4GEVars!$A$7:$B$241,2,FALSE),"")</f>
        <v>Sample collection and processing</v>
      </c>
      <c r="E226" t="s">
        <v>1754</v>
      </c>
      <c r="F226" t="s">
        <v>1775</v>
      </c>
      <c r="G226" s="31" t="s">
        <v>869</v>
      </c>
      <c r="H226" t="s">
        <v>1189</v>
      </c>
      <c r="I226" t="s">
        <v>1190</v>
      </c>
      <c r="J226" s="15" t="s">
        <v>868</v>
      </c>
      <c r="M226" s="1" t="s">
        <v>1191</v>
      </c>
      <c r="N226" t="s">
        <v>1759</v>
      </c>
    </row>
    <row r="227" spans="1:14" x14ac:dyDescent="0.2">
      <c r="A227">
        <v>563</v>
      </c>
      <c r="B227" t="b">
        <f t="shared" si="3"/>
        <v>1</v>
      </c>
      <c r="C227" t="s">
        <v>108</v>
      </c>
      <c r="D227" t="str">
        <f>IF(F227&lt;&gt;"",VLOOKUP(F227,PHA4GEVars!$A$7:$B$241,2,FALSE),"")</f>
        <v>Sample collection and processing</v>
      </c>
      <c r="E227" t="s">
        <v>1754</v>
      </c>
      <c r="F227" t="s">
        <v>1775</v>
      </c>
      <c r="G227" s="31" t="s">
        <v>871</v>
      </c>
      <c r="H227" t="s">
        <v>1189</v>
      </c>
      <c r="I227" t="s">
        <v>1190</v>
      </c>
      <c r="J227" s="15" t="s">
        <v>870</v>
      </c>
      <c r="M227" s="1" t="s">
        <v>1191</v>
      </c>
      <c r="N227" t="s">
        <v>1759</v>
      </c>
    </row>
    <row r="228" spans="1:14" x14ac:dyDescent="0.2">
      <c r="A228">
        <v>564</v>
      </c>
      <c r="B228" t="b">
        <f t="shared" si="3"/>
        <v>1</v>
      </c>
      <c r="C228" t="s">
        <v>108</v>
      </c>
      <c r="D228" t="str">
        <f>IF(F228&lt;&gt;"",VLOOKUP(F228,PHA4GEVars!$A$7:$B$241,2,FALSE),"")</f>
        <v>Sample collection and processing</v>
      </c>
      <c r="E228" t="s">
        <v>1754</v>
      </c>
      <c r="F228" t="s">
        <v>1775</v>
      </c>
      <c r="G228" s="31" t="s">
        <v>873</v>
      </c>
      <c r="H228" t="s">
        <v>1189</v>
      </c>
      <c r="I228" t="s">
        <v>1190</v>
      </c>
      <c r="J228" s="15" t="s">
        <v>872</v>
      </c>
      <c r="M228" s="1" t="s">
        <v>1191</v>
      </c>
      <c r="N228" t="s">
        <v>1759</v>
      </c>
    </row>
    <row r="229" spans="1:14" x14ac:dyDescent="0.2">
      <c r="A229">
        <v>565</v>
      </c>
      <c r="B229" t="b">
        <f t="shared" si="3"/>
        <v>1</v>
      </c>
      <c r="C229" t="s">
        <v>108</v>
      </c>
      <c r="D229" t="str">
        <f>IF(F229&lt;&gt;"",VLOOKUP(F229,PHA4GEVars!$A$7:$B$241,2,FALSE),"")</f>
        <v>Sample collection and processing</v>
      </c>
      <c r="E229" t="s">
        <v>1754</v>
      </c>
      <c r="F229" t="s">
        <v>1775</v>
      </c>
      <c r="G229" s="31" t="s">
        <v>875</v>
      </c>
      <c r="H229" t="s">
        <v>1189</v>
      </c>
      <c r="I229" t="s">
        <v>1190</v>
      </c>
      <c r="J229" s="15" t="s">
        <v>874</v>
      </c>
      <c r="M229" s="1" t="s">
        <v>1191</v>
      </c>
      <c r="N229" t="s">
        <v>1759</v>
      </c>
    </row>
    <row r="230" spans="1:14" x14ac:dyDescent="0.2">
      <c r="A230">
        <v>566</v>
      </c>
      <c r="B230" t="b">
        <f t="shared" si="3"/>
        <v>1</v>
      </c>
      <c r="C230" t="s">
        <v>108</v>
      </c>
      <c r="D230" t="str">
        <f>IF(F230&lt;&gt;"",VLOOKUP(F230,PHA4GEVars!$A$7:$B$241,2,FALSE),"")</f>
        <v>Sample collection and processing</v>
      </c>
      <c r="E230" t="s">
        <v>1754</v>
      </c>
      <c r="F230" t="s">
        <v>1775</v>
      </c>
      <c r="G230" s="31" t="s">
        <v>876</v>
      </c>
      <c r="H230" t="s">
        <v>1189</v>
      </c>
      <c r="I230" t="s">
        <v>1190</v>
      </c>
      <c r="J230" s="15" t="s">
        <v>1421</v>
      </c>
      <c r="M230" s="1" t="s">
        <v>1191</v>
      </c>
      <c r="N230" t="s">
        <v>1759</v>
      </c>
    </row>
    <row r="231" spans="1:14" x14ac:dyDescent="0.2">
      <c r="A231">
        <v>567</v>
      </c>
      <c r="B231" t="b">
        <f t="shared" si="3"/>
        <v>1</v>
      </c>
      <c r="C231" t="s">
        <v>108</v>
      </c>
      <c r="D231" t="str">
        <f>IF(F231&lt;&gt;"",VLOOKUP(F231,PHA4GEVars!$A$7:$B$241,2,FALSE),"")</f>
        <v>Sample collection and processing</v>
      </c>
      <c r="E231" t="s">
        <v>1754</v>
      </c>
      <c r="F231" t="s">
        <v>1775</v>
      </c>
      <c r="G231" s="31" t="s">
        <v>878</v>
      </c>
      <c r="H231" t="s">
        <v>1189</v>
      </c>
      <c r="I231" t="s">
        <v>1190</v>
      </c>
      <c r="J231" s="15" t="s">
        <v>877</v>
      </c>
      <c r="M231" s="1" t="s">
        <v>1191</v>
      </c>
      <c r="N231" t="s">
        <v>1759</v>
      </c>
    </row>
    <row r="232" spans="1:14" x14ac:dyDescent="0.2">
      <c r="A232">
        <v>568</v>
      </c>
      <c r="B232" t="b">
        <f t="shared" si="3"/>
        <v>1</v>
      </c>
      <c r="C232" t="s">
        <v>108</v>
      </c>
      <c r="D232" t="str">
        <f>IF(F232&lt;&gt;"",VLOOKUP(F232,PHA4GEVars!$A$7:$B$241,2,FALSE),"")</f>
        <v>Sample collection and processing</v>
      </c>
      <c r="E232" t="s">
        <v>1754</v>
      </c>
      <c r="F232" t="s">
        <v>1775</v>
      </c>
      <c r="G232" s="31" t="s">
        <v>880</v>
      </c>
      <c r="H232" t="s">
        <v>1189</v>
      </c>
      <c r="I232" t="s">
        <v>1190</v>
      </c>
      <c r="J232" s="15" t="s">
        <v>879</v>
      </c>
      <c r="M232" s="1" t="s">
        <v>1191</v>
      </c>
      <c r="N232" t="s">
        <v>1759</v>
      </c>
    </row>
    <row r="233" spans="1:14" x14ac:dyDescent="0.2">
      <c r="A233">
        <v>569</v>
      </c>
      <c r="B233" t="b">
        <f t="shared" si="3"/>
        <v>1</v>
      </c>
      <c r="C233" t="s">
        <v>108</v>
      </c>
      <c r="D233" t="str">
        <f>IF(F233&lt;&gt;"",VLOOKUP(F233,PHA4GEVars!$A$7:$B$241,2,FALSE),"")</f>
        <v>Sample collection and processing</v>
      </c>
      <c r="E233" t="s">
        <v>1754</v>
      </c>
      <c r="F233" t="s">
        <v>1775</v>
      </c>
      <c r="G233" s="31" t="s">
        <v>882</v>
      </c>
      <c r="H233" t="s">
        <v>1189</v>
      </c>
      <c r="I233" t="s">
        <v>1190</v>
      </c>
      <c r="J233" s="15" t="s">
        <v>881</v>
      </c>
      <c r="M233" s="1" t="s">
        <v>1191</v>
      </c>
      <c r="N233" t="s">
        <v>1759</v>
      </c>
    </row>
    <row r="234" spans="1:14" x14ac:dyDescent="0.2">
      <c r="A234">
        <v>570</v>
      </c>
      <c r="B234" t="b">
        <f t="shared" si="3"/>
        <v>1</v>
      </c>
      <c r="C234" t="s">
        <v>108</v>
      </c>
      <c r="D234" t="str">
        <f>IF(F234&lt;&gt;"",VLOOKUP(F234,PHA4GEVars!$A$7:$B$241,2,FALSE),"")</f>
        <v>Sample collection and processing</v>
      </c>
      <c r="E234" t="s">
        <v>1754</v>
      </c>
      <c r="F234" t="s">
        <v>1775</v>
      </c>
      <c r="G234" s="31" t="s">
        <v>884</v>
      </c>
      <c r="H234" t="s">
        <v>1189</v>
      </c>
      <c r="I234" t="s">
        <v>1190</v>
      </c>
      <c r="J234" s="15" t="s">
        <v>883</v>
      </c>
      <c r="M234" s="1" t="s">
        <v>1191</v>
      </c>
      <c r="N234" t="s">
        <v>1759</v>
      </c>
    </row>
    <row r="235" spans="1:14" x14ac:dyDescent="0.2">
      <c r="A235">
        <v>571</v>
      </c>
      <c r="B235" t="b">
        <f t="shared" si="3"/>
        <v>1</v>
      </c>
      <c r="C235" t="s">
        <v>108</v>
      </c>
      <c r="D235" t="str">
        <f>IF(F235&lt;&gt;"",VLOOKUP(F235,PHA4GEVars!$A$7:$B$241,2,FALSE),"")</f>
        <v>Sample collection and processing</v>
      </c>
      <c r="E235" t="s">
        <v>1754</v>
      </c>
      <c r="F235" t="s">
        <v>1775</v>
      </c>
      <c r="G235" s="31" t="s">
        <v>886</v>
      </c>
      <c r="H235" t="s">
        <v>1189</v>
      </c>
      <c r="I235" t="s">
        <v>1190</v>
      </c>
      <c r="J235" s="15" t="s">
        <v>885</v>
      </c>
      <c r="M235" s="1" t="s">
        <v>1191</v>
      </c>
      <c r="N235" t="s">
        <v>1759</v>
      </c>
    </row>
    <row r="236" spans="1:14" x14ac:dyDescent="0.2">
      <c r="A236">
        <v>572</v>
      </c>
      <c r="B236" t="b">
        <f t="shared" si="3"/>
        <v>1</v>
      </c>
      <c r="C236" t="s">
        <v>108</v>
      </c>
      <c r="D236" t="str">
        <f>IF(F236&lt;&gt;"",VLOOKUP(F236,PHA4GEVars!$A$7:$B$241,2,FALSE),"")</f>
        <v>Sample collection and processing</v>
      </c>
      <c r="E236" t="s">
        <v>1754</v>
      </c>
      <c r="F236" t="s">
        <v>1775</v>
      </c>
      <c r="G236" s="31" t="s">
        <v>887</v>
      </c>
      <c r="H236" t="s">
        <v>1189</v>
      </c>
      <c r="I236" t="s">
        <v>1190</v>
      </c>
      <c r="J236" s="15" t="s">
        <v>583</v>
      </c>
      <c r="M236" s="1" t="s">
        <v>1191</v>
      </c>
      <c r="N236" t="s">
        <v>1759</v>
      </c>
    </row>
    <row r="237" spans="1:14" x14ac:dyDescent="0.2">
      <c r="A237">
        <v>573</v>
      </c>
      <c r="B237" t="b">
        <f t="shared" si="3"/>
        <v>1</v>
      </c>
      <c r="C237" t="s">
        <v>108</v>
      </c>
      <c r="D237" t="str">
        <f>IF(F237&lt;&gt;"",VLOOKUP(F237,PHA4GEVars!$A$7:$B$241,2,FALSE),"")</f>
        <v>Sample collection and processing</v>
      </c>
      <c r="E237" t="s">
        <v>1754</v>
      </c>
      <c r="F237" t="s">
        <v>1775</v>
      </c>
      <c r="G237" s="31" t="s">
        <v>889</v>
      </c>
      <c r="H237" t="s">
        <v>1189</v>
      </c>
      <c r="I237" t="s">
        <v>1190</v>
      </c>
      <c r="J237" s="15" t="s">
        <v>888</v>
      </c>
      <c r="M237" s="1" t="s">
        <v>1191</v>
      </c>
      <c r="N237" t="s">
        <v>1759</v>
      </c>
    </row>
    <row r="238" spans="1:14" x14ac:dyDescent="0.2">
      <c r="A238">
        <v>574</v>
      </c>
      <c r="B238" t="b">
        <f t="shared" si="3"/>
        <v>1</v>
      </c>
      <c r="C238" t="s">
        <v>108</v>
      </c>
      <c r="D238" t="str">
        <f>IF(F238&lt;&gt;"",VLOOKUP(F238,PHA4GEVars!$A$7:$B$241,2,FALSE),"")</f>
        <v>Sample collection and processing</v>
      </c>
      <c r="E238" t="s">
        <v>1754</v>
      </c>
      <c r="F238" t="s">
        <v>1775</v>
      </c>
      <c r="G238" s="31" t="s">
        <v>891</v>
      </c>
      <c r="H238" t="s">
        <v>1189</v>
      </c>
      <c r="I238" t="s">
        <v>1190</v>
      </c>
      <c r="J238" s="15" t="s">
        <v>890</v>
      </c>
      <c r="M238" s="1" t="s">
        <v>1191</v>
      </c>
      <c r="N238" t="s">
        <v>1759</v>
      </c>
    </row>
    <row r="239" spans="1:14" x14ac:dyDescent="0.2">
      <c r="A239">
        <v>575</v>
      </c>
      <c r="B239" t="b">
        <f t="shared" si="3"/>
        <v>1</v>
      </c>
      <c r="C239" t="s">
        <v>108</v>
      </c>
      <c r="D239" t="str">
        <f>IF(F239&lt;&gt;"",VLOOKUP(F239,PHA4GEVars!$A$7:$B$241,2,FALSE),"")</f>
        <v>Sample collection and processing</v>
      </c>
      <c r="E239" t="s">
        <v>1754</v>
      </c>
      <c r="F239" t="s">
        <v>1775</v>
      </c>
      <c r="G239" s="31" t="s">
        <v>893</v>
      </c>
      <c r="H239" t="s">
        <v>1189</v>
      </c>
      <c r="I239" t="s">
        <v>1190</v>
      </c>
      <c r="J239" s="15" t="s">
        <v>892</v>
      </c>
      <c r="M239" s="1" t="s">
        <v>1191</v>
      </c>
      <c r="N239" t="s">
        <v>1759</v>
      </c>
    </row>
    <row r="240" spans="1:14" x14ac:dyDescent="0.2">
      <c r="A240">
        <v>576</v>
      </c>
      <c r="B240" t="b">
        <f t="shared" si="3"/>
        <v>1</v>
      </c>
      <c r="C240" t="s">
        <v>108</v>
      </c>
      <c r="D240" t="str">
        <f>IF(F240&lt;&gt;"",VLOOKUP(F240,PHA4GEVars!$A$7:$B$241,2,FALSE),"")</f>
        <v>Sample collection and processing</v>
      </c>
      <c r="E240" t="s">
        <v>1754</v>
      </c>
      <c r="F240" t="s">
        <v>1775</v>
      </c>
      <c r="G240" s="31" t="s">
        <v>895</v>
      </c>
      <c r="H240" t="s">
        <v>1189</v>
      </c>
      <c r="I240" t="s">
        <v>1190</v>
      </c>
      <c r="J240" s="15" t="s">
        <v>894</v>
      </c>
      <c r="M240" s="1" t="s">
        <v>1191</v>
      </c>
      <c r="N240" t="s">
        <v>1759</v>
      </c>
    </row>
    <row r="241" spans="1:14" x14ac:dyDescent="0.2">
      <c r="A241">
        <v>577</v>
      </c>
      <c r="B241" t="b">
        <f t="shared" si="3"/>
        <v>1</v>
      </c>
      <c r="C241" t="s">
        <v>108</v>
      </c>
      <c r="D241" t="str">
        <f>IF(F241&lt;&gt;"",VLOOKUP(F241,PHA4GEVars!$A$7:$B$241,2,FALSE),"")</f>
        <v>Sample collection and processing</v>
      </c>
      <c r="E241" t="s">
        <v>1754</v>
      </c>
      <c r="F241" t="s">
        <v>1775</v>
      </c>
      <c r="G241" s="31" t="s">
        <v>897</v>
      </c>
      <c r="H241" t="s">
        <v>1189</v>
      </c>
      <c r="I241" t="s">
        <v>1190</v>
      </c>
      <c r="J241" s="15" t="s">
        <v>896</v>
      </c>
      <c r="M241" s="1" t="s">
        <v>1191</v>
      </c>
      <c r="N241" t="s">
        <v>1759</v>
      </c>
    </row>
    <row r="242" spans="1:14" x14ac:dyDescent="0.2">
      <c r="A242">
        <v>578</v>
      </c>
      <c r="B242" t="b">
        <f t="shared" si="3"/>
        <v>1</v>
      </c>
      <c r="C242" t="s">
        <v>108</v>
      </c>
      <c r="D242" t="str">
        <f>IF(F242&lt;&gt;"",VLOOKUP(F242,PHA4GEVars!$A$7:$B$241,2,FALSE),"")</f>
        <v>Sample collection and processing</v>
      </c>
      <c r="E242" t="s">
        <v>1754</v>
      </c>
      <c r="F242" t="s">
        <v>1775</v>
      </c>
      <c r="G242" s="31" t="s">
        <v>899</v>
      </c>
      <c r="H242" t="s">
        <v>1189</v>
      </c>
      <c r="I242" t="s">
        <v>1190</v>
      </c>
      <c r="J242" s="15" t="s">
        <v>898</v>
      </c>
      <c r="M242" s="1" t="s">
        <v>1191</v>
      </c>
      <c r="N242" t="s">
        <v>1759</v>
      </c>
    </row>
    <row r="243" spans="1:14" x14ac:dyDescent="0.2">
      <c r="A243">
        <v>579</v>
      </c>
      <c r="B243" t="b">
        <f t="shared" si="3"/>
        <v>1</v>
      </c>
      <c r="C243" t="s">
        <v>108</v>
      </c>
      <c r="D243" t="str">
        <f>IF(F243&lt;&gt;"",VLOOKUP(F243,PHA4GEVars!$A$7:$B$241,2,FALSE),"")</f>
        <v>Sample collection and processing</v>
      </c>
      <c r="E243" t="s">
        <v>1754</v>
      </c>
      <c r="F243" t="s">
        <v>1775</v>
      </c>
      <c r="G243" s="31" t="s">
        <v>901</v>
      </c>
      <c r="H243" t="s">
        <v>1189</v>
      </c>
      <c r="I243" t="s">
        <v>1190</v>
      </c>
      <c r="J243" s="15" t="s">
        <v>900</v>
      </c>
      <c r="M243" s="1" t="s">
        <v>1191</v>
      </c>
      <c r="N243" t="s">
        <v>1759</v>
      </c>
    </row>
    <row r="244" spans="1:14" x14ac:dyDescent="0.2">
      <c r="A244">
        <v>580</v>
      </c>
      <c r="B244" t="b">
        <f t="shared" si="3"/>
        <v>1</v>
      </c>
      <c r="C244" t="s">
        <v>108</v>
      </c>
      <c r="D244" t="str">
        <f>IF(F244&lt;&gt;"",VLOOKUP(F244,PHA4GEVars!$A$7:$B$241,2,FALSE),"")</f>
        <v>Sample collection and processing</v>
      </c>
      <c r="E244" t="s">
        <v>1754</v>
      </c>
      <c r="F244" t="s">
        <v>1775</v>
      </c>
      <c r="G244" s="31" t="s">
        <v>903</v>
      </c>
      <c r="H244" t="s">
        <v>1189</v>
      </c>
      <c r="I244" t="s">
        <v>1190</v>
      </c>
      <c r="J244" s="15" t="s">
        <v>902</v>
      </c>
      <c r="M244" s="1" t="s">
        <v>1191</v>
      </c>
      <c r="N244" t="s">
        <v>1759</v>
      </c>
    </row>
    <row r="245" spans="1:14" x14ac:dyDescent="0.2">
      <c r="A245">
        <v>581</v>
      </c>
      <c r="B245" t="b">
        <f t="shared" si="3"/>
        <v>1</v>
      </c>
      <c r="C245" t="s">
        <v>108</v>
      </c>
      <c r="D245" t="str">
        <f>IF(F245&lt;&gt;"",VLOOKUP(F245,PHA4GEVars!$A$7:$B$241,2,FALSE),"")</f>
        <v>Sample collection and processing</v>
      </c>
      <c r="E245" t="s">
        <v>1754</v>
      </c>
      <c r="F245" t="s">
        <v>1775</v>
      </c>
      <c r="G245" s="31" t="s">
        <v>905</v>
      </c>
      <c r="H245" t="s">
        <v>1189</v>
      </c>
      <c r="I245" t="s">
        <v>1190</v>
      </c>
      <c r="J245" s="15" t="s">
        <v>904</v>
      </c>
      <c r="M245" s="1" t="s">
        <v>1191</v>
      </c>
      <c r="N245" t="s">
        <v>1759</v>
      </c>
    </row>
    <row r="246" spans="1:14" x14ac:dyDescent="0.2">
      <c r="A246">
        <v>582</v>
      </c>
      <c r="B246" t="b">
        <f t="shared" si="3"/>
        <v>1</v>
      </c>
      <c r="C246" t="s">
        <v>108</v>
      </c>
      <c r="D246" t="str">
        <f>IF(F246&lt;&gt;"",VLOOKUP(F246,PHA4GEVars!$A$7:$B$241,2,FALSE),"")</f>
        <v>Sample collection and processing</v>
      </c>
      <c r="E246" t="s">
        <v>1754</v>
      </c>
      <c r="F246" t="s">
        <v>1775</v>
      </c>
      <c r="G246" s="31" t="s">
        <v>907</v>
      </c>
      <c r="H246" t="s">
        <v>1189</v>
      </c>
      <c r="I246" t="s">
        <v>1190</v>
      </c>
      <c r="J246" s="15" t="s">
        <v>906</v>
      </c>
      <c r="M246" s="1" t="s">
        <v>1191</v>
      </c>
      <c r="N246" t="s">
        <v>1759</v>
      </c>
    </row>
    <row r="247" spans="1:14" x14ac:dyDescent="0.2">
      <c r="A247">
        <v>583</v>
      </c>
      <c r="B247" t="b">
        <f t="shared" si="3"/>
        <v>1</v>
      </c>
      <c r="C247" t="s">
        <v>108</v>
      </c>
      <c r="D247" t="str">
        <f>IF(F247&lt;&gt;"",VLOOKUP(F247,PHA4GEVars!$A$7:$B$241,2,FALSE),"")</f>
        <v>Sample collection and processing</v>
      </c>
      <c r="E247" t="s">
        <v>1754</v>
      </c>
      <c r="F247" t="s">
        <v>1775</v>
      </c>
      <c r="G247" s="31" t="s">
        <v>909</v>
      </c>
      <c r="H247" t="s">
        <v>1189</v>
      </c>
      <c r="I247" t="s">
        <v>1190</v>
      </c>
      <c r="J247" s="15" t="s">
        <v>908</v>
      </c>
      <c r="M247" s="1" t="s">
        <v>1191</v>
      </c>
      <c r="N247" t="s">
        <v>1759</v>
      </c>
    </row>
    <row r="248" spans="1:14" x14ac:dyDescent="0.2">
      <c r="A248">
        <v>584</v>
      </c>
      <c r="B248" t="b">
        <f t="shared" si="3"/>
        <v>1</v>
      </c>
      <c r="C248" t="s">
        <v>108</v>
      </c>
      <c r="D248" t="str">
        <f>IF(F248&lt;&gt;"",VLOOKUP(F248,PHA4GEVars!$A$7:$B$241,2,FALSE),"")</f>
        <v>Sample collection and processing</v>
      </c>
      <c r="E248" t="s">
        <v>1754</v>
      </c>
      <c r="F248" t="s">
        <v>1775</v>
      </c>
      <c r="G248" s="31" t="s">
        <v>911</v>
      </c>
      <c r="H248" t="s">
        <v>1189</v>
      </c>
      <c r="I248" t="s">
        <v>1190</v>
      </c>
      <c r="J248" s="15" t="s">
        <v>910</v>
      </c>
      <c r="M248" s="1" t="s">
        <v>1191</v>
      </c>
      <c r="N248" t="s">
        <v>1759</v>
      </c>
    </row>
    <row r="249" spans="1:14" x14ac:dyDescent="0.2">
      <c r="A249">
        <v>585</v>
      </c>
      <c r="B249" t="b">
        <f t="shared" si="3"/>
        <v>1</v>
      </c>
      <c r="C249" t="s">
        <v>108</v>
      </c>
      <c r="D249" t="str">
        <f>IF(F249&lt;&gt;"",VLOOKUP(F249,PHA4GEVars!$A$7:$B$241,2,FALSE),"")</f>
        <v>Sample collection and processing</v>
      </c>
      <c r="E249" t="s">
        <v>1754</v>
      </c>
      <c r="F249" t="s">
        <v>1775</v>
      </c>
      <c r="G249" s="31" t="s">
        <v>912</v>
      </c>
      <c r="H249" t="s">
        <v>1189</v>
      </c>
      <c r="I249" s="15" t="s">
        <v>1190</v>
      </c>
      <c r="J249" s="15" t="s">
        <v>1415</v>
      </c>
      <c r="L249" t="s">
        <v>1398</v>
      </c>
      <c r="M249" s="1" t="s">
        <v>1191</v>
      </c>
      <c r="N249" t="s">
        <v>1759</v>
      </c>
    </row>
    <row r="250" spans="1:14" x14ac:dyDescent="0.2">
      <c r="A250">
        <v>586</v>
      </c>
      <c r="B250" t="b">
        <f t="shared" si="3"/>
        <v>1</v>
      </c>
      <c r="C250" t="s">
        <v>108</v>
      </c>
      <c r="D250" t="str">
        <f>IF(F250&lt;&gt;"",VLOOKUP(F250,PHA4GEVars!$A$7:$B$241,2,FALSE),"")</f>
        <v>Sample collection and processing</v>
      </c>
      <c r="E250" t="s">
        <v>1754</v>
      </c>
      <c r="F250" t="s">
        <v>1775</v>
      </c>
      <c r="G250" s="31" t="s">
        <v>914</v>
      </c>
      <c r="H250" t="s">
        <v>1189</v>
      </c>
      <c r="I250" t="s">
        <v>1190</v>
      </c>
      <c r="J250" s="15" t="s">
        <v>913</v>
      </c>
      <c r="M250" s="1" t="s">
        <v>1191</v>
      </c>
      <c r="N250" t="s">
        <v>1759</v>
      </c>
    </row>
    <row r="251" spans="1:14" x14ac:dyDescent="0.2">
      <c r="A251">
        <v>587</v>
      </c>
      <c r="B251" t="b">
        <f t="shared" si="3"/>
        <v>1</v>
      </c>
      <c r="C251" t="s">
        <v>108</v>
      </c>
      <c r="D251" t="str">
        <f>IF(F251&lt;&gt;"",VLOOKUP(F251,PHA4GEVars!$A$7:$B$241,2,FALSE),"")</f>
        <v>Sample collection and processing</v>
      </c>
      <c r="E251" t="s">
        <v>1754</v>
      </c>
      <c r="F251" t="s">
        <v>1775</v>
      </c>
      <c r="G251" s="31" t="s">
        <v>916</v>
      </c>
      <c r="H251" t="s">
        <v>1189</v>
      </c>
      <c r="I251" t="s">
        <v>1190</v>
      </c>
      <c r="J251" s="15" t="s">
        <v>915</v>
      </c>
      <c r="M251" s="1" t="s">
        <v>1191</v>
      </c>
      <c r="N251" t="s">
        <v>1759</v>
      </c>
    </row>
    <row r="252" spans="1:14" x14ac:dyDescent="0.2">
      <c r="A252">
        <v>588</v>
      </c>
      <c r="B252" t="b">
        <f t="shared" si="3"/>
        <v>1</v>
      </c>
      <c r="C252" t="s">
        <v>108</v>
      </c>
      <c r="D252" t="str">
        <f>IF(F252&lt;&gt;"",VLOOKUP(F252,PHA4GEVars!$A$7:$B$241,2,FALSE),"")</f>
        <v>Sample collection and processing</v>
      </c>
      <c r="E252" t="s">
        <v>1754</v>
      </c>
      <c r="F252" t="s">
        <v>1775</v>
      </c>
      <c r="G252" s="31" t="s">
        <v>918</v>
      </c>
      <c r="H252" t="s">
        <v>1189</v>
      </c>
      <c r="I252" t="s">
        <v>1190</v>
      </c>
      <c r="J252" s="15" t="s">
        <v>917</v>
      </c>
      <c r="M252" s="1" t="s">
        <v>1191</v>
      </c>
      <c r="N252" t="s">
        <v>1759</v>
      </c>
    </row>
    <row r="253" spans="1:14" x14ac:dyDescent="0.2">
      <c r="A253">
        <v>589</v>
      </c>
      <c r="B253" t="b">
        <f t="shared" si="3"/>
        <v>1</v>
      </c>
      <c r="C253" t="s">
        <v>108</v>
      </c>
      <c r="D253" t="str">
        <f>IF(F253&lt;&gt;"",VLOOKUP(F253,PHA4GEVars!$A$7:$B$241,2,FALSE),"")</f>
        <v>Sample collection and processing</v>
      </c>
      <c r="E253" t="s">
        <v>1754</v>
      </c>
      <c r="F253" t="s">
        <v>1775</v>
      </c>
      <c r="G253" s="31" t="s">
        <v>920</v>
      </c>
      <c r="H253" t="s">
        <v>1189</v>
      </c>
      <c r="I253" t="s">
        <v>1190</v>
      </c>
      <c r="J253" s="15" t="s">
        <v>919</v>
      </c>
      <c r="M253" s="1" t="s">
        <v>1191</v>
      </c>
      <c r="N253" t="s">
        <v>1759</v>
      </c>
    </row>
    <row r="254" spans="1:14" x14ac:dyDescent="0.2">
      <c r="A254">
        <v>590</v>
      </c>
      <c r="B254" t="b">
        <f t="shared" si="3"/>
        <v>1</v>
      </c>
      <c r="C254" t="s">
        <v>108</v>
      </c>
      <c r="D254" t="str">
        <f>IF(F254&lt;&gt;"",VLOOKUP(F254,PHA4GEVars!$A$7:$B$241,2,FALSE),"")</f>
        <v>Sample collection and processing</v>
      </c>
      <c r="E254" t="s">
        <v>1754</v>
      </c>
      <c r="F254" t="s">
        <v>1775</v>
      </c>
      <c r="G254" s="31" t="s">
        <v>922</v>
      </c>
      <c r="H254" t="s">
        <v>1189</v>
      </c>
      <c r="I254" t="s">
        <v>1190</v>
      </c>
      <c r="J254" s="15" t="s">
        <v>921</v>
      </c>
      <c r="M254" s="1" t="s">
        <v>1191</v>
      </c>
      <c r="N254" t="s">
        <v>1759</v>
      </c>
    </row>
    <row r="255" spans="1:14" x14ac:dyDescent="0.2">
      <c r="A255">
        <v>591</v>
      </c>
      <c r="B255" t="b">
        <f t="shared" si="3"/>
        <v>1</v>
      </c>
      <c r="C255" t="s">
        <v>108</v>
      </c>
      <c r="D255" t="str">
        <f>IF(F255&lt;&gt;"",VLOOKUP(F255,PHA4GEVars!$A$7:$B$241,2,FALSE),"")</f>
        <v>Sample collection and processing</v>
      </c>
      <c r="E255" t="s">
        <v>1754</v>
      </c>
      <c r="F255" t="s">
        <v>1775</v>
      </c>
      <c r="G255" s="31" t="s">
        <v>924</v>
      </c>
      <c r="H255" t="s">
        <v>1189</v>
      </c>
      <c r="I255" t="s">
        <v>1190</v>
      </c>
      <c r="J255" s="15" t="s">
        <v>923</v>
      </c>
      <c r="M255" s="1" t="s">
        <v>1191</v>
      </c>
      <c r="N255" t="s">
        <v>1759</v>
      </c>
    </row>
    <row r="256" spans="1:14" x14ac:dyDescent="0.2">
      <c r="A256">
        <v>592</v>
      </c>
      <c r="B256" t="b">
        <f t="shared" si="3"/>
        <v>1</v>
      </c>
      <c r="C256" t="s">
        <v>108</v>
      </c>
      <c r="D256" t="str">
        <f>IF(F256&lt;&gt;"",VLOOKUP(F256,PHA4GEVars!$A$7:$B$241,2,FALSE),"")</f>
        <v>Sample collection and processing</v>
      </c>
      <c r="E256" t="s">
        <v>1754</v>
      </c>
      <c r="F256" t="s">
        <v>1775</v>
      </c>
      <c r="G256" s="31" t="s">
        <v>926</v>
      </c>
      <c r="H256" t="s">
        <v>1189</v>
      </c>
      <c r="I256" t="s">
        <v>1190</v>
      </c>
      <c r="J256" s="15" t="s">
        <v>925</v>
      </c>
      <c r="M256" s="1" t="s">
        <v>1191</v>
      </c>
      <c r="N256" t="s">
        <v>1759</v>
      </c>
    </row>
    <row r="257" spans="1:14" x14ac:dyDescent="0.2">
      <c r="A257">
        <v>593</v>
      </c>
      <c r="B257" t="b">
        <f t="shared" si="3"/>
        <v>1</v>
      </c>
      <c r="C257" t="s">
        <v>108</v>
      </c>
      <c r="D257" t="str">
        <f>IF(F257&lt;&gt;"",VLOOKUP(F257,PHA4GEVars!$A$7:$B$241,2,FALSE),"")</f>
        <v>Sample collection and processing</v>
      </c>
      <c r="E257" t="s">
        <v>1754</v>
      </c>
      <c r="F257" t="s">
        <v>1775</v>
      </c>
      <c r="G257" s="31" t="s">
        <v>928</v>
      </c>
      <c r="H257" t="s">
        <v>1189</v>
      </c>
      <c r="I257" t="s">
        <v>1190</v>
      </c>
      <c r="J257" s="15" t="s">
        <v>927</v>
      </c>
      <c r="M257" s="1" t="s">
        <v>1191</v>
      </c>
      <c r="N257" t="s">
        <v>1759</v>
      </c>
    </row>
    <row r="258" spans="1:14" x14ac:dyDescent="0.2">
      <c r="A258">
        <v>594</v>
      </c>
      <c r="B258" t="b">
        <f t="shared" ref="B258:B272" si="4">IF(OR(G258="NA",H258="wide_value"),"",TRUE)</f>
        <v>1</v>
      </c>
      <c r="C258" t="s">
        <v>108</v>
      </c>
      <c r="D258" t="str">
        <f>IF(F258&lt;&gt;"",VLOOKUP(F258,PHA4GEVars!$A$7:$B$241,2,FALSE),"")</f>
        <v>Sample collection and processing</v>
      </c>
      <c r="E258" t="s">
        <v>1754</v>
      </c>
      <c r="F258" t="s">
        <v>1775</v>
      </c>
      <c r="G258" s="31" t="s">
        <v>930</v>
      </c>
      <c r="H258" t="s">
        <v>1189</v>
      </c>
      <c r="I258" t="s">
        <v>1190</v>
      </c>
      <c r="J258" s="15" t="s">
        <v>929</v>
      </c>
      <c r="M258" s="1" t="s">
        <v>1191</v>
      </c>
      <c r="N258" t="s">
        <v>1759</v>
      </c>
    </row>
    <row r="259" spans="1:14" x14ac:dyDescent="0.2">
      <c r="A259">
        <v>595</v>
      </c>
      <c r="B259" t="b">
        <f t="shared" si="4"/>
        <v>1</v>
      </c>
      <c r="C259" t="s">
        <v>108</v>
      </c>
      <c r="D259" t="str">
        <f>IF(F259&lt;&gt;"",VLOOKUP(F259,PHA4GEVars!$A$7:$B$241,2,FALSE),"")</f>
        <v>Sample collection and processing</v>
      </c>
      <c r="E259" t="s">
        <v>1754</v>
      </c>
      <c r="F259" t="s">
        <v>1775</v>
      </c>
      <c r="G259" s="31" t="s">
        <v>932</v>
      </c>
      <c r="H259" t="s">
        <v>1189</v>
      </c>
      <c r="I259" t="s">
        <v>1190</v>
      </c>
      <c r="J259" s="15" t="s">
        <v>931</v>
      </c>
      <c r="M259" s="1" t="s">
        <v>1191</v>
      </c>
      <c r="N259" t="s">
        <v>1759</v>
      </c>
    </row>
    <row r="260" spans="1:14" x14ac:dyDescent="0.2">
      <c r="A260">
        <v>596</v>
      </c>
      <c r="B260" t="b">
        <f t="shared" si="4"/>
        <v>1</v>
      </c>
      <c r="C260" t="s">
        <v>108</v>
      </c>
      <c r="D260" t="str">
        <f>IF(F260&lt;&gt;"",VLOOKUP(F260,PHA4GEVars!$A$7:$B$241,2,FALSE),"")</f>
        <v>Sample collection and processing</v>
      </c>
      <c r="E260" t="s">
        <v>1754</v>
      </c>
      <c r="F260" t="s">
        <v>1775</v>
      </c>
      <c r="G260" s="31" t="s">
        <v>934</v>
      </c>
      <c r="H260" t="s">
        <v>1189</v>
      </c>
      <c r="I260" t="s">
        <v>1190</v>
      </c>
      <c r="J260" s="15" t="s">
        <v>933</v>
      </c>
      <c r="M260" s="1" t="s">
        <v>1191</v>
      </c>
      <c r="N260" t="s">
        <v>1759</v>
      </c>
    </row>
    <row r="261" spans="1:14" x14ac:dyDescent="0.2">
      <c r="A261">
        <v>597</v>
      </c>
      <c r="B261" t="b">
        <f t="shared" si="4"/>
        <v>1</v>
      </c>
      <c r="C261" t="s">
        <v>108</v>
      </c>
      <c r="D261" t="str">
        <f>IF(F261&lt;&gt;"",VLOOKUP(F261,PHA4GEVars!$A$7:$B$241,2,FALSE),"")</f>
        <v>Sample collection and processing</v>
      </c>
      <c r="E261" t="s">
        <v>1754</v>
      </c>
      <c r="F261" t="s">
        <v>1775</v>
      </c>
      <c r="G261" s="31" t="s">
        <v>936</v>
      </c>
      <c r="H261" t="s">
        <v>1189</v>
      </c>
      <c r="I261" t="s">
        <v>1190</v>
      </c>
      <c r="J261" s="15" t="s">
        <v>935</v>
      </c>
      <c r="M261" s="1" t="s">
        <v>1191</v>
      </c>
      <c r="N261" t="s">
        <v>1759</v>
      </c>
    </row>
    <row r="262" spans="1:14" x14ac:dyDescent="0.2">
      <c r="A262">
        <v>598</v>
      </c>
      <c r="B262" t="b">
        <f t="shared" si="4"/>
        <v>1</v>
      </c>
      <c r="C262" t="s">
        <v>108</v>
      </c>
      <c r="D262" t="str">
        <f>IF(F262&lt;&gt;"",VLOOKUP(F262,PHA4GEVars!$A$7:$B$241,2,FALSE),"")</f>
        <v>Sample collection and processing</v>
      </c>
      <c r="E262" t="s">
        <v>1754</v>
      </c>
      <c r="F262" t="s">
        <v>1775</v>
      </c>
      <c r="G262" s="31" t="s">
        <v>938</v>
      </c>
      <c r="H262" t="s">
        <v>1189</v>
      </c>
      <c r="I262" t="s">
        <v>1190</v>
      </c>
      <c r="J262" s="15" t="s">
        <v>937</v>
      </c>
      <c r="M262" s="1" t="s">
        <v>1191</v>
      </c>
      <c r="N262" t="s">
        <v>1759</v>
      </c>
    </row>
    <row r="263" spans="1:14" x14ac:dyDescent="0.2">
      <c r="A263">
        <v>599</v>
      </c>
      <c r="B263" t="b">
        <f t="shared" si="4"/>
        <v>1</v>
      </c>
      <c r="C263" t="s">
        <v>108</v>
      </c>
      <c r="D263" t="str">
        <f>IF(F263&lt;&gt;"",VLOOKUP(F263,PHA4GEVars!$A$7:$B$241,2,FALSE),"")</f>
        <v>Sample collection and processing</v>
      </c>
      <c r="E263" t="s">
        <v>1754</v>
      </c>
      <c r="F263" t="s">
        <v>1775</v>
      </c>
      <c r="G263" s="31" t="s">
        <v>940</v>
      </c>
      <c r="H263" t="s">
        <v>1189</v>
      </c>
      <c r="I263" t="s">
        <v>1190</v>
      </c>
      <c r="J263" s="15" t="s">
        <v>939</v>
      </c>
      <c r="M263" s="1" t="s">
        <v>1191</v>
      </c>
      <c r="N263" t="s">
        <v>1759</v>
      </c>
    </row>
    <row r="264" spans="1:14" x14ac:dyDescent="0.2">
      <c r="A264">
        <v>600</v>
      </c>
      <c r="B264" t="b">
        <f t="shared" si="4"/>
        <v>1</v>
      </c>
      <c r="C264" t="s">
        <v>108</v>
      </c>
      <c r="D264" t="str">
        <f>IF(F264&lt;&gt;"",VLOOKUP(F264,PHA4GEVars!$A$7:$B$241,2,FALSE),"")</f>
        <v>Sample collection and processing</v>
      </c>
      <c r="E264" t="s">
        <v>1754</v>
      </c>
      <c r="F264" t="s">
        <v>1775</v>
      </c>
      <c r="G264" s="31" t="s">
        <v>942</v>
      </c>
      <c r="H264" t="s">
        <v>1189</v>
      </c>
      <c r="I264" t="s">
        <v>1190</v>
      </c>
      <c r="J264" s="15" t="s">
        <v>941</v>
      </c>
      <c r="M264" s="1" t="s">
        <v>1191</v>
      </c>
      <c r="N264" t="s">
        <v>1759</v>
      </c>
    </row>
    <row r="265" spans="1:14" x14ac:dyDescent="0.2">
      <c r="A265">
        <v>601</v>
      </c>
      <c r="B265" t="b">
        <f t="shared" si="4"/>
        <v>1</v>
      </c>
      <c r="C265" t="s">
        <v>108</v>
      </c>
      <c r="D265" t="str">
        <f>IF(F265&lt;&gt;"",VLOOKUP(F265,PHA4GEVars!$A$7:$B$241,2,FALSE),"")</f>
        <v>Sample collection and processing</v>
      </c>
      <c r="E265" t="s">
        <v>1754</v>
      </c>
      <c r="F265" t="s">
        <v>1775</v>
      </c>
      <c r="G265" s="31" t="s">
        <v>944</v>
      </c>
      <c r="H265" t="s">
        <v>1189</v>
      </c>
      <c r="I265" t="s">
        <v>1190</v>
      </c>
      <c r="J265" s="15" t="s">
        <v>943</v>
      </c>
      <c r="M265" s="1" t="s">
        <v>1191</v>
      </c>
      <c r="N265" t="s">
        <v>1759</v>
      </c>
    </row>
    <row r="266" spans="1:14" x14ac:dyDescent="0.2">
      <c r="A266">
        <v>602</v>
      </c>
      <c r="B266" t="b">
        <f t="shared" si="4"/>
        <v>1</v>
      </c>
      <c r="C266" t="s">
        <v>108</v>
      </c>
      <c r="D266" t="str">
        <f>IF(F266&lt;&gt;"",VLOOKUP(F266,PHA4GEVars!$A$7:$B$241,2,FALSE),"")</f>
        <v>Sample collection and processing</v>
      </c>
      <c r="E266" t="s">
        <v>1754</v>
      </c>
      <c r="F266" t="s">
        <v>1775</v>
      </c>
      <c r="G266" s="31" t="s">
        <v>945</v>
      </c>
      <c r="H266" t="s">
        <v>1189</v>
      </c>
      <c r="I266" s="15" t="s">
        <v>1190</v>
      </c>
      <c r="J266" s="15" t="s">
        <v>1416</v>
      </c>
      <c r="L266" t="s">
        <v>1396</v>
      </c>
      <c r="M266" s="1" t="s">
        <v>1191</v>
      </c>
      <c r="N266" t="s">
        <v>1759</v>
      </c>
    </row>
    <row r="267" spans="1:14" x14ac:dyDescent="0.2">
      <c r="A267">
        <v>603</v>
      </c>
      <c r="B267" t="b">
        <f t="shared" si="4"/>
        <v>1</v>
      </c>
      <c r="C267" t="s">
        <v>108</v>
      </c>
      <c r="D267" t="str">
        <f>IF(F267&lt;&gt;"",VLOOKUP(F267,PHA4GEVars!$A$7:$B$241,2,FALSE),"")</f>
        <v>Sample collection and processing</v>
      </c>
      <c r="E267" t="s">
        <v>1754</v>
      </c>
      <c r="F267" t="s">
        <v>1775</v>
      </c>
      <c r="G267" s="31" t="s">
        <v>947</v>
      </c>
      <c r="H267" t="s">
        <v>1189</v>
      </c>
      <c r="I267" t="s">
        <v>1190</v>
      </c>
      <c r="J267" s="15" t="s">
        <v>946</v>
      </c>
      <c r="M267" s="1" t="s">
        <v>1191</v>
      </c>
      <c r="N267" t="s">
        <v>1759</v>
      </c>
    </row>
    <row r="268" spans="1:14" x14ac:dyDescent="0.2">
      <c r="A268">
        <v>604</v>
      </c>
      <c r="B268" t="b">
        <f t="shared" si="4"/>
        <v>1</v>
      </c>
      <c r="C268" t="s">
        <v>108</v>
      </c>
      <c r="D268" t="str">
        <f>IF(F268&lt;&gt;"",VLOOKUP(F268,PHA4GEVars!$A$7:$B$241,2,FALSE),"")</f>
        <v>Sample collection and processing</v>
      </c>
      <c r="E268" t="s">
        <v>1754</v>
      </c>
      <c r="F268" t="s">
        <v>1775</v>
      </c>
      <c r="G268" s="31" t="s">
        <v>948</v>
      </c>
      <c r="H268" t="s">
        <v>1189</v>
      </c>
      <c r="I268" s="15" t="s">
        <v>1190</v>
      </c>
      <c r="J268" s="15" t="s">
        <v>1417</v>
      </c>
      <c r="L268" t="s">
        <v>1406</v>
      </c>
      <c r="M268" s="1" t="s">
        <v>1191</v>
      </c>
      <c r="N268" t="s">
        <v>1759</v>
      </c>
    </row>
    <row r="269" spans="1:14" x14ac:dyDescent="0.2">
      <c r="A269">
        <v>605</v>
      </c>
      <c r="B269" t="b">
        <f t="shared" si="4"/>
        <v>1</v>
      </c>
      <c r="C269" t="s">
        <v>108</v>
      </c>
      <c r="D269" t="str">
        <f>IF(F269&lt;&gt;"",VLOOKUP(F269,PHA4GEVars!$A$7:$B$241,2,FALSE),"")</f>
        <v>Sample collection and processing</v>
      </c>
      <c r="E269" t="s">
        <v>1754</v>
      </c>
      <c r="F269" t="s">
        <v>1775</v>
      </c>
      <c r="G269" s="31" t="s">
        <v>950</v>
      </c>
      <c r="H269" t="s">
        <v>1189</v>
      </c>
      <c r="I269" t="s">
        <v>1190</v>
      </c>
      <c r="J269" s="15" t="s">
        <v>949</v>
      </c>
      <c r="M269" s="1" t="s">
        <v>1191</v>
      </c>
      <c r="N269" t="s">
        <v>1759</v>
      </c>
    </row>
    <row r="270" spans="1:14" x14ac:dyDescent="0.2">
      <c r="A270">
        <v>606</v>
      </c>
      <c r="B270" t="b">
        <f t="shared" si="4"/>
        <v>1</v>
      </c>
      <c r="C270" t="s">
        <v>108</v>
      </c>
      <c r="D270" t="str">
        <f>IF(F270&lt;&gt;"",VLOOKUP(F270,PHA4GEVars!$A$7:$B$241,2,FALSE),"")</f>
        <v>Sample collection and processing</v>
      </c>
      <c r="E270" t="s">
        <v>1754</v>
      </c>
      <c r="F270" t="s">
        <v>1775</v>
      </c>
      <c r="G270" s="31" t="s">
        <v>952</v>
      </c>
      <c r="H270" t="s">
        <v>1189</v>
      </c>
      <c r="I270" t="s">
        <v>1190</v>
      </c>
      <c r="J270" s="15" t="s">
        <v>951</v>
      </c>
      <c r="M270" s="1" t="s">
        <v>1191</v>
      </c>
      <c r="N270" t="s">
        <v>1759</v>
      </c>
    </row>
    <row r="271" spans="1:14" x14ac:dyDescent="0.2">
      <c r="A271">
        <v>607</v>
      </c>
      <c r="B271" t="b">
        <f t="shared" si="4"/>
        <v>1</v>
      </c>
      <c r="C271" t="s">
        <v>108</v>
      </c>
      <c r="D271" t="str">
        <f>IF(F271&lt;&gt;"",VLOOKUP(F271,PHA4GEVars!$A$7:$B$241,2,FALSE),"")</f>
        <v>Sample collection and processing</v>
      </c>
      <c r="E271" t="s">
        <v>1754</v>
      </c>
      <c r="F271" t="s">
        <v>1775</v>
      </c>
      <c r="G271" s="31" t="s">
        <v>954</v>
      </c>
      <c r="H271" t="s">
        <v>1189</v>
      </c>
      <c r="I271" t="s">
        <v>1190</v>
      </c>
      <c r="J271" s="15" t="s">
        <v>953</v>
      </c>
      <c r="M271" s="1" t="s">
        <v>1191</v>
      </c>
      <c r="N271" t="s">
        <v>1759</v>
      </c>
    </row>
    <row r="272" spans="1:14" x14ac:dyDescent="0.2">
      <c r="A272">
        <v>608</v>
      </c>
      <c r="B272" t="b">
        <f t="shared" si="4"/>
        <v>1</v>
      </c>
      <c r="C272" t="s">
        <v>108</v>
      </c>
      <c r="D272" t="str">
        <f>IF(F272&lt;&gt;"",VLOOKUP(F272,PHA4GEVars!$A$7:$B$241,2,FALSE),"")</f>
        <v>Sample collection and processing</v>
      </c>
      <c r="E272" t="s">
        <v>1754</v>
      </c>
      <c r="F272" t="s">
        <v>1775</v>
      </c>
      <c r="G272" s="31" t="s">
        <v>956</v>
      </c>
      <c r="H272" t="s">
        <v>1189</v>
      </c>
      <c r="I272" t="s">
        <v>1190</v>
      </c>
      <c r="J272" s="15" t="s">
        <v>955</v>
      </c>
      <c r="M272" s="1" t="s">
        <v>1191</v>
      </c>
      <c r="N272" t="s">
        <v>1759</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H1" workbookViewId="0">
      <pane ySplit="1" topLeftCell="A2" activePane="bottomLeft" state="frozen"/>
      <selection pane="bottomLeft" activeCell="N1" sqref="N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1676</v>
      </c>
      <c r="N1" s="16" t="s">
        <v>8</v>
      </c>
      <c r="O1" s="16" t="s">
        <v>9</v>
      </c>
      <c r="P1" s="16" t="s">
        <v>1668</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1754</v>
      </c>
      <c r="G2" s="15" t="s">
        <v>1777</v>
      </c>
      <c r="H2" s="15"/>
      <c r="I2" s="15" t="s">
        <v>1189</v>
      </c>
      <c r="J2" s="15"/>
      <c r="K2" s="15" t="s">
        <v>9</v>
      </c>
      <c r="L2" s="15" t="s">
        <v>1679</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1754</v>
      </c>
      <c r="G3" s="15" t="s">
        <v>1778</v>
      </c>
      <c r="H3" s="15"/>
      <c r="I3" s="15" t="s">
        <v>1189</v>
      </c>
      <c r="J3" s="15"/>
      <c r="K3" s="15" t="s">
        <v>1288</v>
      </c>
      <c r="L3" s="15" t="s">
        <v>1287</v>
      </c>
      <c r="M3" s="15"/>
      <c r="N3" s="15"/>
      <c r="O3" s="18" t="s">
        <v>1289</v>
      </c>
      <c r="P3" s="15" t="s">
        <v>1680</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1754</v>
      </c>
      <c r="G4" s="15" t="s">
        <v>1775</v>
      </c>
      <c r="H4" s="32"/>
      <c r="I4" s="15" t="s">
        <v>1189</v>
      </c>
      <c r="J4" s="15"/>
      <c r="K4" s="15" t="s">
        <v>1190</v>
      </c>
      <c r="L4" s="15" t="s">
        <v>1758</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1754</v>
      </c>
      <c r="G5" s="15" t="s">
        <v>1776</v>
      </c>
      <c r="H5" s="32"/>
      <c r="I5" s="15" t="s">
        <v>1189</v>
      </c>
      <c r="J5" s="15"/>
      <c r="K5" s="15" t="s">
        <v>1290</v>
      </c>
      <c r="L5" s="15" t="s">
        <v>1291</v>
      </c>
      <c r="M5" s="15"/>
      <c r="N5" s="15"/>
      <c r="O5" s="18" t="s">
        <v>1292</v>
      </c>
      <c r="P5" s="15" t="s">
        <v>1681</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1765</v>
      </c>
      <c r="C1" s="16" t="s">
        <v>1</v>
      </c>
      <c r="D1" s="16" t="s">
        <v>2</v>
      </c>
      <c r="E1" s="16" t="s">
        <v>3</v>
      </c>
      <c r="F1" s="16" t="s">
        <v>4</v>
      </c>
      <c r="G1" s="10" t="s">
        <v>1016</v>
      </c>
      <c r="H1" s="10" t="s">
        <v>1751</v>
      </c>
      <c r="I1" s="10" t="s">
        <v>1969</v>
      </c>
      <c r="J1" s="10" t="s">
        <v>1974</v>
      </c>
      <c r="K1" s="10" t="s">
        <v>1748</v>
      </c>
      <c r="L1" s="10" t="s">
        <v>2018</v>
      </c>
      <c r="M1" s="10" t="s">
        <v>1749</v>
      </c>
      <c r="N1" s="10" t="s">
        <v>1750</v>
      </c>
      <c r="O1" s="10" t="s">
        <v>9</v>
      </c>
    </row>
    <row r="2" spans="1:15" x14ac:dyDescent="0.2">
      <c r="B2" t="str">
        <f>IF(D2&lt;&gt;"",VLOOKUP(D2,PHA4GEVars!$A$7:$B$241,2,FALSE),"")</f>
        <v/>
      </c>
      <c r="C2" t="s">
        <v>1755</v>
      </c>
    </row>
    <row r="3" spans="1:15" ht="320" x14ac:dyDescent="0.2">
      <c r="A3" t="b">
        <v>1</v>
      </c>
      <c r="B3" t="str">
        <f>IF(D3&lt;&gt;"",VLOOKUP(D3,PHA4GEVars!$A$7:$B$241,2,FALSE),"")</f>
        <v>Sample collection and processing</v>
      </c>
      <c r="C3" t="s">
        <v>1754</v>
      </c>
      <c r="D3" t="s">
        <v>109</v>
      </c>
      <c r="F3" t="s">
        <v>1192</v>
      </c>
      <c r="H3" t="s">
        <v>1232</v>
      </c>
      <c r="I3" t="s">
        <v>127</v>
      </c>
      <c r="J3" t="s">
        <v>127</v>
      </c>
      <c r="K3" t="s">
        <v>1293</v>
      </c>
      <c r="L3" t="s">
        <v>127</v>
      </c>
      <c r="M3" s="30" t="s">
        <v>1819</v>
      </c>
      <c r="N3" s="30" t="s">
        <v>1820</v>
      </c>
    </row>
    <row r="4" spans="1:15" x14ac:dyDescent="0.2">
      <c r="A4" t="b">
        <v>1</v>
      </c>
      <c r="B4" t="str">
        <f>IF(D4&lt;&gt;"",VLOOKUP(D4,PHA4GEVars!$A$7:$B$241,2,FALSE),"")</f>
        <v>Sequence information</v>
      </c>
      <c r="C4" t="s">
        <v>1754</v>
      </c>
      <c r="D4" t="s">
        <v>17</v>
      </c>
      <c r="F4" t="s">
        <v>1192</v>
      </c>
      <c r="H4" t="s">
        <v>1450</v>
      </c>
      <c r="I4" t="s">
        <v>120</v>
      </c>
      <c r="J4" t="s">
        <v>120</v>
      </c>
      <c r="K4" t="s">
        <v>1449</v>
      </c>
      <c r="L4" t="s">
        <v>120</v>
      </c>
    </row>
    <row r="5" spans="1:15" ht="304" x14ac:dyDescent="0.2">
      <c r="A5" t="b">
        <v>1</v>
      </c>
      <c r="B5" t="str">
        <f>IF(D5&lt;&gt;"",VLOOKUP(D5,PHA4GEVars!$A$7:$B$241,2,FALSE),"")</f>
        <v>Sequence information</v>
      </c>
      <c r="C5" t="s">
        <v>1754</v>
      </c>
      <c r="D5" t="s">
        <v>1106</v>
      </c>
      <c r="F5" t="s">
        <v>1192</v>
      </c>
      <c r="H5" t="s">
        <v>1578</v>
      </c>
      <c r="I5" t="s">
        <v>1105</v>
      </c>
      <c r="J5" t="s">
        <v>1105</v>
      </c>
      <c r="K5" t="s">
        <v>1454</v>
      </c>
      <c r="L5" t="s">
        <v>1105</v>
      </c>
      <c r="M5" s="30" t="s">
        <v>1821</v>
      </c>
      <c r="N5" s="30" t="s">
        <v>1822</v>
      </c>
    </row>
    <row r="6" spans="1:15" ht="304" x14ac:dyDescent="0.2">
      <c r="A6" t="b">
        <v>1</v>
      </c>
      <c r="B6" t="str">
        <f>IF(D6&lt;&gt;"",VLOOKUP(D6,PHA4GEVars!$A$7:$B$241,2,FALSE),"")</f>
        <v>Strain and isolation information</v>
      </c>
      <c r="C6" t="s">
        <v>1754</v>
      </c>
      <c r="D6" t="s">
        <v>1099</v>
      </c>
      <c r="F6" t="s">
        <v>1192</v>
      </c>
      <c r="H6" t="s">
        <v>1451</v>
      </c>
      <c r="I6" t="s">
        <v>1097</v>
      </c>
      <c r="J6" t="s">
        <v>1097</v>
      </c>
      <c r="K6" t="s">
        <v>1453</v>
      </c>
      <c r="L6" t="s">
        <v>1097</v>
      </c>
      <c r="M6" s="30" t="s">
        <v>1823</v>
      </c>
      <c r="N6" s="30" t="s">
        <v>1824</v>
      </c>
    </row>
    <row r="7" spans="1:15" x14ac:dyDescent="0.2">
      <c r="A7" t="b">
        <v>1</v>
      </c>
      <c r="B7" t="str">
        <f>IF(D7&lt;&gt;"",VLOOKUP(D7,PHA4GEVars!$A$7:$B$241,2,FALSE),"")</f>
        <v>Sample collection and processing</v>
      </c>
      <c r="C7" t="s">
        <v>1754</v>
      </c>
      <c r="D7" t="s">
        <v>1774</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1386</v>
      </c>
      <c r="B1" s="17" t="s">
        <v>1669</v>
      </c>
      <c r="C1" s="17" t="s">
        <v>0</v>
      </c>
      <c r="D1" s="17" t="s">
        <v>10</v>
      </c>
      <c r="E1" s="17" t="s">
        <v>1765</v>
      </c>
      <c r="F1" s="17" t="s">
        <v>1</v>
      </c>
      <c r="G1" s="17" t="s">
        <v>2</v>
      </c>
      <c r="H1" s="17" t="s">
        <v>3</v>
      </c>
      <c r="I1" s="17" t="s">
        <v>4</v>
      </c>
      <c r="J1" s="17" t="s">
        <v>1688</v>
      </c>
      <c r="K1" s="17" t="s">
        <v>5</v>
      </c>
      <c r="L1" s="17" t="s">
        <v>6</v>
      </c>
      <c r="M1" s="17" t="s">
        <v>1726</v>
      </c>
      <c r="N1" s="17" t="s">
        <v>1676</v>
      </c>
      <c r="O1" s="17" t="s">
        <v>8</v>
      </c>
      <c r="P1" s="17" t="s">
        <v>9</v>
      </c>
      <c r="Q1" s="17" t="s">
        <v>1668</v>
      </c>
    </row>
    <row r="2" spans="1:17" s="17" customFormat="1" x14ac:dyDescent="0.2">
      <c r="A2" s="17">
        <v>47</v>
      </c>
      <c r="B2" s="17" t="b">
        <v>1</v>
      </c>
      <c r="C2" s="17" t="b">
        <v>0</v>
      </c>
      <c r="D2" s="17" t="s">
        <v>130</v>
      </c>
      <c r="E2" s="17" t="str">
        <f>IF(G2&lt;&gt;"",VLOOKUP(G2,PHA4GEVars!$A$7:$B$241,2,FALSE),"")</f>
        <v>Contributor acknowledgement</v>
      </c>
      <c r="F2" s="17" t="s">
        <v>1754</v>
      </c>
      <c r="G2" s="17" t="s">
        <v>131</v>
      </c>
      <c r="I2" s="17" t="s">
        <v>1152</v>
      </c>
      <c r="K2" s="17" t="s">
        <v>1153</v>
      </c>
      <c r="L2" s="17" t="s">
        <v>1154</v>
      </c>
      <c r="P2" s="19" t="s">
        <v>1155</v>
      </c>
      <c r="Q2" s="17" t="s">
        <v>1807</v>
      </c>
    </row>
    <row r="3" spans="1:17" x14ac:dyDescent="0.2">
      <c r="B3" t="b">
        <v>1</v>
      </c>
      <c r="C3" t="b">
        <v>1</v>
      </c>
      <c r="F3" t="s">
        <v>1754</v>
      </c>
      <c r="I3" t="s">
        <v>1152</v>
      </c>
      <c r="K3" t="s">
        <v>2101</v>
      </c>
      <c r="M3" t="s">
        <v>2102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L3"/>
  <sheetViews>
    <sheetView workbookViewId="0">
      <pane ySplit="1" topLeftCell="A2" activePane="bottomLeft" state="frozen"/>
      <selection pane="bottomLeft" activeCell="J5" sqref="J5"/>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0" width="28" bestFit="1" customWidth="1"/>
    <col min="11" max="11" width="52.6640625" bestFit="1" customWidth="1"/>
    <col min="12" max="12" width="48.33203125" bestFit="1" customWidth="1"/>
  </cols>
  <sheetData>
    <row r="1" spans="1:12" s="17" customFormat="1" x14ac:dyDescent="0.2">
      <c r="A1" s="17" t="s">
        <v>0</v>
      </c>
      <c r="B1" s="17" t="s">
        <v>1765</v>
      </c>
      <c r="C1" s="17" t="s">
        <v>1856</v>
      </c>
      <c r="D1" s="16" t="s">
        <v>1</v>
      </c>
      <c r="E1" s="16" t="s">
        <v>2</v>
      </c>
      <c r="F1" s="16" t="s">
        <v>3</v>
      </c>
      <c r="G1" s="16" t="s">
        <v>4</v>
      </c>
      <c r="H1" s="10" t="s">
        <v>1016</v>
      </c>
      <c r="I1" s="10" t="s">
        <v>1962</v>
      </c>
      <c r="J1" s="10" t="s">
        <v>1752</v>
      </c>
      <c r="K1" s="10" t="s">
        <v>9</v>
      </c>
      <c r="L1" s="17" t="s">
        <v>1678</v>
      </c>
    </row>
    <row r="2" spans="1:12" x14ac:dyDescent="0.2">
      <c r="A2" t="b">
        <v>1</v>
      </c>
      <c r="B2" t="str">
        <f>IF(E2&lt;&gt;"",VLOOKUP(E2,PHA4GEVars!$A$7:$B$241,2,FALSE),"")</f>
        <v>Database identifiers</v>
      </c>
      <c r="D2" t="s">
        <v>1754</v>
      </c>
      <c r="E2" t="s">
        <v>1076</v>
      </c>
      <c r="G2" t="s">
        <v>1152</v>
      </c>
      <c r="I2" t="s">
        <v>1076</v>
      </c>
      <c r="J2" t="s">
        <v>1181</v>
      </c>
      <c r="K2" s="1" t="s">
        <v>1182</v>
      </c>
      <c r="L2" t="s">
        <v>1671</v>
      </c>
    </row>
    <row r="3" spans="1:12" x14ac:dyDescent="0.2">
      <c r="A3" t="b">
        <v>0</v>
      </c>
      <c r="B3" t="str">
        <f>IF(E3&lt;&gt;"",VLOOKUP(E3,PHA4GEVars!$A$7:$B$241,2,FALSE),"")</f>
        <v>Strain and isolation information</v>
      </c>
      <c r="C3" t="s">
        <v>1920</v>
      </c>
      <c r="D3" t="s">
        <v>1754</v>
      </c>
      <c r="E3" t="s">
        <v>1098</v>
      </c>
      <c r="G3" t="s">
        <v>1152</v>
      </c>
      <c r="I3" t="s">
        <v>1098</v>
      </c>
      <c r="J3" t="s">
        <v>1452</v>
      </c>
      <c r="K3" s="1" t="s">
        <v>1599</v>
      </c>
      <c r="L3" t="s">
        <v>1918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topLeftCell="C1" zoomScale="111" zoomScaleNormal="111" workbookViewId="0">
      <pane ySplit="1" topLeftCell="A57" activePane="bottomLeft" state="frozen"/>
      <selection pane="bottomLeft" activeCell="M80" sqref="M80"/>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8</v>
      </c>
      <c r="O1" s="16" t="s">
        <v>9</v>
      </c>
      <c r="P1" s="17" t="s">
        <v>1668</v>
      </c>
    </row>
    <row r="2" spans="1:16" x14ac:dyDescent="0.2">
      <c r="A2" s="15"/>
      <c r="B2" s="15" t="b">
        <v>1</v>
      </c>
      <c r="C2" s="15" t="b">
        <v>1</v>
      </c>
      <c r="D2" s="15"/>
      <c r="E2" t="str">
        <f>IF(G2&lt;&gt;"",VLOOKUP(G2,PHA4GEVars!$A$7:$B$241,2,FALSE),"")</f>
        <v/>
      </c>
      <c r="F2" s="15" t="s">
        <v>1754</v>
      </c>
      <c r="G2" s="15"/>
      <c r="H2" s="15"/>
      <c r="I2" s="15" t="s">
        <v>1592</v>
      </c>
      <c r="J2" s="15"/>
      <c r="K2" s="15" t="s">
        <v>1742</v>
      </c>
      <c r="L2" s="15"/>
      <c r="M2" s="15" t="s">
        <v>1743</v>
      </c>
      <c r="N2" s="15"/>
      <c r="O2" s="15"/>
    </row>
    <row r="3" spans="1:16" x14ac:dyDescent="0.2">
      <c r="A3" s="15"/>
      <c r="B3" s="15"/>
      <c r="C3" s="15"/>
      <c r="D3" s="15"/>
      <c r="E3" t="str">
        <f>IF(G3&lt;&gt;"",VLOOKUP(G3,PHA4GEVars!$A$7:$B$241,2,FALSE),"")</f>
        <v/>
      </c>
      <c r="F3" s="15"/>
      <c r="G3" s="15"/>
      <c r="H3" s="15"/>
      <c r="I3" s="15"/>
      <c r="J3" s="15"/>
      <c r="K3" s="15"/>
      <c r="L3" s="15"/>
      <c r="M3" s="15"/>
      <c r="N3" s="15"/>
      <c r="O3" s="15"/>
    </row>
    <row r="4" spans="1:16" x14ac:dyDescent="0.2">
      <c r="A4" s="15">
        <v>742</v>
      </c>
      <c r="B4" s="15" t="b">
        <v>1</v>
      </c>
      <c r="C4" s="15" t="b">
        <v>1</v>
      </c>
      <c r="D4" s="15" t="s">
        <v>16</v>
      </c>
      <c r="E4" t="str">
        <f>IF(G4&lt;&gt;"",VLOOKUP(G4,PHA4GEVars!$A$7:$B$241,2,FALSE),"")</f>
        <v>Sequence information</v>
      </c>
      <c r="F4" s="15" t="s">
        <v>1754</v>
      </c>
      <c r="G4" s="15" t="s">
        <v>19</v>
      </c>
      <c r="H4" s="15" t="s">
        <v>341</v>
      </c>
      <c r="I4" s="15" t="s">
        <v>1592</v>
      </c>
      <c r="J4" s="15"/>
      <c r="K4" s="15" t="s">
        <v>1153</v>
      </c>
      <c r="L4" s="15"/>
      <c r="M4" s="15" t="s">
        <v>2117</v>
      </c>
      <c r="N4" s="15"/>
      <c r="O4" s="18" t="s">
        <v>1634</v>
      </c>
    </row>
    <row r="5" spans="1:16" x14ac:dyDescent="0.2">
      <c r="A5" s="15">
        <v>743</v>
      </c>
      <c r="B5" s="15" t="b">
        <v>1</v>
      </c>
      <c r="C5" s="15" t="b">
        <v>1</v>
      </c>
      <c r="D5" s="15" t="s">
        <v>16</v>
      </c>
      <c r="E5" t="str">
        <f>IF(G5&lt;&gt;"",VLOOKUP(G5,PHA4GEVars!$A$7:$B$241,2,FALSE),"")</f>
        <v>Sequence information</v>
      </c>
      <c r="F5" s="15" t="s">
        <v>1754</v>
      </c>
      <c r="G5" s="15" t="s">
        <v>19</v>
      </c>
      <c r="H5" s="15" t="s">
        <v>352</v>
      </c>
      <c r="I5" s="15" t="s">
        <v>1592</v>
      </c>
      <c r="J5" s="15"/>
      <c r="K5" s="15" t="s">
        <v>1153</v>
      </c>
      <c r="L5" s="15"/>
      <c r="M5" s="15" t="s">
        <v>2117</v>
      </c>
      <c r="N5" s="15"/>
      <c r="O5" s="18" t="s">
        <v>1634</v>
      </c>
    </row>
    <row r="6" spans="1:16" x14ac:dyDescent="0.2">
      <c r="A6" s="15">
        <v>744</v>
      </c>
      <c r="B6" s="15" t="b">
        <v>1</v>
      </c>
      <c r="C6" s="15" t="b">
        <v>1</v>
      </c>
      <c r="D6" s="15" t="s">
        <v>16</v>
      </c>
      <c r="E6" t="str">
        <f>IF(G6&lt;&gt;"",VLOOKUP(G6,PHA4GEVars!$A$7:$B$241,2,FALSE),"")</f>
        <v>Sequence information</v>
      </c>
      <c r="F6" s="15" t="s">
        <v>1754</v>
      </c>
      <c r="G6" s="15" t="s">
        <v>19</v>
      </c>
      <c r="H6" s="15" t="s">
        <v>353</v>
      </c>
      <c r="I6" s="15" t="s">
        <v>1592</v>
      </c>
      <c r="J6" s="15"/>
      <c r="K6" s="15" t="s">
        <v>1153</v>
      </c>
      <c r="L6" s="15"/>
      <c r="M6" s="15" t="s">
        <v>2117</v>
      </c>
      <c r="N6" s="15"/>
      <c r="O6" s="18" t="s">
        <v>1634</v>
      </c>
    </row>
    <row r="7" spans="1:16" x14ac:dyDescent="0.2">
      <c r="A7" s="15">
        <v>745</v>
      </c>
      <c r="B7" s="15" t="b">
        <v>1</v>
      </c>
      <c r="C7" s="15" t="b">
        <v>1</v>
      </c>
      <c r="D7" s="15" t="s">
        <v>16</v>
      </c>
      <c r="E7" t="str">
        <f>IF(G7&lt;&gt;"",VLOOKUP(G7,PHA4GEVars!$A$7:$B$241,2,FALSE),"")</f>
        <v>Sequence information</v>
      </c>
      <c r="F7" s="15" t="s">
        <v>1754</v>
      </c>
      <c r="G7" s="15" t="s">
        <v>19</v>
      </c>
      <c r="H7" s="15" t="s">
        <v>354</v>
      </c>
      <c r="I7" s="15" t="s">
        <v>1592</v>
      </c>
      <c r="J7" s="15"/>
      <c r="K7" s="15" t="s">
        <v>1153</v>
      </c>
      <c r="L7" s="15"/>
      <c r="M7" s="15" t="s">
        <v>2117</v>
      </c>
      <c r="N7" s="15"/>
      <c r="O7" s="18" t="s">
        <v>1634</v>
      </c>
    </row>
    <row r="8" spans="1:16" x14ac:dyDescent="0.2">
      <c r="A8" s="15">
        <v>746</v>
      </c>
      <c r="B8" s="15" t="b">
        <v>1</v>
      </c>
      <c r="C8" s="15" t="b">
        <v>1</v>
      </c>
      <c r="D8" s="15" t="s">
        <v>16</v>
      </c>
      <c r="E8" t="str">
        <f>IF(G8&lt;&gt;"",VLOOKUP(G8,PHA4GEVars!$A$7:$B$241,2,FALSE),"")</f>
        <v>Sequence information</v>
      </c>
      <c r="F8" s="15" t="s">
        <v>1754</v>
      </c>
      <c r="G8" s="15" t="s">
        <v>19</v>
      </c>
      <c r="H8" s="15" t="s">
        <v>355</v>
      </c>
      <c r="I8" s="15" t="s">
        <v>1592</v>
      </c>
      <c r="J8" s="15"/>
      <c r="K8" s="15" t="s">
        <v>1153</v>
      </c>
      <c r="L8" s="15"/>
      <c r="M8" s="15" t="s">
        <v>2117</v>
      </c>
      <c r="N8" s="15"/>
      <c r="O8" s="18" t="s">
        <v>1634</v>
      </c>
    </row>
    <row r="9" spans="1:16" x14ac:dyDescent="0.2">
      <c r="A9" s="15">
        <v>747</v>
      </c>
      <c r="B9" s="15" t="b">
        <v>1</v>
      </c>
      <c r="C9" s="15" t="b">
        <v>1</v>
      </c>
      <c r="D9" s="15" t="s">
        <v>16</v>
      </c>
      <c r="E9" t="str">
        <f>IF(G9&lt;&gt;"",VLOOKUP(G9,PHA4GEVars!$A$7:$B$241,2,FALSE),"")</f>
        <v>Sequence information</v>
      </c>
      <c r="F9" s="15" t="s">
        <v>1754</v>
      </c>
      <c r="G9" s="15" t="s">
        <v>19</v>
      </c>
      <c r="H9" s="15" t="s">
        <v>356</v>
      </c>
      <c r="I9" s="15" t="s">
        <v>1592</v>
      </c>
      <c r="J9" s="15"/>
      <c r="K9" s="15" t="s">
        <v>1153</v>
      </c>
      <c r="L9" s="15"/>
      <c r="M9" s="15" t="s">
        <v>2117</v>
      </c>
      <c r="N9" s="15"/>
      <c r="O9" s="18" t="s">
        <v>1634</v>
      </c>
    </row>
    <row r="10" spans="1:16" x14ac:dyDescent="0.2">
      <c r="A10" s="15">
        <v>748</v>
      </c>
      <c r="B10" s="15" t="b">
        <v>1</v>
      </c>
      <c r="C10" s="15" t="b">
        <v>1</v>
      </c>
      <c r="D10" s="15" t="s">
        <v>16</v>
      </c>
      <c r="E10" t="str">
        <f>IF(G10&lt;&gt;"",VLOOKUP(G10,PHA4GEVars!$A$7:$B$241,2,FALSE),"")</f>
        <v>Sequence information</v>
      </c>
      <c r="F10" s="15" t="s">
        <v>1754</v>
      </c>
      <c r="G10" s="15" t="s">
        <v>19</v>
      </c>
      <c r="H10" s="15" t="s">
        <v>357</v>
      </c>
      <c r="I10" s="15" t="s">
        <v>1592</v>
      </c>
      <c r="J10" s="15"/>
      <c r="K10" s="15" t="s">
        <v>1153</v>
      </c>
      <c r="L10" s="15"/>
      <c r="M10" s="15" t="s">
        <v>2117</v>
      </c>
      <c r="N10" s="15"/>
      <c r="O10" s="18" t="s">
        <v>1634</v>
      </c>
    </row>
    <row r="11" spans="1:16" x14ac:dyDescent="0.2">
      <c r="A11" s="15">
        <v>749</v>
      </c>
      <c r="B11" s="15" t="b">
        <v>1</v>
      </c>
      <c r="C11" s="15" t="b">
        <v>1</v>
      </c>
      <c r="D11" s="15" t="s">
        <v>16</v>
      </c>
      <c r="E11" t="str">
        <f>IF(G11&lt;&gt;"",VLOOKUP(G11,PHA4GEVars!$A$7:$B$241,2,FALSE),"")</f>
        <v>Sequence information</v>
      </c>
      <c r="F11" s="15" t="s">
        <v>1754</v>
      </c>
      <c r="G11" s="15" t="s">
        <v>19</v>
      </c>
      <c r="H11" s="15" t="s">
        <v>358</v>
      </c>
      <c r="I11" s="15" t="s">
        <v>1592</v>
      </c>
      <c r="J11" s="15"/>
      <c r="K11" s="15" t="s">
        <v>1153</v>
      </c>
      <c r="L11" s="15"/>
      <c r="M11" s="15" t="s">
        <v>2117</v>
      </c>
      <c r="N11" s="15"/>
      <c r="O11" s="18" t="s">
        <v>1634</v>
      </c>
    </row>
    <row r="12" spans="1:16" x14ac:dyDescent="0.2">
      <c r="A12" s="15">
        <v>750</v>
      </c>
      <c r="B12" s="15" t="b">
        <v>1</v>
      </c>
      <c r="C12" s="15" t="b">
        <v>1</v>
      </c>
      <c r="D12" s="15" t="s">
        <v>16</v>
      </c>
      <c r="E12" t="str">
        <f>IF(G12&lt;&gt;"",VLOOKUP(G12,PHA4GEVars!$A$7:$B$241,2,FALSE),"")</f>
        <v>Sequence information</v>
      </c>
      <c r="F12" s="15" t="s">
        <v>1754</v>
      </c>
      <c r="G12" s="15" t="s">
        <v>19</v>
      </c>
      <c r="H12" s="15" t="s">
        <v>359</v>
      </c>
      <c r="I12" s="15" t="s">
        <v>1592</v>
      </c>
      <c r="J12" s="15"/>
      <c r="K12" s="15" t="s">
        <v>1153</v>
      </c>
      <c r="L12" s="15"/>
      <c r="M12" s="15" t="s">
        <v>2117</v>
      </c>
      <c r="N12" s="15"/>
      <c r="O12" s="18" t="s">
        <v>1634</v>
      </c>
    </row>
    <row r="13" spans="1:16" x14ac:dyDescent="0.2">
      <c r="A13" s="15">
        <v>751</v>
      </c>
      <c r="B13" s="15" t="b">
        <v>1</v>
      </c>
      <c r="C13" s="15" t="b">
        <v>1</v>
      </c>
      <c r="D13" s="15" t="s">
        <v>16</v>
      </c>
      <c r="E13" t="str">
        <f>IF(G13&lt;&gt;"",VLOOKUP(G13,PHA4GEVars!$A$7:$B$241,2,FALSE),"")</f>
        <v>Sequence information</v>
      </c>
      <c r="F13" s="15" t="s">
        <v>1754</v>
      </c>
      <c r="G13" s="15" t="s">
        <v>19</v>
      </c>
      <c r="H13" s="15" t="s">
        <v>360</v>
      </c>
      <c r="I13" s="15" t="s">
        <v>1592</v>
      </c>
      <c r="J13" s="15"/>
      <c r="K13" s="15" t="s">
        <v>1153</v>
      </c>
      <c r="L13" s="15"/>
      <c r="M13" s="15" t="s">
        <v>2117</v>
      </c>
      <c r="N13" s="15"/>
      <c r="O13" s="18" t="s">
        <v>1634</v>
      </c>
    </row>
    <row r="14" spans="1:16" x14ac:dyDescent="0.2">
      <c r="A14" s="15">
        <v>752</v>
      </c>
      <c r="B14" s="15" t="b">
        <v>1</v>
      </c>
      <c r="C14" s="15" t="b">
        <v>1</v>
      </c>
      <c r="D14" s="15" t="s">
        <v>16</v>
      </c>
      <c r="E14" t="str">
        <f>IF(G14&lt;&gt;"",VLOOKUP(G14,PHA4GEVars!$A$7:$B$241,2,FALSE),"")</f>
        <v>Sequence information</v>
      </c>
      <c r="F14" s="15" t="s">
        <v>1754</v>
      </c>
      <c r="G14" s="15" t="s">
        <v>19</v>
      </c>
      <c r="H14" s="15" t="s">
        <v>361</v>
      </c>
      <c r="I14" s="15" t="s">
        <v>1592</v>
      </c>
      <c r="J14" s="15"/>
      <c r="K14" s="15" t="s">
        <v>1153</v>
      </c>
      <c r="L14" s="15"/>
      <c r="M14" s="15" t="s">
        <v>2117</v>
      </c>
      <c r="N14" s="15"/>
      <c r="O14" s="18" t="s">
        <v>1634</v>
      </c>
    </row>
    <row r="15" spans="1:16" x14ac:dyDescent="0.2">
      <c r="A15" s="15">
        <v>753</v>
      </c>
      <c r="B15" s="15" t="b">
        <v>1</v>
      </c>
      <c r="C15" s="15" t="b">
        <v>1</v>
      </c>
      <c r="D15" s="15" t="s">
        <v>16</v>
      </c>
      <c r="E15" t="str">
        <f>IF(G15&lt;&gt;"",VLOOKUP(G15,PHA4GEVars!$A$7:$B$241,2,FALSE),"")</f>
        <v>Sequence information</v>
      </c>
      <c r="F15" s="15" t="s">
        <v>1754</v>
      </c>
      <c r="G15" s="15" t="s">
        <v>19</v>
      </c>
      <c r="H15" s="15" t="s">
        <v>362</v>
      </c>
      <c r="I15" s="15" t="s">
        <v>1592</v>
      </c>
      <c r="J15" s="15"/>
      <c r="K15" s="15" t="s">
        <v>1153</v>
      </c>
      <c r="L15" s="15"/>
      <c r="M15" s="15" t="s">
        <v>2117</v>
      </c>
      <c r="N15" s="15"/>
      <c r="O15" s="18" t="s">
        <v>1634</v>
      </c>
    </row>
    <row r="16" spans="1:16" x14ac:dyDescent="0.2">
      <c r="A16" s="15">
        <v>754</v>
      </c>
      <c r="B16" s="15" t="b">
        <v>1</v>
      </c>
      <c r="C16" s="15" t="b">
        <v>1</v>
      </c>
      <c r="D16" s="15" t="s">
        <v>16</v>
      </c>
      <c r="E16" t="str">
        <f>IF(G16&lt;&gt;"",VLOOKUP(G16,PHA4GEVars!$A$7:$B$241,2,FALSE),"")</f>
        <v>Sequence information</v>
      </c>
      <c r="F16" s="15" t="s">
        <v>1754</v>
      </c>
      <c r="G16" s="15" t="s">
        <v>19</v>
      </c>
      <c r="H16" s="15" t="s">
        <v>363</v>
      </c>
      <c r="I16" s="15" t="s">
        <v>1592</v>
      </c>
      <c r="J16" s="15"/>
      <c r="K16" s="15" t="s">
        <v>1153</v>
      </c>
      <c r="L16" s="15"/>
      <c r="M16" s="15" t="s">
        <v>2117</v>
      </c>
      <c r="N16" s="15"/>
      <c r="O16" s="18" t="s">
        <v>1634</v>
      </c>
    </row>
    <row r="17" spans="1:15" x14ac:dyDescent="0.2">
      <c r="A17" s="15">
        <v>755</v>
      </c>
      <c r="B17" s="15" t="b">
        <v>1</v>
      </c>
      <c r="C17" s="15" t="b">
        <v>1</v>
      </c>
      <c r="D17" s="15" t="s">
        <v>16</v>
      </c>
      <c r="E17" t="str">
        <f>IF(G17&lt;&gt;"",VLOOKUP(G17,PHA4GEVars!$A$7:$B$241,2,FALSE),"")</f>
        <v>Sequence information</v>
      </c>
      <c r="F17" s="15" t="s">
        <v>1754</v>
      </c>
      <c r="G17" s="15" t="s">
        <v>19</v>
      </c>
      <c r="H17" s="15" t="s">
        <v>364</v>
      </c>
      <c r="I17" s="15" t="s">
        <v>1592</v>
      </c>
      <c r="J17" s="15"/>
      <c r="K17" s="15" t="s">
        <v>1153</v>
      </c>
      <c r="L17" s="15"/>
      <c r="M17" s="15" t="s">
        <v>2117</v>
      </c>
      <c r="N17" s="15"/>
      <c r="O17" s="18" t="s">
        <v>1634</v>
      </c>
    </row>
    <row r="18" spans="1:15" x14ac:dyDescent="0.2">
      <c r="A18" s="15">
        <v>756</v>
      </c>
      <c r="B18" s="15" t="b">
        <v>1</v>
      </c>
      <c r="C18" s="15" t="b">
        <v>1</v>
      </c>
      <c r="D18" s="15" t="s">
        <v>16</v>
      </c>
      <c r="E18" t="str">
        <f>IF(G18&lt;&gt;"",VLOOKUP(G18,PHA4GEVars!$A$7:$B$241,2,FALSE),"")</f>
        <v>Sequence information</v>
      </c>
      <c r="F18" s="15" t="s">
        <v>1754</v>
      </c>
      <c r="G18" s="15" t="s">
        <v>19</v>
      </c>
      <c r="H18" s="15" t="s">
        <v>365</v>
      </c>
      <c r="I18" s="15" t="s">
        <v>1592</v>
      </c>
      <c r="J18" s="15"/>
      <c r="K18" s="15" t="s">
        <v>1153</v>
      </c>
      <c r="L18" s="15"/>
      <c r="M18" s="15" t="s">
        <v>2117</v>
      </c>
      <c r="N18" s="15"/>
      <c r="O18" s="18" t="s">
        <v>1634</v>
      </c>
    </row>
    <row r="19" spans="1:15" x14ac:dyDescent="0.2">
      <c r="A19" s="15">
        <v>757</v>
      </c>
      <c r="B19" s="15" t="b">
        <v>1</v>
      </c>
      <c r="C19" s="15" t="b">
        <v>1</v>
      </c>
      <c r="D19" s="15" t="s">
        <v>16</v>
      </c>
      <c r="E19" t="str">
        <f>IF(G19&lt;&gt;"",VLOOKUP(G19,PHA4GEVars!$A$7:$B$241,2,FALSE),"")</f>
        <v>Sequence information</v>
      </c>
      <c r="F19" s="15" t="s">
        <v>1754</v>
      </c>
      <c r="G19" s="15" t="s">
        <v>19</v>
      </c>
      <c r="H19" s="15" t="s">
        <v>366</v>
      </c>
      <c r="I19" s="15" t="s">
        <v>1592</v>
      </c>
      <c r="J19" s="15"/>
      <c r="K19" s="15" t="s">
        <v>1153</v>
      </c>
      <c r="L19" s="15"/>
      <c r="M19" s="15" t="s">
        <v>2117</v>
      </c>
      <c r="N19" s="15"/>
      <c r="O19" s="18" t="s">
        <v>1634</v>
      </c>
    </row>
    <row r="20" spans="1:15" x14ac:dyDescent="0.2">
      <c r="A20" s="15">
        <v>758</v>
      </c>
      <c r="B20" s="15" t="b">
        <v>1</v>
      </c>
      <c r="C20" s="15" t="b">
        <v>1</v>
      </c>
      <c r="D20" s="15" t="s">
        <v>16</v>
      </c>
      <c r="E20" t="str">
        <f>IF(G20&lt;&gt;"",VLOOKUP(G20,PHA4GEVars!$A$7:$B$241,2,FALSE),"")</f>
        <v>Sequence information</v>
      </c>
      <c r="F20" s="15" t="s">
        <v>1754</v>
      </c>
      <c r="G20" s="15" t="s">
        <v>19</v>
      </c>
      <c r="H20" s="15" t="s">
        <v>367</v>
      </c>
      <c r="I20" s="15" t="s">
        <v>1592</v>
      </c>
      <c r="J20" s="15"/>
      <c r="K20" s="15" t="s">
        <v>1153</v>
      </c>
      <c r="L20" s="15"/>
      <c r="M20" s="15" t="s">
        <v>2117</v>
      </c>
      <c r="N20" s="15"/>
      <c r="O20" s="18" t="s">
        <v>1634</v>
      </c>
    </row>
    <row r="21" spans="1:15" x14ac:dyDescent="0.2">
      <c r="A21" s="15">
        <v>759</v>
      </c>
      <c r="B21" s="15" t="b">
        <v>1</v>
      </c>
      <c r="C21" s="15" t="b">
        <v>1</v>
      </c>
      <c r="D21" s="15" t="s">
        <v>16</v>
      </c>
      <c r="E21" t="str">
        <f>IF(G21&lt;&gt;"",VLOOKUP(G21,PHA4GEVars!$A$7:$B$241,2,FALSE),"")</f>
        <v>Sequence information</v>
      </c>
      <c r="F21" s="15" t="s">
        <v>1754</v>
      </c>
      <c r="G21" s="15" t="s">
        <v>19</v>
      </c>
      <c r="H21" s="15" t="s">
        <v>368</v>
      </c>
      <c r="I21" s="15" t="s">
        <v>1592</v>
      </c>
      <c r="J21" s="15"/>
      <c r="K21" s="15" t="s">
        <v>1153</v>
      </c>
      <c r="L21" s="15"/>
      <c r="M21" s="15" t="s">
        <v>2117</v>
      </c>
      <c r="N21" s="15"/>
      <c r="O21" s="18" t="s">
        <v>1634</v>
      </c>
    </row>
    <row r="22" spans="1:15" x14ac:dyDescent="0.2">
      <c r="A22" s="15">
        <v>760</v>
      </c>
      <c r="B22" s="15" t="b">
        <v>1</v>
      </c>
      <c r="C22" s="15" t="b">
        <v>1</v>
      </c>
      <c r="D22" s="15" t="s">
        <v>16</v>
      </c>
      <c r="E22" t="str">
        <f>IF(G22&lt;&gt;"",VLOOKUP(G22,PHA4GEVars!$A$7:$B$241,2,FALSE),"")</f>
        <v>Sequence information</v>
      </c>
      <c r="F22" s="15" t="s">
        <v>1754</v>
      </c>
      <c r="G22" s="15" t="s">
        <v>19</v>
      </c>
      <c r="H22" s="15" t="s">
        <v>369</v>
      </c>
      <c r="I22" s="15" t="s">
        <v>1592</v>
      </c>
      <c r="J22" s="15"/>
      <c r="K22" s="15" t="s">
        <v>1153</v>
      </c>
      <c r="L22" s="15"/>
      <c r="M22" s="15" t="s">
        <v>2117</v>
      </c>
      <c r="N22" s="15"/>
      <c r="O22" s="18" t="s">
        <v>1634</v>
      </c>
    </row>
    <row r="23" spans="1:15" x14ac:dyDescent="0.2">
      <c r="A23" s="15">
        <v>761</v>
      </c>
      <c r="B23" s="15" t="b">
        <v>1</v>
      </c>
      <c r="C23" s="15" t="b">
        <v>1</v>
      </c>
      <c r="D23" s="15" t="s">
        <v>16</v>
      </c>
      <c r="E23" t="str">
        <f>IF(G23&lt;&gt;"",VLOOKUP(G23,PHA4GEVars!$A$7:$B$241,2,FALSE),"")</f>
        <v>Sequence information</v>
      </c>
      <c r="F23" s="15" t="s">
        <v>1754</v>
      </c>
      <c r="G23" s="15" t="s">
        <v>19</v>
      </c>
      <c r="H23" s="15" t="s">
        <v>370</v>
      </c>
      <c r="I23" s="15" t="s">
        <v>1592</v>
      </c>
      <c r="J23" s="15"/>
      <c r="K23" s="15" t="s">
        <v>1153</v>
      </c>
      <c r="L23" s="15"/>
      <c r="M23" s="15" t="s">
        <v>2117</v>
      </c>
      <c r="N23" s="15"/>
      <c r="O23" s="18" t="s">
        <v>1634</v>
      </c>
    </row>
    <row r="24" spans="1:15" x14ac:dyDescent="0.2">
      <c r="A24" s="15">
        <v>762</v>
      </c>
      <c r="B24" s="15" t="b">
        <v>1</v>
      </c>
      <c r="C24" s="15" t="b">
        <v>1</v>
      </c>
      <c r="D24" s="15" t="s">
        <v>16</v>
      </c>
      <c r="E24" t="str">
        <f>IF(G24&lt;&gt;"",VLOOKUP(G24,PHA4GEVars!$A$7:$B$241,2,FALSE),"")</f>
        <v>Sequence information</v>
      </c>
      <c r="F24" s="15" t="s">
        <v>1754</v>
      </c>
      <c r="G24" s="15" t="s">
        <v>19</v>
      </c>
      <c r="H24" s="15" t="s">
        <v>371</v>
      </c>
      <c r="I24" s="15" t="s">
        <v>1592</v>
      </c>
      <c r="J24" s="15"/>
      <c r="K24" s="15" t="s">
        <v>1153</v>
      </c>
      <c r="L24" s="15"/>
      <c r="M24" s="15" t="s">
        <v>2117</v>
      </c>
      <c r="N24" s="15"/>
      <c r="O24" s="18" t="s">
        <v>1634</v>
      </c>
    </row>
    <row r="25" spans="1:15" x14ac:dyDescent="0.2">
      <c r="A25" s="15">
        <v>763</v>
      </c>
      <c r="B25" s="15" t="b">
        <v>1</v>
      </c>
      <c r="C25" s="15" t="b">
        <v>1</v>
      </c>
      <c r="D25" s="15" t="s">
        <v>16</v>
      </c>
      <c r="E25" t="str">
        <f>IF(G25&lt;&gt;"",VLOOKUP(G25,PHA4GEVars!$A$7:$B$241,2,FALSE),"")</f>
        <v>Sequence information</v>
      </c>
      <c r="F25" s="15" t="s">
        <v>1754</v>
      </c>
      <c r="G25" s="15" t="s">
        <v>19</v>
      </c>
      <c r="H25" s="15" t="s">
        <v>372</v>
      </c>
      <c r="I25" s="15" t="s">
        <v>1592</v>
      </c>
      <c r="J25" s="15"/>
      <c r="K25" s="15" t="s">
        <v>1153</v>
      </c>
      <c r="L25" s="15"/>
      <c r="M25" s="15" t="s">
        <v>2117</v>
      </c>
      <c r="N25" s="15"/>
      <c r="O25" s="18" t="s">
        <v>1634</v>
      </c>
    </row>
    <row r="26" spans="1:15" x14ac:dyDescent="0.2">
      <c r="A26" s="15">
        <v>764</v>
      </c>
      <c r="B26" s="15" t="b">
        <v>1</v>
      </c>
      <c r="C26" s="15" t="b">
        <v>1</v>
      </c>
      <c r="D26" s="15" t="s">
        <v>16</v>
      </c>
      <c r="E26" t="str">
        <f>IF(G26&lt;&gt;"",VLOOKUP(G26,PHA4GEVars!$A$7:$B$241,2,FALSE),"")</f>
        <v>Sequence information</v>
      </c>
      <c r="F26" s="15" t="s">
        <v>1754</v>
      </c>
      <c r="G26" s="15" t="s">
        <v>19</v>
      </c>
      <c r="H26" s="15" t="s">
        <v>373</v>
      </c>
      <c r="I26" s="15" t="s">
        <v>1592</v>
      </c>
      <c r="J26" s="15"/>
      <c r="K26" s="15" t="s">
        <v>1153</v>
      </c>
      <c r="L26" s="15"/>
      <c r="M26" s="15" t="s">
        <v>2117</v>
      </c>
      <c r="N26" s="15"/>
      <c r="O26" s="18" t="s">
        <v>1634</v>
      </c>
    </row>
    <row r="27" spans="1:15" x14ac:dyDescent="0.2">
      <c r="A27" s="15">
        <v>765</v>
      </c>
      <c r="B27" s="15" t="b">
        <v>1</v>
      </c>
      <c r="C27" s="15" t="b">
        <v>1</v>
      </c>
      <c r="D27" s="15" t="s">
        <v>16</v>
      </c>
      <c r="E27" t="str">
        <f>IF(G27&lt;&gt;"",VLOOKUP(G27,PHA4GEVars!$A$7:$B$241,2,FALSE),"")</f>
        <v>Sequence information</v>
      </c>
      <c r="F27" s="15" t="s">
        <v>1754</v>
      </c>
      <c r="G27" s="15" t="s">
        <v>19</v>
      </c>
      <c r="H27" s="15" t="s">
        <v>374</v>
      </c>
      <c r="I27" s="15" t="s">
        <v>1592</v>
      </c>
      <c r="J27" s="15"/>
      <c r="K27" s="15" t="s">
        <v>1153</v>
      </c>
      <c r="L27" s="15"/>
      <c r="M27" s="15" t="s">
        <v>2117</v>
      </c>
      <c r="N27" s="15"/>
      <c r="O27" s="18" t="s">
        <v>1634</v>
      </c>
    </row>
    <row r="28" spans="1:15" x14ac:dyDescent="0.2">
      <c r="A28" s="15">
        <v>766</v>
      </c>
      <c r="B28" s="15" t="b">
        <v>1</v>
      </c>
      <c r="C28" s="15" t="b">
        <v>1</v>
      </c>
      <c r="D28" s="15" t="s">
        <v>16</v>
      </c>
      <c r="E28" t="str">
        <f>IF(G28&lt;&gt;"",VLOOKUP(G28,PHA4GEVars!$A$7:$B$241,2,FALSE),"")</f>
        <v>Sequence information</v>
      </c>
      <c r="F28" s="15" t="s">
        <v>1754</v>
      </c>
      <c r="G28" s="15" t="s">
        <v>19</v>
      </c>
      <c r="H28" s="15" t="s">
        <v>375</v>
      </c>
      <c r="I28" s="15" t="s">
        <v>1592</v>
      </c>
      <c r="J28" s="15"/>
      <c r="K28" s="15" t="s">
        <v>1153</v>
      </c>
      <c r="L28" s="15"/>
      <c r="M28" s="15" t="s">
        <v>2117</v>
      </c>
      <c r="N28" s="15"/>
      <c r="O28" s="18" t="s">
        <v>1634</v>
      </c>
    </row>
    <row r="29" spans="1:15" x14ac:dyDescent="0.2">
      <c r="A29" s="15">
        <v>767</v>
      </c>
      <c r="B29" s="15" t="b">
        <v>1</v>
      </c>
      <c r="C29" s="15" t="b">
        <v>1</v>
      </c>
      <c r="D29" s="15" t="s">
        <v>16</v>
      </c>
      <c r="E29" t="str">
        <f>IF(G29&lt;&gt;"",VLOOKUP(G29,PHA4GEVars!$A$7:$B$241,2,FALSE),"")</f>
        <v>Sequence information</v>
      </c>
      <c r="F29" s="15" t="s">
        <v>1754</v>
      </c>
      <c r="G29" s="15" t="s">
        <v>19</v>
      </c>
      <c r="H29" s="15" t="s">
        <v>376</v>
      </c>
      <c r="I29" s="15" t="s">
        <v>1592</v>
      </c>
      <c r="J29" s="15"/>
      <c r="K29" s="15" t="s">
        <v>1153</v>
      </c>
      <c r="L29" s="15"/>
      <c r="M29" s="15" t="s">
        <v>2117</v>
      </c>
      <c r="N29" s="15"/>
      <c r="O29" s="18" t="s">
        <v>1634</v>
      </c>
    </row>
    <row r="30" spans="1:15" x14ac:dyDescent="0.2">
      <c r="A30" s="15">
        <v>768</v>
      </c>
      <c r="B30" s="15" t="b">
        <v>1</v>
      </c>
      <c r="C30" s="15" t="b">
        <v>1</v>
      </c>
      <c r="D30" s="15" t="s">
        <v>16</v>
      </c>
      <c r="E30" t="str">
        <f>IF(G30&lt;&gt;"",VLOOKUP(G30,PHA4GEVars!$A$7:$B$241,2,FALSE),"")</f>
        <v>Sequence information</v>
      </c>
      <c r="F30" s="15" t="s">
        <v>1754</v>
      </c>
      <c r="G30" s="15" t="s">
        <v>19</v>
      </c>
      <c r="H30" s="15" t="s">
        <v>377</v>
      </c>
      <c r="I30" s="15" t="s">
        <v>1592</v>
      </c>
      <c r="J30" s="15"/>
      <c r="K30" s="15" t="s">
        <v>1153</v>
      </c>
      <c r="L30" s="15"/>
      <c r="M30" s="15" t="s">
        <v>2117</v>
      </c>
      <c r="N30" s="15"/>
      <c r="O30" s="18" t="s">
        <v>1634</v>
      </c>
    </row>
    <row r="31" spans="1:15" x14ac:dyDescent="0.2">
      <c r="A31" s="15">
        <v>769</v>
      </c>
      <c r="B31" s="15" t="b">
        <v>1</v>
      </c>
      <c r="C31" s="15" t="b">
        <v>1</v>
      </c>
      <c r="D31" s="15" t="s">
        <v>16</v>
      </c>
      <c r="E31" t="str">
        <f>IF(G31&lt;&gt;"",VLOOKUP(G31,PHA4GEVars!$A$7:$B$241,2,FALSE),"")</f>
        <v>Sequence information</v>
      </c>
      <c r="F31" s="15" t="s">
        <v>1754</v>
      </c>
      <c r="G31" s="15" t="s">
        <v>19</v>
      </c>
      <c r="H31" s="15" t="s">
        <v>378</v>
      </c>
      <c r="I31" s="15" t="s">
        <v>1592</v>
      </c>
      <c r="J31" s="15"/>
      <c r="K31" s="15" t="s">
        <v>1153</v>
      </c>
      <c r="L31" s="15"/>
      <c r="M31" s="15" t="s">
        <v>2117</v>
      </c>
      <c r="N31" s="15"/>
      <c r="O31" s="18" t="s">
        <v>1634</v>
      </c>
    </row>
    <row r="32" spans="1:15" x14ac:dyDescent="0.2">
      <c r="A32" s="15">
        <v>770</v>
      </c>
      <c r="B32" s="15" t="b">
        <v>1</v>
      </c>
      <c r="C32" s="15" t="b">
        <v>1</v>
      </c>
      <c r="D32" s="15" t="s">
        <v>16</v>
      </c>
      <c r="E32" t="str">
        <f>IF(G32&lt;&gt;"",VLOOKUP(G32,PHA4GEVars!$A$7:$B$241,2,FALSE),"")</f>
        <v>Sequence information</v>
      </c>
      <c r="F32" s="15" t="s">
        <v>1754</v>
      </c>
      <c r="G32" s="15" t="s">
        <v>19</v>
      </c>
      <c r="H32" s="15" t="s">
        <v>379</v>
      </c>
      <c r="I32" s="15" t="s">
        <v>1592</v>
      </c>
      <c r="J32" s="15"/>
      <c r="K32" s="15" t="s">
        <v>1153</v>
      </c>
      <c r="L32" s="15"/>
      <c r="M32" s="15" t="s">
        <v>2117</v>
      </c>
      <c r="N32" s="15"/>
      <c r="O32" s="18" t="s">
        <v>1634</v>
      </c>
    </row>
    <row r="33" spans="1:15" x14ac:dyDescent="0.2">
      <c r="A33" s="15">
        <v>771</v>
      </c>
      <c r="B33" s="15" t="b">
        <v>1</v>
      </c>
      <c r="C33" s="15" t="b">
        <v>1</v>
      </c>
      <c r="D33" s="15" t="s">
        <v>16</v>
      </c>
      <c r="E33" t="str">
        <f>IF(G33&lt;&gt;"",VLOOKUP(G33,PHA4GEVars!$A$7:$B$241,2,FALSE),"")</f>
        <v>Sequence information</v>
      </c>
      <c r="F33" s="15" t="s">
        <v>1754</v>
      </c>
      <c r="G33" s="15" t="s">
        <v>19</v>
      </c>
      <c r="H33" s="15" t="s">
        <v>380</v>
      </c>
      <c r="I33" s="15" t="s">
        <v>1592</v>
      </c>
      <c r="J33" s="15"/>
      <c r="K33" s="15" t="s">
        <v>1153</v>
      </c>
      <c r="L33" s="15"/>
      <c r="M33" s="15" t="s">
        <v>2117</v>
      </c>
      <c r="N33" s="15"/>
      <c r="O33" s="18" t="s">
        <v>1634</v>
      </c>
    </row>
    <row r="34" spans="1:15" x14ac:dyDescent="0.2">
      <c r="A34" s="15">
        <v>772</v>
      </c>
      <c r="B34" s="15" t="b">
        <v>1</v>
      </c>
      <c r="C34" s="15" t="b">
        <v>1</v>
      </c>
      <c r="D34" s="15" t="s">
        <v>16</v>
      </c>
      <c r="E34" t="str">
        <f>IF(G34&lt;&gt;"",VLOOKUP(G34,PHA4GEVars!$A$7:$B$241,2,FALSE),"")</f>
        <v>Sequence information</v>
      </c>
      <c r="F34" s="15" t="s">
        <v>1754</v>
      </c>
      <c r="G34" s="15" t="s">
        <v>19</v>
      </c>
      <c r="H34" s="15" t="s">
        <v>381</v>
      </c>
      <c r="I34" s="15" t="s">
        <v>1592</v>
      </c>
      <c r="J34" s="15"/>
      <c r="K34" s="15" t="s">
        <v>1153</v>
      </c>
      <c r="L34" s="15"/>
      <c r="M34" s="15" t="s">
        <v>2117</v>
      </c>
      <c r="N34" s="15"/>
      <c r="O34" s="18" t="s">
        <v>1634</v>
      </c>
    </row>
    <row r="35" spans="1:15" x14ac:dyDescent="0.2">
      <c r="A35" s="15">
        <v>773</v>
      </c>
      <c r="B35" s="15" t="b">
        <v>1</v>
      </c>
      <c r="C35" s="15" t="b">
        <v>1</v>
      </c>
      <c r="D35" s="15" t="s">
        <v>16</v>
      </c>
      <c r="E35" t="str">
        <f>IF(G35&lt;&gt;"",VLOOKUP(G35,PHA4GEVars!$A$7:$B$241,2,FALSE),"")</f>
        <v>Sequence information</v>
      </c>
      <c r="F35" s="15" t="s">
        <v>1754</v>
      </c>
      <c r="G35" s="15" t="s">
        <v>19</v>
      </c>
      <c r="H35" s="15" t="s">
        <v>343</v>
      </c>
      <c r="I35" s="15" t="s">
        <v>1592</v>
      </c>
      <c r="J35" s="15"/>
      <c r="K35" s="15" t="s">
        <v>1153</v>
      </c>
      <c r="L35" s="15"/>
      <c r="M35" s="15" t="s">
        <v>2117</v>
      </c>
      <c r="N35" s="15"/>
      <c r="O35" s="18" t="s">
        <v>1634</v>
      </c>
    </row>
    <row r="36" spans="1:15" x14ac:dyDescent="0.2">
      <c r="A36" s="15">
        <v>774</v>
      </c>
      <c r="B36" s="15" t="b">
        <v>1</v>
      </c>
      <c r="C36" s="15" t="b">
        <v>1</v>
      </c>
      <c r="D36" s="15" t="s">
        <v>16</v>
      </c>
      <c r="E36" t="str">
        <f>IF(G36&lt;&gt;"",VLOOKUP(G36,PHA4GEVars!$A$7:$B$241,2,FALSE),"")</f>
        <v>Sequence information</v>
      </c>
      <c r="F36" s="15" t="s">
        <v>1754</v>
      </c>
      <c r="G36" s="15" t="s">
        <v>19</v>
      </c>
      <c r="H36" s="15" t="s">
        <v>382</v>
      </c>
      <c r="I36" s="15" t="s">
        <v>1592</v>
      </c>
      <c r="J36" s="15"/>
      <c r="K36" s="15" t="s">
        <v>1153</v>
      </c>
      <c r="L36" s="15"/>
      <c r="M36" s="15" t="s">
        <v>2117</v>
      </c>
      <c r="N36" s="15"/>
      <c r="O36" s="18" t="s">
        <v>1634</v>
      </c>
    </row>
    <row r="37" spans="1:15" x14ac:dyDescent="0.2">
      <c r="A37" s="15">
        <v>775</v>
      </c>
      <c r="B37" s="15" t="b">
        <v>1</v>
      </c>
      <c r="C37" s="15" t="b">
        <v>1</v>
      </c>
      <c r="D37" s="15" t="s">
        <v>16</v>
      </c>
      <c r="E37" t="str">
        <f>IF(G37&lt;&gt;"",VLOOKUP(G37,PHA4GEVars!$A$7:$B$241,2,FALSE),"")</f>
        <v>Sequence information</v>
      </c>
      <c r="F37" s="15" t="s">
        <v>1754</v>
      </c>
      <c r="G37" s="15" t="s">
        <v>19</v>
      </c>
      <c r="H37" s="15" t="s">
        <v>383</v>
      </c>
      <c r="I37" s="15" t="s">
        <v>1592</v>
      </c>
      <c r="J37" s="15"/>
      <c r="K37" s="15" t="s">
        <v>1153</v>
      </c>
      <c r="L37" s="15"/>
      <c r="M37" s="15" t="s">
        <v>2117</v>
      </c>
      <c r="N37" s="15"/>
      <c r="O37" s="18" t="s">
        <v>1634</v>
      </c>
    </row>
    <row r="38" spans="1:15" x14ac:dyDescent="0.2">
      <c r="A38" s="15">
        <v>776</v>
      </c>
      <c r="B38" s="15" t="b">
        <v>1</v>
      </c>
      <c r="C38" s="15" t="b">
        <v>1</v>
      </c>
      <c r="D38" s="15" t="s">
        <v>16</v>
      </c>
      <c r="E38" t="str">
        <f>IF(G38&lt;&gt;"",VLOOKUP(G38,PHA4GEVars!$A$7:$B$241,2,FALSE),"")</f>
        <v>Sequence information</v>
      </c>
      <c r="F38" s="15" t="s">
        <v>1754</v>
      </c>
      <c r="G38" s="15" t="s">
        <v>19</v>
      </c>
      <c r="H38" s="15" t="s">
        <v>384</v>
      </c>
      <c r="I38" s="15" t="s">
        <v>1592</v>
      </c>
      <c r="J38" s="15"/>
      <c r="K38" s="15" t="s">
        <v>1153</v>
      </c>
      <c r="L38" s="15"/>
      <c r="M38" s="15" t="s">
        <v>2117</v>
      </c>
      <c r="N38" s="15"/>
      <c r="O38" s="18" t="s">
        <v>1634</v>
      </c>
    </row>
    <row r="39" spans="1:15" x14ac:dyDescent="0.2">
      <c r="A39" s="15">
        <v>777</v>
      </c>
      <c r="B39" s="15" t="b">
        <v>1</v>
      </c>
      <c r="C39" s="15" t="b">
        <v>1</v>
      </c>
      <c r="D39" s="15" t="s">
        <v>16</v>
      </c>
      <c r="E39" t="str">
        <f>IF(G39&lt;&gt;"",VLOOKUP(G39,PHA4GEVars!$A$7:$B$241,2,FALSE),"")</f>
        <v>Sequence information</v>
      </c>
      <c r="F39" s="15" t="s">
        <v>1754</v>
      </c>
      <c r="G39" s="15" t="s">
        <v>19</v>
      </c>
      <c r="H39" s="15" t="s">
        <v>385</v>
      </c>
      <c r="I39" s="15" t="s">
        <v>1592</v>
      </c>
      <c r="J39" s="15"/>
      <c r="K39" s="15" t="s">
        <v>1153</v>
      </c>
      <c r="L39" s="15"/>
      <c r="M39" s="15" t="s">
        <v>2117</v>
      </c>
      <c r="N39" s="15"/>
      <c r="O39" s="18" t="s">
        <v>1634</v>
      </c>
    </row>
    <row r="40" spans="1:15" x14ac:dyDescent="0.2">
      <c r="A40" s="15">
        <v>778</v>
      </c>
      <c r="B40" s="15" t="b">
        <v>1</v>
      </c>
      <c r="C40" s="15" t="b">
        <v>1</v>
      </c>
      <c r="D40" s="15" t="s">
        <v>16</v>
      </c>
      <c r="E40" t="str">
        <f>IF(G40&lt;&gt;"",VLOOKUP(G40,PHA4GEVars!$A$7:$B$241,2,FALSE),"")</f>
        <v>Sequence information</v>
      </c>
      <c r="F40" s="15" t="s">
        <v>1754</v>
      </c>
      <c r="G40" s="15" t="s">
        <v>19</v>
      </c>
      <c r="H40" s="15" t="s">
        <v>386</v>
      </c>
      <c r="I40" s="15" t="s">
        <v>1592</v>
      </c>
      <c r="J40" s="15"/>
      <c r="K40" s="15" t="s">
        <v>1153</v>
      </c>
      <c r="L40" s="15"/>
      <c r="M40" s="15" t="s">
        <v>2117</v>
      </c>
      <c r="N40" s="15"/>
      <c r="O40" s="18" t="s">
        <v>1634</v>
      </c>
    </row>
    <row r="41" spans="1:15" x14ac:dyDescent="0.2">
      <c r="A41" s="15">
        <v>779</v>
      </c>
      <c r="B41" s="15" t="b">
        <v>1</v>
      </c>
      <c r="C41" s="15" t="b">
        <v>1</v>
      </c>
      <c r="D41" s="15" t="s">
        <v>16</v>
      </c>
      <c r="E41" t="str">
        <f>IF(G41&lt;&gt;"",VLOOKUP(G41,PHA4GEVars!$A$7:$B$241,2,FALSE),"")</f>
        <v>Sequence information</v>
      </c>
      <c r="F41" s="15" t="s">
        <v>1754</v>
      </c>
      <c r="G41" s="15" t="s">
        <v>19</v>
      </c>
      <c r="H41" s="15" t="s">
        <v>387</v>
      </c>
      <c r="I41" s="15" t="s">
        <v>1592</v>
      </c>
      <c r="J41" s="15"/>
      <c r="K41" s="15" t="s">
        <v>1153</v>
      </c>
      <c r="L41" s="15"/>
      <c r="M41" s="15" t="s">
        <v>2117</v>
      </c>
      <c r="N41" s="15"/>
      <c r="O41" s="18" t="s">
        <v>1634</v>
      </c>
    </row>
    <row r="42" spans="1:15" x14ac:dyDescent="0.2">
      <c r="A42" s="15">
        <v>780</v>
      </c>
      <c r="B42" s="15" t="b">
        <v>1</v>
      </c>
      <c r="C42" s="15" t="b">
        <v>1</v>
      </c>
      <c r="D42" s="15" t="s">
        <v>16</v>
      </c>
      <c r="E42" t="str">
        <f>IF(G42&lt;&gt;"",VLOOKUP(G42,PHA4GEVars!$A$7:$B$241,2,FALSE),"")</f>
        <v>Sequence information</v>
      </c>
      <c r="F42" s="15" t="s">
        <v>1754</v>
      </c>
      <c r="G42" s="15" t="s">
        <v>19</v>
      </c>
      <c r="H42" s="15" t="s">
        <v>388</v>
      </c>
      <c r="I42" s="15" t="s">
        <v>1592</v>
      </c>
      <c r="J42" s="15"/>
      <c r="K42" s="15" t="s">
        <v>1153</v>
      </c>
      <c r="L42" s="15"/>
      <c r="M42" s="15" t="s">
        <v>2117</v>
      </c>
      <c r="N42" s="15"/>
      <c r="O42" s="18" t="s">
        <v>1634</v>
      </c>
    </row>
    <row r="43" spans="1:15" x14ac:dyDescent="0.2">
      <c r="A43" s="15">
        <v>781</v>
      </c>
      <c r="B43" s="15" t="b">
        <v>1</v>
      </c>
      <c r="C43" s="15" t="b">
        <v>1</v>
      </c>
      <c r="D43" s="15" t="s">
        <v>16</v>
      </c>
      <c r="E43" t="str">
        <f>IF(G43&lt;&gt;"",VLOOKUP(G43,PHA4GEVars!$A$7:$B$241,2,FALSE),"")</f>
        <v>Sequence information</v>
      </c>
      <c r="F43" s="15" t="s">
        <v>1754</v>
      </c>
      <c r="G43" s="15" t="s">
        <v>19</v>
      </c>
      <c r="H43" s="15" t="s">
        <v>389</v>
      </c>
      <c r="I43" s="15" t="s">
        <v>1592</v>
      </c>
      <c r="J43" s="15"/>
      <c r="K43" s="15" t="s">
        <v>1153</v>
      </c>
      <c r="L43" s="15"/>
      <c r="M43" s="15" t="s">
        <v>2117</v>
      </c>
      <c r="N43" s="15"/>
      <c r="O43" s="18" t="s">
        <v>1634</v>
      </c>
    </row>
    <row r="44" spans="1:15" x14ac:dyDescent="0.2">
      <c r="A44" s="15">
        <v>782</v>
      </c>
      <c r="B44" s="15" t="b">
        <v>1</v>
      </c>
      <c r="C44" s="15" t="b">
        <v>1</v>
      </c>
      <c r="D44" s="15" t="s">
        <v>16</v>
      </c>
      <c r="E44" t="str">
        <f>IF(G44&lt;&gt;"",VLOOKUP(G44,PHA4GEVars!$A$7:$B$241,2,FALSE),"")</f>
        <v>Sequence information</v>
      </c>
      <c r="F44" s="15" t="s">
        <v>1754</v>
      </c>
      <c r="G44" s="15" t="s">
        <v>19</v>
      </c>
      <c r="H44" s="15" t="s">
        <v>390</v>
      </c>
      <c r="I44" s="15" t="s">
        <v>1592</v>
      </c>
      <c r="J44" s="15"/>
      <c r="K44" s="15" t="s">
        <v>1153</v>
      </c>
      <c r="L44" s="15"/>
      <c r="M44" s="15" t="s">
        <v>2117</v>
      </c>
      <c r="N44" s="15"/>
      <c r="O44" s="18" t="s">
        <v>1634</v>
      </c>
    </row>
    <row r="45" spans="1:15" x14ac:dyDescent="0.2">
      <c r="A45" s="15">
        <v>783</v>
      </c>
      <c r="B45" s="15" t="b">
        <v>1</v>
      </c>
      <c r="C45" s="15" t="b">
        <v>1</v>
      </c>
      <c r="D45" s="15" t="s">
        <v>16</v>
      </c>
      <c r="E45" t="str">
        <f>IF(G45&lt;&gt;"",VLOOKUP(G45,PHA4GEVars!$A$7:$B$241,2,FALSE),"")</f>
        <v>Sequence information</v>
      </c>
      <c r="F45" s="15" t="s">
        <v>1754</v>
      </c>
      <c r="G45" s="15" t="s">
        <v>19</v>
      </c>
      <c r="H45" s="15" t="s">
        <v>1587</v>
      </c>
      <c r="I45" s="15" t="s">
        <v>1592</v>
      </c>
      <c r="J45" s="15"/>
      <c r="K45" s="15" t="s">
        <v>1153</v>
      </c>
      <c r="L45" s="15"/>
      <c r="M45" s="15" t="s">
        <v>2117</v>
      </c>
      <c r="N45" s="15"/>
      <c r="O45" s="18" t="s">
        <v>1634</v>
      </c>
    </row>
    <row r="46" spans="1:15" x14ac:dyDescent="0.2">
      <c r="A46" s="15">
        <v>784</v>
      </c>
      <c r="B46" s="15" t="b">
        <v>1</v>
      </c>
      <c r="C46" s="15" t="b">
        <v>1</v>
      </c>
      <c r="D46" s="15" t="s">
        <v>16</v>
      </c>
      <c r="E46" t="str">
        <f>IF(G46&lt;&gt;"",VLOOKUP(G46,PHA4GEVars!$A$7:$B$241,2,FALSE),"")</f>
        <v>Sequence information</v>
      </c>
      <c r="F46" s="15" t="s">
        <v>1754</v>
      </c>
      <c r="G46" s="15" t="s">
        <v>19</v>
      </c>
      <c r="H46" s="15" t="s">
        <v>1588</v>
      </c>
      <c r="I46" s="15" t="s">
        <v>1592</v>
      </c>
      <c r="J46" s="15"/>
      <c r="K46" s="15" t="s">
        <v>1153</v>
      </c>
      <c r="L46" s="15"/>
      <c r="M46" s="15" t="s">
        <v>2117</v>
      </c>
      <c r="N46" s="15"/>
      <c r="O46" s="18" t="s">
        <v>1634</v>
      </c>
    </row>
    <row r="47" spans="1:15" x14ac:dyDescent="0.2">
      <c r="A47" s="15">
        <v>785</v>
      </c>
      <c r="B47" s="15" t="b">
        <v>1</v>
      </c>
      <c r="C47" s="15" t="b">
        <v>1</v>
      </c>
      <c r="D47" s="15" t="s">
        <v>16</v>
      </c>
      <c r="E47" t="str">
        <f>IF(G47&lt;&gt;"",VLOOKUP(G47,PHA4GEVars!$A$7:$B$241,2,FALSE),"")</f>
        <v>Sequence information</v>
      </c>
      <c r="F47" s="15" t="s">
        <v>1754</v>
      </c>
      <c r="G47" s="15" t="s">
        <v>19</v>
      </c>
      <c r="H47" s="15" t="s">
        <v>1141</v>
      </c>
      <c r="I47" s="15" t="s">
        <v>1592</v>
      </c>
      <c r="J47" s="15"/>
      <c r="K47" s="15" t="s">
        <v>1153</v>
      </c>
      <c r="L47" s="15"/>
      <c r="M47" s="15" t="s">
        <v>2117</v>
      </c>
      <c r="N47" s="15"/>
      <c r="O47" s="18" t="s">
        <v>1634</v>
      </c>
    </row>
    <row r="48" spans="1:15" x14ac:dyDescent="0.2">
      <c r="A48" s="15">
        <v>786</v>
      </c>
      <c r="B48" s="15" t="b">
        <v>1</v>
      </c>
      <c r="C48" s="15" t="b">
        <v>1</v>
      </c>
      <c r="D48" s="15" t="s">
        <v>16</v>
      </c>
      <c r="E48" t="str">
        <f>IF(G48&lt;&gt;"",VLOOKUP(G48,PHA4GEVars!$A$7:$B$241,2,FALSE),"")</f>
        <v>Sequence information</v>
      </c>
      <c r="F48" s="15" t="s">
        <v>1754</v>
      </c>
      <c r="G48" s="15" t="s">
        <v>19</v>
      </c>
      <c r="H48" s="15" t="s">
        <v>391</v>
      </c>
      <c r="I48" s="15" t="s">
        <v>1592</v>
      </c>
      <c r="J48" s="15"/>
      <c r="K48" s="15" t="s">
        <v>1153</v>
      </c>
      <c r="L48" s="15"/>
      <c r="M48" s="15" t="s">
        <v>2117</v>
      </c>
      <c r="N48" s="15"/>
      <c r="O48" s="18" t="s">
        <v>1634</v>
      </c>
    </row>
    <row r="49" spans="1:15" x14ac:dyDescent="0.2">
      <c r="A49" s="15">
        <v>787</v>
      </c>
      <c r="B49" s="15" t="b">
        <v>1</v>
      </c>
      <c r="C49" s="15" t="b">
        <v>1</v>
      </c>
      <c r="D49" s="15" t="s">
        <v>16</v>
      </c>
      <c r="E49" t="str">
        <f>IF(G49&lt;&gt;"",VLOOKUP(G49,PHA4GEVars!$A$7:$B$241,2,FALSE),"")</f>
        <v>Sequence information</v>
      </c>
      <c r="F49" s="15" t="s">
        <v>1754</v>
      </c>
      <c r="G49" s="15" t="s">
        <v>19</v>
      </c>
      <c r="H49" s="15" t="s">
        <v>1142</v>
      </c>
      <c r="I49" s="15" t="s">
        <v>1592</v>
      </c>
      <c r="J49" s="15"/>
      <c r="K49" s="15" t="s">
        <v>1153</v>
      </c>
      <c r="L49" s="15"/>
      <c r="M49" s="15" t="s">
        <v>2117</v>
      </c>
      <c r="N49" s="15"/>
      <c r="O49" s="18" t="s">
        <v>1634</v>
      </c>
    </row>
    <row r="50" spans="1:15" x14ac:dyDescent="0.2">
      <c r="A50" s="15">
        <v>788</v>
      </c>
      <c r="B50" s="15" t="b">
        <v>1</v>
      </c>
      <c r="C50" s="15" t="b">
        <v>1</v>
      </c>
      <c r="D50" s="15" t="s">
        <v>16</v>
      </c>
      <c r="E50" t="str">
        <f>IF(G50&lt;&gt;"",VLOOKUP(G50,PHA4GEVars!$A$7:$B$241,2,FALSE),"")</f>
        <v>Sequence information</v>
      </c>
      <c r="F50" s="15" t="s">
        <v>1754</v>
      </c>
      <c r="G50" s="15" t="s">
        <v>19</v>
      </c>
      <c r="H50" s="15" t="s">
        <v>1143</v>
      </c>
      <c r="I50" s="15" t="s">
        <v>1592</v>
      </c>
      <c r="J50" s="15"/>
      <c r="K50" s="15" t="s">
        <v>1153</v>
      </c>
      <c r="L50" s="15"/>
      <c r="M50" s="15" t="s">
        <v>2117</v>
      </c>
      <c r="N50" s="15"/>
      <c r="O50" s="18" t="s">
        <v>1634</v>
      </c>
    </row>
    <row r="51" spans="1:15" x14ac:dyDescent="0.2">
      <c r="A51" s="15">
        <v>789</v>
      </c>
      <c r="B51" s="15" t="b">
        <v>1</v>
      </c>
      <c r="C51" s="15" t="b">
        <v>1</v>
      </c>
      <c r="D51" s="15" t="s">
        <v>16</v>
      </c>
      <c r="E51" t="str">
        <f>IF(G51&lt;&gt;"",VLOOKUP(G51,PHA4GEVars!$A$7:$B$241,2,FALSE),"")</f>
        <v>Sequence information</v>
      </c>
      <c r="F51" s="15" t="s">
        <v>1754</v>
      </c>
      <c r="G51" s="15" t="s">
        <v>19</v>
      </c>
      <c r="H51" s="15" t="s">
        <v>1144</v>
      </c>
      <c r="I51" s="15" t="s">
        <v>1592</v>
      </c>
      <c r="J51" s="15"/>
      <c r="K51" s="15" t="s">
        <v>1153</v>
      </c>
      <c r="L51" s="15"/>
      <c r="M51" s="15" t="s">
        <v>2117</v>
      </c>
      <c r="N51" s="15"/>
      <c r="O51" s="18" t="s">
        <v>1634</v>
      </c>
    </row>
    <row r="52" spans="1:15" x14ac:dyDescent="0.2">
      <c r="A52" s="15">
        <v>790</v>
      </c>
      <c r="B52" s="15" t="b">
        <v>1</v>
      </c>
      <c r="C52" s="15" t="b">
        <v>1</v>
      </c>
      <c r="D52" s="15" t="s">
        <v>16</v>
      </c>
      <c r="E52" t="str">
        <f>IF(G52&lt;&gt;"",VLOOKUP(G52,PHA4GEVars!$A$7:$B$241,2,FALSE),"")</f>
        <v>Sequence information</v>
      </c>
      <c r="F52" s="15" t="s">
        <v>1754</v>
      </c>
      <c r="G52" s="15" t="s">
        <v>19</v>
      </c>
      <c r="H52" s="15" t="s">
        <v>1145</v>
      </c>
      <c r="I52" s="15" t="s">
        <v>1592</v>
      </c>
      <c r="J52" s="15"/>
      <c r="K52" s="15" t="s">
        <v>1153</v>
      </c>
      <c r="L52" s="15"/>
      <c r="M52" s="15" t="s">
        <v>2117</v>
      </c>
      <c r="N52" s="15"/>
      <c r="O52" s="18" t="s">
        <v>1634</v>
      </c>
    </row>
    <row r="53" spans="1:15" x14ac:dyDescent="0.2">
      <c r="A53" s="15">
        <v>791</v>
      </c>
      <c r="B53" s="15" t="b">
        <v>1</v>
      </c>
      <c r="C53" s="15" t="b">
        <v>1</v>
      </c>
      <c r="D53" s="15" t="s">
        <v>16</v>
      </c>
      <c r="E53" t="str">
        <f>IF(G53&lt;&gt;"",VLOOKUP(G53,PHA4GEVars!$A$7:$B$241,2,FALSE),"")</f>
        <v>Sequence information</v>
      </c>
      <c r="F53" s="15" t="s">
        <v>1754</v>
      </c>
      <c r="G53" s="15" t="s">
        <v>19</v>
      </c>
      <c r="H53" s="15" t="s">
        <v>1146</v>
      </c>
      <c r="I53" s="15" t="s">
        <v>1592</v>
      </c>
      <c r="J53" s="15"/>
      <c r="K53" s="15" t="s">
        <v>1153</v>
      </c>
      <c r="L53" s="15"/>
      <c r="M53" s="15" t="s">
        <v>2117</v>
      </c>
      <c r="N53" s="15"/>
      <c r="O53" s="18" t="s">
        <v>1634</v>
      </c>
    </row>
    <row r="54" spans="1:15" x14ac:dyDescent="0.2">
      <c r="A54" s="15">
        <v>792</v>
      </c>
      <c r="B54" s="15" t="b">
        <v>1</v>
      </c>
      <c r="C54" s="15" t="b">
        <v>1</v>
      </c>
      <c r="D54" s="15" t="s">
        <v>16</v>
      </c>
      <c r="E54" t="str">
        <f>IF(G54&lt;&gt;"",VLOOKUP(G54,PHA4GEVars!$A$7:$B$241,2,FALSE),"")</f>
        <v>Sequence information</v>
      </c>
      <c r="F54" s="15" t="s">
        <v>1754</v>
      </c>
      <c r="G54" s="15" t="s">
        <v>19</v>
      </c>
      <c r="H54" s="15" t="s">
        <v>1147</v>
      </c>
      <c r="I54" s="15" t="s">
        <v>1592</v>
      </c>
      <c r="J54" s="15"/>
      <c r="K54" s="15" t="s">
        <v>1153</v>
      </c>
      <c r="L54" s="15"/>
      <c r="M54" s="15" t="s">
        <v>2117</v>
      </c>
      <c r="N54" s="15"/>
      <c r="O54" s="18" t="s">
        <v>1634</v>
      </c>
    </row>
    <row r="55" spans="1:15" x14ac:dyDescent="0.2">
      <c r="A55" s="15">
        <v>793</v>
      </c>
      <c r="B55" s="15" t="b">
        <v>1</v>
      </c>
      <c r="C55" s="15" t="b">
        <v>1</v>
      </c>
      <c r="D55" s="15" t="s">
        <v>16</v>
      </c>
      <c r="E55" t="str">
        <f>IF(G55&lt;&gt;"",VLOOKUP(G55,PHA4GEVars!$A$7:$B$241,2,FALSE),"")</f>
        <v>Sequence information</v>
      </c>
      <c r="F55" s="15" t="s">
        <v>1754</v>
      </c>
      <c r="G55" s="15" t="s">
        <v>19</v>
      </c>
      <c r="H55" s="15" t="s">
        <v>392</v>
      </c>
      <c r="I55" s="15" t="s">
        <v>1592</v>
      </c>
      <c r="J55" s="15"/>
      <c r="K55" s="15" t="s">
        <v>1153</v>
      </c>
      <c r="L55" s="15"/>
      <c r="M55" s="15" t="s">
        <v>2117</v>
      </c>
      <c r="N55" s="15"/>
      <c r="O55" s="18" t="s">
        <v>1634</v>
      </c>
    </row>
    <row r="56" spans="1:15" x14ac:dyDescent="0.2">
      <c r="A56" s="15">
        <v>794</v>
      </c>
      <c r="B56" s="15" t="b">
        <v>1</v>
      </c>
      <c r="C56" s="15" t="b">
        <v>1</v>
      </c>
      <c r="D56" s="15" t="s">
        <v>16</v>
      </c>
      <c r="E56" t="str">
        <f>IF(G56&lt;&gt;"",VLOOKUP(G56,PHA4GEVars!$A$7:$B$241,2,FALSE),"")</f>
        <v>Sequence information</v>
      </c>
      <c r="F56" s="15" t="s">
        <v>1754</v>
      </c>
      <c r="G56" s="15" t="s">
        <v>19</v>
      </c>
      <c r="H56" s="15" t="s">
        <v>393</v>
      </c>
      <c r="I56" s="15" t="s">
        <v>1592</v>
      </c>
      <c r="J56" s="15"/>
      <c r="K56" s="15" t="s">
        <v>1153</v>
      </c>
      <c r="L56" s="15"/>
      <c r="M56" s="15" t="s">
        <v>2117</v>
      </c>
      <c r="N56" s="15"/>
      <c r="O56" s="18" t="s">
        <v>1634</v>
      </c>
    </row>
    <row r="57" spans="1:15" x14ac:dyDescent="0.2">
      <c r="A57" s="15">
        <v>795</v>
      </c>
      <c r="B57" s="15" t="b">
        <v>1</v>
      </c>
      <c r="C57" s="15" t="b">
        <v>1</v>
      </c>
      <c r="D57" s="15" t="s">
        <v>16</v>
      </c>
      <c r="E57" t="str">
        <f>IF(G57&lt;&gt;"",VLOOKUP(G57,PHA4GEVars!$A$7:$B$241,2,FALSE),"")</f>
        <v>Sequence information</v>
      </c>
      <c r="F57" s="15" t="s">
        <v>1754</v>
      </c>
      <c r="G57" s="15" t="s">
        <v>19</v>
      </c>
      <c r="H57" s="15" t="s">
        <v>394</v>
      </c>
      <c r="I57" s="15" t="s">
        <v>1592</v>
      </c>
      <c r="J57" s="15"/>
      <c r="K57" s="15" t="s">
        <v>1153</v>
      </c>
      <c r="L57" s="15"/>
      <c r="M57" s="15" t="s">
        <v>2117</v>
      </c>
      <c r="N57" s="15"/>
      <c r="O57" s="18" t="s">
        <v>1634</v>
      </c>
    </row>
    <row r="58" spans="1:15" x14ac:dyDescent="0.2">
      <c r="A58" s="15">
        <v>796</v>
      </c>
      <c r="B58" s="15" t="b">
        <v>1</v>
      </c>
      <c r="C58" s="15" t="b">
        <v>1</v>
      </c>
      <c r="D58" s="15" t="s">
        <v>16</v>
      </c>
      <c r="E58" t="str">
        <f>IF(G58&lt;&gt;"",VLOOKUP(G58,PHA4GEVars!$A$7:$B$241,2,FALSE),"")</f>
        <v>Sequence information</v>
      </c>
      <c r="F58" s="15" t="s">
        <v>1754</v>
      </c>
      <c r="G58" s="15" t="s">
        <v>19</v>
      </c>
      <c r="H58" s="15" t="s">
        <v>395</v>
      </c>
      <c r="I58" s="15" t="s">
        <v>1592</v>
      </c>
      <c r="J58" s="15"/>
      <c r="K58" s="15" t="s">
        <v>1153</v>
      </c>
      <c r="L58" s="15"/>
      <c r="M58" s="15" t="s">
        <v>2117</v>
      </c>
      <c r="N58" s="15"/>
      <c r="O58" s="18" t="s">
        <v>1634</v>
      </c>
    </row>
    <row r="59" spans="1:15" x14ac:dyDescent="0.2">
      <c r="A59" s="15">
        <v>797</v>
      </c>
      <c r="B59" s="15" t="b">
        <v>1</v>
      </c>
      <c r="C59" s="15" t="b">
        <v>1</v>
      </c>
      <c r="D59" s="15" t="s">
        <v>16</v>
      </c>
      <c r="E59" t="str">
        <f>IF(G59&lt;&gt;"",VLOOKUP(G59,PHA4GEVars!$A$7:$B$241,2,FALSE),"")</f>
        <v>Sequence information</v>
      </c>
      <c r="F59" s="15" t="s">
        <v>1754</v>
      </c>
      <c r="G59" s="15" t="s">
        <v>19</v>
      </c>
      <c r="H59" s="15" t="s">
        <v>396</v>
      </c>
      <c r="I59" s="15" t="s">
        <v>1592</v>
      </c>
      <c r="J59" s="15"/>
      <c r="K59" s="15" t="s">
        <v>1153</v>
      </c>
      <c r="L59" s="15"/>
      <c r="M59" s="15" t="s">
        <v>2117</v>
      </c>
      <c r="N59" s="15"/>
      <c r="O59" s="18" t="s">
        <v>1634</v>
      </c>
    </row>
    <row r="60" spans="1:15" x14ac:dyDescent="0.2">
      <c r="A60" s="15">
        <v>798</v>
      </c>
      <c r="B60" s="15" t="b">
        <v>1</v>
      </c>
      <c r="C60" s="15" t="b">
        <v>1</v>
      </c>
      <c r="D60" s="15" t="s">
        <v>16</v>
      </c>
      <c r="E60" t="str">
        <f>IF(G60&lt;&gt;"",VLOOKUP(G60,PHA4GEVars!$A$7:$B$241,2,FALSE),"")</f>
        <v>Sequence information</v>
      </c>
      <c r="F60" s="15" t="s">
        <v>1754</v>
      </c>
      <c r="G60" s="15" t="s">
        <v>19</v>
      </c>
      <c r="H60" s="15" t="s">
        <v>397</v>
      </c>
      <c r="I60" s="15" t="s">
        <v>1592</v>
      </c>
      <c r="J60" s="15"/>
      <c r="K60" s="15" t="s">
        <v>1153</v>
      </c>
      <c r="L60" s="15"/>
      <c r="M60" s="15" t="s">
        <v>2117</v>
      </c>
      <c r="N60" s="15"/>
      <c r="O60" s="18" t="s">
        <v>1634</v>
      </c>
    </row>
    <row r="61" spans="1:15" x14ac:dyDescent="0.2">
      <c r="A61" s="15">
        <v>799</v>
      </c>
      <c r="B61" s="15" t="b">
        <v>1</v>
      </c>
      <c r="C61" s="15" t="b">
        <v>1</v>
      </c>
      <c r="D61" s="15" t="s">
        <v>16</v>
      </c>
      <c r="E61" t="str">
        <f>IF(G61&lt;&gt;"",VLOOKUP(G61,PHA4GEVars!$A$7:$B$241,2,FALSE),"")</f>
        <v>Sequence information</v>
      </c>
      <c r="F61" s="15" t="s">
        <v>1754</v>
      </c>
      <c r="G61" s="15" t="s">
        <v>19</v>
      </c>
      <c r="H61" s="15" t="s">
        <v>398</v>
      </c>
      <c r="I61" s="15" t="s">
        <v>1592</v>
      </c>
      <c r="J61" s="15"/>
      <c r="K61" s="15" t="s">
        <v>1153</v>
      </c>
      <c r="L61" s="15"/>
      <c r="M61" s="15" t="s">
        <v>2117</v>
      </c>
      <c r="N61" s="15"/>
      <c r="O61" s="18" t="s">
        <v>1634</v>
      </c>
    </row>
    <row r="62" spans="1:15" x14ac:dyDescent="0.2">
      <c r="A62" s="15">
        <v>800</v>
      </c>
      <c r="B62" s="15" t="b">
        <v>1</v>
      </c>
      <c r="C62" s="15" t="b">
        <v>1</v>
      </c>
      <c r="D62" s="15" t="s">
        <v>16</v>
      </c>
      <c r="E62" t="str">
        <f>IF(G62&lt;&gt;"",VLOOKUP(G62,PHA4GEVars!$A$7:$B$241,2,FALSE),"")</f>
        <v>Sequence information</v>
      </c>
      <c r="F62" s="15" t="s">
        <v>1754</v>
      </c>
      <c r="G62" s="15" t="s">
        <v>19</v>
      </c>
      <c r="H62" s="15" t="s">
        <v>399</v>
      </c>
      <c r="I62" s="15" t="s">
        <v>1592</v>
      </c>
      <c r="J62" s="15"/>
      <c r="K62" s="15" t="s">
        <v>1153</v>
      </c>
      <c r="L62" s="15"/>
      <c r="M62" s="15" t="s">
        <v>2117</v>
      </c>
      <c r="N62" s="15"/>
      <c r="O62" s="18" t="s">
        <v>1634</v>
      </c>
    </row>
    <row r="63" spans="1:15" x14ac:dyDescent="0.2">
      <c r="A63" s="15">
        <v>801</v>
      </c>
      <c r="B63" s="15" t="b">
        <v>1</v>
      </c>
      <c r="C63" s="15" t="b">
        <v>1</v>
      </c>
      <c r="D63" s="15" t="s">
        <v>16</v>
      </c>
      <c r="E63" t="str">
        <f>IF(G63&lt;&gt;"",VLOOKUP(G63,PHA4GEVars!$A$7:$B$241,2,FALSE),"")</f>
        <v>Sequence information</v>
      </c>
      <c r="F63" s="15" t="s">
        <v>1754</v>
      </c>
      <c r="G63" s="15" t="s">
        <v>19</v>
      </c>
      <c r="H63" s="15" t="s">
        <v>400</v>
      </c>
      <c r="I63" s="15" t="s">
        <v>1592</v>
      </c>
      <c r="J63" s="15"/>
      <c r="K63" s="15" t="s">
        <v>1153</v>
      </c>
      <c r="L63" s="15"/>
      <c r="M63" s="15" t="s">
        <v>2117</v>
      </c>
      <c r="N63" s="15"/>
      <c r="O63" s="18" t="s">
        <v>1634</v>
      </c>
    </row>
    <row r="64" spans="1:15" x14ac:dyDescent="0.2">
      <c r="A64" s="15">
        <v>802</v>
      </c>
      <c r="B64" s="15" t="b">
        <v>1</v>
      </c>
      <c r="C64" s="15" t="b">
        <v>1</v>
      </c>
      <c r="D64" s="15" t="s">
        <v>16</v>
      </c>
      <c r="E64" t="str">
        <f>IF(G64&lt;&gt;"",VLOOKUP(G64,PHA4GEVars!$A$7:$B$241,2,FALSE),"")</f>
        <v>Sequence information</v>
      </c>
      <c r="F64" s="15" t="s">
        <v>1754</v>
      </c>
      <c r="G64" s="15" t="s">
        <v>19</v>
      </c>
      <c r="H64" s="15" t="s">
        <v>1589</v>
      </c>
      <c r="I64" s="15" t="s">
        <v>1592</v>
      </c>
      <c r="J64" s="15"/>
      <c r="K64" s="15" t="s">
        <v>1153</v>
      </c>
      <c r="L64" s="15"/>
      <c r="M64" s="15" t="s">
        <v>2117</v>
      </c>
      <c r="N64" s="15"/>
      <c r="O64" s="18" t="s">
        <v>1634</v>
      </c>
    </row>
    <row r="65" spans="1:15" x14ac:dyDescent="0.2">
      <c r="A65" s="15">
        <v>803</v>
      </c>
      <c r="B65" s="15" t="b">
        <v>1</v>
      </c>
      <c r="C65" s="15" t="b">
        <v>1</v>
      </c>
      <c r="D65" s="15" t="s">
        <v>16</v>
      </c>
      <c r="E65" t="str">
        <f>IF(G65&lt;&gt;"",VLOOKUP(G65,PHA4GEVars!$A$7:$B$241,2,FALSE),"")</f>
        <v>Sequence information</v>
      </c>
      <c r="F65" s="15" t="s">
        <v>1754</v>
      </c>
      <c r="G65" s="15" t="s">
        <v>19</v>
      </c>
      <c r="H65" s="15" t="s">
        <v>401</v>
      </c>
      <c r="I65" s="15" t="s">
        <v>1592</v>
      </c>
      <c r="J65" s="15"/>
      <c r="K65" s="15" t="s">
        <v>1153</v>
      </c>
      <c r="L65" s="15"/>
      <c r="M65" s="15" t="s">
        <v>2117</v>
      </c>
      <c r="N65" s="15"/>
      <c r="O65" s="18" t="s">
        <v>1634</v>
      </c>
    </row>
    <row r="66" spans="1:15" x14ac:dyDescent="0.2">
      <c r="A66" s="15">
        <v>804</v>
      </c>
      <c r="B66" s="15" t="b">
        <v>1</v>
      </c>
      <c r="C66" s="15" t="b">
        <v>1</v>
      </c>
      <c r="D66" s="15" t="s">
        <v>16</v>
      </c>
      <c r="E66" t="str">
        <f>IF(G66&lt;&gt;"",VLOOKUP(G66,PHA4GEVars!$A$7:$B$241,2,FALSE),"")</f>
        <v>Sequence information</v>
      </c>
      <c r="F66" s="15" t="s">
        <v>1754</v>
      </c>
      <c r="G66" s="15" t="s">
        <v>19</v>
      </c>
      <c r="H66" s="15" t="s">
        <v>402</v>
      </c>
      <c r="I66" s="15" t="s">
        <v>1592</v>
      </c>
      <c r="J66" s="15"/>
      <c r="K66" s="15" t="s">
        <v>1153</v>
      </c>
      <c r="L66" s="15"/>
      <c r="M66" s="15" t="s">
        <v>2117</v>
      </c>
      <c r="N66" s="15"/>
      <c r="O66" s="18" t="s">
        <v>1634</v>
      </c>
    </row>
    <row r="67" spans="1:15" x14ac:dyDescent="0.2">
      <c r="A67" s="15">
        <v>805</v>
      </c>
      <c r="B67" s="15" t="b">
        <v>1</v>
      </c>
      <c r="C67" s="15" t="b">
        <v>1</v>
      </c>
      <c r="D67" s="15" t="s">
        <v>16</v>
      </c>
      <c r="E67" t="str">
        <f>IF(G67&lt;&gt;"",VLOOKUP(G67,PHA4GEVars!$A$7:$B$241,2,FALSE),"")</f>
        <v>Sequence information</v>
      </c>
      <c r="F67" s="15" t="s">
        <v>1754</v>
      </c>
      <c r="G67" s="15" t="s">
        <v>19</v>
      </c>
      <c r="H67" s="15" t="s">
        <v>403</v>
      </c>
      <c r="I67" s="15" t="s">
        <v>1592</v>
      </c>
      <c r="J67" s="15"/>
      <c r="K67" s="15" t="s">
        <v>1153</v>
      </c>
      <c r="L67" s="15"/>
      <c r="M67" s="15" t="s">
        <v>2117</v>
      </c>
      <c r="N67" s="15"/>
      <c r="O67" s="18" t="s">
        <v>1634</v>
      </c>
    </row>
    <row r="68" spans="1:15" x14ac:dyDescent="0.2">
      <c r="A68" s="15">
        <v>806</v>
      </c>
      <c r="B68" s="15" t="b">
        <v>1</v>
      </c>
      <c r="C68" s="15" t="b">
        <v>1</v>
      </c>
      <c r="D68" s="15" t="s">
        <v>16</v>
      </c>
      <c r="E68" t="str">
        <f>IF(G68&lt;&gt;"",VLOOKUP(G68,PHA4GEVars!$A$7:$B$241,2,FALSE),"")</f>
        <v>Sequence information</v>
      </c>
      <c r="F68" s="15" t="s">
        <v>1754</v>
      </c>
      <c r="G68" s="15" t="s">
        <v>19</v>
      </c>
      <c r="H68" s="15" t="s">
        <v>404</v>
      </c>
      <c r="I68" s="15" t="s">
        <v>1592</v>
      </c>
      <c r="J68" s="15"/>
      <c r="K68" s="15" t="s">
        <v>1153</v>
      </c>
      <c r="L68" s="15"/>
      <c r="M68" s="15" t="s">
        <v>2117</v>
      </c>
      <c r="N68" s="15"/>
      <c r="O68" s="18" t="s">
        <v>1634</v>
      </c>
    </row>
    <row r="69" spans="1:15" x14ac:dyDescent="0.2">
      <c r="A69" s="15">
        <v>807</v>
      </c>
      <c r="B69" s="15" t="b">
        <v>1</v>
      </c>
      <c r="C69" s="15" t="b">
        <v>1</v>
      </c>
      <c r="D69" s="15" t="s">
        <v>16</v>
      </c>
      <c r="E69" t="str">
        <f>IF(G69&lt;&gt;"",VLOOKUP(G69,PHA4GEVars!$A$7:$B$241,2,FALSE),"")</f>
        <v>Sequence information</v>
      </c>
      <c r="F69" s="15" t="s">
        <v>1754</v>
      </c>
      <c r="G69" s="15" t="s">
        <v>19</v>
      </c>
      <c r="H69" s="15" t="s">
        <v>405</v>
      </c>
      <c r="I69" s="15" t="s">
        <v>1592</v>
      </c>
      <c r="J69" s="15"/>
      <c r="K69" s="15" t="s">
        <v>1153</v>
      </c>
      <c r="L69" s="15"/>
      <c r="M69" s="15" t="s">
        <v>2117</v>
      </c>
      <c r="N69" s="15"/>
      <c r="O69" s="18" t="s">
        <v>1634</v>
      </c>
    </row>
    <row r="70" spans="1:15" x14ac:dyDescent="0.2">
      <c r="A70" s="15">
        <v>808</v>
      </c>
      <c r="B70" s="15" t="b">
        <v>1</v>
      </c>
      <c r="C70" s="15" t="b">
        <v>1</v>
      </c>
      <c r="D70" s="15" t="s">
        <v>16</v>
      </c>
      <c r="E70" t="str">
        <f>IF(G70&lt;&gt;"",VLOOKUP(G70,PHA4GEVars!$A$7:$B$241,2,FALSE),"")</f>
        <v>Sequence information</v>
      </c>
      <c r="F70" s="15" t="s">
        <v>1754</v>
      </c>
      <c r="G70" s="15" t="s">
        <v>19</v>
      </c>
      <c r="H70" s="15" t="s">
        <v>406</v>
      </c>
      <c r="I70" s="15" t="s">
        <v>1592</v>
      </c>
      <c r="J70" s="15"/>
      <c r="K70" s="15" t="s">
        <v>1153</v>
      </c>
      <c r="L70" s="15"/>
      <c r="M70" s="15" t="s">
        <v>2117</v>
      </c>
      <c r="N70" s="15"/>
      <c r="O70" s="18" t="s">
        <v>1634</v>
      </c>
    </row>
    <row r="71" spans="1:15" x14ac:dyDescent="0.2">
      <c r="A71" s="15">
        <v>809</v>
      </c>
      <c r="B71" s="15" t="b">
        <v>1</v>
      </c>
      <c r="C71" s="15" t="b">
        <v>1</v>
      </c>
      <c r="D71" s="15" t="s">
        <v>16</v>
      </c>
      <c r="E71" t="str">
        <f>IF(G71&lt;&gt;"",VLOOKUP(G71,PHA4GEVars!$A$7:$B$241,2,FALSE),"")</f>
        <v>Sequence information</v>
      </c>
      <c r="F71" s="15" t="s">
        <v>1754</v>
      </c>
      <c r="G71" s="15" t="s">
        <v>19</v>
      </c>
      <c r="H71" s="15" t="s">
        <v>1590</v>
      </c>
      <c r="I71" s="15" t="s">
        <v>1592</v>
      </c>
      <c r="J71" s="15"/>
      <c r="K71" s="15" t="s">
        <v>1153</v>
      </c>
      <c r="L71" s="15"/>
      <c r="M71" s="15" t="s">
        <v>2117</v>
      </c>
      <c r="N71" s="15"/>
      <c r="O71" s="18" t="s">
        <v>1634</v>
      </c>
    </row>
    <row r="72" spans="1:15" x14ac:dyDescent="0.2">
      <c r="A72" s="15">
        <v>810</v>
      </c>
      <c r="B72" s="15" t="b">
        <v>1</v>
      </c>
      <c r="C72" s="15" t="b">
        <v>1</v>
      </c>
      <c r="D72" s="15" t="s">
        <v>16</v>
      </c>
      <c r="E72" t="str">
        <f>IF(G72&lt;&gt;"",VLOOKUP(G72,PHA4GEVars!$A$7:$B$241,2,FALSE),"")</f>
        <v>Sequence information</v>
      </c>
      <c r="F72" s="15" t="s">
        <v>1754</v>
      </c>
      <c r="G72" s="15" t="s">
        <v>19</v>
      </c>
      <c r="H72" s="15" t="s">
        <v>1591</v>
      </c>
      <c r="I72" s="15" t="s">
        <v>1592</v>
      </c>
      <c r="J72" s="15"/>
      <c r="K72" s="15" t="s">
        <v>1153</v>
      </c>
      <c r="L72" s="15"/>
      <c r="M72" s="15" t="s">
        <v>2117</v>
      </c>
      <c r="N72" s="15"/>
      <c r="O72" s="18" t="s">
        <v>1634</v>
      </c>
    </row>
    <row r="73" spans="1:15" x14ac:dyDescent="0.2">
      <c r="A73" s="15">
        <v>811</v>
      </c>
      <c r="B73" s="15" t="b">
        <v>1</v>
      </c>
      <c r="C73" s="15" t="b">
        <v>1</v>
      </c>
      <c r="D73" s="15" t="s">
        <v>16</v>
      </c>
      <c r="E73" t="str">
        <f>IF(G73&lt;&gt;"",VLOOKUP(G73,PHA4GEVars!$A$7:$B$241,2,FALSE),"")</f>
        <v>Sequence information</v>
      </c>
      <c r="F73" s="15" t="s">
        <v>1754</v>
      </c>
      <c r="G73" s="15" t="s">
        <v>19</v>
      </c>
      <c r="H73" s="15" t="s">
        <v>1148</v>
      </c>
      <c r="I73" s="15" t="s">
        <v>1592</v>
      </c>
      <c r="J73" s="15"/>
      <c r="K73" s="15" t="s">
        <v>1153</v>
      </c>
      <c r="L73" s="15"/>
      <c r="M73" s="15" t="s">
        <v>2117</v>
      </c>
      <c r="N73" s="15"/>
      <c r="O73" s="18" t="s">
        <v>1634</v>
      </c>
    </row>
    <row r="74" spans="1:15" x14ac:dyDescent="0.2">
      <c r="A74" s="15">
        <v>812</v>
      </c>
      <c r="B74" s="15" t="b">
        <v>1</v>
      </c>
      <c r="C74" s="15" t="b">
        <v>1</v>
      </c>
      <c r="D74" s="15" t="s">
        <v>16</v>
      </c>
      <c r="E74" t="str">
        <f>IF(G74&lt;&gt;"",VLOOKUP(G74,PHA4GEVars!$A$7:$B$241,2,FALSE),"")</f>
        <v>Sequence information</v>
      </c>
      <c r="F74" s="15" t="s">
        <v>1754</v>
      </c>
      <c r="G74" s="15" t="s">
        <v>19</v>
      </c>
      <c r="H74" s="15" t="s">
        <v>407</v>
      </c>
      <c r="I74" s="15" t="s">
        <v>1592</v>
      </c>
      <c r="J74" s="15"/>
      <c r="K74" s="15" t="s">
        <v>1153</v>
      </c>
      <c r="L74" s="15"/>
      <c r="M74" s="15" t="s">
        <v>2117</v>
      </c>
      <c r="N74" s="15"/>
      <c r="O74" s="18" t="s">
        <v>1634</v>
      </c>
    </row>
    <row r="75" spans="1:15" x14ac:dyDescent="0.2">
      <c r="A75" s="15">
        <v>813</v>
      </c>
      <c r="B75" s="15" t="b">
        <v>1</v>
      </c>
      <c r="C75" s="15" t="b">
        <v>1</v>
      </c>
      <c r="D75" s="15" t="s">
        <v>16</v>
      </c>
      <c r="E75" t="str">
        <f>IF(G75&lt;&gt;"",VLOOKUP(G75,PHA4GEVars!$A$7:$B$241,2,FALSE),"")</f>
        <v>Sequence information</v>
      </c>
      <c r="F75" s="15" t="s">
        <v>1754</v>
      </c>
      <c r="G75" s="15" t="s">
        <v>19</v>
      </c>
      <c r="H75" s="15" t="s">
        <v>408</v>
      </c>
      <c r="I75" s="15" t="s">
        <v>1592</v>
      </c>
      <c r="J75" s="15"/>
      <c r="K75" s="15" t="s">
        <v>1153</v>
      </c>
      <c r="L75" s="15"/>
      <c r="M75" s="15" t="s">
        <v>2117</v>
      </c>
      <c r="N75" s="15"/>
      <c r="O75" s="18" t="s">
        <v>1634</v>
      </c>
    </row>
    <row r="76" spans="1:15" x14ac:dyDescent="0.2">
      <c r="A76" s="15">
        <v>814</v>
      </c>
      <c r="B76" s="15" t="b">
        <v>1</v>
      </c>
      <c r="C76" s="15" t="b">
        <v>1</v>
      </c>
      <c r="D76" s="15" t="s">
        <v>16</v>
      </c>
      <c r="E76" t="str">
        <f>IF(G76&lt;&gt;"",VLOOKUP(G76,PHA4GEVars!$A$7:$B$241,2,FALSE),"")</f>
        <v>Sequence information</v>
      </c>
      <c r="F76" s="15" t="s">
        <v>1754</v>
      </c>
      <c r="G76" s="15" t="s">
        <v>19</v>
      </c>
      <c r="H76" s="15" t="s">
        <v>409</v>
      </c>
      <c r="I76" s="15" t="s">
        <v>1592</v>
      </c>
      <c r="J76" s="15"/>
      <c r="K76" s="15" t="s">
        <v>1153</v>
      </c>
      <c r="L76" s="15"/>
      <c r="M76" s="15" t="s">
        <v>2117</v>
      </c>
      <c r="N76" s="15"/>
      <c r="O76" s="18" t="s">
        <v>1634</v>
      </c>
    </row>
    <row r="77" spans="1:15" x14ac:dyDescent="0.2">
      <c r="A77" s="15">
        <v>815</v>
      </c>
      <c r="B77" s="15" t="b">
        <v>1</v>
      </c>
      <c r="C77" s="15" t="b">
        <v>1</v>
      </c>
      <c r="D77" s="15" t="s">
        <v>16</v>
      </c>
      <c r="E77" t="str">
        <f>IF(G77&lt;&gt;"",VLOOKUP(G77,PHA4GEVars!$A$7:$B$241,2,FALSE),"")</f>
        <v>Sequence information</v>
      </c>
      <c r="F77" s="15" t="s">
        <v>1754</v>
      </c>
      <c r="G77" s="15" t="s">
        <v>19</v>
      </c>
      <c r="H77" s="15" t="s">
        <v>410</v>
      </c>
      <c r="I77" s="15" t="s">
        <v>1592</v>
      </c>
      <c r="J77" s="15"/>
      <c r="K77" s="15" t="s">
        <v>1153</v>
      </c>
      <c r="L77" s="15"/>
      <c r="M77" s="15" t="s">
        <v>2117</v>
      </c>
      <c r="N77" s="15"/>
      <c r="O77" s="18" t="s">
        <v>1634</v>
      </c>
    </row>
    <row r="78" spans="1:15" x14ac:dyDescent="0.2">
      <c r="A78" s="15">
        <v>816</v>
      </c>
      <c r="B78" s="15" t="b">
        <v>1</v>
      </c>
      <c r="C78" s="15" t="b">
        <v>1</v>
      </c>
      <c r="D78" s="15" t="s">
        <v>16</v>
      </c>
      <c r="E78" t="str">
        <f>IF(G78&lt;&gt;"",VLOOKUP(G78,PHA4GEVars!$A$7:$B$241,2,FALSE),"")</f>
        <v>Sequence information</v>
      </c>
      <c r="F78" s="15" t="s">
        <v>1754</v>
      </c>
      <c r="G78" s="15" t="s">
        <v>19</v>
      </c>
      <c r="H78" s="15" t="s">
        <v>411</v>
      </c>
      <c r="I78" s="15" t="s">
        <v>1592</v>
      </c>
      <c r="J78" s="15"/>
      <c r="K78" s="15" t="s">
        <v>1153</v>
      </c>
      <c r="L78" s="15"/>
      <c r="M78" s="15" t="s">
        <v>2117</v>
      </c>
      <c r="N78" s="15"/>
      <c r="O78" s="18" t="s">
        <v>1634</v>
      </c>
    </row>
    <row r="79" spans="1:15" x14ac:dyDescent="0.2">
      <c r="A79" s="15">
        <v>817</v>
      </c>
      <c r="B79" s="15" t="b">
        <v>1</v>
      </c>
      <c r="C79" s="15" t="b">
        <v>1</v>
      </c>
      <c r="D79" s="15" t="s">
        <v>16</v>
      </c>
      <c r="E79" t="str">
        <f>IF(G79&lt;&gt;"",VLOOKUP(G79,PHA4GEVars!$A$7:$B$241,2,FALSE),"")</f>
        <v>Sequence information</v>
      </c>
      <c r="F79" s="15" t="s">
        <v>1754</v>
      </c>
      <c r="G79" s="15" t="s">
        <v>19</v>
      </c>
      <c r="H79" s="15" t="s">
        <v>412</v>
      </c>
      <c r="I79" s="15" t="s">
        <v>1592</v>
      </c>
      <c r="J79" s="15"/>
      <c r="K79" s="15" t="s">
        <v>1153</v>
      </c>
      <c r="L79" s="15"/>
      <c r="M79" s="15" t="s">
        <v>2117</v>
      </c>
      <c r="N79" s="15"/>
      <c r="O79" s="18" t="s">
        <v>1634</v>
      </c>
    </row>
    <row r="80" spans="1:15" x14ac:dyDescent="0.2">
      <c r="A80" s="15"/>
      <c r="B80" s="15"/>
      <c r="C80" s="15"/>
      <c r="D80" s="15"/>
      <c r="E80" t="str">
        <f>IF(G80&lt;&gt;"",VLOOKUP(G80,PHA4GEVars!$A$7:$B$241,2,FALSE),"")</f>
        <v/>
      </c>
      <c r="F80" s="15"/>
      <c r="G80" s="15"/>
      <c r="H80" s="15"/>
      <c r="I80" s="15"/>
      <c r="J80" s="15"/>
      <c r="K80" s="15"/>
      <c r="L80" s="15"/>
      <c r="M80" s="15"/>
      <c r="N80" s="15"/>
      <c r="O80" s="18"/>
    </row>
    <row r="81" spans="1:15" x14ac:dyDescent="0.2">
      <c r="A81" s="15">
        <v>818</v>
      </c>
      <c r="B81" s="15" t="b">
        <v>1</v>
      </c>
      <c r="C81" s="15" t="b">
        <v>1</v>
      </c>
      <c r="D81" s="15" t="s">
        <v>16</v>
      </c>
      <c r="E81" t="str">
        <f>IF(G81&lt;&gt;"",VLOOKUP(G81,PHA4GEVars!$A$7:$B$241,2,FALSE),"")</f>
        <v>Sequence information</v>
      </c>
      <c r="F81" s="15" t="s">
        <v>1754</v>
      </c>
      <c r="G81" s="15" t="s">
        <v>115</v>
      </c>
      <c r="H81" s="15" t="s">
        <v>341</v>
      </c>
      <c r="I81" s="15" t="s">
        <v>1592</v>
      </c>
      <c r="J81" s="15"/>
      <c r="K81" s="15" t="s">
        <v>1593</v>
      </c>
      <c r="L81" s="15"/>
      <c r="M81" s="15" t="s">
        <v>2118</v>
      </c>
      <c r="N81" s="15"/>
      <c r="O81" s="18" t="s">
        <v>1594</v>
      </c>
    </row>
    <row r="82" spans="1:15" x14ac:dyDescent="0.2">
      <c r="A82" s="15">
        <v>819</v>
      </c>
      <c r="B82" s="15" t="b">
        <v>1</v>
      </c>
      <c r="C82" s="15" t="b">
        <v>1</v>
      </c>
      <c r="D82" s="15" t="s">
        <v>16</v>
      </c>
      <c r="E82" t="str">
        <f>IF(G82&lt;&gt;"",VLOOKUP(G82,PHA4GEVars!$A$7:$B$241,2,FALSE),"")</f>
        <v>Sequence information</v>
      </c>
      <c r="F82" s="15" t="s">
        <v>1754</v>
      </c>
      <c r="G82" s="15" t="s">
        <v>115</v>
      </c>
      <c r="H82" s="15" t="s">
        <v>342</v>
      </c>
      <c r="I82" s="15" t="s">
        <v>1592</v>
      </c>
      <c r="J82" s="15"/>
      <c r="K82" s="15" t="s">
        <v>1593</v>
      </c>
      <c r="L82" s="15"/>
      <c r="M82" s="15" t="s">
        <v>2118</v>
      </c>
      <c r="N82" s="15"/>
      <c r="O82" s="18" t="s">
        <v>1594</v>
      </c>
    </row>
    <row r="83" spans="1:15" x14ac:dyDescent="0.2">
      <c r="A83" s="15">
        <v>820</v>
      </c>
      <c r="B83" s="15" t="b">
        <v>1</v>
      </c>
      <c r="C83" s="15" t="b">
        <v>1</v>
      </c>
      <c r="D83" s="15" t="s">
        <v>16</v>
      </c>
      <c r="E83" t="str">
        <f>IF(G83&lt;&gt;"",VLOOKUP(G83,PHA4GEVars!$A$7:$B$241,2,FALSE),"")</f>
        <v>Sequence information</v>
      </c>
      <c r="F83" s="15" t="s">
        <v>1754</v>
      </c>
      <c r="G83" s="15" t="s">
        <v>115</v>
      </c>
      <c r="H83" s="15" t="s">
        <v>343</v>
      </c>
      <c r="I83" s="15" t="s">
        <v>1592</v>
      </c>
      <c r="J83" s="15"/>
      <c r="K83" s="15" t="s">
        <v>1593</v>
      </c>
      <c r="L83" s="15"/>
      <c r="M83" s="15" t="s">
        <v>2118</v>
      </c>
      <c r="N83" s="15"/>
      <c r="O83" s="18" t="s">
        <v>1594</v>
      </c>
    </row>
    <row r="84" spans="1:15" x14ac:dyDescent="0.2">
      <c r="A84" s="15">
        <v>821</v>
      </c>
      <c r="B84" s="15" t="b">
        <v>1</v>
      </c>
      <c r="C84" s="15" t="b">
        <v>1</v>
      </c>
      <c r="D84" s="15" t="s">
        <v>16</v>
      </c>
      <c r="E84" t="str">
        <f>IF(G84&lt;&gt;"",VLOOKUP(G84,PHA4GEVars!$A$7:$B$241,2,FALSE),"")</f>
        <v>Sequence information</v>
      </c>
      <c r="F84" s="15" t="s">
        <v>1754</v>
      </c>
      <c r="G84" s="15" t="s">
        <v>115</v>
      </c>
      <c r="H84" s="15" t="s">
        <v>344</v>
      </c>
      <c r="I84" s="15" t="s">
        <v>1592</v>
      </c>
      <c r="J84" s="15"/>
      <c r="K84" s="15" t="s">
        <v>1593</v>
      </c>
      <c r="L84" s="15"/>
      <c r="M84" s="15" t="s">
        <v>2118</v>
      </c>
      <c r="N84" s="15"/>
      <c r="O84" s="18" t="s">
        <v>1594</v>
      </c>
    </row>
    <row r="85" spans="1:15" x14ac:dyDescent="0.2">
      <c r="A85" s="15">
        <v>822</v>
      </c>
      <c r="B85" s="15" t="b">
        <v>1</v>
      </c>
      <c r="C85" s="15" t="b">
        <v>1</v>
      </c>
      <c r="D85" s="15" t="s">
        <v>16</v>
      </c>
      <c r="E85" t="str">
        <f>IF(G85&lt;&gt;"",VLOOKUP(G85,PHA4GEVars!$A$7:$B$241,2,FALSE),"")</f>
        <v>Sequence information</v>
      </c>
      <c r="F85" s="15" t="s">
        <v>1754</v>
      </c>
      <c r="G85" s="15" t="s">
        <v>115</v>
      </c>
      <c r="H85" s="15" t="s">
        <v>345</v>
      </c>
      <c r="I85" s="15" t="s">
        <v>1592</v>
      </c>
      <c r="J85" s="15"/>
      <c r="K85" s="15" t="s">
        <v>1593</v>
      </c>
      <c r="L85" s="15"/>
      <c r="M85" s="15" t="s">
        <v>2118</v>
      </c>
      <c r="N85" s="15"/>
      <c r="O85" s="18" t="s">
        <v>1594</v>
      </c>
    </row>
    <row r="86" spans="1:15" x14ac:dyDescent="0.2">
      <c r="A86" s="15">
        <v>823</v>
      </c>
      <c r="B86" s="15" t="b">
        <v>1</v>
      </c>
      <c r="C86" s="15" t="b">
        <v>1</v>
      </c>
      <c r="D86" s="15" t="s">
        <v>16</v>
      </c>
      <c r="E86" t="str">
        <f>IF(G86&lt;&gt;"",VLOOKUP(G86,PHA4GEVars!$A$7:$B$241,2,FALSE),"")</f>
        <v>Sequence information</v>
      </c>
      <c r="F86" s="15" t="s">
        <v>1754</v>
      </c>
      <c r="G86" s="15" t="s">
        <v>115</v>
      </c>
      <c r="H86" s="15" t="s">
        <v>346</v>
      </c>
      <c r="I86" s="15" t="s">
        <v>1592</v>
      </c>
      <c r="J86" s="15"/>
      <c r="K86" s="15" t="s">
        <v>1593</v>
      </c>
      <c r="L86" s="15"/>
      <c r="M86" s="15" t="s">
        <v>2118</v>
      </c>
      <c r="N86" s="15"/>
      <c r="O86" s="18" t="s">
        <v>1594</v>
      </c>
    </row>
    <row r="87" spans="1:15" x14ac:dyDescent="0.2">
      <c r="A87" s="15">
        <v>824</v>
      </c>
      <c r="B87" s="15" t="b">
        <v>1</v>
      </c>
      <c r="C87" s="15" t="b">
        <v>1</v>
      </c>
      <c r="D87" s="15" t="s">
        <v>16</v>
      </c>
      <c r="E87" t="str">
        <f>IF(G87&lt;&gt;"",VLOOKUP(G87,PHA4GEVars!$A$7:$B$241,2,FALSE),"")</f>
        <v>Sequence information</v>
      </c>
      <c r="F87" s="15" t="s">
        <v>1754</v>
      </c>
      <c r="G87" s="15" t="s">
        <v>115</v>
      </c>
      <c r="H87" s="15" t="s">
        <v>347</v>
      </c>
      <c r="I87" s="15" t="s">
        <v>1592</v>
      </c>
      <c r="J87" s="15"/>
      <c r="K87" s="15" t="s">
        <v>1593</v>
      </c>
      <c r="L87" s="15"/>
      <c r="M87" s="15" t="s">
        <v>2118</v>
      </c>
      <c r="N87" s="15"/>
      <c r="O87" s="18" t="s">
        <v>1594</v>
      </c>
    </row>
    <row r="88" spans="1:15" x14ac:dyDescent="0.2">
      <c r="A88" s="15">
        <v>825</v>
      </c>
      <c r="B88" s="15" t="b">
        <v>1</v>
      </c>
      <c r="C88" s="15" t="b">
        <v>1</v>
      </c>
      <c r="D88" s="15" t="s">
        <v>16</v>
      </c>
      <c r="E88" t="str">
        <f>IF(G88&lt;&gt;"",VLOOKUP(G88,PHA4GEVars!$A$7:$B$241,2,FALSE),"")</f>
        <v>Sequence information</v>
      </c>
      <c r="F88" s="15" t="s">
        <v>1754</v>
      </c>
      <c r="G88" s="15" t="s">
        <v>115</v>
      </c>
      <c r="H88" s="15" t="s">
        <v>348</v>
      </c>
      <c r="I88" s="15" t="s">
        <v>1592</v>
      </c>
      <c r="J88" s="15"/>
      <c r="K88" s="15" t="s">
        <v>1593</v>
      </c>
      <c r="L88" s="15"/>
      <c r="M88" s="15" t="s">
        <v>2118</v>
      </c>
      <c r="N88" s="15"/>
      <c r="O88" s="18" t="s">
        <v>1594</v>
      </c>
    </row>
    <row r="89" spans="1:15" x14ac:dyDescent="0.2">
      <c r="A89" s="15">
        <v>826</v>
      </c>
      <c r="B89" s="15" t="b">
        <v>1</v>
      </c>
      <c r="C89" s="15" t="b">
        <v>1</v>
      </c>
      <c r="D89" s="15" t="s">
        <v>16</v>
      </c>
      <c r="E89" t="str">
        <f>IF(G89&lt;&gt;"",VLOOKUP(G89,PHA4GEVars!$A$7:$B$241,2,FALSE),"")</f>
        <v>Sequence information</v>
      </c>
      <c r="F89" s="15" t="s">
        <v>1754</v>
      </c>
      <c r="G89" s="15" t="s">
        <v>115</v>
      </c>
      <c r="H89" s="15" t="s">
        <v>349</v>
      </c>
      <c r="I89" s="15" t="s">
        <v>1592</v>
      </c>
      <c r="J89" s="15"/>
      <c r="K89" s="15" t="s">
        <v>1593</v>
      </c>
      <c r="L89" s="15"/>
      <c r="M89" s="15" t="s">
        <v>2118</v>
      </c>
      <c r="N89" s="15"/>
      <c r="O89" s="18" t="s">
        <v>1594</v>
      </c>
    </row>
    <row r="90" spans="1:15" x14ac:dyDescent="0.2">
      <c r="A90" s="15">
        <v>827</v>
      </c>
      <c r="B90" s="15" t="b">
        <v>1</v>
      </c>
      <c r="C90" s="15" t="b">
        <v>1</v>
      </c>
      <c r="D90" s="15" t="s">
        <v>16</v>
      </c>
      <c r="E90" t="str">
        <f>IF(G90&lt;&gt;"",VLOOKUP(G90,PHA4GEVars!$A$7:$B$241,2,FALSE),"")</f>
        <v>Sequence information</v>
      </c>
      <c r="F90" s="15" t="s">
        <v>1754</v>
      </c>
      <c r="G90" s="15" t="s">
        <v>115</v>
      </c>
      <c r="H90" s="15" t="s">
        <v>350</v>
      </c>
      <c r="I90" s="15" t="s">
        <v>1592</v>
      </c>
      <c r="J90" s="15"/>
      <c r="K90" s="15" t="s">
        <v>1593</v>
      </c>
      <c r="L90" s="15"/>
      <c r="M90" s="15" t="s">
        <v>2118</v>
      </c>
      <c r="N90" s="15"/>
      <c r="O90" s="18" t="s">
        <v>1594</v>
      </c>
    </row>
    <row r="91" spans="1:15" x14ac:dyDescent="0.2">
      <c r="A91" s="15">
        <v>828</v>
      </c>
      <c r="B91" s="15" t="b">
        <v>1</v>
      </c>
      <c r="C91" s="15" t="b">
        <v>1</v>
      </c>
      <c r="D91" s="15" t="s">
        <v>16</v>
      </c>
      <c r="E91" t="str">
        <f>IF(G91&lt;&gt;"",VLOOKUP(G91,PHA4GEVars!$A$7:$B$241,2,FALSE),"")</f>
        <v>Sequence information</v>
      </c>
      <c r="F91" s="15" t="s">
        <v>1754</v>
      </c>
      <c r="G91" s="15" t="s">
        <v>115</v>
      </c>
      <c r="H91" s="15" t="s">
        <v>351</v>
      </c>
      <c r="I91" s="15" t="s">
        <v>1592</v>
      </c>
      <c r="J91" s="15"/>
      <c r="K91" s="15" t="s">
        <v>1593</v>
      </c>
      <c r="L91" s="15"/>
      <c r="M91" s="15" t="s">
        <v>2118</v>
      </c>
      <c r="N91" s="15"/>
      <c r="O91" s="18" t="s">
        <v>1594</v>
      </c>
    </row>
    <row r="93" spans="1:15" x14ac:dyDescent="0.2">
      <c r="B93" t="b">
        <v>1</v>
      </c>
      <c r="C93" t="b">
        <v>1</v>
      </c>
      <c r="F93" s="15" t="s">
        <v>1754</v>
      </c>
      <c r="I93" s="15" t="s">
        <v>1592</v>
      </c>
      <c r="K93" s="15" t="s">
        <v>1972</v>
      </c>
      <c r="M93" t="s">
        <v>1973</v>
      </c>
    </row>
    <row r="94" spans="1:15" x14ac:dyDescent="0.2">
      <c r="B94" t="b">
        <v>1</v>
      </c>
      <c r="C94" t="b">
        <v>1</v>
      </c>
      <c r="F94" s="15" t="s">
        <v>1754</v>
      </c>
      <c r="I94" s="15" t="s">
        <v>1592</v>
      </c>
      <c r="K94" s="15" t="s">
        <v>1975</v>
      </c>
      <c r="M94" t="s">
        <v>1973</v>
      </c>
    </row>
    <row r="95" spans="1:15" x14ac:dyDescent="0.2">
      <c r="B95" t="b">
        <v>1</v>
      </c>
      <c r="C95" t="b">
        <v>1</v>
      </c>
      <c r="F95" s="15" t="s">
        <v>1754</v>
      </c>
      <c r="I95" s="15" t="s">
        <v>1592</v>
      </c>
      <c r="K95" s="15" t="s">
        <v>2001</v>
      </c>
      <c r="M95" t="s">
        <v>2002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1386</v>
      </c>
      <c r="B1" s="17" t="s">
        <v>0</v>
      </c>
      <c r="C1" s="17" t="s">
        <v>10</v>
      </c>
      <c r="D1" s="17" t="s">
        <v>1765</v>
      </c>
      <c r="E1" s="17" t="s">
        <v>1</v>
      </c>
      <c r="F1" s="17" t="s">
        <v>2</v>
      </c>
      <c r="G1" s="17" t="s">
        <v>3</v>
      </c>
      <c r="H1" s="17" t="s">
        <v>4</v>
      </c>
      <c r="I1" s="17" t="s">
        <v>5</v>
      </c>
      <c r="J1" s="17" t="s">
        <v>6</v>
      </c>
      <c r="K1" s="17" t="s">
        <v>7</v>
      </c>
      <c r="L1" s="17" t="s">
        <v>8</v>
      </c>
      <c r="M1" s="17" t="s">
        <v>9</v>
      </c>
      <c r="N1" s="17" t="s">
        <v>1678</v>
      </c>
    </row>
    <row r="2" spans="1:14" x14ac:dyDescent="0.2">
      <c r="A2">
        <v>650</v>
      </c>
      <c r="B2" t="b">
        <f t="shared" ref="B2:B8" si="0">IF(OR(G2="NA",H2="wide_value"),"",TRUE)</f>
        <v>1</v>
      </c>
      <c r="C2" t="s">
        <v>108</v>
      </c>
      <c r="D2" t="str">
        <f>IF(F2&lt;&gt;"",VLOOKUP(F2,PHA4GEVars!$A$7:$B$241,2,FALSE),"")</f>
        <v>Sample collection and processing</v>
      </c>
      <c r="E2" t="s">
        <v>1754</v>
      </c>
      <c r="F2" t="s">
        <v>114</v>
      </c>
      <c r="G2" t="s">
        <v>180</v>
      </c>
      <c r="H2" t="s">
        <v>957</v>
      </c>
      <c r="I2" t="s">
        <v>969</v>
      </c>
      <c r="J2" t="s">
        <v>1193</v>
      </c>
      <c r="M2" s="1" t="s">
        <v>978</v>
      </c>
    </row>
    <row r="3" spans="1:14" x14ac:dyDescent="0.2">
      <c r="A3">
        <v>651</v>
      </c>
      <c r="B3" t="b">
        <f t="shared" si="0"/>
        <v>1</v>
      </c>
      <c r="C3" t="s">
        <v>108</v>
      </c>
      <c r="D3" t="str">
        <f>IF(F3&lt;&gt;"",VLOOKUP(F3,PHA4GEVars!$A$7:$B$241,2,FALSE),"")</f>
        <v>Sample collection and processing</v>
      </c>
      <c r="E3" t="s">
        <v>1754</v>
      </c>
      <c r="F3" t="s">
        <v>114</v>
      </c>
      <c r="G3" t="s">
        <v>181</v>
      </c>
      <c r="H3" t="s">
        <v>957</v>
      </c>
      <c r="I3" t="s">
        <v>969</v>
      </c>
      <c r="J3" t="s">
        <v>1194</v>
      </c>
      <c r="M3" s="1" t="s">
        <v>978</v>
      </c>
    </row>
    <row r="4" spans="1:14" x14ac:dyDescent="0.2">
      <c r="A4">
        <v>652</v>
      </c>
      <c r="B4" t="b">
        <f t="shared" si="0"/>
        <v>1</v>
      </c>
      <c r="C4" t="s">
        <v>108</v>
      </c>
      <c r="D4" t="str">
        <f>IF(F4&lt;&gt;"",VLOOKUP(F4,PHA4GEVars!$A$7:$B$241,2,FALSE),"")</f>
        <v>Sample collection and processing</v>
      </c>
      <c r="E4" t="s">
        <v>1754</v>
      </c>
      <c r="F4" t="s">
        <v>114</v>
      </c>
      <c r="G4" t="s">
        <v>182</v>
      </c>
      <c r="H4" t="s">
        <v>957</v>
      </c>
      <c r="I4" t="s">
        <v>969</v>
      </c>
      <c r="J4" t="s">
        <v>1195</v>
      </c>
      <c r="M4" s="1" t="s">
        <v>978</v>
      </c>
    </row>
    <row r="5" spans="1:14" x14ac:dyDescent="0.2">
      <c r="A5">
        <v>653</v>
      </c>
      <c r="B5" t="b">
        <f t="shared" si="0"/>
        <v>1</v>
      </c>
      <c r="C5" t="s">
        <v>108</v>
      </c>
      <c r="D5" t="str">
        <f>IF(F5&lt;&gt;"",VLOOKUP(F5,PHA4GEVars!$A$7:$B$241,2,FALSE),"")</f>
        <v>Sample collection and processing</v>
      </c>
      <c r="E5" t="s">
        <v>1754</v>
      </c>
      <c r="F5" t="s">
        <v>114</v>
      </c>
      <c r="G5" t="s">
        <v>183</v>
      </c>
      <c r="H5" t="s">
        <v>957</v>
      </c>
      <c r="I5" t="s">
        <v>969</v>
      </c>
      <c r="J5" t="s">
        <v>1196</v>
      </c>
      <c r="M5" s="1" t="s">
        <v>978</v>
      </c>
    </row>
    <row r="6" spans="1:14" x14ac:dyDescent="0.2">
      <c r="A6">
        <v>654</v>
      </c>
      <c r="B6" t="b">
        <f t="shared" si="0"/>
        <v>1</v>
      </c>
      <c r="C6" t="s">
        <v>108</v>
      </c>
      <c r="D6" t="str">
        <f>IF(F6&lt;&gt;"",VLOOKUP(F6,PHA4GEVars!$A$7:$B$241,2,FALSE),"")</f>
        <v>Sample collection and processing</v>
      </c>
      <c r="E6" t="s">
        <v>1754</v>
      </c>
      <c r="F6" t="s">
        <v>114</v>
      </c>
      <c r="G6" t="s">
        <v>184</v>
      </c>
      <c r="H6" t="s">
        <v>957</v>
      </c>
      <c r="I6" t="s">
        <v>969</v>
      </c>
      <c r="J6" t="s">
        <v>1199</v>
      </c>
      <c r="M6" s="1" t="s">
        <v>978</v>
      </c>
    </row>
    <row r="7" spans="1:14" x14ac:dyDescent="0.2">
      <c r="A7">
        <v>655</v>
      </c>
      <c r="B7" t="b">
        <f t="shared" si="0"/>
        <v>1</v>
      </c>
      <c r="C7" t="s">
        <v>108</v>
      </c>
      <c r="D7" t="str">
        <f>IF(F7&lt;&gt;"",VLOOKUP(F7,PHA4GEVars!$A$7:$B$241,2,FALSE),"")</f>
        <v>Sample collection and processing</v>
      </c>
      <c r="E7" t="s">
        <v>1754</v>
      </c>
      <c r="F7" t="s">
        <v>114</v>
      </c>
      <c r="G7" t="s">
        <v>185</v>
      </c>
      <c r="H7" t="s">
        <v>957</v>
      </c>
      <c r="I7" t="s">
        <v>969</v>
      </c>
      <c r="J7" t="s">
        <v>1197</v>
      </c>
      <c r="M7" s="1" t="s">
        <v>978</v>
      </c>
    </row>
    <row r="8" spans="1:14" x14ac:dyDescent="0.2">
      <c r="A8">
        <v>656</v>
      </c>
      <c r="B8" t="b">
        <f t="shared" si="0"/>
        <v>1</v>
      </c>
      <c r="C8" t="s">
        <v>108</v>
      </c>
      <c r="D8" t="str">
        <f>IF(F8&lt;&gt;"",VLOOKUP(F8,PHA4GEVars!$A$7:$B$241,2,FALSE),"")</f>
        <v>Sample collection and processing</v>
      </c>
      <c r="E8" t="s">
        <v>1754</v>
      </c>
      <c r="F8" t="s">
        <v>114</v>
      </c>
      <c r="G8" t="s">
        <v>186</v>
      </c>
      <c r="H8" t="s">
        <v>957</v>
      </c>
      <c r="I8" t="s">
        <v>969</v>
      </c>
      <c r="J8" t="s">
        <v>1198</v>
      </c>
      <c r="M8" s="1" t="s">
        <v>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1669</v>
      </c>
      <c r="B1" s="17" t="s">
        <v>0</v>
      </c>
      <c r="C1" s="17" t="s">
        <v>1765</v>
      </c>
      <c r="D1" s="16" t="s">
        <v>1</v>
      </c>
      <c r="E1" s="16" t="s">
        <v>2</v>
      </c>
      <c r="F1" s="16" t="s">
        <v>3</v>
      </c>
      <c r="G1" s="16" t="s">
        <v>4</v>
      </c>
      <c r="H1" s="17" t="s">
        <v>6</v>
      </c>
      <c r="I1" s="17" t="s">
        <v>1016</v>
      </c>
      <c r="J1" s="17" t="s">
        <v>1800</v>
      </c>
      <c r="K1" s="17" t="s">
        <v>1751</v>
      </c>
      <c r="L1" s="17" t="s">
        <v>1736</v>
      </c>
      <c r="M1" s="16" t="s">
        <v>1653</v>
      </c>
      <c r="N1" s="16" t="s">
        <v>1652</v>
      </c>
      <c r="O1" s="16" t="s">
        <v>1816</v>
      </c>
      <c r="P1" s="16" t="s">
        <v>1649</v>
      </c>
      <c r="Q1" s="16" t="s">
        <v>1650</v>
      </c>
      <c r="R1" s="16" t="s">
        <v>1651</v>
      </c>
      <c r="S1" s="16" t="s">
        <v>9</v>
      </c>
      <c r="T1" s="16" t="s">
        <v>1678</v>
      </c>
    </row>
    <row r="2" spans="1:20" x14ac:dyDescent="0.2">
      <c r="A2" t="b">
        <v>1</v>
      </c>
      <c r="B2" t="b">
        <v>1</v>
      </c>
      <c r="C2" t="str">
        <f>IF(E2&lt;&gt;"",VLOOKUP(E2,PHA4GEVars!$A$7:$B$241,2,FALSE),"")</f>
        <v>Sample collection and processing</v>
      </c>
      <c r="D2" t="s">
        <v>1754</v>
      </c>
      <c r="E2" t="s">
        <v>153</v>
      </c>
      <c r="G2" t="s">
        <v>957</v>
      </c>
      <c r="J2" s="17" t="s">
        <v>1294</v>
      </c>
      <c r="K2" s="17"/>
      <c r="M2" t="s">
        <v>1027</v>
      </c>
      <c r="N2" t="s">
        <v>1440</v>
      </c>
      <c r="P2" t="s">
        <v>1442</v>
      </c>
      <c r="Q2" t="s">
        <v>1441</v>
      </c>
      <c r="R2" t="s">
        <v>1032</v>
      </c>
      <c r="S2" s="1" t="s">
        <v>1443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47"/>
  <sheetViews>
    <sheetView topLeftCell="G1" workbookViewId="0">
      <pane ySplit="1" topLeftCell="A84" activePane="bottomLeft" state="frozen"/>
      <selection pane="bottomLeft" activeCell="L1" sqref="L1"/>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1386</v>
      </c>
      <c r="B1" s="17" t="s">
        <v>0</v>
      </c>
      <c r="C1" s="17" t="s">
        <v>10</v>
      </c>
      <c r="D1" s="17" t="s">
        <v>1765</v>
      </c>
      <c r="E1" s="17" t="s">
        <v>1</v>
      </c>
      <c r="F1" s="17" t="s">
        <v>2</v>
      </c>
      <c r="G1" s="17" t="s">
        <v>3</v>
      </c>
      <c r="H1" s="17" t="s">
        <v>4</v>
      </c>
      <c r="I1" s="17" t="s">
        <v>1858</v>
      </c>
      <c r="J1" s="17" t="s">
        <v>6</v>
      </c>
      <c r="K1" s="17" t="s">
        <v>7</v>
      </c>
      <c r="L1" s="17" t="s">
        <v>8</v>
      </c>
      <c r="M1" s="17" t="s">
        <v>9</v>
      </c>
      <c r="N1" s="17" t="s">
        <v>1678</v>
      </c>
    </row>
    <row r="2" spans="1:14" x14ac:dyDescent="0.2">
      <c r="A2">
        <v>67</v>
      </c>
      <c r="B2" t="b">
        <f>IF(OR(G2="NA",H2="wide_value"),"",TRUE)</f>
        <v>1</v>
      </c>
      <c r="C2" t="s">
        <v>24</v>
      </c>
      <c r="D2" t="str">
        <f>IF(F2&lt;&gt;"",VLOOKUP(F2,PHA4GEVars!$A$7:$B$241,2,FALSE),"")</f>
        <v>Environmental conditions and measurements</v>
      </c>
      <c r="E2" t="s">
        <v>1754</v>
      </c>
      <c r="F2" t="s">
        <v>42</v>
      </c>
      <c r="G2" t="s">
        <v>306</v>
      </c>
      <c r="H2" t="s">
        <v>957</v>
      </c>
      <c r="I2" t="s">
        <v>969</v>
      </c>
      <c r="J2" t="s">
        <v>982</v>
      </c>
      <c r="M2" s="1" t="s">
        <v>978</v>
      </c>
    </row>
    <row r="3" spans="1:14" x14ac:dyDescent="0.2">
      <c r="A3">
        <v>68</v>
      </c>
      <c r="B3" t="b">
        <f>IF(OR(G3="NA",H3="wide_value"),"",TRUE)</f>
        <v>1</v>
      </c>
      <c r="C3" t="s">
        <v>24</v>
      </c>
      <c r="D3" t="str">
        <f>IF(F3&lt;&gt;"",VLOOKUP(F3,PHA4GEVars!$A$7:$B$241,2,FALSE),"")</f>
        <v>Environmental conditions and measurements</v>
      </c>
      <c r="E3" t="s">
        <v>1754</v>
      </c>
      <c r="F3" t="s">
        <v>42</v>
      </c>
      <c r="G3" t="s">
        <v>307</v>
      </c>
      <c r="H3" t="s">
        <v>957</v>
      </c>
      <c r="I3" t="s">
        <v>969</v>
      </c>
      <c r="J3" t="s">
        <v>983</v>
      </c>
      <c r="M3" s="1" t="s">
        <v>978</v>
      </c>
    </row>
    <row r="4" spans="1:14" x14ac:dyDescent="0.2">
      <c r="A4">
        <v>69</v>
      </c>
      <c r="B4" t="b">
        <f>IF(OR(G4="NA",H4="wide_value"),"",TRUE)</f>
        <v>1</v>
      </c>
      <c r="C4" t="s">
        <v>24</v>
      </c>
      <c r="D4" t="str">
        <f>IF(F4&lt;&gt;"",VLOOKUP(F4,PHA4GEVars!$A$7:$B$241,2,FALSE),"")</f>
        <v>Environmental conditions and measurements</v>
      </c>
      <c r="E4" t="s">
        <v>1754</v>
      </c>
      <c r="F4" t="s">
        <v>42</v>
      </c>
      <c r="G4" t="s">
        <v>297</v>
      </c>
      <c r="H4" t="s">
        <v>957</v>
      </c>
      <c r="I4" t="s">
        <v>969</v>
      </c>
      <c r="J4" t="s">
        <v>973</v>
      </c>
      <c r="M4" s="1" t="s">
        <v>978</v>
      </c>
    </row>
    <row r="5" spans="1:14" x14ac:dyDescent="0.2">
      <c r="B5" t="b">
        <f t="shared" ref="B5:B6" si="0">IF(OR(G5="NA",H5="wide_value"),"",TRUE)</f>
        <v>1</v>
      </c>
      <c r="C5" t="s">
        <v>24</v>
      </c>
      <c r="D5" t="str">
        <f>IF(F5&lt;&gt;"",VLOOKUP(F5,PHA4GEVars!$A$7:$B$241,2,FALSE),"")</f>
        <v>Environmental conditions and measurements</v>
      </c>
      <c r="E5" t="s">
        <v>1754</v>
      </c>
      <c r="F5" t="s">
        <v>42</v>
      </c>
      <c r="G5" t="s">
        <v>295</v>
      </c>
      <c r="H5" t="s">
        <v>957</v>
      </c>
      <c r="I5" t="s">
        <v>969</v>
      </c>
      <c r="J5" t="s">
        <v>971</v>
      </c>
      <c r="M5" s="1"/>
    </row>
    <row r="6" spans="1:14" x14ac:dyDescent="0.2">
      <c r="B6" t="b">
        <f t="shared" si="0"/>
        <v>1</v>
      </c>
      <c r="C6" t="s">
        <v>24</v>
      </c>
      <c r="D6" t="str">
        <f>IF(F6&lt;&gt;"",VLOOKUP(F6,PHA4GEVars!$A$7:$B$241,2,FALSE),"")</f>
        <v>Environmental conditions and measurements</v>
      </c>
      <c r="E6" t="s">
        <v>1754</v>
      </c>
      <c r="F6" t="s">
        <v>42</v>
      </c>
      <c r="G6" t="s">
        <v>1861</v>
      </c>
      <c r="H6" t="s">
        <v>957</v>
      </c>
      <c r="I6" t="s">
        <v>969</v>
      </c>
      <c r="J6" t="s">
        <v>973</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1754</v>
      </c>
      <c r="F8" t="s">
        <v>43</v>
      </c>
      <c r="G8" t="s">
        <v>285</v>
      </c>
      <c r="H8" t="s">
        <v>957</v>
      </c>
      <c r="I8" t="s">
        <v>969</v>
      </c>
      <c r="J8" t="s">
        <v>984</v>
      </c>
      <c r="M8" s="1" t="s">
        <v>978</v>
      </c>
    </row>
    <row r="9" spans="1:14" x14ac:dyDescent="0.2">
      <c r="A9">
        <v>72</v>
      </c>
      <c r="B9" t="b">
        <f>IF(OR(G9="NA",H9="wide_value"),"",TRUE)</f>
        <v>1</v>
      </c>
      <c r="C9" t="s">
        <v>24</v>
      </c>
      <c r="D9" t="str">
        <f>IF(F9&lt;&gt;"",VLOOKUP(F9,PHA4GEVars!$A$7:$B$241,2,FALSE),"")</f>
        <v>Environmental conditions and measurements</v>
      </c>
      <c r="E9" t="s">
        <v>1754</v>
      </c>
      <c r="F9" t="s">
        <v>43</v>
      </c>
      <c r="G9" t="s">
        <v>286</v>
      </c>
      <c r="H9" t="s">
        <v>957</v>
      </c>
      <c r="I9" t="s">
        <v>969</v>
      </c>
      <c r="J9" t="s">
        <v>970</v>
      </c>
      <c r="M9" s="1" t="s">
        <v>978</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1754</v>
      </c>
      <c r="F11" t="s">
        <v>2066</v>
      </c>
      <c r="G11" t="s">
        <v>295</v>
      </c>
      <c r="H11" t="s">
        <v>957</v>
      </c>
      <c r="I11" t="s">
        <v>969</v>
      </c>
      <c r="J11" t="s">
        <v>971</v>
      </c>
      <c r="M11" s="1" t="s">
        <v>978</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1754</v>
      </c>
      <c r="F13" t="s">
        <v>2062</v>
      </c>
      <c r="G13" t="s">
        <v>295</v>
      </c>
      <c r="H13" t="s">
        <v>957</v>
      </c>
      <c r="I13" t="s">
        <v>969</v>
      </c>
      <c r="J13" t="s">
        <v>971</v>
      </c>
      <c r="M13" s="1" t="s">
        <v>978</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1754</v>
      </c>
      <c r="F15" t="s">
        <v>46</v>
      </c>
      <c r="G15" t="s">
        <v>308</v>
      </c>
      <c r="H15" t="s">
        <v>957</v>
      </c>
      <c r="I15" t="s">
        <v>969</v>
      </c>
      <c r="J15" t="s">
        <v>985</v>
      </c>
      <c r="M15" s="1" t="s">
        <v>978</v>
      </c>
    </row>
    <row r="16" spans="1:14" x14ac:dyDescent="0.2">
      <c r="A16">
        <v>82</v>
      </c>
      <c r="B16" t="b">
        <f>IF(OR(G16="NA",H16="wide_value"),"",TRUE)</f>
        <v>1</v>
      </c>
      <c r="C16" t="s">
        <v>24</v>
      </c>
      <c r="D16" t="str">
        <f>IF(F16&lt;&gt;"",VLOOKUP(F16,PHA4GEVars!$A$7:$B$241,2,FALSE),"")</f>
        <v>Environmental conditions and measurements</v>
      </c>
      <c r="E16" t="s">
        <v>1754</v>
      </c>
      <c r="F16" t="s">
        <v>46</v>
      </c>
      <c r="G16" t="s">
        <v>309</v>
      </c>
      <c r="H16" t="s">
        <v>957</v>
      </c>
      <c r="I16" t="s">
        <v>969</v>
      </c>
      <c r="J16" t="s">
        <v>972</v>
      </c>
      <c r="M16" s="1" t="s">
        <v>978</v>
      </c>
    </row>
    <row r="17" spans="1:13" x14ac:dyDescent="0.2">
      <c r="A17">
        <v>83</v>
      </c>
      <c r="B17" t="b">
        <f>IF(OR(G17="NA",H17="wide_value"),"",TRUE)</f>
        <v>1</v>
      </c>
      <c r="C17" t="s">
        <v>24</v>
      </c>
      <c r="D17" t="str">
        <f>IF(F17&lt;&gt;"",VLOOKUP(F17,PHA4GEVars!$A$7:$B$241,2,FALSE),"")</f>
        <v>Environmental conditions and measurements</v>
      </c>
      <c r="E17" t="s">
        <v>1754</v>
      </c>
      <c r="F17" t="s">
        <v>46</v>
      </c>
      <c r="G17" t="s">
        <v>310</v>
      </c>
      <c r="H17" t="s">
        <v>957</v>
      </c>
      <c r="I17" t="s">
        <v>969</v>
      </c>
      <c r="J17" t="s">
        <v>986</v>
      </c>
      <c r="M17" s="1" t="s">
        <v>978</v>
      </c>
    </row>
    <row r="18" spans="1:13" x14ac:dyDescent="0.2">
      <c r="A18">
        <v>84</v>
      </c>
      <c r="B18" t="b">
        <f>IF(OR(G18="NA",H18="wide_value"),"",TRUE)</f>
        <v>1</v>
      </c>
      <c r="C18" t="s">
        <v>24</v>
      </c>
      <c r="D18" t="str">
        <f>IF(F18&lt;&gt;"",VLOOKUP(F18,PHA4GEVars!$A$7:$B$241,2,FALSE),"")</f>
        <v>Environmental conditions and measurements</v>
      </c>
      <c r="E18" t="s">
        <v>1754</v>
      </c>
      <c r="F18" t="s">
        <v>46</v>
      </c>
      <c r="G18" t="s">
        <v>311</v>
      </c>
      <c r="H18" t="s">
        <v>957</v>
      </c>
      <c r="I18" t="s">
        <v>969</v>
      </c>
      <c r="J18" t="s">
        <v>987</v>
      </c>
      <c r="M18" s="1" t="s">
        <v>978</v>
      </c>
    </row>
    <row r="19" spans="1:13" x14ac:dyDescent="0.2">
      <c r="A19">
        <v>85</v>
      </c>
      <c r="B19" t="b">
        <f>IF(OR(G19="NA",H19="wide_value"),"",TRUE)</f>
        <v>1</v>
      </c>
      <c r="C19" t="s">
        <v>24</v>
      </c>
      <c r="D19" t="str">
        <f>IF(F19&lt;&gt;"",VLOOKUP(F19,PHA4GEVars!$A$7:$B$241,2,FALSE),"")</f>
        <v>Environmental conditions and measurements</v>
      </c>
      <c r="E19" t="s">
        <v>1754</v>
      </c>
      <c r="F19" t="s">
        <v>46</v>
      </c>
      <c r="G19" t="s">
        <v>312</v>
      </c>
      <c r="H19" t="s">
        <v>957</v>
      </c>
      <c r="I19" t="s">
        <v>969</v>
      </c>
      <c r="J19" t="s">
        <v>988</v>
      </c>
      <c r="M19" s="1" t="s">
        <v>978</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1754</v>
      </c>
      <c r="F21" t="s">
        <v>47</v>
      </c>
      <c r="G21" t="s">
        <v>295</v>
      </c>
      <c r="H21" t="s">
        <v>957</v>
      </c>
      <c r="I21" t="s">
        <v>969</v>
      </c>
      <c r="J21" t="s">
        <v>971</v>
      </c>
      <c r="M21" s="1" t="s">
        <v>978</v>
      </c>
    </row>
    <row r="22" spans="1:13" x14ac:dyDescent="0.2">
      <c r="A22">
        <v>89</v>
      </c>
      <c r="B22" t="b">
        <f>IF(OR(G22="NA",H22="wide_value"),"",TRUE)</f>
        <v>1</v>
      </c>
      <c r="C22" t="s">
        <v>24</v>
      </c>
      <c r="D22" t="str">
        <f>IF(F22&lt;&gt;"",VLOOKUP(F22,PHA4GEVars!$A$7:$B$241,2,FALSE),"")</f>
        <v>Environmental conditions and measurements</v>
      </c>
      <c r="E22" t="s">
        <v>1754</v>
      </c>
      <c r="F22" t="s">
        <v>47</v>
      </c>
      <c r="G22" t="s">
        <v>296</v>
      </c>
      <c r="H22" t="s">
        <v>957</v>
      </c>
      <c r="I22" t="s">
        <v>969</v>
      </c>
      <c r="J22" t="s">
        <v>989</v>
      </c>
      <c r="M22" s="1" t="s">
        <v>978</v>
      </c>
    </row>
    <row r="23" spans="1:13" x14ac:dyDescent="0.2">
      <c r="A23">
        <v>90</v>
      </c>
      <c r="B23" t="b">
        <f>IF(OR(G23="NA",H23="wide_value"),"",TRUE)</f>
        <v>1</v>
      </c>
      <c r="C23" t="s">
        <v>24</v>
      </c>
      <c r="D23" t="str">
        <f>IF(F23&lt;&gt;"",VLOOKUP(F23,PHA4GEVars!$A$7:$B$241,2,FALSE),"")</f>
        <v>Environmental conditions and measurements</v>
      </c>
      <c r="E23" t="s">
        <v>1754</v>
      </c>
      <c r="F23" t="s">
        <v>47</v>
      </c>
      <c r="G23" t="s">
        <v>297</v>
      </c>
      <c r="H23" t="s">
        <v>957</v>
      </c>
      <c r="I23" t="s">
        <v>969</v>
      </c>
      <c r="J23" t="s">
        <v>973</v>
      </c>
      <c r="M23" s="1"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1754</v>
      </c>
      <c r="F25" t="s">
        <v>48</v>
      </c>
      <c r="G25" t="s">
        <v>327</v>
      </c>
      <c r="H25" t="s">
        <v>957</v>
      </c>
      <c r="I25" t="s">
        <v>969</v>
      </c>
      <c r="J25" t="s">
        <v>990</v>
      </c>
      <c r="M25" s="1" t="s">
        <v>978</v>
      </c>
    </row>
    <row r="26" spans="1:13" x14ac:dyDescent="0.2">
      <c r="A26">
        <v>94</v>
      </c>
      <c r="B26" t="b">
        <f t="shared" si="1"/>
        <v>1</v>
      </c>
      <c r="C26" t="s">
        <v>24</v>
      </c>
      <c r="D26" t="str">
        <f>IF(F26&lt;&gt;"",VLOOKUP(F26,PHA4GEVars!$A$7:$B$241,2,FALSE),"")</f>
        <v>Environmental conditions and measurements</v>
      </c>
      <c r="E26" t="s">
        <v>1754</v>
      </c>
      <c r="F26" t="s">
        <v>48</v>
      </c>
      <c r="G26" t="s">
        <v>328</v>
      </c>
      <c r="H26" t="s">
        <v>957</v>
      </c>
      <c r="I26" t="s">
        <v>969</v>
      </c>
      <c r="J26" t="s">
        <v>974</v>
      </c>
      <c r="M26" s="1" t="s">
        <v>978</v>
      </c>
    </row>
    <row r="27" spans="1:13" x14ac:dyDescent="0.2">
      <c r="A27">
        <v>95</v>
      </c>
      <c r="B27" t="b">
        <f t="shared" si="1"/>
        <v>1</v>
      </c>
      <c r="C27" t="s">
        <v>24</v>
      </c>
      <c r="D27" t="str">
        <f>IF(F27&lt;&gt;"",VLOOKUP(F27,PHA4GEVars!$A$7:$B$241,2,FALSE),"")</f>
        <v>Environmental conditions and measurements</v>
      </c>
      <c r="E27" t="s">
        <v>1754</v>
      </c>
      <c r="F27" t="s">
        <v>48</v>
      </c>
      <c r="G27" t="s">
        <v>329</v>
      </c>
      <c r="H27" t="s">
        <v>957</v>
      </c>
      <c r="I27" t="s">
        <v>969</v>
      </c>
      <c r="J27" t="s">
        <v>991</v>
      </c>
      <c r="M27" s="1" t="s">
        <v>978</v>
      </c>
    </row>
    <row r="28" spans="1:13" x14ac:dyDescent="0.2">
      <c r="A28">
        <v>96</v>
      </c>
      <c r="B28" t="b">
        <f t="shared" si="1"/>
        <v>1</v>
      </c>
      <c r="C28" t="s">
        <v>24</v>
      </c>
      <c r="D28" t="str">
        <f>IF(F28&lt;&gt;"",VLOOKUP(F28,PHA4GEVars!$A$7:$B$241,2,FALSE),"")</f>
        <v>Environmental conditions and measurements</v>
      </c>
      <c r="E28" t="s">
        <v>1754</v>
      </c>
      <c r="F28" t="s">
        <v>48</v>
      </c>
      <c r="G28" t="s">
        <v>330</v>
      </c>
      <c r="H28" t="s">
        <v>957</v>
      </c>
      <c r="I28" t="s">
        <v>969</v>
      </c>
      <c r="J28" t="s">
        <v>992</v>
      </c>
      <c r="M28" s="1" t="s">
        <v>978</v>
      </c>
    </row>
    <row r="29" spans="1:13" x14ac:dyDescent="0.2">
      <c r="A29">
        <v>97</v>
      </c>
      <c r="B29" t="b">
        <f t="shared" si="1"/>
        <v>1</v>
      </c>
      <c r="C29" t="s">
        <v>24</v>
      </c>
      <c r="D29" t="str">
        <f>IF(F29&lt;&gt;"",VLOOKUP(F29,PHA4GEVars!$A$7:$B$241,2,FALSE),"")</f>
        <v>Environmental conditions and measurements</v>
      </c>
      <c r="E29" t="s">
        <v>1754</v>
      </c>
      <c r="F29" t="s">
        <v>48</v>
      </c>
      <c r="G29" t="s">
        <v>331</v>
      </c>
      <c r="H29" t="s">
        <v>957</v>
      </c>
      <c r="I29" t="s">
        <v>969</v>
      </c>
      <c r="J29" t="s">
        <v>993</v>
      </c>
      <c r="M29" s="1" t="s">
        <v>978</v>
      </c>
    </row>
    <row r="30" spans="1:13" x14ac:dyDescent="0.2">
      <c r="A30">
        <v>98</v>
      </c>
      <c r="B30" t="b">
        <f t="shared" si="1"/>
        <v>1</v>
      </c>
      <c r="C30" t="s">
        <v>24</v>
      </c>
      <c r="D30" t="str">
        <f>IF(F30&lt;&gt;"",VLOOKUP(F30,PHA4GEVars!$A$7:$B$241,2,FALSE),"")</f>
        <v>Environmental conditions and measurements</v>
      </c>
      <c r="E30" t="s">
        <v>1754</v>
      </c>
      <c r="F30" t="s">
        <v>48</v>
      </c>
      <c r="G30" t="s">
        <v>321</v>
      </c>
      <c r="H30" t="s">
        <v>957</v>
      </c>
      <c r="I30" t="s">
        <v>969</v>
      </c>
      <c r="J30" t="s">
        <v>994</v>
      </c>
      <c r="M30" s="1" t="s">
        <v>978</v>
      </c>
    </row>
    <row r="31" spans="1:13" x14ac:dyDescent="0.2">
      <c r="A31">
        <v>99</v>
      </c>
      <c r="B31" t="b">
        <f t="shared" si="1"/>
        <v>1</v>
      </c>
      <c r="C31" t="s">
        <v>24</v>
      </c>
      <c r="D31" t="str">
        <f>IF(F31&lt;&gt;"",VLOOKUP(F31,PHA4GEVars!$A$7:$B$241,2,FALSE),"")</f>
        <v>Environmental conditions and measurements</v>
      </c>
      <c r="E31" t="s">
        <v>1754</v>
      </c>
      <c r="F31" t="s">
        <v>48</v>
      </c>
      <c r="G31" t="s">
        <v>322</v>
      </c>
      <c r="H31" t="s">
        <v>957</v>
      </c>
      <c r="I31" t="s">
        <v>969</v>
      </c>
      <c r="J31" t="s">
        <v>975</v>
      </c>
      <c r="M31" s="1" t="s">
        <v>978</v>
      </c>
    </row>
    <row r="32" spans="1:13" x14ac:dyDescent="0.2">
      <c r="A32">
        <v>100</v>
      </c>
      <c r="B32" t="b">
        <f t="shared" si="1"/>
        <v>1</v>
      </c>
      <c r="C32" t="s">
        <v>24</v>
      </c>
      <c r="D32" t="str">
        <f>IF(F32&lt;&gt;"",VLOOKUP(F32,PHA4GEVars!$A$7:$B$241,2,FALSE),"")</f>
        <v>Environmental conditions and measurements</v>
      </c>
      <c r="E32" t="s">
        <v>1754</v>
      </c>
      <c r="F32" t="s">
        <v>48</v>
      </c>
      <c r="G32" t="s">
        <v>323</v>
      </c>
      <c r="H32" t="s">
        <v>957</v>
      </c>
      <c r="I32" t="s">
        <v>969</v>
      </c>
      <c r="J32" t="s">
        <v>995</v>
      </c>
      <c r="M32" s="1" t="s">
        <v>978</v>
      </c>
    </row>
    <row r="33" spans="1:13" x14ac:dyDescent="0.2">
      <c r="A33">
        <v>101</v>
      </c>
      <c r="B33" t="b">
        <f t="shared" si="1"/>
        <v>1</v>
      </c>
      <c r="C33" t="s">
        <v>24</v>
      </c>
      <c r="D33" t="str">
        <f>IF(F33&lt;&gt;"",VLOOKUP(F33,PHA4GEVars!$A$7:$B$241,2,FALSE),"")</f>
        <v>Environmental conditions and measurements</v>
      </c>
      <c r="E33" t="s">
        <v>1754</v>
      </c>
      <c r="F33" t="s">
        <v>48</v>
      </c>
      <c r="G33" t="s">
        <v>324</v>
      </c>
      <c r="H33" t="s">
        <v>957</v>
      </c>
      <c r="I33" t="s">
        <v>969</v>
      </c>
      <c r="J33" t="s">
        <v>996</v>
      </c>
      <c r="M33" s="1"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1754</v>
      </c>
      <c r="F35" t="s">
        <v>1793</v>
      </c>
      <c r="G35" t="s">
        <v>316</v>
      </c>
      <c r="H35" t="s">
        <v>957</v>
      </c>
      <c r="I35" t="s">
        <v>1017</v>
      </c>
      <c r="J35" t="s">
        <v>1327</v>
      </c>
      <c r="M35" s="1" t="s">
        <v>1326</v>
      </c>
    </row>
    <row r="36" spans="1:13" x14ac:dyDescent="0.2">
      <c r="A36">
        <v>104</v>
      </c>
      <c r="B36" t="b">
        <f t="shared" si="2"/>
        <v>1</v>
      </c>
      <c r="C36" t="s">
        <v>24</v>
      </c>
      <c r="D36" t="str">
        <f>IF(F36&lt;&gt;"",VLOOKUP(F36,PHA4GEVars!$A$7:$B$241,2,FALSE),"")</f>
        <v>Environmental conditions and measurements</v>
      </c>
      <c r="E36" t="s">
        <v>1754</v>
      </c>
      <c r="F36" t="s">
        <v>1793</v>
      </c>
      <c r="G36" t="s">
        <v>317</v>
      </c>
      <c r="H36" t="s">
        <v>957</v>
      </c>
      <c r="I36" t="s">
        <v>1017</v>
      </c>
      <c r="J36" t="s">
        <v>1328</v>
      </c>
      <c r="M36" s="1" t="s">
        <v>1326</v>
      </c>
    </row>
    <row r="37" spans="1:13" x14ac:dyDescent="0.2">
      <c r="A37">
        <v>105</v>
      </c>
      <c r="B37" t="b">
        <f t="shared" si="2"/>
        <v>1</v>
      </c>
      <c r="C37" t="s">
        <v>24</v>
      </c>
      <c r="D37" t="str">
        <f>IF(F37&lt;&gt;"",VLOOKUP(F37,PHA4GEVars!$A$7:$B$241,2,FALSE),"")</f>
        <v>Environmental conditions and measurements</v>
      </c>
      <c r="E37" t="s">
        <v>1754</v>
      </c>
      <c r="F37" t="s">
        <v>1793</v>
      </c>
      <c r="G37" t="s">
        <v>318</v>
      </c>
      <c r="H37" t="s">
        <v>957</v>
      </c>
      <c r="I37" t="s">
        <v>1017</v>
      </c>
      <c r="J37" t="s">
        <v>1329</v>
      </c>
      <c r="M37" s="1" t="s">
        <v>1326</v>
      </c>
    </row>
    <row r="38" spans="1:13" x14ac:dyDescent="0.2">
      <c r="A38">
        <v>106</v>
      </c>
      <c r="B38" t="b">
        <f t="shared" si="2"/>
        <v>1</v>
      </c>
      <c r="C38" t="s">
        <v>24</v>
      </c>
      <c r="D38" t="str">
        <f>IF(F38&lt;&gt;"",VLOOKUP(F38,PHA4GEVars!$A$7:$B$241,2,FALSE),"")</f>
        <v>Environmental conditions and measurements</v>
      </c>
      <c r="E38" t="s">
        <v>1754</v>
      </c>
      <c r="F38" t="s">
        <v>1793</v>
      </c>
      <c r="G38" t="s">
        <v>319</v>
      </c>
      <c r="H38" t="s">
        <v>957</v>
      </c>
      <c r="I38" t="s">
        <v>1017</v>
      </c>
      <c r="J38" t="s">
        <v>1331</v>
      </c>
      <c r="M38" s="1" t="s">
        <v>1326</v>
      </c>
    </row>
    <row r="39" spans="1:13" x14ac:dyDescent="0.2">
      <c r="A39">
        <v>107</v>
      </c>
      <c r="B39" t="b">
        <f t="shared" si="2"/>
        <v>1</v>
      </c>
      <c r="C39" t="s">
        <v>24</v>
      </c>
      <c r="D39" t="str">
        <f>IF(F39&lt;&gt;"",VLOOKUP(F39,PHA4GEVars!$A$7:$B$241,2,FALSE),"")</f>
        <v>Environmental conditions and measurements</v>
      </c>
      <c r="E39" t="s">
        <v>1754</v>
      </c>
      <c r="F39" t="s">
        <v>1793</v>
      </c>
      <c r="G39" t="s">
        <v>1838</v>
      </c>
      <c r="H39" t="s">
        <v>957</v>
      </c>
      <c r="I39" t="s">
        <v>1017</v>
      </c>
      <c r="J39" t="s">
        <v>1330</v>
      </c>
      <c r="M39" s="1" t="s">
        <v>1326</v>
      </c>
    </row>
    <row r="40" spans="1:13" x14ac:dyDescent="0.2">
      <c r="A40">
        <v>108</v>
      </c>
      <c r="B40" t="b">
        <f t="shared" si="2"/>
        <v>1</v>
      </c>
      <c r="C40" t="s">
        <v>24</v>
      </c>
      <c r="D40" t="str">
        <f>IF(F40&lt;&gt;"",VLOOKUP(F40,PHA4GEVars!$A$7:$B$241,2,FALSE),"")</f>
        <v>Environmental conditions and measurements</v>
      </c>
      <c r="E40" t="s">
        <v>1754</v>
      </c>
      <c r="F40" t="s">
        <v>1793</v>
      </c>
      <c r="G40" t="s">
        <v>1839</v>
      </c>
      <c r="H40" t="s">
        <v>957</v>
      </c>
      <c r="I40" t="s">
        <v>1017</v>
      </c>
      <c r="J40" t="s">
        <v>320</v>
      </c>
      <c r="M40" s="1" t="s">
        <v>1326</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1754</v>
      </c>
      <c r="F42" t="s">
        <v>49</v>
      </c>
      <c r="G42" t="s">
        <v>321</v>
      </c>
      <c r="H42" t="s">
        <v>957</v>
      </c>
      <c r="I42" t="s">
        <v>969</v>
      </c>
      <c r="J42" t="s">
        <v>994</v>
      </c>
      <c r="M42" s="1" t="s">
        <v>978</v>
      </c>
    </row>
    <row r="43" spans="1:13" x14ac:dyDescent="0.2">
      <c r="A43">
        <v>111</v>
      </c>
      <c r="B43" t="b">
        <f>IF(OR(G43="NA",H43="wide_value"),"",TRUE)</f>
        <v>1</v>
      </c>
      <c r="C43" t="s">
        <v>24</v>
      </c>
      <c r="D43" t="str">
        <f>IF(F43&lt;&gt;"",VLOOKUP(F43,PHA4GEVars!$A$7:$B$241,2,FALSE),"")</f>
        <v>Environmental conditions and measurements</v>
      </c>
      <c r="E43" t="s">
        <v>1754</v>
      </c>
      <c r="F43" t="s">
        <v>49</v>
      </c>
      <c r="G43" t="s">
        <v>322</v>
      </c>
      <c r="H43" t="s">
        <v>957</v>
      </c>
      <c r="I43" t="s">
        <v>969</v>
      </c>
      <c r="J43" t="s">
        <v>975</v>
      </c>
      <c r="M43" s="1" t="s">
        <v>978</v>
      </c>
    </row>
    <row r="44" spans="1:13" x14ac:dyDescent="0.2">
      <c r="A44">
        <v>112</v>
      </c>
      <c r="B44" t="b">
        <f>IF(OR(G44="NA",H44="wide_value"),"",TRUE)</f>
        <v>1</v>
      </c>
      <c r="C44" t="s">
        <v>24</v>
      </c>
      <c r="D44" t="str">
        <f>IF(F44&lt;&gt;"",VLOOKUP(F44,PHA4GEVars!$A$7:$B$241,2,FALSE),"")</f>
        <v>Environmental conditions and measurements</v>
      </c>
      <c r="E44" t="s">
        <v>1754</v>
      </c>
      <c r="F44" t="s">
        <v>49</v>
      </c>
      <c r="G44" t="s">
        <v>1072</v>
      </c>
      <c r="H44" t="s">
        <v>957</v>
      </c>
      <c r="I44" t="s">
        <v>969</v>
      </c>
      <c r="J44" t="s">
        <v>1244</v>
      </c>
      <c r="M44" s="1" t="s">
        <v>978</v>
      </c>
    </row>
    <row r="45" spans="1:13" x14ac:dyDescent="0.2">
      <c r="A45">
        <v>113</v>
      </c>
      <c r="B45" t="b">
        <f>IF(OR(G45="NA",H45="wide_value"),"",TRUE)</f>
        <v>1</v>
      </c>
      <c r="C45" t="s">
        <v>24</v>
      </c>
      <c r="D45" t="str">
        <f>IF(F45&lt;&gt;"",VLOOKUP(F45,PHA4GEVars!$A$7:$B$241,2,FALSE),"")</f>
        <v>Environmental conditions and measurements</v>
      </c>
      <c r="E45" t="s">
        <v>1754</v>
      </c>
      <c r="F45" t="s">
        <v>49</v>
      </c>
      <c r="G45" t="s">
        <v>324</v>
      </c>
      <c r="H45" t="s">
        <v>957</v>
      </c>
      <c r="I45" t="s">
        <v>969</v>
      </c>
      <c r="J45" t="s">
        <v>996</v>
      </c>
      <c r="M45" s="1"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1754</v>
      </c>
      <c r="F47" t="s">
        <v>1070</v>
      </c>
      <c r="G47" t="s">
        <v>287</v>
      </c>
      <c r="H47" t="s">
        <v>957</v>
      </c>
      <c r="I47" t="s">
        <v>969</v>
      </c>
      <c r="J47" t="s">
        <v>976</v>
      </c>
      <c r="M47" s="1" t="s">
        <v>978</v>
      </c>
    </row>
    <row r="48" spans="1:13" x14ac:dyDescent="0.2">
      <c r="A48">
        <v>117</v>
      </c>
      <c r="B48" t="b">
        <f t="shared" si="3"/>
        <v>1</v>
      </c>
      <c r="C48" t="s">
        <v>24</v>
      </c>
      <c r="D48" t="str">
        <f>IF(F48&lt;&gt;"",VLOOKUP(F48,PHA4GEVars!$A$7:$B$241,2,FALSE),"")</f>
        <v>Environmental conditions and measurements</v>
      </c>
      <c r="E48" t="s">
        <v>1754</v>
      </c>
      <c r="F48" t="s">
        <v>1070</v>
      </c>
      <c r="G48" t="s">
        <v>288</v>
      </c>
      <c r="H48" t="s">
        <v>957</v>
      </c>
      <c r="I48" t="s">
        <v>969</v>
      </c>
      <c r="J48" t="s">
        <v>997</v>
      </c>
      <c r="M48" s="1" t="s">
        <v>978</v>
      </c>
    </row>
    <row r="49" spans="1:13" x14ac:dyDescent="0.2">
      <c r="A49">
        <v>118</v>
      </c>
      <c r="B49" t="b">
        <f t="shared" si="3"/>
        <v>1</v>
      </c>
      <c r="C49" t="s">
        <v>24</v>
      </c>
      <c r="D49" t="str">
        <f>IF(F49&lt;&gt;"",VLOOKUP(F49,PHA4GEVars!$A$7:$B$241,2,FALSE),"")</f>
        <v>Environmental conditions and measurements</v>
      </c>
      <c r="E49" t="s">
        <v>1754</v>
      </c>
      <c r="F49" t="s">
        <v>1070</v>
      </c>
      <c r="G49" t="s">
        <v>289</v>
      </c>
      <c r="H49" t="s">
        <v>957</v>
      </c>
      <c r="I49" t="s">
        <v>969</v>
      </c>
      <c r="J49" t="s">
        <v>977</v>
      </c>
      <c r="M49" s="1" t="s">
        <v>978</v>
      </c>
    </row>
    <row r="50" spans="1:13" x14ac:dyDescent="0.2">
      <c r="A50">
        <v>119</v>
      </c>
      <c r="B50" t="b">
        <f t="shared" si="3"/>
        <v>1</v>
      </c>
      <c r="C50" t="s">
        <v>24</v>
      </c>
      <c r="D50" t="str">
        <f>IF(F50&lt;&gt;"",VLOOKUP(F50,PHA4GEVars!$A$7:$B$241,2,FALSE),"")</f>
        <v>Environmental conditions and measurements</v>
      </c>
      <c r="E50" t="s">
        <v>1754</v>
      </c>
      <c r="F50" t="s">
        <v>1070</v>
      </c>
      <c r="G50" t="s">
        <v>290</v>
      </c>
      <c r="H50" t="s">
        <v>957</v>
      </c>
      <c r="I50" t="s">
        <v>969</v>
      </c>
      <c r="J50" t="s">
        <v>998</v>
      </c>
      <c r="M50" s="1" t="s">
        <v>978</v>
      </c>
    </row>
    <row r="51" spans="1:13" x14ac:dyDescent="0.2">
      <c r="A51">
        <v>120</v>
      </c>
      <c r="B51" t="b">
        <f t="shared" si="3"/>
        <v>1</v>
      </c>
      <c r="C51" t="s">
        <v>24</v>
      </c>
      <c r="D51" t="str">
        <f>IF(F51&lt;&gt;"",VLOOKUP(F51,PHA4GEVars!$A$7:$B$241,2,FALSE),"")</f>
        <v>Environmental conditions and measurements</v>
      </c>
      <c r="E51" t="s">
        <v>1754</v>
      </c>
      <c r="F51" t="s">
        <v>1070</v>
      </c>
      <c r="G51" t="s">
        <v>291</v>
      </c>
      <c r="H51" t="s">
        <v>957</v>
      </c>
      <c r="I51" t="s">
        <v>969</v>
      </c>
      <c r="J51" t="s">
        <v>999</v>
      </c>
      <c r="M51" s="1" t="s">
        <v>978</v>
      </c>
    </row>
    <row r="52" spans="1:13" x14ac:dyDescent="0.2">
      <c r="A52">
        <v>121</v>
      </c>
      <c r="B52" t="b">
        <f t="shared" si="3"/>
        <v>1</v>
      </c>
      <c r="C52" t="s">
        <v>24</v>
      </c>
      <c r="D52" t="str">
        <f>IF(F52&lt;&gt;"",VLOOKUP(F52,PHA4GEVars!$A$7:$B$241,2,FALSE),"")</f>
        <v>Environmental conditions and measurements</v>
      </c>
      <c r="E52" t="s">
        <v>1754</v>
      </c>
      <c r="F52" t="s">
        <v>1070</v>
      </c>
      <c r="G52" t="s">
        <v>292</v>
      </c>
      <c r="H52" t="s">
        <v>957</v>
      </c>
      <c r="I52" t="s">
        <v>969</v>
      </c>
      <c r="J52" t="s">
        <v>1000</v>
      </c>
      <c r="M52" s="1" t="s">
        <v>978</v>
      </c>
    </row>
    <row r="53" spans="1:13" x14ac:dyDescent="0.2">
      <c r="A53">
        <v>122</v>
      </c>
      <c r="B53" t="b">
        <f t="shared" si="3"/>
        <v>1</v>
      </c>
      <c r="C53" t="s">
        <v>24</v>
      </c>
      <c r="D53" t="str">
        <f>IF(F53&lt;&gt;"",VLOOKUP(F53,PHA4GEVars!$A$7:$B$241,2,FALSE),"")</f>
        <v>Environmental conditions and measurements</v>
      </c>
      <c r="E53" t="s">
        <v>1754</v>
      </c>
      <c r="F53" t="s">
        <v>1070</v>
      </c>
      <c r="G53" t="s">
        <v>1073</v>
      </c>
      <c r="H53" t="s">
        <v>957</v>
      </c>
      <c r="I53" t="s">
        <v>969</v>
      </c>
      <c r="J53" t="s">
        <v>1186</v>
      </c>
      <c r="M53" s="1" t="s">
        <v>978</v>
      </c>
    </row>
    <row r="54" spans="1:13" x14ac:dyDescent="0.2">
      <c r="A54">
        <v>123</v>
      </c>
      <c r="B54" t="b">
        <f t="shared" si="3"/>
        <v>1</v>
      </c>
      <c r="C54" t="s">
        <v>24</v>
      </c>
      <c r="D54" t="str">
        <f>IF(F54&lt;&gt;"",VLOOKUP(F54,PHA4GEVars!$A$7:$B$241,2,FALSE),"")</f>
        <v>Environmental conditions and measurements</v>
      </c>
      <c r="E54" t="s">
        <v>1754</v>
      </c>
      <c r="F54" t="s">
        <v>1070</v>
      </c>
      <c r="G54" t="s">
        <v>1074</v>
      </c>
      <c r="H54" t="s">
        <v>957</v>
      </c>
      <c r="I54" t="s">
        <v>969</v>
      </c>
      <c r="J54" t="s">
        <v>1187</v>
      </c>
      <c r="M54" s="1"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1754</v>
      </c>
      <c r="F56" t="s">
        <v>50</v>
      </c>
      <c r="G56" t="s">
        <v>298</v>
      </c>
      <c r="H56" t="s">
        <v>957</v>
      </c>
      <c r="I56" t="s">
        <v>969</v>
      </c>
      <c r="J56" t="s">
        <v>1001</v>
      </c>
      <c r="M56" s="1"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1754</v>
      </c>
      <c r="F58" t="s">
        <v>52</v>
      </c>
      <c r="G58" t="s">
        <v>281</v>
      </c>
      <c r="H58" t="s">
        <v>957</v>
      </c>
      <c r="I58" t="s">
        <v>969</v>
      </c>
      <c r="J58" t="s">
        <v>979</v>
      </c>
      <c r="M58" s="1" t="s">
        <v>978</v>
      </c>
    </row>
    <row r="59" spans="1:13" x14ac:dyDescent="0.2">
      <c r="A59">
        <v>135</v>
      </c>
      <c r="B59" t="b">
        <f>IF(OR(G59="NA",H59="wide_value"),"",TRUE)</f>
        <v>1</v>
      </c>
      <c r="C59" t="s">
        <v>24</v>
      </c>
      <c r="D59" t="str">
        <f>IF(F59&lt;&gt;"",VLOOKUP(F59,PHA4GEVars!$A$7:$B$241,2,FALSE),"")</f>
        <v>Environmental conditions and measurements</v>
      </c>
      <c r="E59" t="s">
        <v>1754</v>
      </c>
      <c r="F59" t="s">
        <v>52</v>
      </c>
      <c r="G59" t="s">
        <v>1138</v>
      </c>
      <c r="H59" t="s">
        <v>957</v>
      </c>
      <c r="I59" t="s">
        <v>969</v>
      </c>
      <c r="J59" t="s">
        <v>1188</v>
      </c>
      <c r="M59" s="1" t="s">
        <v>978</v>
      </c>
    </row>
    <row r="60" spans="1:13" x14ac:dyDescent="0.2">
      <c r="A60">
        <v>136</v>
      </c>
      <c r="B60" t="b">
        <f>IF(OR(G60="NA",H60="wide_value"),"",TRUE)</f>
        <v>1</v>
      </c>
      <c r="C60" t="s">
        <v>24</v>
      </c>
      <c r="D60" t="str">
        <f>IF(F60&lt;&gt;"",VLOOKUP(F60,PHA4GEVars!$A$7:$B$241,2,FALSE),"")</f>
        <v>Environmental conditions and measurements</v>
      </c>
      <c r="E60" t="s">
        <v>1754</v>
      </c>
      <c r="F60" t="s">
        <v>52</v>
      </c>
      <c r="G60" t="s">
        <v>282</v>
      </c>
      <c r="H60" t="s">
        <v>957</v>
      </c>
      <c r="I60" t="s">
        <v>969</v>
      </c>
      <c r="J60" t="s">
        <v>1002</v>
      </c>
      <c r="M60" s="1" t="s">
        <v>978</v>
      </c>
    </row>
    <row r="61" spans="1:13" x14ac:dyDescent="0.2">
      <c r="A61">
        <v>137</v>
      </c>
      <c r="B61" t="b">
        <f>IF(OR(G61="NA",H61="wide_value"),"",TRUE)</f>
        <v>1</v>
      </c>
      <c r="C61" t="s">
        <v>24</v>
      </c>
      <c r="D61" t="str">
        <f>IF(F61&lt;&gt;"",VLOOKUP(F61,PHA4GEVars!$A$7:$B$241,2,FALSE),"")</f>
        <v>Environmental conditions and measurements</v>
      </c>
      <c r="E61" t="s">
        <v>1754</v>
      </c>
      <c r="F61" t="s">
        <v>52</v>
      </c>
      <c r="G61" t="s">
        <v>283</v>
      </c>
      <c r="H61" t="s">
        <v>957</v>
      </c>
      <c r="I61" t="s">
        <v>969</v>
      </c>
      <c r="J61" t="s">
        <v>1003</v>
      </c>
      <c r="M61" s="1" t="s">
        <v>978</v>
      </c>
    </row>
    <row r="62" spans="1:13" x14ac:dyDescent="0.2">
      <c r="A62">
        <v>138</v>
      </c>
      <c r="B62" t="b">
        <f>IF(OR(G62="NA",H62="wide_value"),"",TRUE)</f>
        <v>1</v>
      </c>
      <c r="C62" t="s">
        <v>24</v>
      </c>
      <c r="D62" t="str">
        <f>IF(F62&lt;&gt;"",VLOOKUP(F62,PHA4GEVars!$A$7:$B$241,2,FALSE),"")</f>
        <v>Environmental conditions and measurements</v>
      </c>
      <c r="E62" t="s">
        <v>1754</v>
      </c>
      <c r="F62" t="s">
        <v>52</v>
      </c>
      <c r="G62" t="s">
        <v>284</v>
      </c>
      <c r="H62" t="s">
        <v>957</v>
      </c>
      <c r="I62" t="s">
        <v>969</v>
      </c>
      <c r="J62" t="s">
        <v>1004</v>
      </c>
      <c r="M62" s="1"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1754</v>
      </c>
      <c r="F64" t="s">
        <v>53</v>
      </c>
      <c r="G64" t="s">
        <v>313</v>
      </c>
      <c r="H64" t="s">
        <v>957</v>
      </c>
      <c r="I64" t="s">
        <v>969</v>
      </c>
      <c r="J64" t="s">
        <v>1005</v>
      </c>
      <c r="M64" s="1" t="s">
        <v>978</v>
      </c>
    </row>
    <row r="65" spans="1:13" x14ac:dyDescent="0.2">
      <c r="A65">
        <v>150</v>
      </c>
      <c r="B65" t="b">
        <f>IF(OR(G65="NA",H65="wide_value"),"",TRUE)</f>
        <v>1</v>
      </c>
      <c r="C65" t="s">
        <v>24</v>
      </c>
      <c r="D65" t="str">
        <f>IF(F65&lt;&gt;"",VLOOKUP(F65,PHA4GEVars!$A$7:$B$241,2,FALSE),"")</f>
        <v>Environmental conditions and measurements</v>
      </c>
      <c r="E65" t="s">
        <v>1754</v>
      </c>
      <c r="F65" t="s">
        <v>53</v>
      </c>
      <c r="G65" t="s">
        <v>314</v>
      </c>
      <c r="H65" t="s">
        <v>957</v>
      </c>
      <c r="I65" t="s">
        <v>969</v>
      </c>
      <c r="J65" t="s">
        <v>1006</v>
      </c>
      <c r="M65" s="1" t="s">
        <v>978</v>
      </c>
    </row>
    <row r="66" spans="1:13" x14ac:dyDescent="0.2">
      <c r="A66">
        <v>151</v>
      </c>
      <c r="B66" t="b">
        <f>IF(OR(G66="NA",H66="wide_value"),"",TRUE)</f>
        <v>1</v>
      </c>
      <c r="C66" t="s">
        <v>24</v>
      </c>
      <c r="D66" t="str">
        <f>IF(F66&lt;&gt;"",VLOOKUP(F66,PHA4GEVars!$A$7:$B$241,2,FALSE),"")</f>
        <v>Environmental conditions and measurements</v>
      </c>
      <c r="E66" t="s">
        <v>1754</v>
      </c>
      <c r="F66" t="s">
        <v>53</v>
      </c>
      <c r="G66" t="s">
        <v>315</v>
      </c>
      <c r="H66" t="s">
        <v>957</v>
      </c>
      <c r="I66" t="s">
        <v>969</v>
      </c>
      <c r="J66" t="s">
        <v>1007</v>
      </c>
      <c r="M66" s="1" t="s">
        <v>978</v>
      </c>
    </row>
    <row r="67" spans="1:13" x14ac:dyDescent="0.2">
      <c r="A67">
        <v>152</v>
      </c>
      <c r="B67" t="b">
        <f>IF(OR(G67="NA",H67="wide_value"),"",TRUE)</f>
        <v>1</v>
      </c>
      <c r="C67" t="s">
        <v>24</v>
      </c>
      <c r="D67" t="str">
        <f>IF(F67&lt;&gt;"",VLOOKUP(F67,PHA4GEVars!$A$7:$B$241,2,FALSE),"")</f>
        <v>Environmental conditions and measurements</v>
      </c>
      <c r="E67" t="s">
        <v>1754</v>
      </c>
      <c r="F67" t="s">
        <v>53</v>
      </c>
      <c r="G67" t="s">
        <v>1139</v>
      </c>
      <c r="H67" t="s">
        <v>957</v>
      </c>
      <c r="I67" t="s">
        <v>969</v>
      </c>
      <c r="J67" t="s">
        <v>1242</v>
      </c>
      <c r="M67" s="1" t="s">
        <v>978</v>
      </c>
    </row>
    <row r="68" spans="1:13" x14ac:dyDescent="0.2">
      <c r="A68">
        <v>153</v>
      </c>
      <c r="B68" t="b">
        <f>IF(OR(G68="NA",H68="wide_value"),"",TRUE)</f>
        <v>1</v>
      </c>
      <c r="C68" t="s">
        <v>24</v>
      </c>
      <c r="D68" t="str">
        <f>IF(F68&lt;&gt;"",VLOOKUP(F68,PHA4GEVars!$A$7:$B$241,2,FALSE),"")</f>
        <v>Environmental conditions and measurements</v>
      </c>
      <c r="E68" t="s">
        <v>1754</v>
      </c>
      <c r="F68" t="s">
        <v>53</v>
      </c>
      <c r="G68" t="s">
        <v>300</v>
      </c>
      <c r="H68" t="s">
        <v>957</v>
      </c>
      <c r="I68" t="s">
        <v>969</v>
      </c>
      <c r="J68" t="s">
        <v>1008</v>
      </c>
      <c r="M68" s="1"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1754</v>
      </c>
      <c r="F70" t="s">
        <v>54</v>
      </c>
      <c r="G70" t="s">
        <v>285</v>
      </c>
      <c r="H70" t="s">
        <v>957</v>
      </c>
      <c r="I70" t="s">
        <v>969</v>
      </c>
      <c r="J70" t="s">
        <v>984</v>
      </c>
      <c r="M70" s="1" t="s">
        <v>978</v>
      </c>
    </row>
    <row r="71" spans="1:13" x14ac:dyDescent="0.2">
      <c r="A71">
        <v>156</v>
      </c>
      <c r="B71" t="b">
        <f>IF(OR(G71="NA",H71="wide_value"),"",TRUE)</f>
        <v>1</v>
      </c>
      <c r="C71" t="s">
        <v>24</v>
      </c>
      <c r="D71" t="str">
        <f>IF(F71&lt;&gt;"",VLOOKUP(F71,PHA4GEVars!$A$7:$B$241,2,FALSE),"")</f>
        <v>Environmental conditions and measurements</v>
      </c>
      <c r="E71" t="s">
        <v>1754</v>
      </c>
      <c r="F71" t="s">
        <v>54</v>
      </c>
      <c r="G71" t="s">
        <v>286</v>
      </c>
      <c r="H71" t="s">
        <v>957</v>
      </c>
      <c r="I71" t="s">
        <v>969</v>
      </c>
      <c r="J71" t="s">
        <v>970</v>
      </c>
      <c r="M71" s="1" t="s">
        <v>978</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1754</v>
      </c>
      <c r="F73" t="s">
        <v>55</v>
      </c>
      <c r="G73" t="s">
        <v>285</v>
      </c>
      <c r="H73" t="s">
        <v>957</v>
      </c>
      <c r="I73" t="s">
        <v>969</v>
      </c>
      <c r="J73" t="s">
        <v>984</v>
      </c>
      <c r="M73" s="1" t="s">
        <v>978</v>
      </c>
    </row>
    <row r="74" spans="1:13" x14ac:dyDescent="0.2">
      <c r="A74">
        <v>158</v>
      </c>
      <c r="B74" t="b">
        <f>IF(OR(G74="NA",H74="wide_value"),"",TRUE)</f>
        <v>1</v>
      </c>
      <c r="C74" t="s">
        <v>24</v>
      </c>
      <c r="D74" t="str">
        <f>IF(F74&lt;&gt;"",VLOOKUP(F74,PHA4GEVars!$A$7:$B$241,2,FALSE),"")</f>
        <v>Environmental conditions and measurements</v>
      </c>
      <c r="E74" t="s">
        <v>1754</v>
      </c>
      <c r="F74" t="s">
        <v>55</v>
      </c>
      <c r="G74" t="s">
        <v>286</v>
      </c>
      <c r="H74" t="s">
        <v>957</v>
      </c>
      <c r="I74" t="s">
        <v>969</v>
      </c>
      <c r="J74" t="s">
        <v>970</v>
      </c>
      <c r="M74" s="1"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1754</v>
      </c>
      <c r="F76" t="s">
        <v>1067</v>
      </c>
      <c r="G76" t="s">
        <v>287</v>
      </c>
      <c r="H76" t="s">
        <v>957</v>
      </c>
      <c r="I76" t="s">
        <v>969</v>
      </c>
      <c r="J76" t="s">
        <v>976</v>
      </c>
      <c r="M76" s="1" t="s">
        <v>978</v>
      </c>
    </row>
    <row r="77" spans="1:13" x14ac:dyDescent="0.2">
      <c r="A77">
        <v>171</v>
      </c>
      <c r="B77" t="b">
        <f t="shared" si="4"/>
        <v>1</v>
      </c>
      <c r="C77" t="s">
        <v>24</v>
      </c>
      <c r="D77" t="str">
        <f>IF(F77&lt;&gt;"",VLOOKUP(F77,PHA4GEVars!$A$7:$B$241,2,FALSE),"")</f>
        <v>Environmental conditions and measurements</v>
      </c>
      <c r="E77" t="s">
        <v>1754</v>
      </c>
      <c r="F77" t="s">
        <v>1067</v>
      </c>
      <c r="G77" t="s">
        <v>288</v>
      </c>
      <c r="H77" t="s">
        <v>957</v>
      </c>
      <c r="I77" t="s">
        <v>969</v>
      </c>
      <c r="J77" t="s">
        <v>997</v>
      </c>
      <c r="M77" s="1" t="s">
        <v>978</v>
      </c>
    </row>
    <row r="78" spans="1:13" x14ac:dyDescent="0.2">
      <c r="A78">
        <v>172</v>
      </c>
      <c r="B78" t="b">
        <f t="shared" si="4"/>
        <v>1</v>
      </c>
      <c r="C78" t="s">
        <v>24</v>
      </c>
      <c r="D78" t="str">
        <f>IF(F78&lt;&gt;"",VLOOKUP(F78,PHA4GEVars!$A$7:$B$241,2,FALSE),"")</f>
        <v>Environmental conditions and measurements</v>
      </c>
      <c r="E78" t="s">
        <v>1754</v>
      </c>
      <c r="F78" t="s">
        <v>1067</v>
      </c>
      <c r="G78" t="s">
        <v>289</v>
      </c>
      <c r="H78" t="s">
        <v>957</v>
      </c>
      <c r="I78" t="s">
        <v>969</v>
      </c>
      <c r="J78" t="s">
        <v>977</v>
      </c>
      <c r="M78" s="1" t="s">
        <v>978</v>
      </c>
    </row>
    <row r="79" spans="1:13" x14ac:dyDescent="0.2">
      <c r="A79">
        <v>173</v>
      </c>
      <c r="B79" t="b">
        <f t="shared" si="4"/>
        <v>1</v>
      </c>
      <c r="C79" t="s">
        <v>24</v>
      </c>
      <c r="D79" t="str">
        <f>IF(F79&lt;&gt;"",VLOOKUP(F79,PHA4GEVars!$A$7:$B$241,2,FALSE),"")</f>
        <v>Environmental conditions and measurements</v>
      </c>
      <c r="E79" t="s">
        <v>1754</v>
      </c>
      <c r="F79" t="s">
        <v>1067</v>
      </c>
      <c r="G79" t="s">
        <v>290</v>
      </c>
      <c r="H79" t="s">
        <v>957</v>
      </c>
      <c r="I79" t="s">
        <v>969</v>
      </c>
      <c r="J79" t="s">
        <v>998</v>
      </c>
      <c r="M79" s="1" t="s">
        <v>978</v>
      </c>
    </row>
    <row r="80" spans="1:13" x14ac:dyDescent="0.2">
      <c r="A80">
        <v>174</v>
      </c>
      <c r="B80" t="b">
        <f t="shared" si="4"/>
        <v>1</v>
      </c>
      <c r="C80" t="s">
        <v>24</v>
      </c>
      <c r="D80" t="str">
        <f>IF(F80&lt;&gt;"",VLOOKUP(F80,PHA4GEVars!$A$7:$B$241,2,FALSE),"")</f>
        <v>Environmental conditions and measurements</v>
      </c>
      <c r="E80" t="s">
        <v>1754</v>
      </c>
      <c r="F80" t="s">
        <v>1067</v>
      </c>
      <c r="G80" t="s">
        <v>291</v>
      </c>
      <c r="H80" t="s">
        <v>957</v>
      </c>
      <c r="I80" t="s">
        <v>969</v>
      </c>
      <c r="J80" t="s">
        <v>999</v>
      </c>
      <c r="M80" s="1" t="s">
        <v>978</v>
      </c>
    </row>
    <row r="81" spans="1:13" x14ac:dyDescent="0.2">
      <c r="A81">
        <v>175</v>
      </c>
      <c r="B81" t="b">
        <f t="shared" si="4"/>
        <v>1</v>
      </c>
      <c r="C81" t="s">
        <v>24</v>
      </c>
      <c r="D81" t="str">
        <f>IF(F81&lt;&gt;"",VLOOKUP(F81,PHA4GEVars!$A$7:$B$241,2,FALSE),"")</f>
        <v>Environmental conditions and measurements</v>
      </c>
      <c r="E81" t="s">
        <v>1754</v>
      </c>
      <c r="F81" t="s">
        <v>1067</v>
      </c>
      <c r="G81" t="s">
        <v>292</v>
      </c>
      <c r="H81" t="s">
        <v>957</v>
      </c>
      <c r="I81" t="s">
        <v>969</v>
      </c>
      <c r="J81" t="s">
        <v>1000</v>
      </c>
      <c r="M81" s="1" t="s">
        <v>978</v>
      </c>
    </row>
    <row r="82" spans="1:13" x14ac:dyDescent="0.2">
      <c r="A82">
        <v>176</v>
      </c>
      <c r="B82" t="b">
        <f t="shared" si="4"/>
        <v>1</v>
      </c>
      <c r="C82" t="s">
        <v>24</v>
      </c>
      <c r="D82" t="str">
        <f>IF(F82&lt;&gt;"",VLOOKUP(F82,PHA4GEVars!$A$7:$B$241,2,FALSE),"")</f>
        <v>Environmental conditions and measurements</v>
      </c>
      <c r="E82" t="s">
        <v>1754</v>
      </c>
      <c r="F82" t="s">
        <v>1067</v>
      </c>
      <c r="G82" t="s">
        <v>1073</v>
      </c>
      <c r="H82" t="s">
        <v>957</v>
      </c>
      <c r="I82" t="s">
        <v>969</v>
      </c>
      <c r="J82" t="s">
        <v>1186</v>
      </c>
      <c r="M82" s="1" t="s">
        <v>978</v>
      </c>
    </row>
    <row r="83" spans="1:13" x14ac:dyDescent="0.2">
      <c r="A83">
        <v>177</v>
      </c>
      <c r="B83" t="b">
        <f t="shared" si="4"/>
        <v>1</v>
      </c>
      <c r="C83" t="s">
        <v>24</v>
      </c>
      <c r="D83" t="str">
        <f>IF(F83&lt;&gt;"",VLOOKUP(F83,PHA4GEVars!$A$7:$B$241,2,FALSE),"")</f>
        <v>Environmental conditions and measurements</v>
      </c>
      <c r="E83" t="s">
        <v>1754</v>
      </c>
      <c r="F83" t="s">
        <v>1067</v>
      </c>
      <c r="G83" t="s">
        <v>1074</v>
      </c>
      <c r="H83" t="s">
        <v>957</v>
      </c>
      <c r="I83" t="s">
        <v>969</v>
      </c>
      <c r="J83" t="s">
        <v>1187</v>
      </c>
      <c r="M83" s="1"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1754</v>
      </c>
      <c r="F85" t="s">
        <v>2074</v>
      </c>
      <c r="G85" t="s">
        <v>299</v>
      </c>
      <c r="H85" t="s">
        <v>957</v>
      </c>
      <c r="I85" t="s">
        <v>969</v>
      </c>
      <c r="J85" t="s">
        <v>980</v>
      </c>
      <c r="M85" s="1" t="s">
        <v>978</v>
      </c>
    </row>
    <row r="86" spans="1:13" x14ac:dyDescent="0.2">
      <c r="A86">
        <v>181</v>
      </c>
      <c r="B86" t="b">
        <f>IF(OR(G86="NA",H86="wide_value"),"",TRUE)</f>
        <v>1</v>
      </c>
      <c r="C86" t="s">
        <v>24</v>
      </c>
      <c r="D86" t="e">
        <f>IF(F86&lt;&gt;"",VLOOKUP(F86,PHA4GEVars!$A$7:$B$241,2,FALSE),"")</f>
        <v>#N/A</v>
      </c>
      <c r="E86" t="s">
        <v>1754</v>
      </c>
      <c r="F86" t="s">
        <v>2074</v>
      </c>
      <c r="G86" t="s">
        <v>300</v>
      </c>
      <c r="H86" t="s">
        <v>957</v>
      </c>
      <c r="I86" t="s">
        <v>969</v>
      </c>
      <c r="J86" t="s">
        <v>1008</v>
      </c>
      <c r="M86" s="1"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1754</v>
      </c>
      <c r="F88" t="s">
        <v>2073</v>
      </c>
      <c r="G88" t="s">
        <v>295</v>
      </c>
      <c r="H88" t="s">
        <v>957</v>
      </c>
      <c r="I88" t="s">
        <v>969</v>
      </c>
      <c r="J88" t="s">
        <v>971</v>
      </c>
      <c r="M88" s="1" t="s">
        <v>978</v>
      </c>
    </row>
    <row r="89" spans="1:13" x14ac:dyDescent="0.2">
      <c r="A89">
        <v>185</v>
      </c>
      <c r="B89" t="b">
        <f>IF(OR(G89="NA",H89="wide_value"),"",TRUE)</f>
        <v>1</v>
      </c>
      <c r="C89" t="s">
        <v>24</v>
      </c>
      <c r="D89" t="e">
        <f>IF(F89&lt;&gt;"",VLOOKUP(F89,PHA4GEVars!$A$7:$B$241,2,FALSE),"")</f>
        <v>#N/A</v>
      </c>
      <c r="E89" t="s">
        <v>1754</v>
      </c>
      <c r="F89" t="s">
        <v>2073</v>
      </c>
      <c r="G89" t="s">
        <v>300</v>
      </c>
      <c r="H89" t="s">
        <v>957</v>
      </c>
      <c r="I89" t="s">
        <v>969</v>
      </c>
      <c r="J89" t="s">
        <v>1008</v>
      </c>
      <c r="M89" s="1" t="s">
        <v>978</v>
      </c>
    </row>
    <row r="90" spans="1:13" x14ac:dyDescent="0.2">
      <c r="A90">
        <v>186</v>
      </c>
      <c r="B90" t="b">
        <f>IF(OR(G90="NA",H90="wide_value"),"",TRUE)</f>
        <v>1</v>
      </c>
      <c r="C90" t="s">
        <v>24</v>
      </c>
      <c r="D90" t="e">
        <f>IF(F90&lt;&gt;"",VLOOKUP(F90,PHA4GEVars!$A$7:$B$241,2,FALSE),"")</f>
        <v>#N/A</v>
      </c>
      <c r="E90" t="s">
        <v>1754</v>
      </c>
      <c r="F90" t="s">
        <v>2073</v>
      </c>
      <c r="G90" t="s">
        <v>301</v>
      </c>
      <c r="H90" t="s">
        <v>957</v>
      </c>
      <c r="I90" t="s">
        <v>969</v>
      </c>
      <c r="J90" t="s">
        <v>1009</v>
      </c>
      <c r="M90" s="1" t="s">
        <v>978</v>
      </c>
    </row>
    <row r="91" spans="1:13" x14ac:dyDescent="0.2">
      <c r="B91" t="b">
        <f>IF(OR(G91="NA",H91="wide_value"),"",TRUE)</f>
        <v>1</v>
      </c>
      <c r="C91" t="s">
        <v>24</v>
      </c>
      <c r="D91" t="e">
        <f>IF(F91&lt;&gt;"",VLOOKUP(F91,PHA4GEVars!$A$7:$B$241,2,FALSE),"")</f>
        <v>#N/A</v>
      </c>
      <c r="E91" t="s">
        <v>1754</v>
      </c>
      <c r="F91" t="s">
        <v>2073</v>
      </c>
      <c r="G91" t="s">
        <v>1140</v>
      </c>
      <c r="H91" t="s">
        <v>957</v>
      </c>
      <c r="I91" t="s">
        <v>969</v>
      </c>
      <c r="J91" t="s">
        <v>1243</v>
      </c>
      <c r="M91" s="1"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1754</v>
      </c>
      <c r="F93" t="s">
        <v>2093</v>
      </c>
      <c r="G93" t="s">
        <v>1140</v>
      </c>
      <c r="H93" t="s">
        <v>957</v>
      </c>
      <c r="I93" t="s">
        <v>969</v>
      </c>
      <c r="J93" t="s">
        <v>1243</v>
      </c>
      <c r="M93" s="1" t="s">
        <v>978</v>
      </c>
    </row>
    <row r="94" spans="1:13" x14ac:dyDescent="0.2">
      <c r="A94">
        <v>190</v>
      </c>
      <c r="B94" t="b">
        <f t="shared" si="5"/>
        <v>1</v>
      </c>
      <c r="C94" t="s">
        <v>24</v>
      </c>
      <c r="D94" t="e">
        <f>IF(F94&lt;&gt;"",VLOOKUP(F94,PHA4GEVars!$A$7:$B$241,2,FALSE),"")</f>
        <v>#N/A</v>
      </c>
      <c r="E94" t="s">
        <v>1754</v>
      </c>
      <c r="F94" t="s">
        <v>2093</v>
      </c>
      <c r="G94" t="s">
        <v>302</v>
      </c>
      <c r="H94" t="s">
        <v>957</v>
      </c>
      <c r="I94" t="s">
        <v>969</v>
      </c>
      <c r="J94" t="s">
        <v>1010</v>
      </c>
      <c r="M94" s="1" t="s">
        <v>978</v>
      </c>
    </row>
    <row r="95" spans="1:13" x14ac:dyDescent="0.2">
      <c r="A95">
        <v>191</v>
      </c>
      <c r="B95" t="b">
        <f t="shared" si="5"/>
        <v>1</v>
      </c>
      <c r="C95" t="s">
        <v>24</v>
      </c>
      <c r="D95" t="e">
        <f>IF(F95&lt;&gt;"",VLOOKUP(F95,PHA4GEVars!$A$7:$B$241,2,FALSE),"")</f>
        <v>#N/A</v>
      </c>
      <c r="E95" t="s">
        <v>1754</v>
      </c>
      <c r="F95" t="s">
        <v>2093</v>
      </c>
      <c r="G95" t="s">
        <v>303</v>
      </c>
      <c r="H95" t="s">
        <v>957</v>
      </c>
      <c r="I95" t="s">
        <v>969</v>
      </c>
      <c r="J95" t="s">
        <v>1011</v>
      </c>
      <c r="M95" s="1" t="s">
        <v>978</v>
      </c>
    </row>
    <row r="96" spans="1:13" x14ac:dyDescent="0.2">
      <c r="A96">
        <v>192</v>
      </c>
      <c r="B96" t="b">
        <f t="shared" si="5"/>
        <v>1</v>
      </c>
      <c r="C96" t="s">
        <v>24</v>
      </c>
      <c r="D96" t="e">
        <f>IF(F96&lt;&gt;"",VLOOKUP(F96,PHA4GEVars!$A$7:$B$241,2,FALSE),"")</f>
        <v>#N/A</v>
      </c>
      <c r="E96" t="s">
        <v>1754</v>
      </c>
      <c r="F96" t="s">
        <v>2093</v>
      </c>
      <c r="G96" t="s">
        <v>304</v>
      </c>
      <c r="H96" t="s">
        <v>957</v>
      </c>
      <c r="I96" t="s">
        <v>969</v>
      </c>
      <c r="J96" t="s">
        <v>1012</v>
      </c>
      <c r="M96" s="1" t="s">
        <v>978</v>
      </c>
    </row>
    <row r="97" spans="1:13" x14ac:dyDescent="0.2">
      <c r="A97">
        <v>193</v>
      </c>
      <c r="B97" t="b">
        <f t="shared" si="5"/>
        <v>1</v>
      </c>
      <c r="C97" t="s">
        <v>24</v>
      </c>
      <c r="D97" t="e">
        <f>IF(F97&lt;&gt;"",VLOOKUP(F97,PHA4GEVars!$A$7:$B$241,2,FALSE),"")</f>
        <v>#N/A</v>
      </c>
      <c r="E97" t="s">
        <v>1754</v>
      </c>
      <c r="F97" t="s">
        <v>2093</v>
      </c>
      <c r="G97" t="s">
        <v>305</v>
      </c>
      <c r="H97" t="s">
        <v>957</v>
      </c>
      <c r="I97" t="s">
        <v>969</v>
      </c>
      <c r="J97" t="s">
        <v>1013</v>
      </c>
      <c r="M97" s="1" t="s">
        <v>978</v>
      </c>
    </row>
    <row r="98" spans="1:13" x14ac:dyDescent="0.2">
      <c r="B98" t="b">
        <f t="shared" si="5"/>
        <v>1</v>
      </c>
      <c r="C98" t="s">
        <v>24</v>
      </c>
      <c r="D98" t="e">
        <f>IF(F98&lt;&gt;"",VLOOKUP(F98,PHA4GEVars!$A$7:$B$241,2,FALSE),"")</f>
        <v>#N/A</v>
      </c>
      <c r="E98" t="s">
        <v>1754</v>
      </c>
      <c r="F98" t="s">
        <v>2093</v>
      </c>
      <c r="G98" t="s">
        <v>1908</v>
      </c>
      <c r="H98" t="s">
        <v>957</v>
      </c>
      <c r="I98" t="s">
        <v>969</v>
      </c>
      <c r="J98" t="s">
        <v>971</v>
      </c>
      <c r="M98" s="1"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1754</v>
      </c>
      <c r="F100" t="s">
        <v>2081</v>
      </c>
      <c r="G100" t="s">
        <v>299</v>
      </c>
      <c r="H100" t="s">
        <v>957</v>
      </c>
      <c r="I100" t="s">
        <v>969</v>
      </c>
      <c r="J100" t="s">
        <v>980</v>
      </c>
      <c r="M100" s="1" t="s">
        <v>978</v>
      </c>
    </row>
    <row r="101" spans="1:13" x14ac:dyDescent="0.2">
      <c r="A101">
        <v>197</v>
      </c>
      <c r="B101" t="b">
        <f>IF(OR(G101="NA",H101="wide_value"),"",TRUE)</f>
        <v>1</v>
      </c>
      <c r="C101" t="s">
        <v>24</v>
      </c>
      <c r="D101" t="e">
        <f>IF(F101&lt;&gt;"",VLOOKUP(F101,PHA4GEVars!$A$7:$B$241,2,FALSE),"")</f>
        <v>#N/A</v>
      </c>
      <c r="E101" t="s">
        <v>1754</v>
      </c>
      <c r="F101" t="s">
        <v>2081</v>
      </c>
      <c r="G101" t="s">
        <v>300</v>
      </c>
      <c r="H101" t="s">
        <v>957</v>
      </c>
      <c r="I101" t="s">
        <v>969</v>
      </c>
      <c r="J101" t="s">
        <v>1008</v>
      </c>
      <c r="M101" s="1"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1754</v>
      </c>
      <c r="F103" t="s">
        <v>2089</v>
      </c>
      <c r="G103" t="s">
        <v>299</v>
      </c>
      <c r="H103" t="s">
        <v>957</v>
      </c>
      <c r="I103" t="s">
        <v>969</v>
      </c>
      <c r="J103" t="s">
        <v>980</v>
      </c>
      <c r="M103" s="1" t="s">
        <v>978</v>
      </c>
    </row>
    <row r="104" spans="1:13" x14ac:dyDescent="0.2">
      <c r="A104">
        <v>201</v>
      </c>
      <c r="B104" t="b">
        <f>IF(OR(G104="NA",H104="wide_value"),"",TRUE)</f>
        <v>1</v>
      </c>
      <c r="C104" t="s">
        <v>24</v>
      </c>
      <c r="D104" t="e">
        <f>IF(F104&lt;&gt;"",VLOOKUP(F104,PHA4GEVars!$A$7:$B$241,2,FALSE),"")</f>
        <v>#N/A</v>
      </c>
      <c r="E104" t="s">
        <v>1754</v>
      </c>
      <c r="F104" t="s">
        <v>2089</v>
      </c>
      <c r="G104" t="s">
        <v>300</v>
      </c>
      <c r="H104" t="s">
        <v>957</v>
      </c>
      <c r="I104" t="s">
        <v>969</v>
      </c>
      <c r="J104" t="s">
        <v>1008</v>
      </c>
      <c r="M104" s="1"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1754</v>
      </c>
      <c r="F106" t="s">
        <v>62</v>
      </c>
      <c r="G106" t="s">
        <v>293</v>
      </c>
      <c r="H106" t="s">
        <v>957</v>
      </c>
      <c r="I106" t="s">
        <v>969</v>
      </c>
      <c r="J106" t="s">
        <v>981</v>
      </c>
      <c r="M106" s="1" t="s">
        <v>978</v>
      </c>
    </row>
    <row r="107" spans="1:13" x14ac:dyDescent="0.2">
      <c r="A107">
        <v>205</v>
      </c>
      <c r="B107" t="b">
        <f>IF(OR(G107="NA",H107="wide_value"),"",TRUE)</f>
        <v>1</v>
      </c>
      <c r="C107" t="s">
        <v>24</v>
      </c>
      <c r="D107" t="str">
        <f>IF(F107&lt;&gt;"",VLOOKUP(F107,PHA4GEVars!$A$7:$B$241,2,FALSE),"")</f>
        <v>Environmental conditions and measurements</v>
      </c>
      <c r="E107" t="s">
        <v>1754</v>
      </c>
      <c r="F107" t="s">
        <v>62</v>
      </c>
      <c r="G107" t="s">
        <v>294</v>
      </c>
      <c r="H107" t="s">
        <v>957</v>
      </c>
      <c r="I107" t="s">
        <v>969</v>
      </c>
      <c r="J107" t="s">
        <v>1014</v>
      </c>
      <c r="M107" s="1"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1754</v>
      </c>
      <c r="F109" t="s">
        <v>140</v>
      </c>
      <c r="G109" t="s">
        <v>1840</v>
      </c>
      <c r="H109" t="s">
        <v>957</v>
      </c>
      <c r="I109" t="s">
        <v>1017</v>
      </c>
      <c r="J109" t="s">
        <v>326</v>
      </c>
      <c r="M109" s="1" t="s">
        <v>1326</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1754</v>
      </c>
      <c r="F111" t="s">
        <v>63</v>
      </c>
      <c r="G111" t="s">
        <v>325</v>
      </c>
      <c r="H111" t="s">
        <v>957</v>
      </c>
      <c r="I111" t="s">
        <v>969</v>
      </c>
      <c r="J111" t="s">
        <v>1015</v>
      </c>
      <c r="M111" s="1"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1754</v>
      </c>
      <c r="F113" t="s">
        <v>1792</v>
      </c>
      <c r="G113" t="s">
        <v>1841</v>
      </c>
      <c r="H113" t="s">
        <v>957</v>
      </c>
      <c r="I113" t="s">
        <v>969</v>
      </c>
      <c r="J113" t="s">
        <v>1245</v>
      </c>
      <c r="M113" s="1" t="s">
        <v>978</v>
      </c>
      <c r="N113" t="s">
        <v>1805</v>
      </c>
    </row>
    <row r="114" spans="1:14" x14ac:dyDescent="0.2">
      <c r="A114">
        <v>212</v>
      </c>
      <c r="B114" t="b">
        <f>IF(OR(G114="NA",H114="wide_value"),"",TRUE)</f>
        <v>1</v>
      </c>
      <c r="C114" t="s">
        <v>24</v>
      </c>
      <c r="D114" t="str">
        <f>IF(F114&lt;&gt;"",VLOOKUP(F114,PHA4GEVars!$A$7:$B$241,2,FALSE),"")</f>
        <v>Environmental conditions and measurements</v>
      </c>
      <c r="E114" t="s">
        <v>1754</v>
      </c>
      <c r="F114" t="s">
        <v>1792</v>
      </c>
      <c r="G114" t="s">
        <v>1842</v>
      </c>
      <c r="H114" t="s">
        <v>957</v>
      </c>
      <c r="I114" t="s">
        <v>969</v>
      </c>
      <c r="J114" t="s">
        <v>1246</v>
      </c>
      <c r="M114" s="1" t="s">
        <v>978</v>
      </c>
      <c r="N114" t="s">
        <v>1805</v>
      </c>
    </row>
    <row r="115" spans="1:14" x14ac:dyDescent="0.2">
      <c r="A115">
        <v>213</v>
      </c>
      <c r="B115" t="b">
        <f>IF(OR(G115="NA",H115="wide_value"),"",TRUE)</f>
        <v>1</v>
      </c>
      <c r="C115" t="s">
        <v>24</v>
      </c>
      <c r="D115" t="str">
        <f>IF(F115&lt;&gt;"",VLOOKUP(F115,PHA4GEVars!$A$7:$B$241,2,FALSE),"")</f>
        <v>Environmental conditions and measurements</v>
      </c>
      <c r="E115" t="s">
        <v>1754</v>
      </c>
      <c r="F115" t="s">
        <v>1792</v>
      </c>
      <c r="G115" t="s">
        <v>1740</v>
      </c>
      <c r="H115" t="s">
        <v>957</v>
      </c>
      <c r="I115" t="s">
        <v>969</v>
      </c>
      <c r="J115" t="s">
        <v>1247</v>
      </c>
      <c r="M115" s="1" t="s">
        <v>978</v>
      </c>
      <c r="N115" t="s">
        <v>1805</v>
      </c>
    </row>
    <row r="116" spans="1:14" x14ac:dyDescent="0.2">
      <c r="A116">
        <v>214</v>
      </c>
      <c r="B116" t="b">
        <f>IF(OR(G116="NA",H116="wide_value"),"",TRUE)</f>
        <v>1</v>
      </c>
      <c r="C116" t="s">
        <v>24</v>
      </c>
      <c r="D116" t="str">
        <f>IF(F116&lt;&gt;"",VLOOKUP(F116,PHA4GEVars!$A$7:$B$241,2,FALSE),"")</f>
        <v>Environmental conditions and measurements</v>
      </c>
      <c r="E116" t="s">
        <v>1754</v>
      </c>
      <c r="F116" t="s">
        <v>1792</v>
      </c>
      <c r="G116" t="s">
        <v>1741</v>
      </c>
      <c r="H116" t="s">
        <v>957</v>
      </c>
      <c r="I116" t="s">
        <v>969</v>
      </c>
      <c r="J116" t="s">
        <v>1248</v>
      </c>
      <c r="M116" s="1" t="s">
        <v>978</v>
      </c>
      <c r="N116" t="s">
        <v>1805</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1754</v>
      </c>
      <c r="F118" t="s">
        <v>134</v>
      </c>
      <c r="G118" t="s">
        <v>322</v>
      </c>
      <c r="H118" t="s">
        <v>957</v>
      </c>
      <c r="I118" t="s">
        <v>969</v>
      </c>
      <c r="J118" t="s">
        <v>975</v>
      </c>
      <c r="M118" s="1" t="s">
        <v>978</v>
      </c>
      <c r="N118" t="s">
        <v>1829</v>
      </c>
    </row>
    <row r="119" spans="1:14" x14ac:dyDescent="0.2">
      <c r="A119">
        <v>238</v>
      </c>
      <c r="B119" t="b">
        <v>0</v>
      </c>
      <c r="C119" t="s">
        <v>132</v>
      </c>
      <c r="D119" t="str">
        <f>IF(F119&lt;&gt;"",VLOOKUP(F119,PHA4GEVars!$A$7:$B$241,2,FALSE),"")</f>
        <v>Pathogen diagnostic testing</v>
      </c>
      <c r="E119" t="s">
        <v>1754</v>
      </c>
      <c r="F119" t="s">
        <v>134</v>
      </c>
      <c r="G119" t="s">
        <v>323</v>
      </c>
      <c r="H119" t="s">
        <v>957</v>
      </c>
      <c r="I119" t="s">
        <v>969</v>
      </c>
      <c r="J119" t="s">
        <v>995</v>
      </c>
      <c r="M119" s="1" t="s">
        <v>978</v>
      </c>
    </row>
    <row r="120" spans="1:14" x14ac:dyDescent="0.2">
      <c r="A120">
        <v>239</v>
      </c>
      <c r="B120" t="b">
        <v>0</v>
      </c>
      <c r="C120" t="s">
        <v>132</v>
      </c>
      <c r="D120" t="str">
        <f>IF(F120&lt;&gt;"",VLOOKUP(F120,PHA4GEVars!$A$7:$B$241,2,FALSE),"")</f>
        <v>Pathogen diagnostic testing</v>
      </c>
      <c r="E120" t="s">
        <v>1754</v>
      </c>
      <c r="F120" t="s">
        <v>134</v>
      </c>
      <c r="G120" t="s">
        <v>327</v>
      </c>
      <c r="H120" t="s">
        <v>957</v>
      </c>
      <c r="I120" t="s">
        <v>969</v>
      </c>
      <c r="J120" t="s">
        <v>990</v>
      </c>
      <c r="M120" s="1" t="s">
        <v>978</v>
      </c>
    </row>
    <row r="121" spans="1:14" x14ac:dyDescent="0.2">
      <c r="A121">
        <v>240</v>
      </c>
      <c r="B121" t="b">
        <v>0</v>
      </c>
      <c r="C121" t="s">
        <v>132</v>
      </c>
      <c r="D121" t="str">
        <f>IF(F121&lt;&gt;"",VLOOKUP(F121,PHA4GEVars!$A$7:$B$241,2,FALSE),"")</f>
        <v>Pathogen diagnostic testing</v>
      </c>
      <c r="E121" t="s">
        <v>1754</v>
      </c>
      <c r="F121" t="s">
        <v>134</v>
      </c>
      <c r="G121" t="s">
        <v>328</v>
      </c>
      <c r="H121" t="s">
        <v>957</v>
      </c>
      <c r="I121" t="s">
        <v>969</v>
      </c>
      <c r="J121" t="s">
        <v>974</v>
      </c>
      <c r="M121" s="1" t="s">
        <v>978</v>
      </c>
    </row>
    <row r="122" spans="1:14" x14ac:dyDescent="0.2">
      <c r="A122">
        <v>241</v>
      </c>
      <c r="B122" t="b">
        <v>0</v>
      </c>
      <c r="C122" t="s">
        <v>132</v>
      </c>
      <c r="D122" t="str">
        <f>IF(F122&lt;&gt;"",VLOOKUP(F122,PHA4GEVars!$A$7:$B$241,2,FALSE),"")</f>
        <v>Pathogen diagnostic testing</v>
      </c>
      <c r="E122" t="s">
        <v>1754</v>
      </c>
      <c r="F122" t="s">
        <v>134</v>
      </c>
      <c r="G122" t="s">
        <v>329</v>
      </c>
      <c r="H122" t="s">
        <v>957</v>
      </c>
      <c r="I122" t="s">
        <v>969</v>
      </c>
      <c r="J122" t="s">
        <v>991</v>
      </c>
      <c r="M122" s="1" t="s">
        <v>978</v>
      </c>
    </row>
    <row r="123" spans="1:14" x14ac:dyDescent="0.2">
      <c r="A123">
        <v>242</v>
      </c>
      <c r="B123" t="b">
        <v>0</v>
      </c>
      <c r="C123" t="s">
        <v>132</v>
      </c>
      <c r="D123" t="str">
        <f>IF(F123&lt;&gt;"",VLOOKUP(F123,PHA4GEVars!$A$7:$B$241,2,FALSE),"")</f>
        <v>Pathogen diagnostic testing</v>
      </c>
      <c r="E123" t="s">
        <v>1754</v>
      </c>
      <c r="F123" t="s">
        <v>134</v>
      </c>
      <c r="G123" t="s">
        <v>330</v>
      </c>
      <c r="H123" t="s">
        <v>957</v>
      </c>
      <c r="I123" t="s">
        <v>969</v>
      </c>
      <c r="J123" t="s">
        <v>992</v>
      </c>
      <c r="M123" s="1" t="s">
        <v>978</v>
      </c>
    </row>
    <row r="124" spans="1:14" x14ac:dyDescent="0.2">
      <c r="A124">
        <v>243</v>
      </c>
      <c r="B124" t="b">
        <v>0</v>
      </c>
      <c r="C124" t="s">
        <v>132</v>
      </c>
      <c r="D124" t="str">
        <f>IF(F124&lt;&gt;"",VLOOKUP(F124,PHA4GEVars!$A$7:$B$241,2,FALSE),"")</f>
        <v>Pathogen diagnostic testing</v>
      </c>
      <c r="E124" t="s">
        <v>1754</v>
      </c>
      <c r="F124" t="s">
        <v>134</v>
      </c>
      <c r="G124" t="s">
        <v>331</v>
      </c>
      <c r="H124" t="s">
        <v>957</v>
      </c>
      <c r="I124" t="s">
        <v>969</v>
      </c>
      <c r="J124" t="s">
        <v>993</v>
      </c>
      <c r="M124" s="1"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1754</v>
      </c>
      <c r="F126" t="s">
        <v>114</v>
      </c>
      <c r="G126" t="s">
        <v>180</v>
      </c>
      <c r="H126" t="s">
        <v>957</v>
      </c>
      <c r="I126" t="s">
        <v>969</v>
      </c>
      <c r="J126" t="s">
        <v>1193</v>
      </c>
      <c r="M126" s="1" t="s">
        <v>978</v>
      </c>
    </row>
    <row r="127" spans="1:14" x14ac:dyDescent="0.2">
      <c r="A127">
        <v>651</v>
      </c>
      <c r="B127" t="b">
        <f t="shared" si="6"/>
        <v>1</v>
      </c>
      <c r="C127" t="s">
        <v>108</v>
      </c>
      <c r="D127" t="str">
        <f>IF(F127&lt;&gt;"",VLOOKUP(F127,PHA4GEVars!$A$7:$B$241,2,FALSE),"")</f>
        <v>Sample collection and processing</v>
      </c>
      <c r="E127" t="s">
        <v>1754</v>
      </c>
      <c r="F127" t="s">
        <v>114</v>
      </c>
      <c r="G127" t="s">
        <v>181</v>
      </c>
      <c r="H127" t="s">
        <v>957</v>
      </c>
      <c r="I127" t="s">
        <v>969</v>
      </c>
      <c r="J127" t="s">
        <v>1194</v>
      </c>
      <c r="M127" s="1" t="s">
        <v>978</v>
      </c>
    </row>
    <row r="128" spans="1:14" x14ac:dyDescent="0.2">
      <c r="A128">
        <v>652</v>
      </c>
      <c r="B128" t="b">
        <f t="shared" si="6"/>
        <v>1</v>
      </c>
      <c r="C128" t="s">
        <v>108</v>
      </c>
      <c r="D128" t="str">
        <f>IF(F128&lt;&gt;"",VLOOKUP(F128,PHA4GEVars!$A$7:$B$241,2,FALSE),"")</f>
        <v>Sample collection and processing</v>
      </c>
      <c r="E128" t="s">
        <v>1754</v>
      </c>
      <c r="F128" t="s">
        <v>114</v>
      </c>
      <c r="G128" t="s">
        <v>182</v>
      </c>
      <c r="H128" t="s">
        <v>957</v>
      </c>
      <c r="I128" t="s">
        <v>969</v>
      </c>
      <c r="J128" t="s">
        <v>1195</v>
      </c>
      <c r="M128" s="1" t="s">
        <v>978</v>
      </c>
    </row>
    <row r="129" spans="1:14" x14ac:dyDescent="0.2">
      <c r="A129">
        <v>653</v>
      </c>
      <c r="B129" t="b">
        <f t="shared" si="6"/>
        <v>1</v>
      </c>
      <c r="C129" t="s">
        <v>108</v>
      </c>
      <c r="D129" t="str">
        <f>IF(F129&lt;&gt;"",VLOOKUP(F129,PHA4GEVars!$A$7:$B$241,2,FALSE),"")</f>
        <v>Sample collection and processing</v>
      </c>
      <c r="E129" t="s">
        <v>1754</v>
      </c>
      <c r="F129" t="s">
        <v>114</v>
      </c>
      <c r="G129" t="s">
        <v>183</v>
      </c>
      <c r="H129" t="s">
        <v>957</v>
      </c>
      <c r="I129" t="s">
        <v>969</v>
      </c>
      <c r="J129" t="s">
        <v>1196</v>
      </c>
      <c r="M129" s="1" t="s">
        <v>978</v>
      </c>
    </row>
    <row r="130" spans="1:14" x14ac:dyDescent="0.2">
      <c r="A130">
        <v>654</v>
      </c>
      <c r="B130" t="b">
        <f t="shared" si="6"/>
        <v>1</v>
      </c>
      <c r="C130" t="s">
        <v>108</v>
      </c>
      <c r="D130" t="str">
        <f>IF(F130&lt;&gt;"",VLOOKUP(F130,PHA4GEVars!$A$7:$B$241,2,FALSE),"")</f>
        <v>Sample collection and processing</v>
      </c>
      <c r="E130" t="s">
        <v>1754</v>
      </c>
      <c r="F130" t="s">
        <v>114</v>
      </c>
      <c r="G130" t="s">
        <v>184</v>
      </c>
      <c r="H130" t="s">
        <v>957</v>
      </c>
      <c r="I130" t="s">
        <v>969</v>
      </c>
      <c r="J130" t="s">
        <v>1199</v>
      </c>
      <c r="M130" s="1" t="s">
        <v>978</v>
      </c>
    </row>
    <row r="131" spans="1:14" x14ac:dyDescent="0.2">
      <c r="A131">
        <v>655</v>
      </c>
      <c r="B131" t="b">
        <f t="shared" si="6"/>
        <v>1</v>
      </c>
      <c r="C131" t="s">
        <v>108</v>
      </c>
      <c r="D131" t="str">
        <f>IF(F131&lt;&gt;"",VLOOKUP(F131,PHA4GEVars!$A$7:$B$241,2,FALSE),"")</f>
        <v>Sample collection and processing</v>
      </c>
      <c r="E131" t="s">
        <v>1754</v>
      </c>
      <c r="F131" t="s">
        <v>114</v>
      </c>
      <c r="G131" t="s">
        <v>185</v>
      </c>
      <c r="H131" t="s">
        <v>957</v>
      </c>
      <c r="I131" t="s">
        <v>969</v>
      </c>
      <c r="J131" t="s">
        <v>1197</v>
      </c>
      <c r="M131" s="1" t="s">
        <v>978</v>
      </c>
    </row>
    <row r="132" spans="1:14" x14ac:dyDescent="0.2">
      <c r="A132">
        <v>656</v>
      </c>
      <c r="B132" t="b">
        <f t="shared" si="6"/>
        <v>1</v>
      </c>
      <c r="C132" t="s">
        <v>108</v>
      </c>
      <c r="D132" t="str">
        <f>IF(F132&lt;&gt;"",VLOOKUP(F132,PHA4GEVars!$A$7:$B$241,2,FALSE),"")</f>
        <v>Sample collection and processing</v>
      </c>
      <c r="E132" t="s">
        <v>1754</v>
      </c>
      <c r="F132" t="s">
        <v>114</v>
      </c>
      <c r="G132" t="s">
        <v>186</v>
      </c>
      <c r="H132" t="s">
        <v>957</v>
      </c>
      <c r="I132" t="s">
        <v>969</v>
      </c>
      <c r="J132" t="s">
        <v>1198</v>
      </c>
      <c r="M132" s="1"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1754</v>
      </c>
      <c r="F134" t="s">
        <v>116</v>
      </c>
      <c r="G134" t="s">
        <v>195</v>
      </c>
      <c r="H134" t="s">
        <v>957</v>
      </c>
      <c r="I134" t="s">
        <v>969</v>
      </c>
      <c r="J134" t="s">
        <v>1202</v>
      </c>
      <c r="M134" s="1" t="s">
        <v>978</v>
      </c>
    </row>
    <row r="135" spans="1:14" x14ac:dyDescent="0.2">
      <c r="A135">
        <v>661</v>
      </c>
      <c r="B135" t="b">
        <f>IF(OR(G135="NA",H135="wide_value"),"",TRUE)</f>
        <v>1</v>
      </c>
      <c r="C135" t="s">
        <v>108</v>
      </c>
      <c r="D135" t="str">
        <f>IF(F135&lt;&gt;"",VLOOKUP(F135,PHA4GEVars!$A$7:$B$241,2,FALSE),"")</f>
        <v>Sample collection and processing</v>
      </c>
      <c r="E135" t="s">
        <v>1754</v>
      </c>
      <c r="F135" t="s">
        <v>116</v>
      </c>
      <c r="G135" t="s">
        <v>196</v>
      </c>
      <c r="H135" t="s">
        <v>957</v>
      </c>
      <c r="I135" t="s">
        <v>969</v>
      </c>
      <c r="J135" t="s">
        <v>1201</v>
      </c>
      <c r="M135" s="1" t="s">
        <v>978</v>
      </c>
    </row>
    <row r="136" spans="1:14" x14ac:dyDescent="0.2">
      <c r="A136">
        <v>662</v>
      </c>
      <c r="B136" t="b">
        <f>IF(OR(G136="NA",H136="wide_value"),"",TRUE)</f>
        <v>1</v>
      </c>
      <c r="C136" t="s">
        <v>108</v>
      </c>
      <c r="D136" t="str">
        <f>IF(F136&lt;&gt;"",VLOOKUP(F136,PHA4GEVars!$A$7:$B$241,2,FALSE),"")</f>
        <v>Sample collection and processing</v>
      </c>
      <c r="E136" t="s">
        <v>1754</v>
      </c>
      <c r="F136" t="s">
        <v>116</v>
      </c>
      <c r="G136" t="s">
        <v>197</v>
      </c>
      <c r="H136" t="s">
        <v>957</v>
      </c>
      <c r="I136" t="s">
        <v>969</v>
      </c>
      <c r="J136" t="s">
        <v>1200</v>
      </c>
      <c r="M136" s="1" t="s">
        <v>978</v>
      </c>
    </row>
    <row r="138" spans="1:14" x14ac:dyDescent="0.2">
      <c r="A138" s="15">
        <v>720</v>
      </c>
      <c r="B138" s="15" t="b">
        <v>1</v>
      </c>
      <c r="C138" s="15" t="s">
        <v>16</v>
      </c>
      <c r="D138" t="str">
        <f>IF(F138&lt;&gt;"",VLOOKUP(F138,PHA4GEVars!$A$7:$B$241,2,FALSE),"")</f>
        <v>Sequence information</v>
      </c>
      <c r="E138" s="15" t="s">
        <v>1754</v>
      </c>
      <c r="F138" s="15" t="s">
        <v>1795</v>
      </c>
      <c r="G138" s="15" t="s">
        <v>332</v>
      </c>
      <c r="H138" s="15" t="s">
        <v>957</v>
      </c>
      <c r="I138" t="s">
        <v>1958</v>
      </c>
      <c r="J138" s="15" t="s">
        <v>1275</v>
      </c>
      <c r="K138" s="15"/>
      <c r="L138" s="15"/>
      <c r="M138" s="18" t="s">
        <v>1266</v>
      </c>
      <c r="N138" s="25" t="s">
        <v>1913</v>
      </c>
    </row>
    <row r="139" spans="1:14" x14ac:dyDescent="0.2">
      <c r="A139" s="15">
        <v>721</v>
      </c>
      <c r="B139" s="15" t="b">
        <v>1</v>
      </c>
      <c r="C139" s="15" t="s">
        <v>16</v>
      </c>
      <c r="D139" t="str">
        <f>IF(F139&lt;&gt;"",VLOOKUP(F139,PHA4GEVars!$A$7:$B$241,2,FALSE),"")</f>
        <v>Sequence information</v>
      </c>
      <c r="E139" s="15" t="s">
        <v>1754</v>
      </c>
      <c r="F139" s="15" t="s">
        <v>1795</v>
      </c>
      <c r="G139" s="15" t="s">
        <v>333</v>
      </c>
      <c r="H139" s="15" t="s">
        <v>957</v>
      </c>
      <c r="I139" t="s">
        <v>1958</v>
      </c>
      <c r="J139" s="15" t="s">
        <v>1276</v>
      </c>
      <c r="K139" s="15"/>
      <c r="L139" s="15"/>
      <c r="M139" s="18" t="s">
        <v>1266</v>
      </c>
      <c r="N139" s="25"/>
    </row>
    <row r="140" spans="1:14" x14ac:dyDescent="0.2">
      <c r="A140" s="15">
        <v>722</v>
      </c>
      <c r="B140" s="15" t="b">
        <v>1</v>
      </c>
      <c r="C140" s="15" t="s">
        <v>16</v>
      </c>
      <c r="D140" t="str">
        <f>IF(F140&lt;&gt;"",VLOOKUP(F140,PHA4GEVars!$A$7:$B$241,2,FALSE),"")</f>
        <v>Sequence information</v>
      </c>
      <c r="E140" s="15" t="s">
        <v>1754</v>
      </c>
      <c r="F140" s="15" t="s">
        <v>1795</v>
      </c>
      <c r="G140" s="15" t="s">
        <v>334</v>
      </c>
      <c r="H140" s="15" t="s">
        <v>957</v>
      </c>
      <c r="I140" t="s">
        <v>1958</v>
      </c>
      <c r="J140" s="15" t="s">
        <v>1277</v>
      </c>
      <c r="K140" s="15"/>
      <c r="L140" s="15"/>
      <c r="M140" s="18" t="s">
        <v>1266</v>
      </c>
      <c r="N140" s="25"/>
    </row>
    <row r="141" spans="1:14" x14ac:dyDescent="0.2">
      <c r="A141" s="15">
        <v>723</v>
      </c>
      <c r="B141" s="15" t="b">
        <v>1</v>
      </c>
      <c r="C141" s="15" t="s">
        <v>16</v>
      </c>
      <c r="D141" t="str">
        <f>IF(F141&lt;&gt;"",VLOOKUP(F141,PHA4GEVars!$A$7:$B$241,2,FALSE),"")</f>
        <v>Sequence information</v>
      </c>
      <c r="E141" s="15" t="s">
        <v>1754</v>
      </c>
      <c r="F141" s="15" t="s">
        <v>1795</v>
      </c>
      <c r="G141" s="15" t="s">
        <v>335</v>
      </c>
      <c r="H141" s="15" t="s">
        <v>957</v>
      </c>
      <c r="I141" t="s">
        <v>1958</v>
      </c>
      <c r="J141" s="15" t="s">
        <v>1278</v>
      </c>
      <c r="K141" s="15"/>
      <c r="L141" s="15"/>
      <c r="M141" s="18" t="s">
        <v>1266</v>
      </c>
      <c r="N141" s="25"/>
    </row>
    <row r="142" spans="1:14" x14ac:dyDescent="0.2">
      <c r="A142" s="15">
        <v>724</v>
      </c>
      <c r="B142" s="15" t="b">
        <v>1</v>
      </c>
      <c r="C142" s="15" t="s">
        <v>16</v>
      </c>
      <c r="D142" t="str">
        <f>IF(F142&lt;&gt;"",VLOOKUP(F142,PHA4GEVars!$A$7:$B$241,2,FALSE),"")</f>
        <v>Sequence information</v>
      </c>
      <c r="E142" s="15" t="s">
        <v>1754</v>
      </c>
      <c r="F142" s="15" t="s">
        <v>1795</v>
      </c>
      <c r="G142" s="15" t="s">
        <v>336</v>
      </c>
      <c r="H142" s="15" t="s">
        <v>957</v>
      </c>
      <c r="I142" t="s">
        <v>1958</v>
      </c>
      <c r="J142" s="15" t="s">
        <v>1279</v>
      </c>
      <c r="K142" s="15"/>
      <c r="L142" s="15"/>
      <c r="M142" s="18" t="s">
        <v>1266</v>
      </c>
      <c r="N142" s="25"/>
    </row>
    <row r="143" spans="1:14" x14ac:dyDescent="0.2">
      <c r="A143" s="15">
        <v>725</v>
      </c>
      <c r="B143" s="15" t="b">
        <v>1</v>
      </c>
      <c r="C143" s="15" t="s">
        <v>16</v>
      </c>
      <c r="D143" t="str">
        <f>IF(F143&lt;&gt;"",VLOOKUP(F143,PHA4GEVars!$A$7:$B$241,2,FALSE),"")</f>
        <v>Sequence information</v>
      </c>
      <c r="E143" s="15" t="s">
        <v>1754</v>
      </c>
      <c r="F143" s="15" t="s">
        <v>1795</v>
      </c>
      <c r="G143" s="15" t="s">
        <v>337</v>
      </c>
      <c r="H143" s="15" t="s">
        <v>957</v>
      </c>
      <c r="I143" t="s">
        <v>1958</v>
      </c>
      <c r="J143" s="15" t="s">
        <v>1280</v>
      </c>
      <c r="K143" s="15"/>
      <c r="L143" s="15"/>
      <c r="M143" s="18" t="s">
        <v>1266</v>
      </c>
      <c r="N143" s="25"/>
    </row>
    <row r="144" spans="1:14" x14ac:dyDescent="0.2">
      <c r="A144" s="15">
        <v>726</v>
      </c>
      <c r="B144" s="15" t="b">
        <v>1</v>
      </c>
      <c r="C144" s="15" t="s">
        <v>16</v>
      </c>
      <c r="D144" t="str">
        <f>IF(F144&lt;&gt;"",VLOOKUP(F144,PHA4GEVars!$A$7:$B$241,2,FALSE),"")</f>
        <v>Sequence information</v>
      </c>
      <c r="E144" s="15" t="s">
        <v>1754</v>
      </c>
      <c r="F144" s="15" t="s">
        <v>1795</v>
      </c>
      <c r="G144" s="15" t="s">
        <v>338</v>
      </c>
      <c r="H144" s="15" t="s">
        <v>957</v>
      </c>
      <c r="I144" t="s">
        <v>1958</v>
      </c>
      <c r="J144" s="15" t="s">
        <v>1281</v>
      </c>
      <c r="K144" s="15"/>
      <c r="L144" s="15"/>
      <c r="M144" s="18" t="s">
        <v>1266</v>
      </c>
      <c r="N144" s="25"/>
    </row>
    <row r="145" spans="1:14" x14ac:dyDescent="0.2">
      <c r="A145" s="15">
        <v>727</v>
      </c>
      <c r="B145" s="15" t="b">
        <v>1</v>
      </c>
      <c r="C145" s="15" t="s">
        <v>16</v>
      </c>
      <c r="D145" t="str">
        <f>IF(F145&lt;&gt;"",VLOOKUP(F145,PHA4GEVars!$A$7:$B$241,2,FALSE),"")</f>
        <v>Sequence information</v>
      </c>
      <c r="E145" s="15" t="s">
        <v>1754</v>
      </c>
      <c r="F145" s="15" t="s">
        <v>1795</v>
      </c>
      <c r="G145" s="15" t="s">
        <v>170</v>
      </c>
      <c r="H145" s="15" t="s">
        <v>957</v>
      </c>
      <c r="I145" t="s">
        <v>1958</v>
      </c>
      <c r="J145" s="15" t="s">
        <v>1273</v>
      </c>
      <c r="K145" s="15"/>
      <c r="L145" s="15"/>
      <c r="M145" s="18" t="s">
        <v>1266</v>
      </c>
      <c r="N145" s="25"/>
    </row>
    <row r="146" spans="1:14" x14ac:dyDescent="0.2">
      <c r="A146" s="15">
        <v>728</v>
      </c>
      <c r="B146" s="15" t="b">
        <v>1</v>
      </c>
      <c r="C146" s="15" t="s">
        <v>16</v>
      </c>
      <c r="D146" t="str">
        <f>IF(F146&lt;&gt;"",VLOOKUP(F146,PHA4GEVars!$A$7:$B$241,2,FALSE),"")</f>
        <v>Sequence information</v>
      </c>
      <c r="E146" s="15" t="s">
        <v>1754</v>
      </c>
      <c r="F146" s="15" t="s">
        <v>1795</v>
      </c>
      <c r="G146" s="15" t="s">
        <v>339</v>
      </c>
      <c r="H146" s="15" t="s">
        <v>957</v>
      </c>
      <c r="I146" t="s">
        <v>1958</v>
      </c>
      <c r="J146" s="15" t="s">
        <v>1282</v>
      </c>
      <c r="K146" s="15"/>
      <c r="L146" s="15"/>
      <c r="M146" s="18" t="s">
        <v>1266</v>
      </c>
      <c r="N146" s="25"/>
    </row>
    <row r="147" spans="1:14" x14ac:dyDescent="0.2">
      <c r="A147" s="15">
        <v>729</v>
      </c>
      <c r="B147" s="15" t="b">
        <v>1</v>
      </c>
      <c r="C147" s="15" t="s">
        <v>16</v>
      </c>
      <c r="D147" t="str">
        <f>IF(F147&lt;&gt;"",VLOOKUP(F147,PHA4GEVars!$A$7:$B$241,2,FALSE),"")</f>
        <v>Sequence information</v>
      </c>
      <c r="E147" s="15" t="s">
        <v>1754</v>
      </c>
      <c r="F147" s="15" t="s">
        <v>1795</v>
      </c>
      <c r="G147" s="15" t="s">
        <v>340</v>
      </c>
      <c r="H147" s="15" t="s">
        <v>957</v>
      </c>
      <c r="I147" t="s">
        <v>1958</v>
      </c>
      <c r="J147" s="15" t="s">
        <v>1269</v>
      </c>
      <c r="K147" s="15"/>
      <c r="L147" s="15"/>
      <c r="M147" s="18" t="s">
        <v>1266</v>
      </c>
      <c r="N147" s="25"/>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20"/>
  <sheetViews>
    <sheetView topLeftCell="H1" workbookViewId="0">
      <pane ySplit="1" topLeftCell="A2" activePane="bottomLeft" state="frozen"/>
      <selection pane="bottomLeft" activeCell="N19" sqref="N19"/>
    </sheetView>
  </sheetViews>
  <sheetFormatPr baseColWidth="10" defaultRowHeight="16" x14ac:dyDescent="0.2"/>
  <cols>
    <col min="1" max="1" width="9.33203125" customWidth="1"/>
    <col min="2" max="2" width="15" customWidth="1"/>
    <col min="3" max="4" width="10.5"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1386</v>
      </c>
      <c r="B1" s="16" t="s">
        <v>1669</v>
      </c>
      <c r="C1" s="16" t="s">
        <v>0</v>
      </c>
      <c r="D1" s="16" t="s">
        <v>1856</v>
      </c>
      <c r="E1" s="16" t="s">
        <v>10</v>
      </c>
      <c r="F1" s="16" t="s">
        <v>1765</v>
      </c>
      <c r="G1" s="16" t="s">
        <v>1</v>
      </c>
      <c r="H1" s="16" t="s">
        <v>2</v>
      </c>
      <c r="I1" s="16" t="s">
        <v>3</v>
      </c>
      <c r="J1" s="16" t="s">
        <v>4</v>
      </c>
      <c r="K1" s="16" t="s">
        <v>1688</v>
      </c>
      <c r="L1" s="16" t="s">
        <v>5</v>
      </c>
      <c r="M1" s="16" t="s">
        <v>6</v>
      </c>
      <c r="N1" s="16" t="s">
        <v>1726</v>
      </c>
      <c r="O1" s="16" t="s">
        <v>1676</v>
      </c>
      <c r="P1" s="16" t="s">
        <v>8</v>
      </c>
      <c r="Q1" s="16" t="s">
        <v>9</v>
      </c>
      <c r="R1" s="16" t="s">
        <v>1668</v>
      </c>
    </row>
    <row r="2" spans="1:18" s="17" customFormat="1" x14ac:dyDescent="0.2">
      <c r="A2" s="16">
        <v>1</v>
      </c>
      <c r="B2" s="16" t="b">
        <v>1</v>
      </c>
      <c r="C2" s="16" t="b">
        <v>1</v>
      </c>
      <c r="D2" s="16" t="s">
        <v>1855</v>
      </c>
      <c r="E2" s="16" t="s">
        <v>1111</v>
      </c>
      <c r="F2" s="17" t="str">
        <f>IF(H2&lt;&gt;"",VLOOKUP(H2,PHA4GEVars!$A$7:$B$241,2,FALSE),"")</f>
        <v>AMR detection information</v>
      </c>
      <c r="G2" s="16" t="s">
        <v>1754</v>
      </c>
      <c r="H2" s="16" t="s">
        <v>1116</v>
      </c>
      <c r="I2" s="16" t="s">
        <v>441</v>
      </c>
      <c r="J2" s="16" t="s">
        <v>957</v>
      </c>
      <c r="K2" s="16"/>
      <c r="L2" s="16" t="s">
        <v>9</v>
      </c>
      <c r="M2" s="16" t="s">
        <v>1618</v>
      </c>
      <c r="N2" s="16"/>
      <c r="O2" s="16"/>
      <c r="P2" s="16"/>
      <c r="Q2" s="22" t="s">
        <v>1619</v>
      </c>
      <c r="R2" s="21" t="s">
        <v>1910</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26</v>
      </c>
      <c r="B4" s="16" t="b">
        <v>1</v>
      </c>
      <c r="C4" s="16" t="b">
        <v>1</v>
      </c>
      <c r="D4" s="16"/>
      <c r="E4" s="16" t="s">
        <v>11</v>
      </c>
      <c r="F4" s="17" t="str">
        <f>IF(H4&lt;&gt;"",VLOOKUP(H4,PHA4GEVars!$A$7:$B$241,2,FALSE),"")</f>
        <v>Bioinformatics and QC metrics</v>
      </c>
      <c r="G4" s="16" t="s">
        <v>1754</v>
      </c>
      <c r="H4" s="16" t="s">
        <v>105</v>
      </c>
      <c r="I4" s="10" t="s">
        <v>1984</v>
      </c>
      <c r="J4" s="16" t="s">
        <v>957</v>
      </c>
      <c r="K4" s="16"/>
      <c r="L4" s="16" t="s">
        <v>1260</v>
      </c>
      <c r="M4" s="16" t="b">
        <v>1</v>
      </c>
      <c r="N4" s="16"/>
      <c r="O4" s="16"/>
      <c r="P4" s="16"/>
      <c r="Q4" s="22"/>
      <c r="R4" s="16" t="s">
        <v>1909</v>
      </c>
    </row>
    <row r="5" spans="1:18" s="17" customFormat="1" x14ac:dyDescent="0.2">
      <c r="A5" s="16">
        <v>27</v>
      </c>
      <c r="B5" s="16" t="b">
        <v>1</v>
      </c>
      <c r="C5" s="16" t="b">
        <v>1</v>
      </c>
      <c r="D5" s="16"/>
      <c r="E5" s="16" t="s">
        <v>11</v>
      </c>
      <c r="F5" s="17" t="str">
        <f>IF(H5&lt;&gt;"",VLOOKUP(H5,PHA4GEVars!$A$7:$B$241,2,FALSE),"")</f>
        <v>Bioinformatics and QC metrics</v>
      </c>
      <c r="G5" s="16" t="s">
        <v>1754</v>
      </c>
      <c r="H5" s="16" t="s">
        <v>105</v>
      </c>
      <c r="I5" s="16" t="s">
        <v>1985</v>
      </c>
      <c r="J5" s="16" t="s">
        <v>957</v>
      </c>
      <c r="K5" s="16"/>
      <c r="L5" s="16" t="s">
        <v>1260</v>
      </c>
      <c r="M5" s="16" t="b">
        <v>1</v>
      </c>
      <c r="N5" s="16"/>
      <c r="O5" s="16"/>
      <c r="P5" s="16"/>
      <c r="Q5" s="22" t="s">
        <v>1261</v>
      </c>
    </row>
    <row r="6" spans="1:18" s="17" customFormat="1" x14ac:dyDescent="0.2">
      <c r="A6" s="16">
        <v>28</v>
      </c>
      <c r="B6" s="16" t="b">
        <v>1</v>
      </c>
      <c r="C6" s="16" t="b">
        <v>1</v>
      </c>
      <c r="D6" s="16"/>
      <c r="E6" s="16" t="s">
        <v>11</v>
      </c>
      <c r="F6" s="17" t="str">
        <f>IF(H6&lt;&gt;"",VLOOKUP(H6,PHA4GEVars!$A$7:$B$241,2,FALSE),"")</f>
        <v>Bioinformatics and QC metrics</v>
      </c>
      <c r="G6" s="16" t="s">
        <v>1754</v>
      </c>
      <c r="H6" s="16" t="s">
        <v>105</v>
      </c>
      <c r="I6" s="16" t="s">
        <v>1986</v>
      </c>
      <c r="J6" s="16" t="s">
        <v>957</v>
      </c>
      <c r="K6" s="16"/>
      <c r="L6" s="16" t="s">
        <v>1260</v>
      </c>
      <c r="M6" s="16" t="b">
        <v>0</v>
      </c>
      <c r="N6" s="16"/>
      <c r="O6" s="16"/>
      <c r="P6" s="16"/>
      <c r="Q6" s="22" t="s">
        <v>1261</v>
      </c>
      <c r="R6" s="16"/>
    </row>
    <row r="7" spans="1:18" s="17" customFormat="1" x14ac:dyDescent="0.2">
      <c r="A7" s="16">
        <v>29</v>
      </c>
      <c r="B7" s="16" t="b">
        <v>1</v>
      </c>
      <c r="C7" s="16" t="b">
        <v>1</v>
      </c>
      <c r="D7" s="16"/>
      <c r="E7" s="16" t="s">
        <v>11</v>
      </c>
      <c r="F7" s="17" t="str">
        <f>IF(H7&lt;&gt;"",VLOOKUP(H7,PHA4GEVars!$A$7:$B$241,2,FALSE),"")</f>
        <v>Bioinformatics and QC metrics</v>
      </c>
      <c r="G7" s="16" t="s">
        <v>1754</v>
      </c>
      <c r="H7" s="16" t="s">
        <v>105</v>
      </c>
      <c r="I7" s="16" t="s">
        <v>1987</v>
      </c>
      <c r="J7" s="16" t="s">
        <v>957</v>
      </c>
      <c r="K7" s="16"/>
      <c r="L7" s="16" t="s">
        <v>1260</v>
      </c>
      <c r="M7" s="16" t="b">
        <v>1</v>
      </c>
      <c r="N7" s="16"/>
      <c r="O7" s="16"/>
      <c r="P7" s="16"/>
      <c r="Q7" s="22" t="s">
        <v>1262</v>
      </c>
      <c r="R7" s="16"/>
    </row>
    <row r="8" spans="1:18" s="17" customFormat="1" x14ac:dyDescent="0.2">
      <c r="A8" s="16">
        <v>30</v>
      </c>
      <c r="B8" s="16" t="b">
        <v>1</v>
      </c>
      <c r="C8" s="16" t="b">
        <v>1</v>
      </c>
      <c r="D8" s="16"/>
      <c r="E8" s="16" t="s">
        <v>11</v>
      </c>
      <c r="F8" s="17" t="str">
        <f>IF(H8&lt;&gt;"",VLOOKUP(H8,PHA4GEVars!$A$7:$B$241,2,FALSE),"")</f>
        <v>Bioinformatics and QC metrics</v>
      </c>
      <c r="G8" s="16" t="s">
        <v>1754</v>
      </c>
      <c r="H8" s="16" t="s">
        <v>105</v>
      </c>
      <c r="I8" s="16" t="s">
        <v>1988</v>
      </c>
      <c r="J8" s="16" t="s">
        <v>957</v>
      </c>
      <c r="K8" s="16"/>
      <c r="L8" s="16" t="s">
        <v>1260</v>
      </c>
      <c r="M8" s="16" t="b">
        <v>1</v>
      </c>
      <c r="N8" s="16"/>
      <c r="O8" s="16"/>
      <c r="P8" s="16"/>
      <c r="Q8" s="22" t="s">
        <v>1262</v>
      </c>
      <c r="R8" s="16"/>
    </row>
    <row r="9" spans="1:18" s="17" customFormat="1" x14ac:dyDescent="0.2">
      <c r="A9" s="16">
        <v>31</v>
      </c>
      <c r="B9" s="16" t="b">
        <v>1</v>
      </c>
      <c r="C9" s="16" t="b">
        <v>1</v>
      </c>
      <c r="D9" s="16"/>
      <c r="E9" s="16" t="s">
        <v>11</v>
      </c>
      <c r="F9" s="17" t="str">
        <f>IF(H9&lt;&gt;"",VLOOKUP(H9,PHA4GEVars!$A$7:$B$241,2,FALSE),"")</f>
        <v>Bioinformatics and QC metrics</v>
      </c>
      <c r="G9" s="16" t="s">
        <v>1754</v>
      </c>
      <c r="H9" s="16" t="s">
        <v>105</v>
      </c>
      <c r="I9" s="16" t="s">
        <v>1989</v>
      </c>
      <c r="J9" s="16" t="s">
        <v>957</v>
      </c>
      <c r="K9" s="16"/>
      <c r="L9" s="16" t="s">
        <v>1260</v>
      </c>
      <c r="M9" s="16" t="s">
        <v>1054</v>
      </c>
      <c r="N9" s="16"/>
      <c r="O9" s="16"/>
      <c r="P9" s="16"/>
      <c r="Q9" s="22" t="s">
        <v>1261</v>
      </c>
      <c r="R9" s="16"/>
    </row>
    <row r="10" spans="1:18" s="17" customFormat="1" x14ac:dyDescent="0.2">
      <c r="A10" s="16"/>
      <c r="B10" s="16"/>
      <c r="C10" s="16"/>
      <c r="D10" s="16"/>
      <c r="E10" s="16"/>
      <c r="F10" s="17" t="str">
        <f>IF(H10&lt;&gt;"",VLOOKUP(H10,PHA4GEVars!$A$7:$B$241,2,FALSE),"")</f>
        <v/>
      </c>
      <c r="G10" s="16"/>
      <c r="H10" s="16"/>
      <c r="I10" s="16"/>
      <c r="J10" s="16"/>
      <c r="K10" s="16"/>
      <c r="L10" s="16"/>
      <c r="M10" s="16"/>
      <c r="N10" s="16"/>
      <c r="O10" s="16"/>
      <c r="P10" s="16"/>
      <c r="Q10" s="22"/>
      <c r="R10" s="16"/>
    </row>
    <row r="11" spans="1:18" s="17" customFormat="1" x14ac:dyDescent="0.2">
      <c r="A11" s="16">
        <v>848</v>
      </c>
      <c r="B11" s="16" t="b">
        <v>1</v>
      </c>
      <c r="C11" s="16" t="b">
        <v>1</v>
      </c>
      <c r="D11" s="16" t="s">
        <v>1920</v>
      </c>
      <c r="E11" s="16" t="s">
        <v>1108</v>
      </c>
      <c r="F11" s="17" t="str">
        <f>IF(H11&lt;&gt;"",VLOOKUP(H11,PHA4GEVars!$A$7:$B$241,2,FALSE),"")</f>
        <v>Taxonomic identification information</v>
      </c>
      <c r="G11" s="16" t="s">
        <v>1754</v>
      </c>
      <c r="H11" s="16" t="s">
        <v>1109</v>
      </c>
      <c r="I11" s="16" t="s">
        <v>441</v>
      </c>
      <c r="J11" s="16" t="s">
        <v>957</v>
      </c>
      <c r="K11" s="16"/>
      <c r="L11" s="16" t="s">
        <v>9</v>
      </c>
      <c r="M11" s="16" t="s">
        <v>1620</v>
      </c>
      <c r="N11" s="16"/>
      <c r="O11" s="16"/>
      <c r="P11" s="16"/>
      <c r="Q11" s="22" t="s">
        <v>1621</v>
      </c>
      <c r="R11" s="16" t="s">
        <v>1914</v>
      </c>
    </row>
    <row r="12" spans="1:18" s="17" customFormat="1" x14ac:dyDescent="0.2">
      <c r="F12" s="17" t="str">
        <f>IF(H12&lt;&gt;"",VLOOKUP(H12,PHA4GEVars!$A$7:$B$241,2,FALSE),"")</f>
        <v/>
      </c>
    </row>
    <row r="13" spans="1:18" s="17" customFormat="1" x14ac:dyDescent="0.2">
      <c r="B13" s="17" t="b">
        <v>1</v>
      </c>
      <c r="C13" s="17" t="b">
        <v>1</v>
      </c>
      <c r="F13" s="17" t="str">
        <f>IF(H13&lt;&gt;"",VLOOKUP(H13,PHA4GEVars!$A$7:$B$241,2,FALSE),"")</f>
        <v>Database identifiers</v>
      </c>
      <c r="G13" s="16" t="s">
        <v>1754</v>
      </c>
      <c r="H13" s="17" t="s">
        <v>142</v>
      </c>
      <c r="J13" s="16" t="s">
        <v>957</v>
      </c>
      <c r="L13" s="16" t="s">
        <v>1184</v>
      </c>
      <c r="M13" s="16" t="s">
        <v>1185</v>
      </c>
      <c r="N13" s="16"/>
    </row>
    <row r="15" spans="1:18" s="17" customFormat="1" x14ac:dyDescent="0.2">
      <c r="A15" s="16">
        <v>648</v>
      </c>
      <c r="B15" s="16" t="b">
        <v>1</v>
      </c>
      <c r="C15" s="16" t="b">
        <v>1</v>
      </c>
      <c r="D15" s="16"/>
      <c r="E15" s="16" t="s">
        <v>108</v>
      </c>
      <c r="F15" s="17" t="str">
        <f>IF(H15&lt;&gt;"",VLOOKUP(H15,PHA4GEVars!$A$7:$B$241,2,FALSE),"")</f>
        <v>Sample collection and processing</v>
      </c>
      <c r="G15" s="16" t="s">
        <v>1754</v>
      </c>
      <c r="H15" s="16" t="s">
        <v>111</v>
      </c>
      <c r="I15" s="34" t="s">
        <v>441</v>
      </c>
      <c r="J15" s="16" t="s">
        <v>957</v>
      </c>
      <c r="K15" s="16"/>
      <c r="L15" s="16" t="s">
        <v>1915</v>
      </c>
      <c r="M15" s="16" t="s">
        <v>1294</v>
      </c>
      <c r="N15" s="16"/>
      <c r="O15" s="16"/>
      <c r="P15" s="16"/>
      <c r="Q15" s="26" t="s">
        <v>1561</v>
      </c>
      <c r="R15" s="16" t="s">
        <v>1916</v>
      </c>
    </row>
    <row r="16" spans="1:18" s="17" customFormat="1" x14ac:dyDescent="0.2">
      <c r="A16" s="16">
        <v>741</v>
      </c>
      <c r="B16" s="16" t="b">
        <v>1</v>
      </c>
      <c r="C16" s="16" t="b">
        <v>1</v>
      </c>
      <c r="D16" s="16"/>
      <c r="E16" s="16" t="s">
        <v>16</v>
      </c>
      <c r="F16" s="17" t="str">
        <f>IF(H16&lt;&gt;"",VLOOKUP(H16,PHA4GEVars!$A$7:$B$241,2,FALSE),"")</f>
        <v>Sequence information</v>
      </c>
      <c r="G16" s="16" t="s">
        <v>1754</v>
      </c>
      <c r="H16" s="16" t="s">
        <v>21</v>
      </c>
      <c r="I16" s="16" t="s">
        <v>441</v>
      </c>
      <c r="J16" s="16" t="s">
        <v>957</v>
      </c>
      <c r="K16" s="16"/>
      <c r="L16" s="16" t="s">
        <v>1455</v>
      </c>
      <c r="M16" s="16" t="s">
        <v>1456</v>
      </c>
      <c r="N16" s="16"/>
      <c r="O16" s="16"/>
      <c r="P16" s="16"/>
      <c r="Q16" s="22" t="s">
        <v>1458</v>
      </c>
      <c r="R16" s="21" t="s">
        <v>1917</v>
      </c>
    </row>
    <row r="18" spans="2:14" x14ac:dyDescent="0.2">
      <c r="B18" t="b">
        <v>1</v>
      </c>
      <c r="C18" t="b">
        <v>1</v>
      </c>
      <c r="G18" s="16" t="s">
        <v>1754</v>
      </c>
      <c r="J18" t="s">
        <v>957</v>
      </c>
      <c r="L18" s="17" t="s">
        <v>1964</v>
      </c>
      <c r="M18" s="16"/>
      <c r="N18" t="s">
        <v>1859</v>
      </c>
    </row>
    <row r="19" spans="2:14" x14ac:dyDescent="0.2">
      <c r="B19" t="b">
        <v>1</v>
      </c>
      <c r="C19" t="b">
        <v>1</v>
      </c>
      <c r="G19" s="16" t="s">
        <v>1754</v>
      </c>
      <c r="J19" t="s">
        <v>957</v>
      </c>
      <c r="L19" s="16" t="s">
        <v>1963</v>
      </c>
      <c r="N19" t="s">
        <v>1860</v>
      </c>
    </row>
    <row r="20" spans="2:14" x14ac:dyDescent="0.2">
      <c r="B20" t="b">
        <v>1</v>
      </c>
      <c r="C20" t="b">
        <v>1</v>
      </c>
      <c r="G20" s="16" t="s">
        <v>1754</v>
      </c>
      <c r="J20" t="s">
        <v>957</v>
      </c>
      <c r="L20" s="16" t="s">
        <v>1976</v>
      </c>
      <c r="N20" t="s">
        <v>1977</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Y139"/>
  <sheetViews>
    <sheetView topLeftCell="F1" zoomScale="111" workbookViewId="0">
      <pane ySplit="1" topLeftCell="A90" activePane="bottomLeft" state="frozen"/>
      <selection pane="bottomLeft" activeCell="F93" sqref="F93"/>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1669</v>
      </c>
      <c r="B1" s="17" t="s">
        <v>0</v>
      </c>
      <c r="C1" s="17" t="s">
        <v>1765</v>
      </c>
      <c r="D1" s="16" t="s">
        <v>1</v>
      </c>
      <c r="E1" s="16" t="s">
        <v>2</v>
      </c>
      <c r="F1" s="16" t="s">
        <v>2012</v>
      </c>
      <c r="G1" s="17" t="s">
        <v>1736</v>
      </c>
      <c r="H1" s="16" t="s">
        <v>3</v>
      </c>
      <c r="I1" s="16" t="s">
        <v>4</v>
      </c>
      <c r="J1" s="17" t="s">
        <v>6</v>
      </c>
      <c r="K1" s="17" t="s">
        <v>1016</v>
      </c>
      <c r="L1" s="17" t="s">
        <v>2005</v>
      </c>
      <c r="M1" s="17" t="s">
        <v>1974</v>
      </c>
      <c r="N1" s="17" t="s">
        <v>1969</v>
      </c>
      <c r="O1" s="17" t="s">
        <v>1800</v>
      </c>
      <c r="P1" s="16" t="s">
        <v>1653</v>
      </c>
      <c r="Q1" s="16" t="s">
        <v>1652</v>
      </c>
      <c r="R1" s="16" t="s">
        <v>1911</v>
      </c>
      <c r="S1" s="17" t="s">
        <v>1737</v>
      </c>
      <c r="T1" s="16" t="s">
        <v>1959</v>
      </c>
      <c r="U1" s="16" t="s">
        <v>1649</v>
      </c>
      <c r="V1" s="16" t="s">
        <v>1650</v>
      </c>
      <c r="W1" s="16" t="s">
        <v>1651</v>
      </c>
      <c r="X1" s="16" t="s">
        <v>9</v>
      </c>
      <c r="Y1" s="16" t="s">
        <v>1678</v>
      </c>
    </row>
    <row r="2" spans="1:25" x14ac:dyDescent="0.2">
      <c r="A2" t="b">
        <v>1</v>
      </c>
      <c r="B2" t="b">
        <v>1</v>
      </c>
      <c r="C2" t="str">
        <f>IF(E2&lt;&gt;"",VLOOKUP(E2,PHA4GEVars!$A$7:$B$241,2,FALSE),"")</f>
        <v>Environmental conditions and measurements</v>
      </c>
      <c r="D2" t="s">
        <v>1754</v>
      </c>
      <c r="E2" t="s">
        <v>64</v>
      </c>
      <c r="F2" t="s">
        <v>25</v>
      </c>
      <c r="G2" t="s">
        <v>959</v>
      </c>
      <c r="I2" t="s">
        <v>957</v>
      </c>
      <c r="M2" t="s">
        <v>127</v>
      </c>
      <c r="N2" t="s">
        <v>127</v>
      </c>
      <c r="P2" t="s">
        <v>1026</v>
      </c>
      <c r="Q2" t="s">
        <v>1028</v>
      </c>
      <c r="U2" t="s">
        <v>1018</v>
      </c>
      <c r="V2" t="s">
        <v>1022</v>
      </c>
      <c r="W2" t="s">
        <v>1033</v>
      </c>
      <c r="X2" t="s">
        <v>1034</v>
      </c>
    </row>
    <row r="3" spans="1:25" x14ac:dyDescent="0.2">
      <c r="A3" t="b">
        <v>1</v>
      </c>
      <c r="B3" t="b">
        <v>1</v>
      </c>
      <c r="C3" t="str">
        <f>IF(E3&lt;&gt;"",VLOOKUP(E3,PHA4GEVars!$A$7:$B$241,2,FALSE),"")</f>
        <v>Environmental conditions and measurements</v>
      </c>
      <c r="D3" t="s">
        <v>1754</v>
      </c>
      <c r="E3" t="s">
        <v>76</v>
      </c>
      <c r="F3" t="s">
        <v>29</v>
      </c>
      <c r="G3" t="s">
        <v>961</v>
      </c>
      <c r="I3" t="s">
        <v>957</v>
      </c>
      <c r="M3" t="s">
        <v>127</v>
      </c>
      <c r="N3" t="s">
        <v>127</v>
      </c>
      <c r="P3" t="s">
        <v>1026</v>
      </c>
      <c r="Q3" t="s">
        <v>1029</v>
      </c>
      <c r="U3" t="s">
        <v>1019</v>
      </c>
      <c r="V3" t="s">
        <v>1023</v>
      </c>
      <c r="W3" t="s">
        <v>1033</v>
      </c>
      <c r="X3" t="s">
        <v>1034</v>
      </c>
    </row>
    <row r="4" spans="1:25" x14ac:dyDescent="0.2">
      <c r="A4" t="b">
        <v>1</v>
      </c>
      <c r="B4" t="b">
        <v>1</v>
      </c>
      <c r="C4" t="str">
        <f>IF(E4&lt;&gt;"",VLOOKUP(E4,PHA4GEVars!$A$7:$B$241,2,FALSE),"")</f>
        <v>Environmental conditions and measurements</v>
      </c>
      <c r="D4" t="s">
        <v>1754</v>
      </c>
      <c r="E4" t="s">
        <v>81</v>
      </c>
      <c r="F4" t="s">
        <v>30</v>
      </c>
      <c r="G4" t="s">
        <v>962</v>
      </c>
      <c r="I4" t="s">
        <v>957</v>
      </c>
      <c r="M4" t="s">
        <v>127</v>
      </c>
      <c r="N4" t="s">
        <v>127</v>
      </c>
      <c r="P4" t="s">
        <v>1027</v>
      </c>
      <c r="Q4" t="s">
        <v>1030</v>
      </c>
      <c r="U4" t="s">
        <v>1020</v>
      </c>
      <c r="V4" t="s">
        <v>1024</v>
      </c>
      <c r="W4" t="s">
        <v>1033</v>
      </c>
      <c r="X4" t="s">
        <v>1034</v>
      </c>
    </row>
    <row r="5" spans="1:25" x14ac:dyDescent="0.2">
      <c r="A5" t="b">
        <v>1</v>
      </c>
      <c r="B5" t="b">
        <v>1</v>
      </c>
      <c r="C5" t="str">
        <f>IF(E5&lt;&gt;"",VLOOKUP(E5,PHA4GEVars!$A$7:$B$241,2,FALSE),"")</f>
        <v>Environmental conditions and measurements</v>
      </c>
      <c r="D5" t="s">
        <v>1754</v>
      </c>
      <c r="E5" t="s">
        <v>98</v>
      </c>
      <c r="F5" t="s">
        <v>2048</v>
      </c>
      <c r="G5" t="s">
        <v>2049</v>
      </c>
      <c r="I5" t="s">
        <v>957</v>
      </c>
      <c r="M5" t="s">
        <v>127</v>
      </c>
      <c r="N5" t="s">
        <v>127</v>
      </c>
      <c r="P5" t="s">
        <v>1026</v>
      </c>
      <c r="Q5" t="s">
        <v>1031</v>
      </c>
      <c r="U5" t="s">
        <v>1021</v>
      </c>
      <c r="V5" t="s">
        <v>1025</v>
      </c>
      <c r="W5" t="s">
        <v>1033</v>
      </c>
      <c r="X5" t="s">
        <v>1034</v>
      </c>
    </row>
    <row r="6" spans="1:25" x14ac:dyDescent="0.2">
      <c r="C6" t="str">
        <f>IF(E6&lt;&gt;"",VLOOKUP(E6,PHA4GEVars!$A$7:$B$241,2,FALSE),"")</f>
        <v/>
      </c>
    </row>
    <row r="7" spans="1:25" x14ac:dyDescent="0.2">
      <c r="A7" t="b">
        <v>1</v>
      </c>
      <c r="B7" t="b">
        <v>1</v>
      </c>
      <c r="C7" t="str">
        <f>IF(E7&lt;&gt;"",VLOOKUP(E7,PHA4GEVars!$A$7:$B$241,2,FALSE),"")</f>
        <v>Environmental conditions and measurements</v>
      </c>
      <c r="D7" t="s">
        <v>1754</v>
      </c>
      <c r="E7" t="s">
        <v>101</v>
      </c>
      <c r="H7" t="s">
        <v>1850</v>
      </c>
      <c r="I7" t="s">
        <v>957</v>
      </c>
      <c r="J7" t="s">
        <v>270</v>
      </c>
      <c r="M7" t="s">
        <v>127</v>
      </c>
      <c r="N7" t="s">
        <v>127</v>
      </c>
      <c r="P7" t="s">
        <v>1026</v>
      </c>
      <c r="Q7" t="s">
        <v>1036</v>
      </c>
      <c r="U7" t="s">
        <v>1655</v>
      </c>
      <c r="V7" t="s">
        <v>1037</v>
      </c>
      <c r="W7" t="s">
        <v>1032</v>
      </c>
    </row>
    <row r="8" spans="1:25" x14ac:dyDescent="0.2">
      <c r="A8" t="b">
        <v>1</v>
      </c>
      <c r="B8" t="b">
        <v>1</v>
      </c>
      <c r="C8" t="str">
        <f>IF(E8&lt;&gt;"",VLOOKUP(E8,PHA4GEVars!$A$7:$B$241,2,FALSE),"")</f>
        <v>Environmental conditions and measurements</v>
      </c>
      <c r="D8" t="s">
        <v>1754</v>
      </c>
      <c r="E8" t="s">
        <v>101</v>
      </c>
      <c r="H8" t="s">
        <v>1851</v>
      </c>
      <c r="I8" t="s">
        <v>957</v>
      </c>
      <c r="J8" t="s">
        <v>271</v>
      </c>
      <c r="M8" t="s">
        <v>127</v>
      </c>
      <c r="N8" t="s">
        <v>127</v>
      </c>
      <c r="P8" t="s">
        <v>1026</v>
      </c>
      <c r="Q8" t="s">
        <v>1036</v>
      </c>
      <c r="U8" t="s">
        <v>1655</v>
      </c>
      <c r="V8" t="s">
        <v>1037</v>
      </c>
      <c r="W8" t="s">
        <v>1032</v>
      </c>
    </row>
    <row r="9" spans="1:25" x14ac:dyDescent="0.2">
      <c r="A9" t="b">
        <v>1</v>
      </c>
      <c r="B9" t="b">
        <v>1</v>
      </c>
      <c r="C9" t="str">
        <f>IF(E9&lt;&gt;"",VLOOKUP(E9,PHA4GEVars!$A$7:$B$241,2,FALSE),"")</f>
        <v>Environmental conditions and measurements</v>
      </c>
      <c r="D9" t="s">
        <v>1754</v>
      </c>
      <c r="E9" t="s">
        <v>101</v>
      </c>
      <c r="H9" t="s">
        <v>1852</v>
      </c>
      <c r="I9" t="s">
        <v>957</v>
      </c>
      <c r="J9" t="s">
        <v>272</v>
      </c>
      <c r="M9" t="s">
        <v>127</v>
      </c>
      <c r="N9" t="s">
        <v>127</v>
      </c>
      <c r="P9" t="s">
        <v>1026</v>
      </c>
      <c r="Q9" t="s">
        <v>1036</v>
      </c>
      <c r="U9" t="s">
        <v>1655</v>
      </c>
      <c r="V9" t="s">
        <v>1037</v>
      </c>
      <c r="W9" t="s">
        <v>1032</v>
      </c>
    </row>
    <row r="10" spans="1:25" x14ac:dyDescent="0.2">
      <c r="C10" t="str">
        <f>IF(E10&lt;&gt;"",VLOOKUP(E10,PHA4GEVars!$A$7:$B$241,2,FALSE),"")</f>
        <v/>
      </c>
    </row>
    <row r="11" spans="1:25" x14ac:dyDescent="0.2">
      <c r="A11" t="b">
        <v>1</v>
      </c>
      <c r="B11" t="b">
        <v>1</v>
      </c>
      <c r="C11" t="str">
        <f>IF(E11&lt;&gt;"",VLOOKUP(E11,PHA4GEVars!$A$7:$B$241,2,FALSE),"")</f>
        <v>Environmental conditions and measurements</v>
      </c>
      <c r="D11" t="s">
        <v>1754</v>
      </c>
      <c r="E11" t="s">
        <v>110</v>
      </c>
      <c r="F11" t="s">
        <v>34</v>
      </c>
      <c r="G11" t="s">
        <v>965</v>
      </c>
      <c r="I11" t="s">
        <v>957</v>
      </c>
      <c r="M11" t="s">
        <v>127</v>
      </c>
      <c r="N11" t="s">
        <v>127</v>
      </c>
      <c r="P11" t="s">
        <v>1026</v>
      </c>
      <c r="Q11" t="s">
        <v>1038</v>
      </c>
      <c r="U11" t="s">
        <v>1053</v>
      </c>
      <c r="V11" t="s">
        <v>1049</v>
      </c>
      <c r="W11" t="s">
        <v>1033</v>
      </c>
    </row>
    <row r="13" spans="1:25" x14ac:dyDescent="0.2">
      <c r="A13" t="b">
        <v>1</v>
      </c>
      <c r="B13" t="b">
        <v>1</v>
      </c>
      <c r="C13" t="str">
        <f>IF(E13&lt;&gt;"",VLOOKUP(E13,PHA4GEVars!$A$7:$B$241,2,FALSE),"")</f>
        <v>Environmental conditions and measurements</v>
      </c>
      <c r="D13" t="s">
        <v>1754</v>
      </c>
      <c r="E13" t="s">
        <v>118</v>
      </c>
      <c r="F13" t="s">
        <v>2050</v>
      </c>
      <c r="G13" t="s">
        <v>2051</v>
      </c>
      <c r="I13" t="s">
        <v>957</v>
      </c>
      <c r="M13" t="s">
        <v>127</v>
      </c>
      <c r="N13" t="s">
        <v>127</v>
      </c>
      <c r="P13" t="s">
        <v>1026</v>
      </c>
      <c r="Q13" t="s">
        <v>1039</v>
      </c>
      <c r="U13" t="s">
        <v>1052</v>
      </c>
      <c r="V13" t="s">
        <v>1050</v>
      </c>
      <c r="W13" t="s">
        <v>1033</v>
      </c>
    </row>
    <row r="14" spans="1:25" x14ac:dyDescent="0.2">
      <c r="C14" t="str">
        <f>IF(E14&lt;&gt;"",VLOOKUP(E14,PHA4GEVars!$A$7:$B$241,2,FALSE),"")</f>
        <v/>
      </c>
    </row>
    <row r="15" spans="1:25" x14ac:dyDescent="0.2">
      <c r="A15" t="b">
        <v>1</v>
      </c>
      <c r="B15" t="b">
        <v>1</v>
      </c>
      <c r="C15" t="e">
        <f>IF(E15&lt;&gt;"",VLOOKUP(E15,PHA4GEVars!$A$7:$B$241,2,FALSE),"")</f>
        <v>#N/A</v>
      </c>
      <c r="D15" t="s">
        <v>1754</v>
      </c>
      <c r="E15" t="s">
        <v>1825</v>
      </c>
      <c r="F15" t="s">
        <v>1790</v>
      </c>
      <c r="H15" t="s">
        <v>264</v>
      </c>
      <c r="I15" t="s">
        <v>957</v>
      </c>
      <c r="J15" t="s">
        <v>1041</v>
      </c>
      <c r="M15" t="s">
        <v>127</v>
      </c>
      <c r="N15" t="s">
        <v>127</v>
      </c>
      <c r="P15" t="s">
        <v>1026</v>
      </c>
      <c r="Q15" t="s">
        <v>1040</v>
      </c>
      <c r="U15" t="s">
        <v>1826</v>
      </c>
      <c r="V15" t="s">
        <v>1051</v>
      </c>
      <c r="W15" t="s">
        <v>1033</v>
      </c>
      <c r="Y15" t="s">
        <v>1808</v>
      </c>
    </row>
    <row r="16" spans="1:25" x14ac:dyDescent="0.2">
      <c r="A16" t="b">
        <v>1</v>
      </c>
      <c r="B16" t="b">
        <v>1</v>
      </c>
      <c r="C16" t="e">
        <f>IF(E16&lt;&gt;"",VLOOKUP(E16,PHA4GEVars!$A$7:$B$241,2,FALSE),"")</f>
        <v>#N/A</v>
      </c>
      <c r="D16" t="s">
        <v>1754</v>
      </c>
      <c r="E16" t="s">
        <v>1825</v>
      </c>
      <c r="F16" t="s">
        <v>1790</v>
      </c>
      <c r="H16" t="s">
        <v>265</v>
      </c>
      <c r="I16" t="s">
        <v>957</v>
      </c>
      <c r="J16" t="s">
        <v>1042</v>
      </c>
      <c r="M16" t="s">
        <v>127</v>
      </c>
      <c r="N16" t="s">
        <v>127</v>
      </c>
      <c r="P16" t="s">
        <v>1026</v>
      </c>
      <c r="Q16" t="s">
        <v>1040</v>
      </c>
      <c r="U16" t="s">
        <v>1826</v>
      </c>
      <c r="V16" t="s">
        <v>1051</v>
      </c>
      <c r="W16" t="s">
        <v>1033</v>
      </c>
      <c r="Y16" t="s">
        <v>1808</v>
      </c>
    </row>
    <row r="17" spans="1:25" x14ac:dyDescent="0.2">
      <c r="A17" t="b">
        <v>1</v>
      </c>
      <c r="B17" t="b">
        <v>1</v>
      </c>
      <c r="C17" t="e">
        <f>IF(E17&lt;&gt;"",VLOOKUP(E17,PHA4GEVars!$A$7:$B$241,2,FALSE),"")</f>
        <v>#N/A</v>
      </c>
      <c r="D17" t="s">
        <v>1754</v>
      </c>
      <c r="E17" t="s">
        <v>1825</v>
      </c>
      <c r="F17" t="s">
        <v>1790</v>
      </c>
      <c r="H17" t="s">
        <v>266</v>
      </c>
      <c r="I17" t="s">
        <v>957</v>
      </c>
      <c r="J17" t="s">
        <v>1043</v>
      </c>
      <c r="M17" t="s">
        <v>127</v>
      </c>
      <c r="N17" t="s">
        <v>127</v>
      </c>
      <c r="P17" t="s">
        <v>1026</v>
      </c>
      <c r="Q17" t="s">
        <v>1040</v>
      </c>
      <c r="U17" t="s">
        <v>1826</v>
      </c>
      <c r="V17" t="s">
        <v>1051</v>
      </c>
      <c r="W17" t="s">
        <v>1033</v>
      </c>
      <c r="Y17" t="s">
        <v>1808</v>
      </c>
    </row>
    <row r="18" spans="1:25" x14ac:dyDescent="0.2">
      <c r="A18" t="b">
        <v>1</v>
      </c>
      <c r="B18" t="b">
        <v>1</v>
      </c>
      <c r="C18" t="e">
        <f>IF(E18&lt;&gt;"",VLOOKUP(E18,PHA4GEVars!$A$7:$B$241,2,FALSE),"")</f>
        <v>#N/A</v>
      </c>
      <c r="D18" t="s">
        <v>1754</v>
      </c>
      <c r="E18" t="s">
        <v>1825</v>
      </c>
      <c r="F18" t="s">
        <v>1790</v>
      </c>
      <c r="H18" t="s">
        <v>267</v>
      </c>
      <c r="I18" t="s">
        <v>957</v>
      </c>
      <c r="J18" t="s">
        <v>1044</v>
      </c>
      <c r="M18" t="s">
        <v>127</v>
      </c>
      <c r="N18" t="s">
        <v>127</v>
      </c>
      <c r="P18" t="s">
        <v>1026</v>
      </c>
      <c r="Q18" t="s">
        <v>1040</v>
      </c>
      <c r="U18" t="s">
        <v>1826</v>
      </c>
      <c r="V18" t="s">
        <v>1051</v>
      </c>
      <c r="W18" t="s">
        <v>1033</v>
      </c>
      <c r="Y18" t="s">
        <v>1808</v>
      </c>
    </row>
    <row r="19" spans="1:25" x14ac:dyDescent="0.2">
      <c r="A19" t="b">
        <v>1</v>
      </c>
      <c r="B19" t="b">
        <v>1</v>
      </c>
      <c r="C19" t="e">
        <f>IF(E19&lt;&gt;"",VLOOKUP(E19,PHA4GEVars!$A$7:$B$241,2,FALSE),"")</f>
        <v>#N/A</v>
      </c>
      <c r="D19" t="s">
        <v>1754</v>
      </c>
      <c r="E19" t="s">
        <v>1825</v>
      </c>
      <c r="F19" t="s">
        <v>1790</v>
      </c>
      <c r="H19" t="s">
        <v>268</v>
      </c>
      <c r="I19" t="s">
        <v>957</v>
      </c>
      <c r="J19" t="s">
        <v>1045</v>
      </c>
      <c r="M19" t="s">
        <v>127</v>
      </c>
      <c r="N19" t="s">
        <v>127</v>
      </c>
      <c r="P19" t="s">
        <v>1026</v>
      </c>
      <c r="Q19" t="s">
        <v>1040</v>
      </c>
      <c r="U19" t="s">
        <v>1826</v>
      </c>
      <c r="V19" t="s">
        <v>1051</v>
      </c>
      <c r="W19" t="s">
        <v>1033</v>
      </c>
      <c r="Y19" t="s">
        <v>1808</v>
      </c>
    </row>
    <row r="20" spans="1:25" x14ac:dyDescent="0.2">
      <c r="A20" t="b">
        <v>1</v>
      </c>
      <c r="B20" t="b">
        <v>1</v>
      </c>
      <c r="C20" t="e">
        <f>IF(E20&lt;&gt;"",VLOOKUP(E20,PHA4GEVars!$A$7:$B$241,2,FALSE),"")</f>
        <v>#N/A</v>
      </c>
      <c r="D20" t="s">
        <v>1754</v>
      </c>
      <c r="E20" t="s">
        <v>1825</v>
      </c>
      <c r="F20" t="s">
        <v>1790</v>
      </c>
      <c r="H20" t="s">
        <v>1853</v>
      </c>
      <c r="I20" t="s">
        <v>957</v>
      </c>
      <c r="J20" t="s">
        <v>1046</v>
      </c>
      <c r="M20" t="s">
        <v>127</v>
      </c>
      <c r="N20" t="s">
        <v>127</v>
      </c>
      <c r="P20" t="s">
        <v>1026</v>
      </c>
      <c r="Q20" t="s">
        <v>1040</v>
      </c>
      <c r="U20" t="s">
        <v>1826</v>
      </c>
      <c r="V20" t="s">
        <v>1051</v>
      </c>
      <c r="W20" t="s">
        <v>1033</v>
      </c>
      <c r="Y20" t="s">
        <v>1849</v>
      </c>
    </row>
    <row r="21" spans="1:25" x14ac:dyDescent="0.2">
      <c r="A21" t="b">
        <v>1</v>
      </c>
      <c r="B21" t="b">
        <v>1</v>
      </c>
      <c r="C21" t="e">
        <f>IF(E21&lt;&gt;"",VLOOKUP(E21,PHA4GEVars!$A$7:$B$241,2,FALSE),"")</f>
        <v>#N/A</v>
      </c>
      <c r="D21" t="s">
        <v>1754</v>
      </c>
      <c r="E21" t="s">
        <v>1825</v>
      </c>
      <c r="F21" t="s">
        <v>1790</v>
      </c>
      <c r="H21" t="s">
        <v>269</v>
      </c>
      <c r="I21" t="s">
        <v>957</v>
      </c>
      <c r="J21" t="s">
        <v>1047</v>
      </c>
      <c r="M21" t="s">
        <v>127</v>
      </c>
      <c r="N21" t="s">
        <v>127</v>
      </c>
      <c r="P21" t="s">
        <v>1026</v>
      </c>
      <c r="Q21" t="s">
        <v>1040</v>
      </c>
      <c r="U21" t="s">
        <v>1826</v>
      </c>
      <c r="V21" t="s">
        <v>1051</v>
      </c>
      <c r="W21" t="s">
        <v>1033</v>
      </c>
      <c r="Y21" t="s">
        <v>1808</v>
      </c>
    </row>
    <row r="22" spans="1:25" x14ac:dyDescent="0.2">
      <c r="C22" t="str">
        <f>IF(E22&lt;&gt;"",VLOOKUP(E22,PHA4GEVars!$A$7:$B$241,2,FALSE),"")</f>
        <v/>
      </c>
    </row>
    <row r="23" spans="1:25" x14ac:dyDescent="0.2">
      <c r="A23" t="b">
        <v>1</v>
      </c>
      <c r="B23" t="b">
        <v>1</v>
      </c>
      <c r="C23" t="str">
        <f>IF(E23&lt;&gt;"",VLOOKUP(E23,PHA4GEVars!$A$7:$B$241,2,FALSE),"")</f>
        <v>Environmental conditions and measurements</v>
      </c>
      <c r="D23" t="s">
        <v>1754</v>
      </c>
      <c r="E23" t="s">
        <v>1788</v>
      </c>
      <c r="F23" t="s">
        <v>1790</v>
      </c>
      <c r="G23" t="s">
        <v>1809</v>
      </c>
      <c r="I23" t="s">
        <v>957</v>
      </c>
      <c r="M23" t="s">
        <v>127</v>
      </c>
      <c r="N23" t="s">
        <v>127</v>
      </c>
      <c r="P23" t="s">
        <v>1026</v>
      </c>
      <c r="Q23" t="s">
        <v>1048</v>
      </c>
      <c r="U23" t="s">
        <v>1802</v>
      </c>
      <c r="V23" t="s">
        <v>1051</v>
      </c>
      <c r="W23" t="s">
        <v>1033</v>
      </c>
      <c r="Y23" t="s">
        <v>1801</v>
      </c>
    </row>
    <row r="24" spans="1:25" x14ac:dyDescent="0.2">
      <c r="C24" t="str">
        <f>IF(E24&lt;&gt;"",VLOOKUP(E24,PHA4GEVars!$A$7:$B$241,2,FALSE),"")</f>
        <v/>
      </c>
    </row>
    <row r="25" spans="1:25" x14ac:dyDescent="0.2">
      <c r="A25" t="b">
        <v>1</v>
      </c>
      <c r="B25" t="b">
        <v>1</v>
      </c>
      <c r="C25" t="str">
        <f>IF(E25&lt;&gt;"",VLOOKUP(E25,PHA4GEVars!$A$7:$B$241,2,FALSE),"")</f>
        <v>Environmental conditions and measurements</v>
      </c>
      <c r="D25" t="s">
        <v>1754</v>
      </c>
      <c r="E25" t="s">
        <v>138</v>
      </c>
      <c r="F25" t="s">
        <v>2019</v>
      </c>
      <c r="H25" t="s">
        <v>273</v>
      </c>
      <c r="I25" t="s">
        <v>957</v>
      </c>
      <c r="J25" t="s">
        <v>1059</v>
      </c>
      <c r="M25" t="s">
        <v>127</v>
      </c>
      <c r="N25" t="s">
        <v>127</v>
      </c>
      <c r="P25" t="s">
        <v>1026</v>
      </c>
      <c r="Q25" t="s">
        <v>1058</v>
      </c>
      <c r="U25" t="s">
        <v>1656</v>
      </c>
      <c r="V25" t="s">
        <v>1037</v>
      </c>
      <c r="W25" t="s">
        <v>1032</v>
      </c>
    </row>
    <row r="26" spans="1:25" x14ac:dyDescent="0.2">
      <c r="A26" t="b">
        <v>1</v>
      </c>
      <c r="B26" t="b">
        <v>1</v>
      </c>
      <c r="C26" t="str">
        <f>IF(E26&lt;&gt;"",VLOOKUP(E26,PHA4GEVars!$A$7:$B$241,2,FALSE),"")</f>
        <v>Environmental conditions and measurements</v>
      </c>
      <c r="D26" t="s">
        <v>1754</v>
      </c>
      <c r="E26" t="s">
        <v>138</v>
      </c>
      <c r="F26" t="s">
        <v>2019</v>
      </c>
      <c r="H26" t="s">
        <v>274</v>
      </c>
      <c r="I26" t="s">
        <v>957</v>
      </c>
      <c r="J26" t="s">
        <v>1059</v>
      </c>
      <c r="M26" t="s">
        <v>127</v>
      </c>
      <c r="N26" t="s">
        <v>127</v>
      </c>
      <c r="P26" t="s">
        <v>1026</v>
      </c>
      <c r="Q26" t="s">
        <v>1058</v>
      </c>
      <c r="U26" t="s">
        <v>1656</v>
      </c>
      <c r="V26" t="s">
        <v>1037</v>
      </c>
      <c r="W26" t="s">
        <v>1032</v>
      </c>
    </row>
    <row r="27" spans="1:25" x14ac:dyDescent="0.2">
      <c r="A27" t="b">
        <v>1</v>
      </c>
      <c r="B27" t="b">
        <v>1</v>
      </c>
      <c r="C27" t="str">
        <f>IF(E27&lt;&gt;"",VLOOKUP(E27,PHA4GEVars!$A$7:$B$241,2,FALSE),"")</f>
        <v>Environmental conditions and measurements</v>
      </c>
      <c r="D27" t="s">
        <v>1754</v>
      </c>
      <c r="E27" t="s">
        <v>138</v>
      </c>
      <c r="F27" t="s">
        <v>2019</v>
      </c>
      <c r="H27" t="s">
        <v>275</v>
      </c>
      <c r="I27" t="s">
        <v>957</v>
      </c>
      <c r="J27" t="s">
        <v>1061</v>
      </c>
      <c r="M27" t="s">
        <v>127</v>
      </c>
      <c r="N27" t="s">
        <v>127</v>
      </c>
      <c r="P27" t="s">
        <v>1026</v>
      </c>
      <c r="Q27" t="s">
        <v>1058</v>
      </c>
      <c r="U27" t="s">
        <v>1656</v>
      </c>
      <c r="V27" t="s">
        <v>1037</v>
      </c>
      <c r="W27" t="s">
        <v>1032</v>
      </c>
    </row>
    <row r="28" spans="1:25" x14ac:dyDescent="0.2">
      <c r="A28" t="b">
        <v>1</v>
      </c>
      <c r="B28" t="b">
        <v>1</v>
      </c>
      <c r="C28" t="str">
        <f>IF(E28&lt;&gt;"",VLOOKUP(E28,PHA4GEVars!$A$7:$B$241,2,FALSE),"")</f>
        <v>Environmental conditions and measurements</v>
      </c>
      <c r="D28" t="s">
        <v>1754</v>
      </c>
      <c r="E28" t="s">
        <v>138</v>
      </c>
      <c r="F28" t="s">
        <v>2019</v>
      </c>
      <c r="H28" t="s">
        <v>276</v>
      </c>
      <c r="I28" t="s">
        <v>957</v>
      </c>
      <c r="J28" t="s">
        <v>1060</v>
      </c>
      <c r="M28" t="s">
        <v>127</v>
      </c>
      <c r="N28" t="s">
        <v>127</v>
      </c>
      <c r="P28" t="s">
        <v>1026</v>
      </c>
      <c r="Q28" t="s">
        <v>1058</v>
      </c>
      <c r="U28" t="s">
        <v>1656</v>
      </c>
      <c r="V28" t="s">
        <v>1037</v>
      </c>
      <c r="W28" t="s">
        <v>1032</v>
      </c>
    </row>
    <row r="29" spans="1:25" x14ac:dyDescent="0.2">
      <c r="A29" t="b">
        <v>1</v>
      </c>
      <c r="B29" t="b">
        <v>1</v>
      </c>
      <c r="C29" t="str">
        <f>IF(E29&lt;&gt;"",VLOOKUP(E29,PHA4GEVars!$A$7:$B$241,2,FALSE),"")</f>
        <v>Environmental conditions and measurements</v>
      </c>
      <c r="D29" t="s">
        <v>1754</v>
      </c>
      <c r="E29" t="s">
        <v>138</v>
      </c>
      <c r="F29" t="s">
        <v>2019</v>
      </c>
      <c r="H29" t="s">
        <v>277</v>
      </c>
      <c r="I29" t="s">
        <v>957</v>
      </c>
      <c r="J29" t="s">
        <v>1061</v>
      </c>
      <c r="M29" t="s">
        <v>127</v>
      </c>
      <c r="N29" t="s">
        <v>127</v>
      </c>
      <c r="P29" t="s">
        <v>1026</v>
      </c>
      <c r="Q29" t="s">
        <v>1058</v>
      </c>
      <c r="U29" t="s">
        <v>1656</v>
      </c>
      <c r="V29" t="s">
        <v>1037</v>
      </c>
      <c r="W29" t="s">
        <v>1032</v>
      </c>
    </row>
    <row r="30" spans="1:25" x14ac:dyDescent="0.2">
      <c r="A30" t="b">
        <v>1</v>
      </c>
      <c r="B30" t="b">
        <v>1</v>
      </c>
      <c r="C30" t="str">
        <f>IF(E30&lt;&gt;"",VLOOKUP(E30,PHA4GEVars!$A$7:$B$241,2,FALSE),"")</f>
        <v>Environmental conditions and measurements</v>
      </c>
      <c r="D30" t="s">
        <v>1754</v>
      </c>
      <c r="E30" t="s">
        <v>138</v>
      </c>
      <c r="F30" t="s">
        <v>2019</v>
      </c>
      <c r="H30" t="s">
        <v>278</v>
      </c>
      <c r="I30" t="s">
        <v>957</v>
      </c>
      <c r="J30" t="s">
        <v>1062</v>
      </c>
      <c r="M30" t="s">
        <v>127</v>
      </c>
      <c r="N30" t="s">
        <v>127</v>
      </c>
      <c r="P30" t="s">
        <v>1026</v>
      </c>
      <c r="Q30" t="s">
        <v>1058</v>
      </c>
      <c r="U30" t="s">
        <v>1656</v>
      </c>
      <c r="V30" t="s">
        <v>1037</v>
      </c>
      <c r="W30" t="s">
        <v>1032</v>
      </c>
    </row>
    <row r="31" spans="1:25" x14ac:dyDescent="0.2">
      <c r="A31" t="b">
        <v>1</v>
      </c>
      <c r="B31" t="b">
        <v>1</v>
      </c>
      <c r="C31" t="str">
        <f>IF(E31&lt;&gt;"",VLOOKUP(E31,PHA4GEVars!$A$7:$B$241,2,FALSE),"")</f>
        <v>Environmental conditions and measurements</v>
      </c>
      <c r="D31" t="s">
        <v>1754</v>
      </c>
      <c r="E31" t="s">
        <v>138</v>
      </c>
      <c r="F31" t="s">
        <v>2019</v>
      </c>
      <c r="H31" t="s">
        <v>279</v>
      </c>
      <c r="I31" t="s">
        <v>957</v>
      </c>
      <c r="J31" t="s">
        <v>1064</v>
      </c>
      <c r="M31" t="s">
        <v>127</v>
      </c>
      <c r="N31" t="s">
        <v>127</v>
      </c>
      <c r="P31" t="s">
        <v>1026</v>
      </c>
      <c r="Q31" t="s">
        <v>1058</v>
      </c>
      <c r="U31" t="s">
        <v>1656</v>
      </c>
      <c r="V31" t="s">
        <v>1037</v>
      </c>
      <c r="W31" t="s">
        <v>1032</v>
      </c>
    </row>
    <row r="32" spans="1:25" x14ac:dyDescent="0.2">
      <c r="A32" t="b">
        <v>1</v>
      </c>
      <c r="B32" t="b">
        <v>1</v>
      </c>
      <c r="C32" t="str">
        <f>IF(E32&lt;&gt;"",VLOOKUP(E32,PHA4GEVars!$A$7:$B$241,2,FALSE),"")</f>
        <v>Environmental conditions and measurements</v>
      </c>
      <c r="D32" t="s">
        <v>1754</v>
      </c>
      <c r="E32" t="s">
        <v>138</v>
      </c>
      <c r="F32" t="s">
        <v>2019</v>
      </c>
      <c r="H32" t="s">
        <v>280</v>
      </c>
      <c r="I32" t="s">
        <v>957</v>
      </c>
      <c r="J32" t="s">
        <v>1063</v>
      </c>
      <c r="M32" t="s">
        <v>127</v>
      </c>
      <c r="N32" t="s">
        <v>127</v>
      </c>
      <c r="P32" t="s">
        <v>1026</v>
      </c>
      <c r="Q32" t="s">
        <v>1058</v>
      </c>
      <c r="U32" t="s">
        <v>1656</v>
      </c>
      <c r="V32" t="s">
        <v>1037</v>
      </c>
      <c r="W32" t="s">
        <v>1032</v>
      </c>
    </row>
    <row r="33" spans="1:25" x14ac:dyDescent="0.2">
      <c r="C33" t="str">
        <f>IF(E33&lt;&gt;"",VLOOKUP(E33,PHA4GEVars!$A$7:$B$241,2,FALSE),"")</f>
        <v/>
      </c>
    </row>
    <row r="34" spans="1:25" x14ac:dyDescent="0.2">
      <c r="A34" t="b">
        <v>1</v>
      </c>
      <c r="B34" t="b">
        <v>1</v>
      </c>
      <c r="C34" t="str">
        <f>IF(E34&lt;&gt;"",VLOOKUP(E34,PHA4GEVars!$A$7:$B$241,2,FALSE),"")</f>
        <v>Environmental conditions and measurements</v>
      </c>
      <c r="D34" t="s">
        <v>1754</v>
      </c>
      <c r="E34" t="s">
        <v>157</v>
      </c>
      <c r="F34" t="s">
        <v>2019</v>
      </c>
      <c r="H34" t="s">
        <v>273</v>
      </c>
      <c r="I34" t="s">
        <v>957</v>
      </c>
      <c r="J34" t="s">
        <v>1059</v>
      </c>
      <c r="M34" t="s">
        <v>127</v>
      </c>
      <c r="N34" t="s">
        <v>127</v>
      </c>
      <c r="P34" t="s">
        <v>1026</v>
      </c>
      <c r="Q34" t="s">
        <v>1065</v>
      </c>
      <c r="U34" t="s">
        <v>1657</v>
      </c>
      <c r="V34" t="s">
        <v>1037</v>
      </c>
      <c r="W34" t="s">
        <v>1032</v>
      </c>
    </row>
    <row r="35" spans="1:25" x14ac:dyDescent="0.2">
      <c r="A35" t="b">
        <v>1</v>
      </c>
      <c r="B35" t="b">
        <v>1</v>
      </c>
      <c r="C35" t="str">
        <f>IF(E35&lt;&gt;"",VLOOKUP(E35,PHA4GEVars!$A$7:$B$241,2,FALSE),"")</f>
        <v>Environmental conditions and measurements</v>
      </c>
      <c r="D35" t="s">
        <v>1754</v>
      </c>
      <c r="E35" t="s">
        <v>157</v>
      </c>
      <c r="F35" t="s">
        <v>2019</v>
      </c>
      <c r="H35" t="s">
        <v>274</v>
      </c>
      <c r="I35" t="s">
        <v>957</v>
      </c>
      <c r="J35" t="s">
        <v>1059</v>
      </c>
      <c r="M35" t="s">
        <v>127</v>
      </c>
      <c r="N35" t="s">
        <v>127</v>
      </c>
      <c r="P35" t="s">
        <v>1026</v>
      </c>
      <c r="Q35" t="s">
        <v>1065</v>
      </c>
      <c r="U35" t="s">
        <v>1657</v>
      </c>
      <c r="V35" t="s">
        <v>1037</v>
      </c>
      <c r="W35" t="s">
        <v>1032</v>
      </c>
    </row>
    <row r="36" spans="1:25" x14ac:dyDescent="0.2">
      <c r="A36" t="b">
        <v>1</v>
      </c>
      <c r="B36" t="b">
        <v>1</v>
      </c>
      <c r="C36" t="str">
        <f>IF(E36&lt;&gt;"",VLOOKUP(E36,PHA4GEVars!$A$7:$B$241,2,FALSE),"")</f>
        <v>Environmental conditions and measurements</v>
      </c>
      <c r="D36" t="s">
        <v>1754</v>
      </c>
      <c r="E36" t="s">
        <v>157</v>
      </c>
      <c r="F36" t="s">
        <v>2019</v>
      </c>
      <c r="H36" t="s">
        <v>275</v>
      </c>
      <c r="I36" t="s">
        <v>957</v>
      </c>
      <c r="J36" t="s">
        <v>1061</v>
      </c>
      <c r="M36" t="s">
        <v>127</v>
      </c>
      <c r="N36" t="s">
        <v>127</v>
      </c>
      <c r="P36" t="s">
        <v>1026</v>
      </c>
      <c r="Q36" t="s">
        <v>1065</v>
      </c>
      <c r="U36" t="s">
        <v>1657</v>
      </c>
      <c r="V36" t="s">
        <v>1037</v>
      </c>
      <c r="W36" t="s">
        <v>1032</v>
      </c>
    </row>
    <row r="37" spans="1:25" x14ac:dyDescent="0.2">
      <c r="A37" t="b">
        <v>1</v>
      </c>
      <c r="B37" t="b">
        <v>1</v>
      </c>
      <c r="C37" t="str">
        <f>IF(E37&lt;&gt;"",VLOOKUP(E37,PHA4GEVars!$A$7:$B$241,2,FALSE),"")</f>
        <v>Environmental conditions and measurements</v>
      </c>
      <c r="D37" t="s">
        <v>1754</v>
      </c>
      <c r="E37" t="s">
        <v>157</v>
      </c>
      <c r="F37" t="s">
        <v>2019</v>
      </c>
      <c r="H37" t="s">
        <v>276</v>
      </c>
      <c r="I37" t="s">
        <v>957</v>
      </c>
      <c r="J37" t="s">
        <v>1060</v>
      </c>
      <c r="M37" t="s">
        <v>127</v>
      </c>
      <c r="N37" t="s">
        <v>127</v>
      </c>
      <c r="P37" t="s">
        <v>1026</v>
      </c>
      <c r="Q37" t="s">
        <v>1065</v>
      </c>
      <c r="U37" t="s">
        <v>1657</v>
      </c>
      <c r="V37" t="s">
        <v>1037</v>
      </c>
      <c r="W37" t="s">
        <v>1032</v>
      </c>
    </row>
    <row r="38" spans="1:25" x14ac:dyDescent="0.2">
      <c r="A38" t="b">
        <v>1</v>
      </c>
      <c r="B38" t="b">
        <v>1</v>
      </c>
      <c r="C38" t="str">
        <f>IF(E38&lt;&gt;"",VLOOKUP(E38,PHA4GEVars!$A$7:$B$241,2,FALSE),"")</f>
        <v>Environmental conditions and measurements</v>
      </c>
      <c r="D38" t="s">
        <v>1754</v>
      </c>
      <c r="E38" t="s">
        <v>157</v>
      </c>
      <c r="F38" t="s">
        <v>2019</v>
      </c>
      <c r="H38" t="s">
        <v>277</v>
      </c>
      <c r="I38" t="s">
        <v>957</v>
      </c>
      <c r="J38" t="s">
        <v>1061</v>
      </c>
      <c r="M38" t="s">
        <v>127</v>
      </c>
      <c r="N38" t="s">
        <v>127</v>
      </c>
      <c r="P38" t="s">
        <v>1026</v>
      </c>
      <c r="Q38" t="s">
        <v>1065</v>
      </c>
      <c r="U38" t="s">
        <v>1657</v>
      </c>
      <c r="V38" t="s">
        <v>1037</v>
      </c>
      <c r="W38" t="s">
        <v>1032</v>
      </c>
    </row>
    <row r="39" spans="1:25" x14ac:dyDescent="0.2">
      <c r="A39" t="b">
        <v>1</v>
      </c>
      <c r="B39" t="b">
        <v>1</v>
      </c>
      <c r="C39" t="str">
        <f>IF(E39&lt;&gt;"",VLOOKUP(E39,PHA4GEVars!$A$7:$B$241,2,FALSE),"")</f>
        <v>Environmental conditions and measurements</v>
      </c>
      <c r="D39" t="s">
        <v>1754</v>
      </c>
      <c r="E39" t="s">
        <v>157</v>
      </c>
      <c r="F39" t="s">
        <v>2019</v>
      </c>
      <c r="H39" t="s">
        <v>278</v>
      </c>
      <c r="I39" t="s">
        <v>957</v>
      </c>
      <c r="J39" t="s">
        <v>1062</v>
      </c>
      <c r="M39" t="s">
        <v>127</v>
      </c>
      <c r="N39" t="s">
        <v>127</v>
      </c>
      <c r="P39" t="s">
        <v>1026</v>
      </c>
      <c r="Q39" t="s">
        <v>1065</v>
      </c>
      <c r="U39" t="s">
        <v>1657</v>
      </c>
      <c r="V39" t="s">
        <v>1037</v>
      </c>
      <c r="W39" t="s">
        <v>1032</v>
      </c>
    </row>
    <row r="40" spans="1:25" x14ac:dyDescent="0.2">
      <c r="A40" t="b">
        <v>1</v>
      </c>
      <c r="B40" t="b">
        <v>1</v>
      </c>
      <c r="C40" t="str">
        <f>IF(E40&lt;&gt;"",VLOOKUP(E40,PHA4GEVars!$A$7:$B$241,2,FALSE),"")</f>
        <v>Environmental conditions and measurements</v>
      </c>
      <c r="D40" t="s">
        <v>1754</v>
      </c>
      <c r="E40" t="s">
        <v>157</v>
      </c>
      <c r="F40" t="s">
        <v>2019</v>
      </c>
      <c r="H40" t="s">
        <v>279</v>
      </c>
      <c r="I40" t="s">
        <v>957</v>
      </c>
      <c r="J40" t="s">
        <v>1064</v>
      </c>
      <c r="M40" t="s">
        <v>127</v>
      </c>
      <c r="N40" t="s">
        <v>127</v>
      </c>
      <c r="P40" t="s">
        <v>1026</v>
      </c>
      <c r="Q40" t="s">
        <v>1065</v>
      </c>
      <c r="U40" t="s">
        <v>1657</v>
      </c>
      <c r="V40" t="s">
        <v>1037</v>
      </c>
      <c r="W40" t="s">
        <v>1032</v>
      </c>
    </row>
    <row r="41" spans="1:25" x14ac:dyDescent="0.2">
      <c r="A41" t="b">
        <v>1</v>
      </c>
      <c r="B41" t="b">
        <v>1</v>
      </c>
      <c r="C41" t="str">
        <f>IF(E41&lt;&gt;"",VLOOKUP(E41,PHA4GEVars!$A$7:$B$241,2,FALSE),"")</f>
        <v>Environmental conditions and measurements</v>
      </c>
      <c r="D41" t="s">
        <v>1754</v>
      </c>
      <c r="E41" t="s">
        <v>157</v>
      </c>
      <c r="F41" t="s">
        <v>2019</v>
      </c>
      <c r="H41" t="s">
        <v>280</v>
      </c>
      <c r="I41" t="s">
        <v>957</v>
      </c>
      <c r="J41" t="s">
        <v>1063</v>
      </c>
      <c r="M41" t="s">
        <v>127</v>
      </c>
      <c r="N41" t="s">
        <v>127</v>
      </c>
      <c r="P41" t="s">
        <v>1026</v>
      </c>
      <c r="Q41" t="s">
        <v>1065</v>
      </c>
      <c r="U41" t="s">
        <v>1657</v>
      </c>
      <c r="V41" t="s">
        <v>1037</v>
      </c>
      <c r="W41" t="s">
        <v>1032</v>
      </c>
    </row>
    <row r="42" spans="1:25" x14ac:dyDescent="0.2">
      <c r="C42" t="str">
        <f>IF(E42&lt;&gt;"",VLOOKUP(E42,PHA4GEVars!$A$7:$B$241,2,FALSE),"")</f>
        <v/>
      </c>
    </row>
    <row r="43" spans="1:25" x14ac:dyDescent="0.2">
      <c r="A43" t="b">
        <v>1</v>
      </c>
      <c r="B43" t="b">
        <v>1</v>
      </c>
      <c r="C43" t="str">
        <f>IF(E43&lt;&gt;"",VLOOKUP(E43,PHA4GEVars!$A$7:$B$241,2,FALSE),"")</f>
        <v>Bioinformatics and QC metrics</v>
      </c>
      <c r="D43" t="s">
        <v>1754</v>
      </c>
      <c r="E43" t="s">
        <v>12</v>
      </c>
      <c r="F43" t="s">
        <v>2019</v>
      </c>
      <c r="G43" t="s">
        <v>1457</v>
      </c>
      <c r="I43" t="s">
        <v>957</v>
      </c>
      <c r="L43" t="s">
        <v>2006</v>
      </c>
      <c r="M43" t="s">
        <v>1105</v>
      </c>
      <c r="N43" t="s">
        <v>1105</v>
      </c>
      <c r="P43" t="s">
        <v>1027</v>
      </c>
      <c r="Q43" t="s">
        <v>1305</v>
      </c>
      <c r="U43" t="s">
        <v>1309</v>
      </c>
      <c r="V43" t="s">
        <v>1037</v>
      </c>
      <c r="W43" t="s">
        <v>1033</v>
      </c>
    </row>
    <row r="44" spans="1:25" x14ac:dyDescent="0.2">
      <c r="A44" t="b">
        <v>1</v>
      </c>
      <c r="B44" t="b">
        <v>1</v>
      </c>
      <c r="C44" t="str">
        <f>IF(E44&lt;&gt;"",VLOOKUP(E44,PHA4GEVars!$A$7:$B$241,2,FALSE),"")</f>
        <v>Bioinformatics and QC metrics</v>
      </c>
      <c r="D44" t="s">
        <v>1754</v>
      </c>
      <c r="E44" t="s">
        <v>20</v>
      </c>
      <c r="F44" t="s">
        <v>2019</v>
      </c>
      <c r="G44" t="s">
        <v>1457</v>
      </c>
      <c r="I44" t="s">
        <v>957</v>
      </c>
      <c r="L44" t="s">
        <v>2006</v>
      </c>
      <c r="M44" t="s">
        <v>1105</v>
      </c>
      <c r="N44" t="s">
        <v>1105</v>
      </c>
      <c r="P44" t="s">
        <v>1027</v>
      </c>
      <c r="Q44" t="s">
        <v>1306</v>
      </c>
      <c r="U44" t="s">
        <v>1310</v>
      </c>
      <c r="V44" t="s">
        <v>1037</v>
      </c>
      <c r="W44" t="s">
        <v>1033</v>
      </c>
    </row>
    <row r="45" spans="1:25" x14ac:dyDescent="0.2">
      <c r="A45" t="b">
        <v>1</v>
      </c>
      <c r="B45" t="b">
        <v>1</v>
      </c>
      <c r="C45" t="str">
        <f>IF(E45&lt;&gt;"",VLOOKUP(E45,PHA4GEVars!$A$7:$B$241,2,FALSE),"")</f>
        <v>Bioinformatics and QC metrics</v>
      </c>
      <c r="D45" t="s">
        <v>1754</v>
      </c>
      <c r="E45" t="s">
        <v>22</v>
      </c>
      <c r="F45" t="s">
        <v>2019</v>
      </c>
      <c r="G45" t="s">
        <v>1457</v>
      </c>
      <c r="I45" t="s">
        <v>957</v>
      </c>
      <c r="L45" t="s">
        <v>2006</v>
      </c>
      <c r="M45" t="s">
        <v>1105</v>
      </c>
      <c r="N45" t="s">
        <v>1105</v>
      </c>
      <c r="P45" t="s">
        <v>1027</v>
      </c>
      <c r="Q45" t="s">
        <v>1307</v>
      </c>
      <c r="U45" t="s">
        <v>1311</v>
      </c>
      <c r="V45" t="s">
        <v>980</v>
      </c>
      <c r="W45" t="s">
        <v>1033</v>
      </c>
    </row>
    <row r="46" spans="1:25" x14ac:dyDescent="0.2">
      <c r="A46" t="b">
        <v>1</v>
      </c>
      <c r="B46" t="b">
        <v>1</v>
      </c>
      <c r="C46" t="e">
        <f>IF(E46&lt;&gt;"",VLOOKUP(E46,PHA4GEVars!$A$7:$B$241,2,FALSE),"")</f>
        <v>#N/A</v>
      </c>
      <c r="D46" t="s">
        <v>1754</v>
      </c>
      <c r="E46" t="s">
        <v>1810</v>
      </c>
      <c r="F46" t="s">
        <v>2019</v>
      </c>
      <c r="G46" t="s">
        <v>1457</v>
      </c>
      <c r="I46" t="s">
        <v>957</v>
      </c>
      <c r="L46" t="s">
        <v>2006</v>
      </c>
      <c r="M46" t="s">
        <v>1105</v>
      </c>
      <c r="N46" t="s">
        <v>1105</v>
      </c>
      <c r="P46" t="s">
        <v>1027</v>
      </c>
      <c r="Q46" t="s">
        <v>1308</v>
      </c>
      <c r="U46" t="s">
        <v>1811</v>
      </c>
      <c r="V46" t="s">
        <v>1037</v>
      </c>
      <c r="W46" t="s">
        <v>1033</v>
      </c>
    </row>
    <row r="47" spans="1:25" x14ac:dyDescent="0.2">
      <c r="A47" t="b">
        <v>1</v>
      </c>
      <c r="B47" t="b">
        <v>1</v>
      </c>
      <c r="C47" t="e">
        <f>IF(E47&lt;&gt;"",VLOOKUP(E47,PHA4GEVars!$A$7:$B$241,2,FALSE),"")</f>
        <v>#N/A</v>
      </c>
      <c r="D47" t="s">
        <v>1754</v>
      </c>
      <c r="E47" t="s">
        <v>1812</v>
      </c>
      <c r="F47" t="s">
        <v>2019</v>
      </c>
      <c r="G47" t="s">
        <v>1457</v>
      </c>
      <c r="I47" t="s">
        <v>957</v>
      </c>
      <c r="L47" t="s">
        <v>2006</v>
      </c>
      <c r="M47" t="s">
        <v>1105</v>
      </c>
      <c r="N47" t="s">
        <v>1105</v>
      </c>
      <c r="P47" t="s">
        <v>1027</v>
      </c>
      <c r="Q47" t="s">
        <v>1812</v>
      </c>
      <c r="U47" t="s">
        <v>1813</v>
      </c>
      <c r="V47" t="s">
        <v>1320</v>
      </c>
      <c r="W47" t="s">
        <v>1033</v>
      </c>
      <c r="Y47" t="s">
        <v>1814</v>
      </c>
    </row>
    <row r="48" spans="1:25" x14ac:dyDescent="0.2">
      <c r="A48" t="b">
        <v>1</v>
      </c>
      <c r="B48" t="b">
        <v>1</v>
      </c>
      <c r="C48" t="str">
        <f>IF(E48&lt;&gt;"",VLOOKUP(E48,PHA4GEVars!$A$7:$B$241,2,FALSE),"")</f>
        <v>Bioinformatics and QC metrics</v>
      </c>
      <c r="D48" t="s">
        <v>1754</v>
      </c>
      <c r="E48" t="s">
        <v>56</v>
      </c>
      <c r="F48" t="s">
        <v>2019</v>
      </c>
      <c r="G48" t="s">
        <v>1457</v>
      </c>
      <c r="I48" t="s">
        <v>957</v>
      </c>
      <c r="L48" t="s">
        <v>2006</v>
      </c>
      <c r="M48" t="s">
        <v>1105</v>
      </c>
      <c r="N48" t="s">
        <v>1105</v>
      </c>
      <c r="P48" t="s">
        <v>1027</v>
      </c>
      <c r="Q48" t="s">
        <v>1321</v>
      </c>
      <c r="U48" t="s">
        <v>1312</v>
      </c>
      <c r="V48" t="s">
        <v>1322</v>
      </c>
      <c r="W48" t="s">
        <v>1033</v>
      </c>
    </row>
    <row r="49" spans="1:25" x14ac:dyDescent="0.2">
      <c r="A49" t="b">
        <v>1</v>
      </c>
      <c r="B49" t="b">
        <v>1</v>
      </c>
      <c r="C49" t="str">
        <f>IF(E49&lt;&gt;"",VLOOKUP(E49,PHA4GEVars!$A$7:$B$241,2,FALSE),"")</f>
        <v>Bioinformatics and QC metrics</v>
      </c>
      <c r="D49" t="s">
        <v>1754</v>
      </c>
      <c r="E49" t="s">
        <v>69</v>
      </c>
      <c r="F49" t="s">
        <v>2019</v>
      </c>
      <c r="G49" t="s">
        <v>1457</v>
      </c>
      <c r="I49" t="s">
        <v>957</v>
      </c>
      <c r="L49" t="s">
        <v>2006</v>
      </c>
      <c r="M49" t="s">
        <v>1105</v>
      </c>
      <c r="N49" t="s">
        <v>1105</v>
      </c>
      <c r="P49" t="s">
        <v>1027</v>
      </c>
      <c r="Q49" t="s">
        <v>1298</v>
      </c>
      <c r="U49" t="s">
        <v>1313</v>
      </c>
      <c r="V49" t="s">
        <v>1323</v>
      </c>
      <c r="W49" t="s">
        <v>1033</v>
      </c>
    </row>
    <row r="50" spans="1:25" x14ac:dyDescent="0.2">
      <c r="A50" t="b">
        <v>1</v>
      </c>
      <c r="B50" t="b">
        <v>1</v>
      </c>
      <c r="C50" t="str">
        <f>IF(E50&lt;&gt;"",VLOOKUP(E50,PHA4GEVars!$A$7:$B$241,2,FALSE),"")</f>
        <v>Bioinformatics and QC metrics</v>
      </c>
      <c r="D50" t="s">
        <v>1754</v>
      </c>
      <c r="E50" t="s">
        <v>70</v>
      </c>
      <c r="F50" t="s">
        <v>2019</v>
      </c>
      <c r="G50" t="s">
        <v>1457</v>
      </c>
      <c r="I50" t="s">
        <v>957</v>
      </c>
      <c r="L50" t="s">
        <v>2006</v>
      </c>
      <c r="M50" t="s">
        <v>1105</v>
      </c>
      <c r="N50" t="s">
        <v>1105</v>
      </c>
      <c r="P50" t="s">
        <v>1027</v>
      </c>
      <c r="Q50" t="s">
        <v>1299</v>
      </c>
      <c r="U50" t="s">
        <v>1314</v>
      </c>
      <c r="V50" t="s">
        <v>1037</v>
      </c>
      <c r="W50" t="s">
        <v>1033</v>
      </c>
    </row>
    <row r="51" spans="1:25" x14ac:dyDescent="0.2">
      <c r="A51" t="b">
        <v>1</v>
      </c>
      <c r="B51" t="b">
        <v>1</v>
      </c>
      <c r="C51" t="str">
        <f>IF(E51&lt;&gt;"",VLOOKUP(E51,PHA4GEVars!$A$7:$B$241,2,FALSE),"")</f>
        <v>Bioinformatics and QC metrics</v>
      </c>
      <c r="D51" t="s">
        <v>1754</v>
      </c>
      <c r="E51" t="s">
        <v>71</v>
      </c>
      <c r="F51" t="s">
        <v>2019</v>
      </c>
      <c r="G51" t="s">
        <v>1457</v>
      </c>
      <c r="I51" t="s">
        <v>957</v>
      </c>
      <c r="L51" t="s">
        <v>2006</v>
      </c>
      <c r="M51" t="s">
        <v>1105</v>
      </c>
      <c r="N51" t="s">
        <v>1105</v>
      </c>
      <c r="P51" t="s">
        <v>1027</v>
      </c>
      <c r="Q51" t="s">
        <v>1300</v>
      </c>
      <c r="U51" t="s">
        <v>1315</v>
      </c>
      <c r="V51" t="s">
        <v>1037</v>
      </c>
      <c r="W51" t="s">
        <v>1033</v>
      </c>
    </row>
    <row r="52" spans="1:25" x14ac:dyDescent="0.2">
      <c r="A52" t="b">
        <v>1</v>
      </c>
      <c r="B52" t="b">
        <v>1</v>
      </c>
      <c r="C52" t="str">
        <f>IF(E52&lt;&gt;"",VLOOKUP(E52,PHA4GEVars!$A$7:$B$241,2,FALSE),"")</f>
        <v>Bioinformatics and QC metrics</v>
      </c>
      <c r="D52" t="s">
        <v>1754</v>
      </c>
      <c r="E52" t="s">
        <v>72</v>
      </c>
      <c r="F52" t="s">
        <v>2019</v>
      </c>
      <c r="G52" t="s">
        <v>1457</v>
      </c>
      <c r="I52" t="s">
        <v>957</v>
      </c>
      <c r="L52" t="s">
        <v>2006</v>
      </c>
      <c r="M52" t="s">
        <v>1105</v>
      </c>
      <c r="N52" t="s">
        <v>1105</v>
      </c>
      <c r="P52" t="s">
        <v>1027</v>
      </c>
      <c r="Q52" t="s">
        <v>1301</v>
      </c>
      <c r="U52" t="s">
        <v>1316</v>
      </c>
      <c r="V52" t="s">
        <v>1037</v>
      </c>
      <c r="W52" t="s">
        <v>1033</v>
      </c>
    </row>
    <row r="53" spans="1:25" x14ac:dyDescent="0.2">
      <c r="A53" t="b">
        <v>1</v>
      </c>
      <c r="B53" t="b">
        <v>1</v>
      </c>
      <c r="C53" t="str">
        <f>IF(E53&lt;&gt;"",VLOOKUP(E53,PHA4GEVars!$A$7:$B$241,2,FALSE),"")</f>
        <v>Bioinformatics and QC metrics</v>
      </c>
      <c r="D53" t="s">
        <v>1754</v>
      </c>
      <c r="E53" t="s">
        <v>74</v>
      </c>
      <c r="F53" t="s">
        <v>2019</v>
      </c>
      <c r="G53" t="s">
        <v>1457</v>
      </c>
      <c r="I53" t="s">
        <v>957</v>
      </c>
      <c r="L53" t="s">
        <v>2006</v>
      </c>
      <c r="M53" t="s">
        <v>1105</v>
      </c>
      <c r="N53" t="s">
        <v>1105</v>
      </c>
      <c r="P53" t="s">
        <v>1027</v>
      </c>
      <c r="Q53" t="s">
        <v>1302</v>
      </c>
      <c r="U53" t="s">
        <v>1317</v>
      </c>
      <c r="V53" t="s">
        <v>980</v>
      </c>
      <c r="W53" t="s">
        <v>1033</v>
      </c>
    </row>
    <row r="54" spans="1:25" x14ac:dyDescent="0.2">
      <c r="A54" t="b">
        <v>1</v>
      </c>
      <c r="B54" t="b">
        <v>1</v>
      </c>
      <c r="C54" t="str">
        <f>IF(E54&lt;&gt;"",VLOOKUP(E54,PHA4GEVars!$A$7:$B$241,2,FALSE),"")</f>
        <v>Bioinformatics and QC metrics</v>
      </c>
      <c r="D54" t="s">
        <v>1754</v>
      </c>
      <c r="E54" t="s">
        <v>1799</v>
      </c>
      <c r="F54" t="s">
        <v>2019</v>
      </c>
      <c r="G54" t="s">
        <v>1457</v>
      </c>
      <c r="I54" t="s">
        <v>957</v>
      </c>
      <c r="L54" t="s">
        <v>2006</v>
      </c>
      <c r="M54" t="s">
        <v>1105</v>
      </c>
      <c r="N54" t="s">
        <v>1105</v>
      </c>
      <c r="P54" t="s">
        <v>1027</v>
      </c>
      <c r="Q54" t="s">
        <v>1303</v>
      </c>
      <c r="U54" t="s">
        <v>1318</v>
      </c>
      <c r="V54" t="s">
        <v>980</v>
      </c>
      <c r="W54" t="s">
        <v>1033</v>
      </c>
    </row>
    <row r="55" spans="1:25" x14ac:dyDescent="0.2">
      <c r="A55" t="b">
        <v>1</v>
      </c>
      <c r="B55" t="b">
        <v>1</v>
      </c>
      <c r="C55" t="str">
        <f>IF(E55&lt;&gt;"",VLOOKUP(E55,PHA4GEVars!$A$7:$B$241,2,FALSE),"")</f>
        <v>Bioinformatics and QC metrics</v>
      </c>
      <c r="D55" t="s">
        <v>1754</v>
      </c>
      <c r="E55" t="s">
        <v>94</v>
      </c>
      <c r="F55" t="s">
        <v>2019</v>
      </c>
      <c r="G55" t="s">
        <v>1457</v>
      </c>
      <c r="I55" t="s">
        <v>957</v>
      </c>
      <c r="L55" t="s">
        <v>2006</v>
      </c>
      <c r="M55" t="s">
        <v>1105</v>
      </c>
      <c r="N55" t="s">
        <v>1105</v>
      </c>
      <c r="P55" t="s">
        <v>1027</v>
      </c>
      <c r="Q55" t="s">
        <v>1304</v>
      </c>
      <c r="U55" t="s">
        <v>1319</v>
      </c>
      <c r="V55" t="s">
        <v>1037</v>
      </c>
      <c r="W55" t="s">
        <v>1033</v>
      </c>
    </row>
    <row r="56" spans="1:25" x14ac:dyDescent="0.2">
      <c r="A56" t="b">
        <v>1</v>
      </c>
      <c r="B56" t="b">
        <v>1</v>
      </c>
      <c r="C56" t="str">
        <f>IF(E56&lt;&gt;"",VLOOKUP(E56,PHA4GEVars!$A$7:$B$241,2,FALSE),"")</f>
        <v>Bioinformatics and QC metrics</v>
      </c>
      <c r="D56" t="s">
        <v>1754</v>
      </c>
      <c r="E56" t="s">
        <v>106</v>
      </c>
      <c r="F56" t="s">
        <v>2019</v>
      </c>
      <c r="G56" t="s">
        <v>1457</v>
      </c>
      <c r="I56" t="s">
        <v>957</v>
      </c>
      <c r="L56" t="s">
        <v>2006</v>
      </c>
      <c r="M56" t="s">
        <v>1105</v>
      </c>
      <c r="N56" t="s">
        <v>1105</v>
      </c>
      <c r="P56" t="s">
        <v>1027</v>
      </c>
      <c r="Q56" t="s">
        <v>1944</v>
      </c>
      <c r="R56" t="s">
        <v>1295</v>
      </c>
      <c r="S56" t="s">
        <v>1264</v>
      </c>
      <c r="T56" t="s">
        <v>1912</v>
      </c>
      <c r="U56" t="s">
        <v>1324</v>
      </c>
      <c r="V56" t="s">
        <v>1539</v>
      </c>
      <c r="W56" t="s">
        <v>1033</v>
      </c>
      <c r="X56" s="1" t="s">
        <v>1541</v>
      </c>
      <c r="Y56" s="2" t="s">
        <v>1735</v>
      </c>
    </row>
    <row r="57" spans="1:25" x14ac:dyDescent="0.2">
      <c r="A57" t="b">
        <v>1</v>
      </c>
      <c r="B57" t="b">
        <v>1</v>
      </c>
      <c r="C57" t="str">
        <f>IF(E57&lt;&gt;"",VLOOKUP(E57,PHA4GEVars!$A$7:$B$241,2,FALSE),"")</f>
        <v>Bioinformatics and QC metrics</v>
      </c>
      <c r="D57" t="s">
        <v>1754</v>
      </c>
      <c r="E57" t="s">
        <v>107</v>
      </c>
      <c r="F57" t="s">
        <v>2019</v>
      </c>
      <c r="G57" t="s">
        <v>1457</v>
      </c>
      <c r="I57" t="s">
        <v>957</v>
      </c>
      <c r="L57" t="s">
        <v>2006</v>
      </c>
      <c r="M57" t="s">
        <v>1105</v>
      </c>
      <c r="N57" t="s">
        <v>1105</v>
      </c>
      <c r="P57" t="s">
        <v>1027</v>
      </c>
      <c r="Q57" t="s">
        <v>1944</v>
      </c>
      <c r="R57" t="s">
        <v>1295</v>
      </c>
      <c r="S57" t="s">
        <v>1264</v>
      </c>
      <c r="T57" t="s">
        <v>1912</v>
      </c>
      <c r="U57" t="s">
        <v>1325</v>
      </c>
      <c r="V57" t="s">
        <v>1540</v>
      </c>
      <c r="W57" t="s">
        <v>1033</v>
      </c>
      <c r="X57" s="1" t="s">
        <v>1541</v>
      </c>
      <c r="Y57" s="2" t="s">
        <v>1735</v>
      </c>
    </row>
    <row r="58" spans="1:25" x14ac:dyDescent="0.2">
      <c r="X58" s="1"/>
      <c r="Y58" s="2"/>
    </row>
    <row r="59" spans="1:25" x14ac:dyDescent="0.2">
      <c r="A59" t="b">
        <v>1</v>
      </c>
      <c r="B59" t="b">
        <v>1</v>
      </c>
      <c r="C59" t="str">
        <f>IF(E59&lt;&gt;"",VLOOKUP(E59,PHA4GEVars!$A$7:$B$241,2,FALSE),"")</f>
        <v>Environmental conditions and measurements</v>
      </c>
      <c r="D59" t="s">
        <v>1754</v>
      </c>
      <c r="E59" t="s">
        <v>136</v>
      </c>
      <c r="F59" t="s">
        <v>31</v>
      </c>
      <c r="G59" t="s">
        <v>963</v>
      </c>
      <c r="I59" t="s">
        <v>957</v>
      </c>
      <c r="M59" t="s">
        <v>127</v>
      </c>
      <c r="N59" t="s">
        <v>127</v>
      </c>
      <c r="P59" t="s">
        <v>1027</v>
      </c>
      <c r="Q59" t="s">
        <v>1332</v>
      </c>
      <c r="U59" t="s">
        <v>1666</v>
      </c>
      <c r="V59" t="s">
        <v>1333</v>
      </c>
      <c r="W59" t="s">
        <v>1033</v>
      </c>
    </row>
    <row r="60" spans="1:25" x14ac:dyDescent="0.2">
      <c r="A60" t="b">
        <v>1</v>
      </c>
      <c r="B60" t="b">
        <v>1</v>
      </c>
      <c r="C60" t="str">
        <f>IF(E60&lt;&gt;"",VLOOKUP(E60,PHA4GEVars!$A$7:$B$241,2,FALSE),"")</f>
        <v>Environmental conditions and measurements</v>
      </c>
      <c r="D60" t="s">
        <v>1754</v>
      </c>
      <c r="E60" t="s">
        <v>141</v>
      </c>
      <c r="F60" t="s">
        <v>41</v>
      </c>
      <c r="G60" t="s">
        <v>967</v>
      </c>
      <c r="I60" t="s">
        <v>957</v>
      </c>
      <c r="M60" t="s">
        <v>127</v>
      </c>
      <c r="N60" t="s">
        <v>127</v>
      </c>
      <c r="P60" t="s">
        <v>1027</v>
      </c>
      <c r="Q60" t="s">
        <v>1334</v>
      </c>
      <c r="U60" t="s">
        <v>1335</v>
      </c>
      <c r="V60" t="s">
        <v>1336</v>
      </c>
      <c r="W60" t="s">
        <v>1033</v>
      </c>
    </row>
    <row r="61" spans="1:25" x14ac:dyDescent="0.2">
      <c r="A61" t="b">
        <v>1</v>
      </c>
      <c r="B61" t="b">
        <v>1</v>
      </c>
      <c r="C61" t="str">
        <f>IF(E61&lt;&gt;"",VLOOKUP(E61,PHA4GEVars!$A$7:$B$241,2,FALSE),"")</f>
        <v>Environmental conditions and measurements</v>
      </c>
      <c r="D61" t="s">
        <v>1754</v>
      </c>
      <c r="E61" t="s">
        <v>1791</v>
      </c>
      <c r="F61" t="s">
        <v>1790</v>
      </c>
      <c r="I61" t="s">
        <v>957</v>
      </c>
      <c r="M61" t="s">
        <v>127</v>
      </c>
      <c r="N61" t="s">
        <v>127</v>
      </c>
      <c r="P61" t="s">
        <v>1026</v>
      </c>
      <c r="Q61" t="s">
        <v>1354</v>
      </c>
      <c r="U61" t="s">
        <v>1803</v>
      </c>
      <c r="V61" t="s">
        <v>1815</v>
      </c>
      <c r="W61" t="s">
        <v>1033</v>
      </c>
      <c r="Y61" t="s">
        <v>1804</v>
      </c>
    </row>
    <row r="62" spans="1:25" x14ac:dyDescent="0.2">
      <c r="A62" t="b">
        <v>1</v>
      </c>
      <c r="B62" t="b">
        <v>1</v>
      </c>
      <c r="C62" t="str">
        <f>IF(E62&lt;&gt;"",VLOOKUP(E62,PHA4GEVars!$A$7:$B$241,2,FALSE),"")</f>
        <v>Environmental conditions and measurements</v>
      </c>
      <c r="D62" t="s">
        <v>1754</v>
      </c>
      <c r="E62" t="s">
        <v>150</v>
      </c>
      <c r="F62" s="15" t="s">
        <v>51</v>
      </c>
      <c r="G62" t="s">
        <v>2046</v>
      </c>
      <c r="I62" t="s">
        <v>957</v>
      </c>
      <c r="M62" t="s">
        <v>127</v>
      </c>
      <c r="N62" t="s">
        <v>127</v>
      </c>
      <c r="P62" t="s">
        <v>1027</v>
      </c>
      <c r="Q62" t="s">
        <v>1355</v>
      </c>
      <c r="U62" t="s">
        <v>1337</v>
      </c>
      <c r="V62" t="s">
        <v>1037</v>
      </c>
      <c r="W62" t="s">
        <v>1033</v>
      </c>
    </row>
    <row r="63" spans="1:25" x14ac:dyDescent="0.2">
      <c r="A63" t="b">
        <v>1</v>
      </c>
      <c r="B63" t="b">
        <v>1</v>
      </c>
      <c r="C63" t="str">
        <f>IF(E63&lt;&gt;"",VLOOKUP(E63,PHA4GEVars!$A$7:$B$241,2,FALSE),"")</f>
        <v>Environmental conditions and measurements</v>
      </c>
      <c r="D63" t="s">
        <v>1754</v>
      </c>
      <c r="E63" t="s">
        <v>151</v>
      </c>
      <c r="F63" t="s">
        <v>2019</v>
      </c>
      <c r="I63" t="s">
        <v>957</v>
      </c>
      <c r="M63" t="s">
        <v>127</v>
      </c>
      <c r="N63" t="s">
        <v>127</v>
      </c>
      <c r="P63" t="s">
        <v>1027</v>
      </c>
      <c r="Q63" t="s">
        <v>1357</v>
      </c>
      <c r="U63" t="s">
        <v>1338</v>
      </c>
      <c r="V63" t="s">
        <v>1347</v>
      </c>
      <c r="W63" t="s">
        <v>1033</v>
      </c>
    </row>
    <row r="64" spans="1:25" x14ac:dyDescent="0.2">
      <c r="A64" t="b">
        <v>1</v>
      </c>
      <c r="B64" t="b">
        <v>1</v>
      </c>
      <c r="C64" t="str">
        <f>IF(E64&lt;&gt;"",VLOOKUP(E64,PHA4GEVars!$A$7:$B$241,2,FALSE),"")</f>
        <v>Environmental conditions and measurements</v>
      </c>
      <c r="D64" t="s">
        <v>1754</v>
      </c>
      <c r="E64" t="s">
        <v>154</v>
      </c>
      <c r="F64" t="s">
        <v>2019</v>
      </c>
      <c r="I64" t="s">
        <v>957</v>
      </c>
      <c r="M64" t="s">
        <v>127</v>
      </c>
      <c r="N64" t="s">
        <v>127</v>
      </c>
      <c r="P64" t="s">
        <v>1027</v>
      </c>
      <c r="Q64" t="s">
        <v>1356</v>
      </c>
      <c r="U64" t="s">
        <v>1339</v>
      </c>
      <c r="V64" t="s">
        <v>1346</v>
      </c>
      <c r="W64" t="s">
        <v>1033</v>
      </c>
    </row>
    <row r="65" spans="1:24" x14ac:dyDescent="0.2">
      <c r="A65" t="b">
        <v>1</v>
      </c>
      <c r="B65" t="b">
        <v>1</v>
      </c>
      <c r="C65" t="str">
        <f>IF(E65&lt;&gt;"",VLOOKUP(E65,PHA4GEVars!$A$7:$B$241,2,FALSE),"")</f>
        <v>Environmental conditions and measurements</v>
      </c>
      <c r="D65" t="s">
        <v>1754</v>
      </c>
      <c r="E65" t="s">
        <v>155</v>
      </c>
      <c r="F65" t="s">
        <v>2019</v>
      </c>
      <c r="I65" t="s">
        <v>957</v>
      </c>
      <c r="M65" t="s">
        <v>127</v>
      </c>
      <c r="N65" t="s">
        <v>127</v>
      </c>
      <c r="P65" t="s">
        <v>1026</v>
      </c>
      <c r="Q65" t="s">
        <v>1358</v>
      </c>
      <c r="U65" t="s">
        <v>1340</v>
      </c>
      <c r="V65" t="s">
        <v>1348</v>
      </c>
      <c r="W65" t="s">
        <v>1033</v>
      </c>
    </row>
    <row r="66" spans="1:24" x14ac:dyDescent="0.2">
      <c r="A66" t="b">
        <v>1</v>
      </c>
      <c r="B66" t="b">
        <v>1</v>
      </c>
      <c r="C66" t="str">
        <f>IF(E66&lt;&gt;"",VLOOKUP(E66,PHA4GEVars!$A$7:$B$241,2,FALSE),"")</f>
        <v>Environmental conditions and measurements</v>
      </c>
      <c r="D66" t="s">
        <v>1754</v>
      </c>
      <c r="E66" t="s">
        <v>156</v>
      </c>
      <c r="F66" t="s">
        <v>33</v>
      </c>
      <c r="G66" t="s">
        <v>964</v>
      </c>
      <c r="I66" t="s">
        <v>957</v>
      </c>
      <c r="M66" t="s">
        <v>127</v>
      </c>
      <c r="N66" t="s">
        <v>127</v>
      </c>
      <c r="P66" t="s">
        <v>1026</v>
      </c>
      <c r="Q66" t="s">
        <v>1359</v>
      </c>
      <c r="U66" t="s">
        <v>1341</v>
      </c>
      <c r="V66" t="s">
        <v>1349</v>
      </c>
      <c r="W66" t="s">
        <v>1033</v>
      </c>
    </row>
    <row r="67" spans="1:24" x14ac:dyDescent="0.2">
      <c r="A67" t="b">
        <v>1</v>
      </c>
      <c r="B67" t="b">
        <v>1</v>
      </c>
      <c r="C67" t="e">
        <f>IF(E67&lt;&gt;"",VLOOKUP(E67,PHA4GEVars!$A$7:$B$241,2,FALSE),"")</f>
        <v>#N/A</v>
      </c>
      <c r="D67" t="s">
        <v>1754</v>
      </c>
      <c r="E67" t="s">
        <v>2068</v>
      </c>
      <c r="F67" t="s">
        <v>2053</v>
      </c>
      <c r="G67" t="s">
        <v>2055</v>
      </c>
      <c r="I67" t="s">
        <v>957</v>
      </c>
      <c r="M67" t="s">
        <v>127</v>
      </c>
      <c r="N67" t="s">
        <v>127</v>
      </c>
      <c r="P67" t="s">
        <v>1027</v>
      </c>
      <c r="Q67" t="s">
        <v>1361</v>
      </c>
      <c r="U67" t="s">
        <v>2069</v>
      </c>
      <c r="V67" t="s">
        <v>2067</v>
      </c>
      <c r="W67" t="s">
        <v>1033</v>
      </c>
    </row>
    <row r="68" spans="1:24" x14ac:dyDescent="0.2">
      <c r="A68" t="b">
        <v>1</v>
      </c>
      <c r="B68" t="b">
        <v>1</v>
      </c>
      <c r="C68" t="e">
        <f>IF(E68&lt;&gt;"",VLOOKUP(E68,PHA4GEVars!$A$7:$B$241,2,FALSE),"")</f>
        <v>#N/A</v>
      </c>
      <c r="D68" t="s">
        <v>1754</v>
      </c>
      <c r="E68" t="s">
        <v>2064</v>
      </c>
      <c r="F68" t="s">
        <v>2056</v>
      </c>
      <c r="G68" t="s">
        <v>2058</v>
      </c>
      <c r="I68" t="s">
        <v>957</v>
      </c>
      <c r="M68" t="s">
        <v>127</v>
      </c>
      <c r="N68" t="s">
        <v>127</v>
      </c>
      <c r="P68" t="s">
        <v>1027</v>
      </c>
      <c r="Q68" t="s">
        <v>1360</v>
      </c>
      <c r="U68" t="s">
        <v>2065</v>
      </c>
      <c r="V68" t="s">
        <v>2063</v>
      </c>
      <c r="W68" t="s">
        <v>1033</v>
      </c>
    </row>
    <row r="69" spans="1:24" x14ac:dyDescent="0.2">
      <c r="A69" t="b">
        <v>1</v>
      </c>
      <c r="B69" t="b">
        <v>1</v>
      </c>
      <c r="C69" t="str">
        <f>IF(E69&lt;&gt;"",VLOOKUP(E69,PHA4GEVars!$A$7:$B$241,2,FALSE),"")</f>
        <v>Environmental conditions and measurements</v>
      </c>
      <c r="D69" t="s">
        <v>1754</v>
      </c>
      <c r="E69" t="s">
        <v>160</v>
      </c>
      <c r="F69" t="s">
        <v>28</v>
      </c>
      <c r="G69" t="s">
        <v>960</v>
      </c>
      <c r="I69" t="s">
        <v>957</v>
      </c>
      <c r="M69" t="s">
        <v>127</v>
      </c>
      <c r="N69" t="s">
        <v>127</v>
      </c>
      <c r="P69" t="s">
        <v>1027</v>
      </c>
      <c r="Q69" t="s">
        <v>1362</v>
      </c>
      <c r="U69" t="s">
        <v>1342</v>
      </c>
      <c r="V69" t="s">
        <v>1350</v>
      </c>
      <c r="W69" t="s">
        <v>1033</v>
      </c>
    </row>
    <row r="70" spans="1:24" x14ac:dyDescent="0.2">
      <c r="A70" t="b">
        <v>1</v>
      </c>
      <c r="B70" t="b">
        <v>1</v>
      </c>
      <c r="C70" t="str">
        <f>IF(E70&lt;&gt;"",VLOOKUP(E70,PHA4GEVars!$A$7:$B$241,2,FALSE),"")</f>
        <v>Environmental conditions and measurements</v>
      </c>
      <c r="D70" t="s">
        <v>1754</v>
      </c>
      <c r="E70" t="s">
        <v>1069</v>
      </c>
      <c r="F70" t="s">
        <v>1071</v>
      </c>
      <c r="G70" t="s">
        <v>1738</v>
      </c>
      <c r="I70" t="s">
        <v>957</v>
      </c>
      <c r="M70" t="s">
        <v>127</v>
      </c>
      <c r="N70" t="s">
        <v>127</v>
      </c>
      <c r="P70" t="s">
        <v>1026</v>
      </c>
      <c r="Q70" t="s">
        <v>1368</v>
      </c>
      <c r="U70" t="s">
        <v>1343</v>
      </c>
      <c r="V70" t="s">
        <v>1351</v>
      </c>
      <c r="W70" t="s">
        <v>1032</v>
      </c>
      <c r="X70" s="1" t="s">
        <v>1369</v>
      </c>
    </row>
    <row r="71" spans="1:24" x14ac:dyDescent="0.2">
      <c r="A71" t="b">
        <v>1</v>
      </c>
      <c r="B71" t="b">
        <v>1</v>
      </c>
      <c r="C71" t="str">
        <f>IF(E71&lt;&gt;"",VLOOKUP(E71,PHA4GEVars!$A$7:$B$241,2,FALSE),"")</f>
        <v>Environmental conditions and measurements</v>
      </c>
      <c r="D71" t="s">
        <v>1754</v>
      </c>
      <c r="E71" t="s">
        <v>1066</v>
      </c>
      <c r="F71" t="s">
        <v>1068</v>
      </c>
      <c r="G71" t="s">
        <v>1739</v>
      </c>
      <c r="I71" t="s">
        <v>957</v>
      </c>
      <c r="M71" t="s">
        <v>127</v>
      </c>
      <c r="N71" t="s">
        <v>127</v>
      </c>
      <c r="P71" t="s">
        <v>1026</v>
      </c>
      <c r="Q71" t="s">
        <v>1368</v>
      </c>
      <c r="U71" t="s">
        <v>1344</v>
      </c>
      <c r="V71" t="s">
        <v>1352</v>
      </c>
      <c r="W71" t="s">
        <v>1033</v>
      </c>
      <c r="X71" s="1" t="s">
        <v>1369</v>
      </c>
    </row>
    <row r="72" spans="1:24" x14ac:dyDescent="0.2">
      <c r="A72" t="b">
        <v>1</v>
      </c>
      <c r="B72" t="b">
        <v>1</v>
      </c>
      <c r="C72" t="e">
        <f>IF(E72&lt;&gt;"",VLOOKUP(E72,PHA4GEVars!$A$7:$B$241,2,FALSE),"")</f>
        <v>#N/A</v>
      </c>
      <c r="D72" t="s">
        <v>1754</v>
      </c>
      <c r="E72" t="s">
        <v>2083</v>
      </c>
      <c r="F72" t="s">
        <v>2060</v>
      </c>
      <c r="G72" t="s">
        <v>2061</v>
      </c>
      <c r="I72" t="s">
        <v>957</v>
      </c>
      <c r="M72" t="s">
        <v>127</v>
      </c>
      <c r="N72" t="s">
        <v>127</v>
      </c>
      <c r="P72" t="s">
        <v>1027</v>
      </c>
      <c r="Q72" t="s">
        <v>1363</v>
      </c>
      <c r="U72" t="s">
        <v>2094</v>
      </c>
      <c r="V72" t="s">
        <v>2095</v>
      </c>
      <c r="W72" t="s">
        <v>1033</v>
      </c>
    </row>
    <row r="73" spans="1:24" x14ac:dyDescent="0.2">
      <c r="A73" t="b">
        <v>1</v>
      </c>
      <c r="B73" t="b">
        <v>1</v>
      </c>
      <c r="C73" t="e">
        <f>IF(E73&lt;&gt;"",VLOOKUP(E73,PHA4GEVars!$A$7:$B$241,2,FALSE),"")</f>
        <v>#N/A</v>
      </c>
      <c r="D73" t="s">
        <v>1754</v>
      </c>
      <c r="E73" t="s">
        <v>2075</v>
      </c>
      <c r="F73" t="s">
        <v>2070</v>
      </c>
      <c r="G73" t="s">
        <v>2072</v>
      </c>
      <c r="I73" t="s">
        <v>957</v>
      </c>
      <c r="M73" t="s">
        <v>127</v>
      </c>
      <c r="N73" t="s">
        <v>127</v>
      </c>
      <c r="P73" t="s">
        <v>1027</v>
      </c>
      <c r="Q73" t="s">
        <v>1364</v>
      </c>
      <c r="U73" t="s">
        <v>2076</v>
      </c>
      <c r="V73" t="s">
        <v>2077</v>
      </c>
      <c r="W73" t="s">
        <v>1033</v>
      </c>
    </row>
    <row r="74" spans="1:24" x14ac:dyDescent="0.2">
      <c r="A74" t="b">
        <v>1</v>
      </c>
      <c r="B74" t="b">
        <v>1</v>
      </c>
      <c r="C74" t="e">
        <f>IF(E74&lt;&gt;"",VLOOKUP(E74,PHA4GEVars!$A$7:$B$241,2,FALSE),"")</f>
        <v>#N/A</v>
      </c>
      <c r="D74" t="s">
        <v>1754</v>
      </c>
      <c r="E74" t="s">
        <v>2082</v>
      </c>
      <c r="F74" t="s">
        <v>2078</v>
      </c>
      <c r="G74" t="s">
        <v>2080</v>
      </c>
      <c r="I74" t="s">
        <v>957</v>
      </c>
      <c r="M74" t="s">
        <v>127</v>
      </c>
      <c r="N74" t="s">
        <v>127</v>
      </c>
      <c r="P74" t="s">
        <v>1027</v>
      </c>
      <c r="Q74" t="s">
        <v>1365</v>
      </c>
      <c r="U74" t="s">
        <v>2084</v>
      </c>
      <c r="V74" t="s">
        <v>2085</v>
      </c>
      <c r="W74" t="s">
        <v>1033</v>
      </c>
    </row>
    <row r="75" spans="1:24" x14ac:dyDescent="0.2">
      <c r="A75" t="b">
        <v>1</v>
      </c>
      <c r="B75" t="b">
        <v>1</v>
      </c>
      <c r="C75" t="e">
        <f>IF(E75&lt;&gt;"",VLOOKUP(E75,PHA4GEVars!$A$7:$B$241,2,FALSE),"")</f>
        <v>#N/A</v>
      </c>
      <c r="D75" t="s">
        <v>1754</v>
      </c>
      <c r="E75" t="s">
        <v>2090</v>
      </c>
      <c r="F75" t="s">
        <v>2087</v>
      </c>
      <c r="G75" t="s">
        <v>2088</v>
      </c>
      <c r="I75" t="s">
        <v>957</v>
      </c>
      <c r="M75" t="s">
        <v>127</v>
      </c>
      <c r="N75" t="s">
        <v>127</v>
      </c>
      <c r="P75" t="s">
        <v>1027</v>
      </c>
      <c r="Q75" t="s">
        <v>1366</v>
      </c>
      <c r="U75" t="s">
        <v>2091</v>
      </c>
      <c r="V75" t="s">
        <v>2092</v>
      </c>
      <c r="W75" t="s">
        <v>1033</v>
      </c>
    </row>
    <row r="76" spans="1:24" x14ac:dyDescent="0.2">
      <c r="A76" t="b">
        <v>1</v>
      </c>
      <c r="B76" t="b">
        <v>1</v>
      </c>
      <c r="C76" t="str">
        <f>IF(E76&lt;&gt;"",VLOOKUP(E76,PHA4GEVars!$A$7:$B$241,2,FALSE),"")</f>
        <v>Environmental conditions and measurements</v>
      </c>
      <c r="D76" t="s">
        <v>1754</v>
      </c>
      <c r="E76" t="s">
        <v>165</v>
      </c>
      <c r="F76" t="s">
        <v>40</v>
      </c>
      <c r="G76" t="s">
        <v>966</v>
      </c>
      <c r="I76" t="s">
        <v>957</v>
      </c>
      <c r="M76" t="s">
        <v>127</v>
      </c>
      <c r="N76" t="s">
        <v>127</v>
      </c>
      <c r="P76" t="s">
        <v>1027</v>
      </c>
      <c r="Q76" t="s">
        <v>1367</v>
      </c>
      <c r="U76" t="s">
        <v>1345</v>
      </c>
      <c r="V76" t="s">
        <v>1353</v>
      </c>
      <c r="W76" t="s">
        <v>1033</v>
      </c>
    </row>
    <row r="77" spans="1:24" x14ac:dyDescent="0.2">
      <c r="C77" t="str">
        <f>IF(E77&lt;&gt;"",VLOOKUP(E77,PHA4GEVars!$A$7:$B$241,2,FALSE),"")</f>
        <v/>
      </c>
    </row>
    <row r="78" spans="1:24" s="17" customFormat="1" x14ac:dyDescent="0.2">
      <c r="A78" s="17" t="b">
        <v>1</v>
      </c>
      <c r="B78" s="17" t="b">
        <v>1</v>
      </c>
      <c r="C78" s="17" t="e">
        <f>IF(E78&lt;&gt;"",VLOOKUP(E78,PHA4GEVars!$A$7:$B$241,2,FALSE),"")</f>
        <v>#N/A</v>
      </c>
      <c r="D78" s="17" t="s">
        <v>1754</v>
      </c>
      <c r="E78" s="17" t="s">
        <v>1978</v>
      </c>
      <c r="H78" s="17" t="s">
        <v>1150</v>
      </c>
      <c r="I78" s="17" t="s">
        <v>957</v>
      </c>
      <c r="J78" s="17" t="b">
        <v>1</v>
      </c>
      <c r="M78" s="17" t="s">
        <v>1105</v>
      </c>
      <c r="N78" s="17" t="s">
        <v>1105</v>
      </c>
      <c r="P78" s="17" t="s">
        <v>1027</v>
      </c>
      <c r="Q78" s="17" t="s">
        <v>1944</v>
      </c>
      <c r="R78" s="17" t="s">
        <v>1295</v>
      </c>
      <c r="S78" s="17" t="s">
        <v>1620</v>
      </c>
      <c r="T78" s="17" t="s">
        <v>1912</v>
      </c>
      <c r="U78" s="17" t="s">
        <v>1981</v>
      </c>
      <c r="V78" s="17" t="s">
        <v>1370</v>
      </c>
      <c r="W78" s="17" t="s">
        <v>1033</v>
      </c>
      <c r="X78" s="19" t="s">
        <v>1373</v>
      </c>
    </row>
    <row r="79" spans="1:24" s="17" customFormat="1" x14ac:dyDescent="0.2">
      <c r="A79" s="17" t="b">
        <v>1</v>
      </c>
      <c r="B79" s="17" t="b">
        <v>1</v>
      </c>
      <c r="C79" s="17" t="e">
        <f>IF(E79&lt;&gt;"",VLOOKUP(E79,PHA4GEVars!$A$7:$B$241,2,FALSE),"")</f>
        <v>#N/A</v>
      </c>
      <c r="D79" s="17" t="s">
        <v>1754</v>
      </c>
      <c r="E79" s="17" t="s">
        <v>1978</v>
      </c>
      <c r="H79" s="17" t="s">
        <v>1151</v>
      </c>
      <c r="I79" s="17" t="s">
        <v>957</v>
      </c>
      <c r="J79" s="17" t="b">
        <v>0</v>
      </c>
      <c r="M79" s="17" t="s">
        <v>1105</v>
      </c>
      <c r="N79" s="17" t="s">
        <v>1105</v>
      </c>
      <c r="P79" s="17" t="s">
        <v>1027</v>
      </c>
      <c r="Q79" s="17" t="s">
        <v>1944</v>
      </c>
      <c r="R79" s="17" t="s">
        <v>1295</v>
      </c>
      <c r="S79" s="17" t="s">
        <v>1620</v>
      </c>
      <c r="T79" s="17" t="s">
        <v>1912</v>
      </c>
      <c r="U79" s="17" t="s">
        <v>1981</v>
      </c>
      <c r="V79" s="17" t="s">
        <v>1370</v>
      </c>
      <c r="W79" s="17" t="s">
        <v>1033</v>
      </c>
      <c r="X79" s="19" t="s">
        <v>1373</v>
      </c>
    </row>
    <row r="80" spans="1:24" s="17" customFormat="1" x14ac:dyDescent="0.2">
      <c r="A80" s="17" t="b">
        <v>1</v>
      </c>
      <c r="B80" s="17" t="b">
        <v>1</v>
      </c>
      <c r="C80" s="17" t="e">
        <f>IF(E80&lt;&gt;"",VLOOKUP(E80,PHA4GEVars!$A$7:$B$241,2,FALSE),"")</f>
        <v>#N/A</v>
      </c>
      <c r="D80" s="17" t="s">
        <v>1754</v>
      </c>
      <c r="E80" s="17" t="s">
        <v>1979</v>
      </c>
      <c r="H80" s="17" t="s">
        <v>1150</v>
      </c>
      <c r="I80" s="17" t="s">
        <v>957</v>
      </c>
      <c r="J80" s="17" t="b">
        <v>1</v>
      </c>
      <c r="M80" s="17" t="s">
        <v>1105</v>
      </c>
      <c r="N80" s="17" t="s">
        <v>1105</v>
      </c>
      <c r="P80" s="17" t="s">
        <v>1027</v>
      </c>
      <c r="Q80" s="17" t="s">
        <v>1944</v>
      </c>
      <c r="R80" s="17" t="s">
        <v>1295</v>
      </c>
      <c r="S80" s="17" t="s">
        <v>1620</v>
      </c>
      <c r="T80" s="17" t="s">
        <v>1912</v>
      </c>
      <c r="U80" s="17" t="s">
        <v>1982</v>
      </c>
      <c r="V80" s="17" t="s">
        <v>1370</v>
      </c>
      <c r="W80" s="17" t="s">
        <v>1033</v>
      </c>
      <c r="X80" s="19" t="s">
        <v>1373</v>
      </c>
    </row>
    <row r="81" spans="1:25" s="17" customFormat="1" x14ac:dyDescent="0.2">
      <c r="A81" s="17" t="b">
        <v>1</v>
      </c>
      <c r="B81" s="17" t="b">
        <v>1</v>
      </c>
      <c r="C81" s="17" t="e">
        <f>IF(E81&lt;&gt;"",VLOOKUP(E81,PHA4GEVars!$A$7:$B$241,2,FALSE),"")</f>
        <v>#N/A</v>
      </c>
      <c r="D81" s="17" t="s">
        <v>1754</v>
      </c>
      <c r="E81" s="17" t="s">
        <v>1979</v>
      </c>
      <c r="H81" s="17" t="s">
        <v>1151</v>
      </c>
      <c r="I81" s="17" t="s">
        <v>957</v>
      </c>
      <c r="J81" s="17" t="b">
        <v>0</v>
      </c>
      <c r="M81" s="17" t="s">
        <v>1105</v>
      </c>
      <c r="N81" s="17" t="s">
        <v>1105</v>
      </c>
      <c r="P81" s="17" t="s">
        <v>1027</v>
      </c>
      <c r="Q81" s="17" t="s">
        <v>1944</v>
      </c>
      <c r="R81" s="17" t="s">
        <v>1295</v>
      </c>
      <c r="S81" s="17" t="s">
        <v>1620</v>
      </c>
      <c r="T81" s="17" t="s">
        <v>1912</v>
      </c>
      <c r="U81" s="17" t="s">
        <v>1982</v>
      </c>
      <c r="V81" s="17" t="s">
        <v>1370</v>
      </c>
      <c r="W81" s="17" t="s">
        <v>1033</v>
      </c>
      <c r="X81" s="19" t="s">
        <v>1373</v>
      </c>
    </row>
    <row r="82" spans="1:25" s="17" customFormat="1" x14ac:dyDescent="0.2">
      <c r="A82" s="17" t="b">
        <v>1</v>
      </c>
      <c r="B82" s="17" t="b">
        <v>1</v>
      </c>
      <c r="C82" s="17" t="e">
        <f>IF(E82&lt;&gt;"",VLOOKUP(E82,PHA4GEVars!$A$7:$B$241,2,FALSE),"")</f>
        <v>#N/A</v>
      </c>
      <c r="D82" s="17" t="s">
        <v>1754</v>
      </c>
      <c r="E82" s="17" t="s">
        <v>1980</v>
      </c>
      <c r="H82" s="17" t="s">
        <v>1150</v>
      </c>
      <c r="I82" s="17" t="s">
        <v>957</v>
      </c>
      <c r="J82" s="17" t="b">
        <v>1</v>
      </c>
      <c r="M82" s="17" t="s">
        <v>1105</v>
      </c>
      <c r="N82" s="17" t="s">
        <v>1105</v>
      </c>
      <c r="P82" s="17" t="s">
        <v>1027</v>
      </c>
      <c r="Q82" s="17" t="s">
        <v>1944</v>
      </c>
      <c r="R82" s="17" t="s">
        <v>1295</v>
      </c>
      <c r="S82" s="17" t="s">
        <v>1620</v>
      </c>
      <c r="T82" s="17" t="s">
        <v>1912</v>
      </c>
      <c r="U82" s="17" t="s">
        <v>1983</v>
      </c>
      <c r="V82" s="17" t="s">
        <v>1370</v>
      </c>
      <c r="W82" s="17" t="s">
        <v>1033</v>
      </c>
      <c r="X82" s="19" t="s">
        <v>1373</v>
      </c>
    </row>
    <row r="83" spans="1:25" s="17" customFormat="1" x14ac:dyDescent="0.2">
      <c r="A83" s="17" t="b">
        <v>1</v>
      </c>
      <c r="B83" s="17" t="b">
        <v>1</v>
      </c>
      <c r="C83" s="17" t="e">
        <f>IF(E83&lt;&gt;"",VLOOKUP(E83,PHA4GEVars!$A$7:$B$241,2,FALSE),"")</f>
        <v>#N/A</v>
      </c>
      <c r="D83" s="17" t="s">
        <v>1754</v>
      </c>
      <c r="E83" s="17" t="s">
        <v>1980</v>
      </c>
      <c r="H83" s="17" t="s">
        <v>1151</v>
      </c>
      <c r="I83" s="17" t="s">
        <v>957</v>
      </c>
      <c r="J83" s="17" t="b">
        <v>0</v>
      </c>
      <c r="M83" s="17" t="s">
        <v>1105</v>
      </c>
      <c r="N83" s="17" t="s">
        <v>1105</v>
      </c>
      <c r="P83" s="17" t="s">
        <v>1027</v>
      </c>
      <c r="Q83" s="17" t="s">
        <v>1944</v>
      </c>
      <c r="R83" s="17" t="s">
        <v>1295</v>
      </c>
      <c r="S83" s="17" t="s">
        <v>1620</v>
      </c>
      <c r="T83" s="17" t="s">
        <v>1912</v>
      </c>
      <c r="U83" s="17" t="s">
        <v>1983</v>
      </c>
      <c r="V83" s="17" t="s">
        <v>1370</v>
      </c>
      <c r="W83" s="17" t="s">
        <v>1033</v>
      </c>
      <c r="X83" s="19" t="s">
        <v>1373</v>
      </c>
    </row>
    <row r="84" spans="1:25" x14ac:dyDescent="0.2">
      <c r="C84" t="str">
        <f>IF(E84&lt;&gt;"",VLOOKUP(E84,PHA4GEVars!$A$7:$B$241,2,FALSE),"")</f>
        <v/>
      </c>
      <c r="X84" s="1"/>
    </row>
    <row r="85" spans="1:25" x14ac:dyDescent="0.2">
      <c r="A85" t="b">
        <v>1</v>
      </c>
      <c r="B85" t="b">
        <v>1</v>
      </c>
      <c r="C85" t="e">
        <f>IF(E85&lt;&gt;"",VLOOKUP(E85,PHA4GEVars!$A$7:$B$241,2,FALSE),"")</f>
        <v>#N/A</v>
      </c>
      <c r="D85" t="s">
        <v>1754</v>
      </c>
      <c r="E85" t="s">
        <v>1945</v>
      </c>
      <c r="I85" t="s">
        <v>957</v>
      </c>
      <c r="M85" t="s">
        <v>1105</v>
      </c>
      <c r="N85" t="s">
        <v>1105</v>
      </c>
      <c r="P85" t="s">
        <v>1027</v>
      </c>
      <c r="Q85" t="s">
        <v>1944</v>
      </c>
      <c r="R85" t="s">
        <v>1295</v>
      </c>
      <c r="S85" t="s">
        <v>1620</v>
      </c>
      <c r="T85" t="s">
        <v>1912</v>
      </c>
      <c r="U85" t="s">
        <v>1950</v>
      </c>
      <c r="V85" t="s">
        <v>1953</v>
      </c>
      <c r="W85" t="s">
        <v>1033</v>
      </c>
      <c r="X85" s="1" t="s">
        <v>1374</v>
      </c>
      <c r="Y85" t="s">
        <v>1828</v>
      </c>
    </row>
    <row r="86" spans="1:25" x14ac:dyDescent="0.2">
      <c r="A86" t="b">
        <v>1</v>
      </c>
      <c r="B86" t="b">
        <v>1</v>
      </c>
      <c r="C86" t="e">
        <f>IF(E86&lt;&gt;"",VLOOKUP(E86,PHA4GEVars!$A$7:$B$241,2,FALSE),"")</f>
        <v>#N/A</v>
      </c>
      <c r="D86" t="s">
        <v>1754</v>
      </c>
      <c r="E86" t="s">
        <v>1946</v>
      </c>
      <c r="I86" t="s">
        <v>957</v>
      </c>
      <c r="M86" t="s">
        <v>1105</v>
      </c>
      <c r="N86" t="s">
        <v>1105</v>
      </c>
      <c r="P86" t="s">
        <v>1027</v>
      </c>
      <c r="Q86" t="s">
        <v>1948</v>
      </c>
      <c r="R86" t="s">
        <v>1295</v>
      </c>
      <c r="S86" t="s">
        <v>1620</v>
      </c>
      <c r="T86" t="s">
        <v>1912</v>
      </c>
      <c r="U86" t="s">
        <v>1951</v>
      </c>
      <c r="V86" t="s">
        <v>1954</v>
      </c>
      <c r="W86" t="s">
        <v>1033</v>
      </c>
      <c r="X86" s="1" t="s">
        <v>1374</v>
      </c>
      <c r="Y86" t="s">
        <v>1828</v>
      </c>
    </row>
    <row r="87" spans="1:25" x14ac:dyDescent="0.2">
      <c r="A87" t="b">
        <v>1</v>
      </c>
      <c r="B87" t="b">
        <v>1</v>
      </c>
      <c r="C87" t="e">
        <f>IF(E87&lt;&gt;"",VLOOKUP(E87,PHA4GEVars!$A$7:$B$241,2,FALSE),"")</f>
        <v>#N/A</v>
      </c>
      <c r="D87" t="s">
        <v>1754</v>
      </c>
      <c r="E87" t="s">
        <v>1947</v>
      </c>
      <c r="I87" t="s">
        <v>957</v>
      </c>
      <c r="M87" t="s">
        <v>1105</v>
      </c>
      <c r="N87" t="s">
        <v>1105</v>
      </c>
      <c r="P87" t="s">
        <v>1027</v>
      </c>
      <c r="Q87" t="s">
        <v>1949</v>
      </c>
      <c r="R87" t="s">
        <v>1295</v>
      </c>
      <c r="S87" t="s">
        <v>1620</v>
      </c>
      <c r="T87" t="s">
        <v>1912</v>
      </c>
      <c r="U87" t="s">
        <v>1952</v>
      </c>
      <c r="V87" t="s">
        <v>1955</v>
      </c>
      <c r="W87" t="s">
        <v>1033</v>
      </c>
      <c r="X87" s="1" t="s">
        <v>1374</v>
      </c>
      <c r="Y87" t="s">
        <v>1828</v>
      </c>
    </row>
    <row r="88" spans="1:25" x14ac:dyDescent="0.2">
      <c r="C88" t="str">
        <f>IF(E88&lt;&gt;"",VLOOKUP(E88,PHA4GEVars!$A$7:$B$241,2,FALSE),"")</f>
        <v/>
      </c>
    </row>
    <row r="89" spans="1:25" x14ac:dyDescent="0.2">
      <c r="A89" t="b">
        <v>1</v>
      </c>
      <c r="B89" t="b">
        <v>1</v>
      </c>
      <c r="C89" t="str">
        <f>IF(E89&lt;&gt;"",VLOOKUP(E89,PHA4GEVars!$A$7:$B$241,2,FALSE),"")</f>
        <v>Sample collection and processing</v>
      </c>
      <c r="D89" t="s">
        <v>1754</v>
      </c>
      <c r="E89" t="s">
        <v>152</v>
      </c>
      <c r="I89" t="s">
        <v>957</v>
      </c>
      <c r="M89" t="s">
        <v>127</v>
      </c>
      <c r="N89" t="s">
        <v>127</v>
      </c>
      <c r="O89" t="s">
        <v>1294</v>
      </c>
      <c r="P89" t="s">
        <v>1027</v>
      </c>
      <c r="Q89" t="s">
        <v>1439</v>
      </c>
      <c r="U89" t="s">
        <v>1444</v>
      </c>
      <c r="V89" t="s">
        <v>1445</v>
      </c>
      <c r="W89" t="s">
        <v>1032</v>
      </c>
      <c r="X89" s="1" t="s">
        <v>1443</v>
      </c>
    </row>
    <row r="90" spans="1:25" x14ac:dyDescent="0.2">
      <c r="X90" s="1"/>
    </row>
    <row r="91" spans="1:25" x14ac:dyDescent="0.2">
      <c r="A91" t="b">
        <v>1</v>
      </c>
      <c r="B91" t="b">
        <v>1</v>
      </c>
      <c r="C91" t="str">
        <f>IF(E91&lt;&gt;"",VLOOKUP(E91,PHA4GEVars!$A$7:$B$241,2,FALSE),"")</f>
        <v>Sample collection and processing</v>
      </c>
      <c r="D91" t="s">
        <v>1754</v>
      </c>
      <c r="E91" t="s">
        <v>153</v>
      </c>
      <c r="I91" t="s">
        <v>957</v>
      </c>
      <c r="M91" t="s">
        <v>127</v>
      </c>
      <c r="N91" t="s">
        <v>127</v>
      </c>
      <c r="O91" s="17" t="s">
        <v>1294</v>
      </c>
      <c r="P91" t="s">
        <v>1027</v>
      </c>
      <c r="Q91" t="s">
        <v>1440</v>
      </c>
      <c r="U91" t="s">
        <v>1442</v>
      </c>
      <c r="V91" t="s">
        <v>1441</v>
      </c>
      <c r="W91" t="s">
        <v>1032</v>
      </c>
      <c r="X91" s="1" t="s">
        <v>1443</v>
      </c>
    </row>
    <row r="92" spans="1:25" x14ac:dyDescent="0.2">
      <c r="C92" t="str">
        <f>IF(E92&lt;&gt;"",VLOOKUP(E92,PHA4GEVars!$A$7:$B$241,2,FALSE),"")</f>
        <v/>
      </c>
    </row>
    <row r="93" spans="1:25" x14ac:dyDescent="0.2">
      <c r="A93" t="b">
        <v>1</v>
      </c>
      <c r="B93" t="b">
        <v>1</v>
      </c>
      <c r="C93" t="str">
        <f>IF(E93&lt;&gt;"",VLOOKUP(E93,PHA4GEVars!$A$7:$B$241,2,FALSE),"")</f>
        <v>Sample collection and processing</v>
      </c>
      <c r="D93" t="s">
        <v>1754</v>
      </c>
      <c r="E93" t="s">
        <v>119</v>
      </c>
      <c r="H93" t="s">
        <v>1843</v>
      </c>
      <c r="I93" t="s">
        <v>957</v>
      </c>
      <c r="J93" t="s">
        <v>1480</v>
      </c>
      <c r="M93" t="s">
        <v>127</v>
      </c>
      <c r="N93" t="s">
        <v>127</v>
      </c>
      <c r="O93" t="s">
        <v>1294</v>
      </c>
      <c r="P93" t="s">
        <v>1026</v>
      </c>
      <c r="Q93" t="s">
        <v>1491</v>
      </c>
      <c r="U93" t="s">
        <v>1658</v>
      </c>
      <c r="V93" t="s">
        <v>1037</v>
      </c>
      <c r="W93" t="s">
        <v>1032</v>
      </c>
    </row>
    <row r="94" spans="1:25" x14ac:dyDescent="0.2">
      <c r="A94" t="b">
        <v>1</v>
      </c>
      <c r="B94" t="b">
        <v>1</v>
      </c>
      <c r="C94" t="str">
        <f>IF(E94&lt;&gt;"",VLOOKUP(E94,PHA4GEVars!$A$7:$B$241,2,FALSE),"")</f>
        <v>Sample collection and processing</v>
      </c>
      <c r="D94" t="s">
        <v>1754</v>
      </c>
      <c r="E94" t="s">
        <v>119</v>
      </c>
      <c r="H94" t="s">
        <v>1844</v>
      </c>
      <c r="I94" t="s">
        <v>957</v>
      </c>
      <c r="J94" t="s">
        <v>1481</v>
      </c>
      <c r="M94" t="s">
        <v>127</v>
      </c>
      <c r="N94" t="s">
        <v>127</v>
      </c>
      <c r="O94" t="s">
        <v>1294</v>
      </c>
      <c r="P94" t="s">
        <v>1026</v>
      </c>
      <c r="Q94" t="s">
        <v>1491</v>
      </c>
      <c r="U94" t="s">
        <v>1658</v>
      </c>
      <c r="V94" t="s">
        <v>1037</v>
      </c>
      <c r="W94" t="s">
        <v>1032</v>
      </c>
    </row>
    <row r="95" spans="1:25" x14ac:dyDescent="0.2">
      <c r="A95" t="b">
        <v>1</v>
      </c>
      <c r="B95" t="b">
        <v>1</v>
      </c>
      <c r="C95" t="str">
        <f>IF(E95&lt;&gt;"",VLOOKUP(E95,PHA4GEVars!$A$7:$B$241,2,FALSE),"")</f>
        <v>Sample collection and processing</v>
      </c>
      <c r="D95" t="s">
        <v>1754</v>
      </c>
      <c r="E95" t="s">
        <v>119</v>
      </c>
      <c r="H95" t="s">
        <v>1845</v>
      </c>
      <c r="I95" t="s">
        <v>957</v>
      </c>
      <c r="J95" t="s">
        <v>1482</v>
      </c>
      <c r="M95" t="s">
        <v>127</v>
      </c>
      <c r="N95" t="s">
        <v>127</v>
      </c>
      <c r="O95" t="s">
        <v>1294</v>
      </c>
      <c r="P95" t="s">
        <v>1026</v>
      </c>
      <c r="Q95" t="s">
        <v>1491</v>
      </c>
      <c r="U95" t="s">
        <v>1658</v>
      </c>
      <c r="V95" t="s">
        <v>1037</v>
      </c>
      <c r="W95" t="s">
        <v>1032</v>
      </c>
    </row>
    <row r="96" spans="1:25" x14ac:dyDescent="0.2">
      <c r="A96" t="b">
        <v>1</v>
      </c>
      <c r="B96" t="b">
        <v>1</v>
      </c>
      <c r="C96" t="str">
        <f>IF(E96&lt;&gt;"",VLOOKUP(E96,PHA4GEVars!$A$7:$B$241,2,FALSE),"")</f>
        <v>Sample collection and processing</v>
      </c>
      <c r="D96" t="s">
        <v>1754</v>
      </c>
      <c r="E96" t="s">
        <v>119</v>
      </c>
      <c r="H96" t="s">
        <v>246</v>
      </c>
      <c r="I96" t="s">
        <v>957</v>
      </c>
      <c r="J96" t="s">
        <v>1483</v>
      </c>
      <c r="M96" t="s">
        <v>127</v>
      </c>
      <c r="N96" t="s">
        <v>127</v>
      </c>
      <c r="O96" t="s">
        <v>1294</v>
      </c>
      <c r="P96" t="s">
        <v>1026</v>
      </c>
      <c r="Q96" t="s">
        <v>1491</v>
      </c>
      <c r="U96" t="s">
        <v>1658</v>
      </c>
      <c r="V96" t="s">
        <v>1037</v>
      </c>
      <c r="W96" t="s">
        <v>1032</v>
      </c>
    </row>
    <row r="97" spans="1:24" x14ac:dyDescent="0.2">
      <c r="A97" t="b">
        <v>1</v>
      </c>
      <c r="B97" t="b">
        <v>1</v>
      </c>
      <c r="C97" t="str">
        <f>IF(E97&lt;&gt;"",VLOOKUP(E97,PHA4GEVars!$A$7:$B$241,2,FALSE),"")</f>
        <v>Sample collection and processing</v>
      </c>
      <c r="D97" t="s">
        <v>1754</v>
      </c>
      <c r="E97" t="s">
        <v>119</v>
      </c>
      <c r="H97" t="s">
        <v>1846</v>
      </c>
      <c r="I97" t="s">
        <v>957</v>
      </c>
      <c r="J97" t="s">
        <v>1484</v>
      </c>
      <c r="M97" t="s">
        <v>127</v>
      </c>
      <c r="N97" t="s">
        <v>127</v>
      </c>
      <c r="O97" t="s">
        <v>1294</v>
      </c>
      <c r="P97" t="s">
        <v>1026</v>
      </c>
      <c r="Q97" t="s">
        <v>1491</v>
      </c>
      <c r="U97" t="s">
        <v>1658</v>
      </c>
      <c r="V97" t="s">
        <v>1037</v>
      </c>
      <c r="W97" t="s">
        <v>1032</v>
      </c>
    </row>
    <row r="98" spans="1:24" x14ac:dyDescent="0.2">
      <c r="A98" t="b">
        <v>1</v>
      </c>
      <c r="B98" t="b">
        <v>1</v>
      </c>
      <c r="C98" t="str">
        <f>IF(E98&lt;&gt;"",VLOOKUP(E98,PHA4GEVars!$A$7:$B$241,2,FALSE),"")</f>
        <v>Sample collection and processing</v>
      </c>
      <c r="D98" t="s">
        <v>1754</v>
      </c>
      <c r="E98" t="s">
        <v>119</v>
      </c>
      <c r="H98" t="s">
        <v>1132</v>
      </c>
      <c r="I98" t="s">
        <v>957</v>
      </c>
      <c r="J98" t="s">
        <v>1485</v>
      </c>
      <c r="M98" t="s">
        <v>127</v>
      </c>
      <c r="N98" t="s">
        <v>127</v>
      </c>
      <c r="O98" t="s">
        <v>1294</v>
      </c>
      <c r="P98" t="s">
        <v>1026</v>
      </c>
      <c r="Q98" t="s">
        <v>1491</v>
      </c>
      <c r="U98" t="s">
        <v>1658</v>
      </c>
      <c r="V98" t="s">
        <v>1037</v>
      </c>
      <c r="W98" t="s">
        <v>1032</v>
      </c>
    </row>
    <row r="99" spans="1:24" x14ac:dyDescent="0.2">
      <c r="A99" t="b">
        <v>1</v>
      </c>
      <c r="B99" t="b">
        <v>1</v>
      </c>
      <c r="C99" t="str">
        <f>IF(E99&lt;&gt;"",VLOOKUP(E99,PHA4GEVars!$A$7:$B$241,2,FALSE),"")</f>
        <v>Sample collection and processing</v>
      </c>
      <c r="D99" t="s">
        <v>1754</v>
      </c>
      <c r="E99" t="s">
        <v>119</v>
      </c>
      <c r="H99" t="s">
        <v>1847</v>
      </c>
      <c r="I99" t="s">
        <v>957</v>
      </c>
      <c r="J99" t="s">
        <v>1486</v>
      </c>
      <c r="M99" t="s">
        <v>127</v>
      </c>
      <c r="N99" t="s">
        <v>127</v>
      </c>
      <c r="O99" t="s">
        <v>1294</v>
      </c>
      <c r="P99" t="s">
        <v>1026</v>
      </c>
      <c r="Q99" t="s">
        <v>1491</v>
      </c>
      <c r="U99" t="s">
        <v>1658</v>
      </c>
      <c r="V99" t="s">
        <v>1037</v>
      </c>
      <c r="W99" t="s">
        <v>1032</v>
      </c>
    </row>
    <row r="100" spans="1:24" x14ac:dyDescent="0.2">
      <c r="A100" t="b">
        <v>1</v>
      </c>
      <c r="B100" t="b">
        <v>1</v>
      </c>
      <c r="C100" t="str">
        <f>IF(E100&lt;&gt;"",VLOOKUP(E100,PHA4GEVars!$A$7:$B$241,2,FALSE),"")</f>
        <v>Sample collection and processing</v>
      </c>
      <c r="D100" t="s">
        <v>1754</v>
      </c>
      <c r="E100" t="s">
        <v>119</v>
      </c>
      <c r="H100" t="s">
        <v>247</v>
      </c>
      <c r="I100" t="s">
        <v>957</v>
      </c>
      <c r="J100" t="s">
        <v>1487</v>
      </c>
      <c r="M100" t="s">
        <v>127</v>
      </c>
      <c r="N100" t="s">
        <v>127</v>
      </c>
      <c r="O100" t="s">
        <v>1294</v>
      </c>
      <c r="P100" t="s">
        <v>1026</v>
      </c>
      <c r="Q100" t="s">
        <v>1491</v>
      </c>
      <c r="U100" t="s">
        <v>1658</v>
      </c>
      <c r="V100" t="s">
        <v>1037</v>
      </c>
      <c r="W100" t="s">
        <v>1032</v>
      </c>
    </row>
    <row r="101" spans="1:24" x14ac:dyDescent="0.2">
      <c r="A101" t="b">
        <v>1</v>
      </c>
      <c r="B101" t="b">
        <v>1</v>
      </c>
      <c r="C101" t="str">
        <f>IF(E101&lt;&gt;"",VLOOKUP(E101,PHA4GEVars!$A$7:$B$241,2,FALSE),"")</f>
        <v>Sample collection and processing</v>
      </c>
      <c r="D101" t="s">
        <v>1754</v>
      </c>
      <c r="E101" t="s">
        <v>119</v>
      </c>
      <c r="H101" t="s">
        <v>248</v>
      </c>
      <c r="I101" t="s">
        <v>957</v>
      </c>
      <c r="J101" t="s">
        <v>1488</v>
      </c>
      <c r="M101" t="s">
        <v>127</v>
      </c>
      <c r="N101" t="s">
        <v>127</v>
      </c>
      <c r="O101" t="s">
        <v>1294</v>
      </c>
      <c r="P101" t="s">
        <v>1026</v>
      </c>
      <c r="Q101" t="s">
        <v>1491</v>
      </c>
      <c r="U101" t="s">
        <v>1658</v>
      </c>
      <c r="V101" t="s">
        <v>1037</v>
      </c>
      <c r="W101" t="s">
        <v>1032</v>
      </c>
    </row>
    <row r="102" spans="1:24" x14ac:dyDescent="0.2">
      <c r="A102" t="b">
        <v>1</v>
      </c>
      <c r="B102" t="b">
        <v>1</v>
      </c>
      <c r="C102" t="str">
        <f>IF(E102&lt;&gt;"",VLOOKUP(E102,PHA4GEVars!$A$7:$B$241,2,FALSE),"")</f>
        <v>Sample collection and processing</v>
      </c>
      <c r="D102" t="s">
        <v>1754</v>
      </c>
      <c r="E102" t="s">
        <v>119</v>
      </c>
      <c r="H102" t="s">
        <v>1133</v>
      </c>
      <c r="I102" t="s">
        <v>957</v>
      </c>
      <c r="J102" t="s">
        <v>1489</v>
      </c>
      <c r="M102" t="s">
        <v>127</v>
      </c>
      <c r="N102" t="s">
        <v>127</v>
      </c>
      <c r="O102" t="s">
        <v>1294</v>
      </c>
      <c r="P102" t="s">
        <v>1026</v>
      </c>
      <c r="Q102" t="s">
        <v>1491</v>
      </c>
      <c r="U102" t="s">
        <v>1658</v>
      </c>
      <c r="V102" t="s">
        <v>1037</v>
      </c>
      <c r="W102" t="s">
        <v>1032</v>
      </c>
    </row>
    <row r="103" spans="1:24" x14ac:dyDescent="0.2">
      <c r="A103" t="b">
        <v>1</v>
      </c>
      <c r="B103" t="b">
        <v>1</v>
      </c>
      <c r="C103" t="str">
        <f>IF(E103&lt;&gt;"",VLOOKUP(E103,PHA4GEVars!$A$7:$B$241,2,FALSE),"")</f>
        <v>Sample collection and processing</v>
      </c>
      <c r="D103" t="s">
        <v>1754</v>
      </c>
      <c r="E103" t="s">
        <v>119</v>
      </c>
      <c r="H103" t="s">
        <v>1134</v>
      </c>
      <c r="I103" t="s">
        <v>957</v>
      </c>
      <c r="J103" t="s">
        <v>1490</v>
      </c>
      <c r="M103" t="s">
        <v>127</v>
      </c>
      <c r="N103" t="s">
        <v>127</v>
      </c>
      <c r="O103" t="s">
        <v>1294</v>
      </c>
      <c r="P103" t="s">
        <v>1026</v>
      </c>
      <c r="Q103" t="s">
        <v>1491</v>
      </c>
      <c r="U103" t="s">
        <v>1658</v>
      </c>
      <c r="V103" t="s">
        <v>1037</v>
      </c>
      <c r="W103" t="s">
        <v>1032</v>
      </c>
    </row>
    <row r="104" spans="1:24" x14ac:dyDescent="0.2">
      <c r="C104" t="str">
        <f>IF(E104&lt;&gt;"",VLOOKUP(E104,PHA4GEVars!$A$7:$B$241,2,FALSE),"")</f>
        <v/>
      </c>
    </row>
    <row r="105" spans="1:24" x14ac:dyDescent="0.2">
      <c r="A105" t="b">
        <v>1</v>
      </c>
      <c r="B105" t="b">
        <v>1</v>
      </c>
      <c r="C105" t="str">
        <f>IF(E105&lt;&gt;"",VLOOKUP(E105,PHA4GEVars!$A$7:$B$241,2,FALSE),"")</f>
        <v>Sample collection and processing</v>
      </c>
      <c r="D105" t="s">
        <v>1754</v>
      </c>
      <c r="E105" t="s">
        <v>122</v>
      </c>
      <c r="H105" t="s">
        <v>187</v>
      </c>
      <c r="I105" t="s">
        <v>957</v>
      </c>
      <c r="J105" t="s">
        <v>1498</v>
      </c>
      <c r="M105" t="s">
        <v>127</v>
      </c>
      <c r="N105" t="s">
        <v>127</v>
      </c>
      <c r="O105" t="s">
        <v>1294</v>
      </c>
      <c r="P105" t="s">
        <v>1026</v>
      </c>
      <c r="Q105" t="s">
        <v>1497</v>
      </c>
      <c r="S105" t="s">
        <v>1921</v>
      </c>
      <c r="U105" t="s">
        <v>1659</v>
      </c>
      <c r="V105" t="s">
        <v>1037</v>
      </c>
      <c r="W105" t="s">
        <v>1032</v>
      </c>
      <c r="X105" s="1" t="s">
        <v>1508</v>
      </c>
    </row>
    <row r="106" spans="1:24" x14ac:dyDescent="0.2">
      <c r="A106" t="b">
        <v>1</v>
      </c>
      <c r="B106" t="b">
        <v>1</v>
      </c>
      <c r="C106" t="str">
        <f>IF(E106&lt;&gt;"",VLOOKUP(E106,PHA4GEVars!$A$7:$B$241,2,FALSE),"")</f>
        <v>Sample collection and processing</v>
      </c>
      <c r="D106" t="s">
        <v>1754</v>
      </c>
      <c r="E106" t="s">
        <v>122</v>
      </c>
      <c r="H106" t="s">
        <v>188</v>
      </c>
      <c r="I106" t="s">
        <v>957</v>
      </c>
      <c r="J106" t="s">
        <v>1499</v>
      </c>
      <c r="M106" t="s">
        <v>127</v>
      </c>
      <c r="N106" t="s">
        <v>127</v>
      </c>
      <c r="O106" t="s">
        <v>1294</v>
      </c>
      <c r="P106" t="s">
        <v>1026</v>
      </c>
      <c r="Q106" t="s">
        <v>1497</v>
      </c>
      <c r="S106" t="s">
        <v>1921</v>
      </c>
      <c r="U106" t="s">
        <v>1659</v>
      </c>
      <c r="V106" t="s">
        <v>1037</v>
      </c>
      <c r="W106" t="s">
        <v>1032</v>
      </c>
      <c r="X106" s="1" t="s">
        <v>1508</v>
      </c>
    </row>
    <row r="107" spans="1:24" x14ac:dyDescent="0.2">
      <c r="A107" t="b">
        <v>1</v>
      </c>
      <c r="B107" t="b">
        <v>1</v>
      </c>
      <c r="C107" t="str">
        <f>IF(E107&lt;&gt;"",VLOOKUP(E107,PHA4GEVars!$A$7:$B$241,2,FALSE),"")</f>
        <v>Sample collection and processing</v>
      </c>
      <c r="D107" t="s">
        <v>1754</v>
      </c>
      <c r="E107" t="s">
        <v>122</v>
      </c>
      <c r="H107" t="s">
        <v>189</v>
      </c>
      <c r="I107" t="s">
        <v>957</v>
      </c>
      <c r="J107" t="s">
        <v>1500</v>
      </c>
      <c r="M107" t="s">
        <v>127</v>
      </c>
      <c r="N107" t="s">
        <v>127</v>
      </c>
      <c r="O107" t="s">
        <v>1294</v>
      </c>
      <c r="P107" t="s">
        <v>1026</v>
      </c>
      <c r="Q107" t="s">
        <v>1497</v>
      </c>
      <c r="S107" t="s">
        <v>1921</v>
      </c>
      <c r="U107" t="s">
        <v>1659</v>
      </c>
      <c r="V107" t="s">
        <v>1037</v>
      </c>
      <c r="W107" t="s">
        <v>1032</v>
      </c>
      <c r="X107" s="1" t="s">
        <v>1508</v>
      </c>
    </row>
    <row r="108" spans="1:24" x14ac:dyDescent="0.2">
      <c r="A108" t="b">
        <v>1</v>
      </c>
      <c r="B108" t="b">
        <v>1</v>
      </c>
      <c r="C108" t="str">
        <f>IF(E108&lt;&gt;"",VLOOKUP(E108,PHA4GEVars!$A$7:$B$241,2,FALSE),"")</f>
        <v>Sample collection and processing</v>
      </c>
      <c r="D108" t="s">
        <v>1754</v>
      </c>
      <c r="E108" t="s">
        <v>122</v>
      </c>
      <c r="H108" t="s">
        <v>190</v>
      </c>
      <c r="I108" t="s">
        <v>957</v>
      </c>
      <c r="J108" t="s">
        <v>1501</v>
      </c>
      <c r="M108" t="s">
        <v>127</v>
      </c>
      <c r="N108" t="s">
        <v>127</v>
      </c>
      <c r="O108" t="s">
        <v>1294</v>
      </c>
      <c r="P108" t="s">
        <v>1026</v>
      </c>
      <c r="Q108" t="s">
        <v>1497</v>
      </c>
      <c r="S108" t="s">
        <v>1921</v>
      </c>
      <c r="U108" t="s">
        <v>1659</v>
      </c>
      <c r="V108" t="s">
        <v>1037</v>
      </c>
      <c r="W108" t="s">
        <v>1032</v>
      </c>
      <c r="X108" s="1" t="s">
        <v>1508</v>
      </c>
    </row>
    <row r="109" spans="1:24" x14ac:dyDescent="0.2">
      <c r="A109" t="b">
        <v>1</v>
      </c>
      <c r="B109" t="b">
        <v>1</v>
      </c>
      <c r="C109" t="str">
        <f>IF(E109&lt;&gt;"",VLOOKUP(E109,PHA4GEVars!$A$7:$B$241,2,FALSE),"")</f>
        <v>Sample collection and processing</v>
      </c>
      <c r="D109" t="s">
        <v>1754</v>
      </c>
      <c r="E109" t="s">
        <v>122</v>
      </c>
      <c r="H109" t="s">
        <v>191</v>
      </c>
      <c r="I109" t="s">
        <v>957</v>
      </c>
      <c r="J109" t="s">
        <v>1502</v>
      </c>
      <c r="M109" t="s">
        <v>127</v>
      </c>
      <c r="N109" t="s">
        <v>127</v>
      </c>
      <c r="O109" t="s">
        <v>1294</v>
      </c>
      <c r="P109" t="s">
        <v>1026</v>
      </c>
      <c r="Q109" t="s">
        <v>1497</v>
      </c>
      <c r="S109" t="s">
        <v>1921</v>
      </c>
      <c r="U109" t="s">
        <v>1659</v>
      </c>
      <c r="V109" t="s">
        <v>1037</v>
      </c>
      <c r="W109" t="s">
        <v>1032</v>
      </c>
      <c r="X109" s="1" t="s">
        <v>1508</v>
      </c>
    </row>
    <row r="110" spans="1:24" x14ac:dyDescent="0.2">
      <c r="A110" t="b">
        <v>1</v>
      </c>
      <c r="B110" t="b">
        <v>1</v>
      </c>
      <c r="C110" t="str">
        <f>IF(E110&lt;&gt;"",VLOOKUP(E110,PHA4GEVars!$A$7:$B$241,2,FALSE),"")</f>
        <v>Sample collection and processing</v>
      </c>
      <c r="D110" t="s">
        <v>1754</v>
      </c>
      <c r="E110" t="s">
        <v>122</v>
      </c>
      <c r="H110" t="s">
        <v>192</v>
      </c>
      <c r="I110" t="s">
        <v>957</v>
      </c>
      <c r="J110" t="s">
        <v>1503</v>
      </c>
      <c r="M110" t="s">
        <v>127</v>
      </c>
      <c r="N110" t="s">
        <v>127</v>
      </c>
      <c r="O110" t="s">
        <v>1294</v>
      </c>
      <c r="P110" t="s">
        <v>1026</v>
      </c>
      <c r="Q110" t="s">
        <v>1497</v>
      </c>
      <c r="S110" t="s">
        <v>1921</v>
      </c>
      <c r="U110" t="s">
        <v>1659</v>
      </c>
      <c r="V110" t="s">
        <v>1037</v>
      </c>
      <c r="W110" t="s">
        <v>1032</v>
      </c>
      <c r="X110" s="1" t="s">
        <v>1508</v>
      </c>
    </row>
    <row r="111" spans="1:24" x14ac:dyDescent="0.2">
      <c r="A111" t="b">
        <v>1</v>
      </c>
      <c r="B111" t="b">
        <v>1</v>
      </c>
      <c r="C111" t="str">
        <f>IF(E111&lt;&gt;"",VLOOKUP(E111,PHA4GEVars!$A$7:$B$241,2,FALSE),"")</f>
        <v>Sample collection and processing</v>
      </c>
      <c r="D111" t="s">
        <v>1754</v>
      </c>
      <c r="E111" t="s">
        <v>122</v>
      </c>
      <c r="H111" t="s">
        <v>193</v>
      </c>
      <c r="I111" t="s">
        <v>957</v>
      </c>
      <c r="J111" t="s">
        <v>1504</v>
      </c>
      <c r="M111" t="s">
        <v>127</v>
      </c>
      <c r="N111" t="s">
        <v>127</v>
      </c>
      <c r="O111" t="s">
        <v>1294</v>
      </c>
      <c r="P111" t="s">
        <v>1026</v>
      </c>
      <c r="Q111" t="s">
        <v>1497</v>
      </c>
      <c r="S111" t="s">
        <v>1921</v>
      </c>
      <c r="U111" t="s">
        <v>1659</v>
      </c>
      <c r="V111" t="s">
        <v>1037</v>
      </c>
      <c r="W111" t="s">
        <v>1032</v>
      </c>
      <c r="X111" s="1" t="s">
        <v>1508</v>
      </c>
    </row>
    <row r="112" spans="1:24" x14ac:dyDescent="0.2">
      <c r="A112" t="b">
        <v>1</v>
      </c>
      <c r="B112" t="b">
        <v>1</v>
      </c>
      <c r="C112" t="str">
        <f>IF(E112&lt;&gt;"",VLOOKUP(E112,PHA4GEVars!$A$7:$B$241,2,FALSE),"")</f>
        <v>Sample collection and processing</v>
      </c>
      <c r="D112" t="s">
        <v>1754</v>
      </c>
      <c r="E112" t="s">
        <v>122</v>
      </c>
      <c r="H112" t="s">
        <v>1125</v>
      </c>
      <c r="I112" t="s">
        <v>957</v>
      </c>
      <c r="J112" t="s">
        <v>1505</v>
      </c>
      <c r="M112" t="s">
        <v>127</v>
      </c>
      <c r="N112" t="s">
        <v>127</v>
      </c>
      <c r="O112" t="s">
        <v>1294</v>
      </c>
      <c r="P112" t="s">
        <v>1026</v>
      </c>
      <c r="Q112" t="s">
        <v>1497</v>
      </c>
      <c r="S112" t="s">
        <v>1921</v>
      </c>
      <c r="U112" t="s">
        <v>1659</v>
      </c>
      <c r="V112" t="s">
        <v>1037</v>
      </c>
      <c r="W112" t="s">
        <v>1032</v>
      </c>
      <c r="X112" s="1" t="s">
        <v>1508</v>
      </c>
    </row>
    <row r="113" spans="1:25" x14ac:dyDescent="0.2">
      <c r="A113" t="b">
        <v>1</v>
      </c>
      <c r="B113" t="b">
        <v>1</v>
      </c>
      <c r="C113" t="str">
        <f>IF(E113&lt;&gt;"",VLOOKUP(E113,PHA4GEVars!$A$7:$B$241,2,FALSE),"")</f>
        <v>Sample collection and processing</v>
      </c>
      <c r="D113" t="s">
        <v>1754</v>
      </c>
      <c r="E113" t="s">
        <v>122</v>
      </c>
      <c r="H113" t="s">
        <v>1848</v>
      </c>
      <c r="I113" t="s">
        <v>957</v>
      </c>
      <c r="J113" t="s">
        <v>1506</v>
      </c>
      <c r="M113" t="s">
        <v>127</v>
      </c>
      <c r="N113" t="s">
        <v>127</v>
      </c>
      <c r="O113" t="s">
        <v>1294</v>
      </c>
      <c r="P113" t="s">
        <v>1026</v>
      </c>
      <c r="Q113" t="s">
        <v>1497</v>
      </c>
      <c r="S113" t="s">
        <v>1921</v>
      </c>
      <c r="U113" t="s">
        <v>1659</v>
      </c>
      <c r="V113" t="s">
        <v>1037</v>
      </c>
      <c r="W113" t="s">
        <v>1032</v>
      </c>
      <c r="X113" s="1" t="s">
        <v>1508</v>
      </c>
    </row>
    <row r="114" spans="1:25" x14ac:dyDescent="0.2">
      <c r="A114" t="b">
        <v>1</v>
      </c>
      <c r="B114" t="b">
        <v>1</v>
      </c>
      <c r="C114" t="str">
        <f>IF(E114&lt;&gt;"",VLOOKUP(E114,PHA4GEVars!$A$7:$B$241,2,FALSE),"")</f>
        <v>Sample collection and processing</v>
      </c>
      <c r="D114" t="s">
        <v>1754</v>
      </c>
      <c r="E114" t="s">
        <v>122</v>
      </c>
      <c r="H114" t="s">
        <v>194</v>
      </c>
      <c r="I114" t="s">
        <v>957</v>
      </c>
      <c r="J114" t="s">
        <v>1507</v>
      </c>
      <c r="M114" t="s">
        <v>127</v>
      </c>
      <c r="N114" t="s">
        <v>127</v>
      </c>
      <c r="O114" t="s">
        <v>1294</v>
      </c>
      <c r="P114" t="s">
        <v>1026</v>
      </c>
      <c r="Q114" t="s">
        <v>1497</v>
      </c>
      <c r="S114" t="s">
        <v>1921</v>
      </c>
      <c r="U114" t="s">
        <v>1659</v>
      </c>
      <c r="V114" t="s">
        <v>1037</v>
      </c>
      <c r="W114" t="s">
        <v>1032</v>
      </c>
      <c r="X114" s="1" t="s">
        <v>1508</v>
      </c>
    </row>
    <row r="115" spans="1:25" x14ac:dyDescent="0.2">
      <c r="A115" t="b">
        <v>1</v>
      </c>
      <c r="B115" t="b">
        <v>1</v>
      </c>
      <c r="C115" t="str">
        <f>IF(E115&lt;&gt;"",VLOOKUP(E115,PHA4GEVars!$A$7:$B$241,2,FALSE),"")</f>
        <v>Sample collection and processing</v>
      </c>
      <c r="D115" t="s">
        <v>1754</v>
      </c>
      <c r="E115" t="s">
        <v>122</v>
      </c>
      <c r="H115" t="s">
        <v>1901</v>
      </c>
      <c r="I115" t="s">
        <v>957</v>
      </c>
      <c r="J115" t="s">
        <v>1894</v>
      </c>
      <c r="M115" t="s">
        <v>127</v>
      </c>
      <c r="N115" t="s">
        <v>127</v>
      </c>
      <c r="O115" t="s">
        <v>1294</v>
      </c>
      <c r="P115" t="s">
        <v>1026</v>
      </c>
      <c r="Q115" t="s">
        <v>1497</v>
      </c>
      <c r="S115" t="s">
        <v>1921</v>
      </c>
      <c r="U115" t="s">
        <v>1659</v>
      </c>
      <c r="V115" t="s">
        <v>1037</v>
      </c>
      <c r="W115" t="s">
        <v>1032</v>
      </c>
      <c r="X115" s="1" t="s">
        <v>1508</v>
      </c>
      <c r="Y115" t="s">
        <v>1862</v>
      </c>
    </row>
    <row r="116" spans="1:25" x14ac:dyDescent="0.2">
      <c r="A116" t="b">
        <v>1</v>
      </c>
      <c r="B116" t="b">
        <v>1</v>
      </c>
      <c r="C116" t="str">
        <f>IF(E116&lt;&gt;"",VLOOKUP(E116,PHA4GEVars!$A$7:$B$241,2,FALSE),"")</f>
        <v>Sample collection and processing</v>
      </c>
      <c r="D116" t="s">
        <v>1754</v>
      </c>
      <c r="E116" t="s">
        <v>122</v>
      </c>
      <c r="H116" t="s">
        <v>1902</v>
      </c>
      <c r="I116" t="s">
        <v>957</v>
      </c>
      <c r="J116" t="s">
        <v>1895</v>
      </c>
      <c r="M116" t="s">
        <v>127</v>
      </c>
      <c r="N116" t="s">
        <v>127</v>
      </c>
      <c r="O116" t="s">
        <v>1294</v>
      </c>
      <c r="P116" t="s">
        <v>1026</v>
      </c>
      <c r="Q116" t="s">
        <v>1497</v>
      </c>
      <c r="S116" t="s">
        <v>1921</v>
      </c>
      <c r="U116" t="s">
        <v>1659</v>
      </c>
      <c r="V116" t="s">
        <v>1037</v>
      </c>
      <c r="W116" t="s">
        <v>1032</v>
      </c>
      <c r="X116" s="1" t="s">
        <v>1508</v>
      </c>
      <c r="Y116" t="s">
        <v>1862</v>
      </c>
    </row>
    <row r="117" spans="1:25" x14ac:dyDescent="0.2">
      <c r="A117" t="b">
        <v>1</v>
      </c>
      <c r="B117" t="b">
        <v>1</v>
      </c>
      <c r="C117" t="str">
        <f>IF(E117&lt;&gt;"",VLOOKUP(E117,PHA4GEVars!$A$7:$B$241,2,FALSE),"")</f>
        <v>Sample collection and processing</v>
      </c>
      <c r="D117" t="s">
        <v>1754</v>
      </c>
      <c r="E117" t="s">
        <v>122</v>
      </c>
      <c r="H117" t="s">
        <v>1903</v>
      </c>
      <c r="I117" t="s">
        <v>957</v>
      </c>
      <c r="J117" t="s">
        <v>1896</v>
      </c>
      <c r="M117" t="s">
        <v>127</v>
      </c>
      <c r="N117" t="s">
        <v>127</v>
      </c>
      <c r="O117" t="s">
        <v>1294</v>
      </c>
      <c r="P117" t="s">
        <v>1026</v>
      </c>
      <c r="Q117" t="s">
        <v>1497</v>
      </c>
      <c r="S117" t="s">
        <v>1921</v>
      </c>
      <c r="U117" t="s">
        <v>1659</v>
      </c>
      <c r="V117" t="s">
        <v>1037</v>
      </c>
      <c r="W117" t="s">
        <v>1032</v>
      </c>
      <c r="X117" s="1" t="s">
        <v>1508</v>
      </c>
      <c r="Y117" t="s">
        <v>1862</v>
      </c>
    </row>
    <row r="118" spans="1:25" x14ac:dyDescent="0.2">
      <c r="A118" t="b">
        <v>1</v>
      </c>
      <c r="B118" t="b">
        <v>1</v>
      </c>
      <c r="C118" t="str">
        <f>IF(E118&lt;&gt;"",VLOOKUP(E118,PHA4GEVars!$A$7:$B$241,2,FALSE),"")</f>
        <v>Sample collection and processing</v>
      </c>
      <c r="D118" t="s">
        <v>1754</v>
      </c>
      <c r="E118" t="s">
        <v>122</v>
      </c>
      <c r="H118" t="s">
        <v>1904</v>
      </c>
      <c r="I118" t="s">
        <v>957</v>
      </c>
      <c r="J118" t="s">
        <v>1897</v>
      </c>
      <c r="M118" t="s">
        <v>127</v>
      </c>
      <c r="N118" t="s">
        <v>127</v>
      </c>
      <c r="O118" t="s">
        <v>1294</v>
      </c>
      <c r="P118" t="s">
        <v>1026</v>
      </c>
      <c r="Q118" t="s">
        <v>1497</v>
      </c>
      <c r="S118" t="s">
        <v>1921</v>
      </c>
      <c r="U118" t="s">
        <v>1659</v>
      </c>
      <c r="V118" t="s">
        <v>1037</v>
      </c>
      <c r="W118" t="s">
        <v>1032</v>
      </c>
      <c r="X118" s="1" t="s">
        <v>1508</v>
      </c>
      <c r="Y118" t="s">
        <v>1862</v>
      </c>
    </row>
    <row r="119" spans="1:25" x14ac:dyDescent="0.2">
      <c r="A119" t="b">
        <v>1</v>
      </c>
      <c r="B119" t="b">
        <v>1</v>
      </c>
      <c r="C119" t="str">
        <f>IF(E119&lt;&gt;"",VLOOKUP(E119,PHA4GEVars!$A$7:$B$241,2,FALSE),"")</f>
        <v>Sample collection and processing</v>
      </c>
      <c r="D119" t="s">
        <v>1754</v>
      </c>
      <c r="E119" t="s">
        <v>122</v>
      </c>
      <c r="H119" t="s">
        <v>1905</v>
      </c>
      <c r="I119" t="s">
        <v>957</v>
      </c>
      <c r="J119" t="s">
        <v>1898</v>
      </c>
      <c r="M119" t="s">
        <v>127</v>
      </c>
      <c r="N119" t="s">
        <v>127</v>
      </c>
      <c r="O119" t="s">
        <v>1294</v>
      </c>
      <c r="P119" t="s">
        <v>1026</v>
      </c>
      <c r="Q119" t="s">
        <v>1497</v>
      </c>
      <c r="S119" t="s">
        <v>1921</v>
      </c>
      <c r="U119" t="s">
        <v>1659</v>
      </c>
      <c r="V119" t="s">
        <v>1037</v>
      </c>
      <c r="W119" t="s">
        <v>1032</v>
      </c>
      <c r="X119" s="1" t="s">
        <v>1508</v>
      </c>
      <c r="Y119" t="s">
        <v>1862</v>
      </c>
    </row>
    <row r="120" spans="1:25" x14ac:dyDescent="0.2">
      <c r="A120" t="b">
        <v>1</v>
      </c>
      <c r="B120" t="b">
        <v>1</v>
      </c>
      <c r="C120" t="str">
        <f>IF(E120&lt;&gt;"",VLOOKUP(E120,PHA4GEVars!$A$7:$B$241,2,FALSE),"")</f>
        <v>Sample collection and processing</v>
      </c>
      <c r="D120" t="s">
        <v>1754</v>
      </c>
      <c r="E120" t="s">
        <v>122</v>
      </c>
      <c r="H120" t="s">
        <v>1906</v>
      </c>
      <c r="I120" t="s">
        <v>957</v>
      </c>
      <c r="J120" t="s">
        <v>1899</v>
      </c>
      <c r="M120" t="s">
        <v>127</v>
      </c>
      <c r="N120" t="s">
        <v>127</v>
      </c>
      <c r="O120" t="s">
        <v>1294</v>
      </c>
      <c r="P120" t="s">
        <v>1026</v>
      </c>
      <c r="Q120" t="s">
        <v>1497</v>
      </c>
      <c r="S120" t="s">
        <v>1921</v>
      </c>
      <c r="U120" t="s">
        <v>1659</v>
      </c>
      <c r="V120" t="s">
        <v>1037</v>
      </c>
      <c r="W120" t="s">
        <v>1032</v>
      </c>
      <c r="X120" s="1" t="s">
        <v>1508</v>
      </c>
      <c r="Y120" t="s">
        <v>1862</v>
      </c>
    </row>
    <row r="121" spans="1:25" x14ac:dyDescent="0.2">
      <c r="A121" t="b">
        <v>1</v>
      </c>
      <c r="B121" t="b">
        <v>1</v>
      </c>
      <c r="C121" t="str">
        <f>IF(E121&lt;&gt;"",VLOOKUP(E121,PHA4GEVars!$A$7:$B$241,2,FALSE),"")</f>
        <v>Sample collection and processing</v>
      </c>
      <c r="D121" t="s">
        <v>1754</v>
      </c>
      <c r="E121" t="s">
        <v>122</v>
      </c>
      <c r="H121" t="s">
        <v>1907</v>
      </c>
      <c r="I121" t="s">
        <v>957</v>
      </c>
      <c r="J121" t="s">
        <v>1900</v>
      </c>
      <c r="M121" t="s">
        <v>127</v>
      </c>
      <c r="N121" t="s">
        <v>127</v>
      </c>
      <c r="O121" t="s">
        <v>1294</v>
      </c>
      <c r="P121" t="s">
        <v>1026</v>
      </c>
      <c r="Q121" t="s">
        <v>1497</v>
      </c>
      <c r="S121" t="s">
        <v>1921</v>
      </c>
      <c r="U121" t="s">
        <v>1659</v>
      </c>
      <c r="V121" t="s">
        <v>1037</v>
      </c>
      <c r="W121" t="s">
        <v>1032</v>
      </c>
      <c r="X121" s="1" t="s">
        <v>1508</v>
      </c>
      <c r="Y121" t="s">
        <v>1862</v>
      </c>
    </row>
    <row r="122" spans="1:25" x14ac:dyDescent="0.2">
      <c r="C122" t="str">
        <f>IF(E122&lt;&gt;"",VLOOKUP(E122,PHA4GEVars!$A$7:$B$241,2,FALSE),"")</f>
        <v/>
      </c>
    </row>
    <row r="123" spans="1:25" s="17" customFormat="1" x14ac:dyDescent="0.2">
      <c r="C123" s="17" t="str">
        <f>IF(E123&lt;&gt;"",VLOOKUP(E123,PHA4GEVars!$A$7:$B$241,2,FALSE),"")</f>
        <v>Sample collection and processing</v>
      </c>
      <c r="D123" s="17" t="s">
        <v>1754</v>
      </c>
      <c r="E123" s="17" t="s">
        <v>1088</v>
      </c>
      <c r="H123" s="17" t="s">
        <v>1548</v>
      </c>
      <c r="I123" s="17" t="s">
        <v>957</v>
      </c>
      <c r="K123" s="17" t="s">
        <v>1661</v>
      </c>
      <c r="M123" t="s">
        <v>1105</v>
      </c>
      <c r="N123" t="s">
        <v>1105</v>
      </c>
      <c r="O123" t="s">
        <v>1294</v>
      </c>
      <c r="P123" s="17" t="s">
        <v>1027</v>
      </c>
      <c r="Q123" s="17" t="s">
        <v>1548</v>
      </c>
      <c r="U123" s="17" t="b">
        <v>1</v>
      </c>
      <c r="V123" s="17" t="s">
        <v>1370</v>
      </c>
      <c r="W123" s="17" t="s">
        <v>1033</v>
      </c>
      <c r="X123" s="19" t="s">
        <v>1549</v>
      </c>
    </row>
    <row r="124" spans="1:25" s="17" customFormat="1" x14ac:dyDescent="0.2">
      <c r="C124" s="17" t="str">
        <f>IF(E124&lt;&gt;"",VLOOKUP(E124,PHA4GEVars!$A$7:$B$241,2,FALSE),"")</f>
        <v>Sample collection and processing</v>
      </c>
      <c r="D124" s="17" t="s">
        <v>1754</v>
      </c>
      <c r="E124" s="17" t="s">
        <v>1088</v>
      </c>
      <c r="H124" s="17" t="s">
        <v>1548</v>
      </c>
      <c r="I124" s="17" t="s">
        <v>957</v>
      </c>
      <c r="K124" s="17" t="s">
        <v>1661</v>
      </c>
      <c r="M124" t="s">
        <v>1105</v>
      </c>
      <c r="N124" t="s">
        <v>1105</v>
      </c>
      <c r="O124" t="s">
        <v>1294</v>
      </c>
      <c r="P124" s="17" t="s">
        <v>1027</v>
      </c>
      <c r="Q124" s="17" t="s">
        <v>1548</v>
      </c>
      <c r="U124" s="17" t="b">
        <v>0</v>
      </c>
      <c r="V124" s="17" t="s">
        <v>1370</v>
      </c>
      <c r="W124" s="17" t="s">
        <v>1033</v>
      </c>
      <c r="X124" s="19" t="s">
        <v>1549</v>
      </c>
    </row>
    <row r="125" spans="1:25" x14ac:dyDescent="0.2">
      <c r="C125" t="str">
        <f>IF(E125&lt;&gt;"",VLOOKUP(E125,PHA4GEVars!$A$7:$B$241,2,FALSE),"")</f>
        <v/>
      </c>
    </row>
    <row r="126" spans="1:25" x14ac:dyDescent="0.2">
      <c r="A126" t="b">
        <v>1</v>
      </c>
      <c r="B126" t="b">
        <v>1</v>
      </c>
      <c r="C126" t="str">
        <f>IF(E126&lt;&gt;"",VLOOKUP(E126,PHA4GEVars!$A$7:$B$241,2,FALSE),"")</f>
        <v>Sample collection and processing</v>
      </c>
      <c r="D126" t="s">
        <v>1754</v>
      </c>
      <c r="E126" t="s">
        <v>1089</v>
      </c>
      <c r="F126" t="s">
        <v>1090</v>
      </c>
      <c r="I126" t="s">
        <v>957</v>
      </c>
      <c r="M126" t="s">
        <v>127</v>
      </c>
      <c r="N126" t="s">
        <v>127</v>
      </c>
      <c r="O126" t="s">
        <v>1294</v>
      </c>
      <c r="P126" t="s">
        <v>1027</v>
      </c>
      <c r="Q126" s="20" t="s">
        <v>1632</v>
      </c>
      <c r="R126" s="20"/>
      <c r="T126" s="20"/>
      <c r="U126" t="s">
        <v>1555</v>
      </c>
      <c r="V126" t="s">
        <v>980</v>
      </c>
      <c r="W126" t="s">
        <v>1032</v>
      </c>
      <c r="X126" s="1" t="s">
        <v>1633</v>
      </c>
    </row>
    <row r="127" spans="1:25" x14ac:dyDescent="0.2">
      <c r="C127" t="str">
        <f>IF(E127&lt;&gt;"",VLOOKUP(E127,PHA4GEVars!$A$7:$B$241,2,FALSE),"")</f>
        <v/>
      </c>
    </row>
    <row r="128" spans="1:25" x14ac:dyDescent="0.2">
      <c r="A128" t="b">
        <v>1</v>
      </c>
      <c r="B128" t="b">
        <v>1</v>
      </c>
      <c r="C128" t="str">
        <f>IF(E128&lt;&gt;"",VLOOKUP(E128,PHA4GEVars!$A$7:$B$241,2,FALSE),"")</f>
        <v>Sample collection and processing</v>
      </c>
      <c r="D128" t="s">
        <v>1754</v>
      </c>
      <c r="E128" t="s">
        <v>1082</v>
      </c>
      <c r="H128" t="s">
        <v>173</v>
      </c>
      <c r="I128" t="s">
        <v>957</v>
      </c>
      <c r="J128" t="s">
        <v>1569</v>
      </c>
      <c r="M128" t="s">
        <v>127</v>
      </c>
      <c r="N128" t="s">
        <v>127</v>
      </c>
      <c r="O128" t="s">
        <v>1294</v>
      </c>
      <c r="P128" t="s">
        <v>1027</v>
      </c>
      <c r="Q128" t="s">
        <v>1566</v>
      </c>
      <c r="U128" t="s">
        <v>1660</v>
      </c>
      <c r="X128" s="1" t="s">
        <v>1565</v>
      </c>
    </row>
    <row r="129" spans="1:25" x14ac:dyDescent="0.2">
      <c r="A129" t="b">
        <v>1</v>
      </c>
      <c r="B129" t="b">
        <v>1</v>
      </c>
      <c r="C129" t="str">
        <f>IF(E129&lt;&gt;"",VLOOKUP(E129,PHA4GEVars!$A$7:$B$241,2,FALSE),"")</f>
        <v>Sample collection and processing</v>
      </c>
      <c r="D129" t="s">
        <v>1754</v>
      </c>
      <c r="E129" t="s">
        <v>1082</v>
      </c>
      <c r="H129" t="s">
        <v>174</v>
      </c>
      <c r="I129" t="s">
        <v>957</v>
      </c>
      <c r="J129" t="s">
        <v>1568</v>
      </c>
      <c r="M129" t="s">
        <v>127</v>
      </c>
      <c r="N129" t="s">
        <v>127</v>
      </c>
      <c r="O129" t="s">
        <v>1294</v>
      </c>
      <c r="P129" t="s">
        <v>1027</v>
      </c>
      <c r="Q129" t="s">
        <v>1566</v>
      </c>
      <c r="U129" t="s">
        <v>1660</v>
      </c>
      <c r="X129" s="1" t="s">
        <v>1565</v>
      </c>
    </row>
    <row r="130" spans="1:25" x14ac:dyDescent="0.2">
      <c r="A130" t="b">
        <v>1</v>
      </c>
      <c r="B130" t="b">
        <v>1</v>
      </c>
      <c r="C130" t="str">
        <f>IF(E130&lt;&gt;"",VLOOKUP(E130,PHA4GEVars!$A$7:$B$241,2,FALSE),"")</f>
        <v>Sample collection and processing</v>
      </c>
      <c r="D130" t="s">
        <v>1754</v>
      </c>
      <c r="E130" t="s">
        <v>1082</v>
      </c>
      <c r="H130" t="s">
        <v>175</v>
      </c>
      <c r="I130" t="s">
        <v>957</v>
      </c>
      <c r="J130" t="s">
        <v>1567</v>
      </c>
      <c r="M130" t="s">
        <v>127</v>
      </c>
      <c r="N130" t="s">
        <v>127</v>
      </c>
      <c r="O130" t="s">
        <v>1294</v>
      </c>
      <c r="P130" t="s">
        <v>1027</v>
      </c>
      <c r="Q130" t="s">
        <v>1566</v>
      </c>
      <c r="U130" t="s">
        <v>1660</v>
      </c>
      <c r="X130" s="1" t="s">
        <v>1565</v>
      </c>
    </row>
    <row r="131" spans="1:25" x14ac:dyDescent="0.2">
      <c r="C131" t="str">
        <f>IF(E131&lt;&gt;"",VLOOKUP(E131,PHA4GEVars!$A$7:$B$241,2,FALSE),"")</f>
        <v/>
      </c>
    </row>
    <row r="132" spans="1:25" x14ac:dyDescent="0.2">
      <c r="A132" t="b">
        <v>1</v>
      </c>
      <c r="B132" t="b">
        <v>1</v>
      </c>
      <c r="C132" t="str">
        <f>IF(E132&lt;&gt;"",VLOOKUP(E132,PHA4GEVars!$A$7:$B$241,2,FALSE),"")</f>
        <v>Sequence information</v>
      </c>
      <c r="D132" t="s">
        <v>1754</v>
      </c>
      <c r="E132" t="s">
        <v>65</v>
      </c>
      <c r="I132" t="s">
        <v>957</v>
      </c>
      <c r="M132" t="s">
        <v>1105</v>
      </c>
      <c r="N132" t="s">
        <v>1105</v>
      </c>
      <c r="P132" t="s">
        <v>1027</v>
      </c>
      <c r="Q132" t="s">
        <v>1572</v>
      </c>
      <c r="U132" t="s">
        <v>1570</v>
      </c>
      <c r="V132" t="s">
        <v>1323</v>
      </c>
      <c r="W132" t="s">
        <v>1032</v>
      </c>
      <c r="X132" s="1" t="s">
        <v>1574</v>
      </c>
    </row>
    <row r="133" spans="1:25" x14ac:dyDescent="0.2">
      <c r="A133" t="b">
        <v>1</v>
      </c>
      <c r="B133" t="b">
        <v>1</v>
      </c>
      <c r="C133" t="str">
        <f>IF(E133&lt;&gt;"",VLOOKUP(E133,PHA4GEVars!$A$7:$B$241,2,FALSE),"")</f>
        <v>Sequence information</v>
      </c>
      <c r="D133" t="s">
        <v>1754</v>
      </c>
      <c r="E133" t="s">
        <v>77</v>
      </c>
      <c r="I133" t="s">
        <v>957</v>
      </c>
      <c r="M133" t="s">
        <v>1105</v>
      </c>
      <c r="N133" t="s">
        <v>1105</v>
      </c>
      <c r="P133" t="s">
        <v>1027</v>
      </c>
      <c r="Q133" t="s">
        <v>1573</v>
      </c>
      <c r="U133" t="s">
        <v>1571</v>
      </c>
      <c r="V133" t="s">
        <v>1323</v>
      </c>
      <c r="W133" t="s">
        <v>1032</v>
      </c>
      <c r="X133" s="1" t="s">
        <v>1574</v>
      </c>
    </row>
    <row r="134" spans="1:25" x14ac:dyDescent="0.2">
      <c r="C134" t="str">
        <f>IF(E134&lt;&gt;"",VLOOKUP(E134,PHA4GEVars!$A$7:$B$241,2,FALSE),"")</f>
        <v/>
      </c>
    </row>
    <row r="135" spans="1:25" x14ac:dyDescent="0.2">
      <c r="A135" t="b">
        <v>1</v>
      </c>
      <c r="B135" t="b">
        <v>1</v>
      </c>
      <c r="C135" t="str">
        <f>IF(E135&lt;&gt;"",VLOOKUP(E135,PHA4GEVars!$A$7:$B$241,2,FALSE),"")</f>
        <v>Strain and isolation information</v>
      </c>
      <c r="D135" t="s">
        <v>1754</v>
      </c>
      <c r="E135" t="s">
        <v>1104</v>
      </c>
      <c r="I135" t="s">
        <v>957</v>
      </c>
      <c r="M135" t="s">
        <v>1097</v>
      </c>
      <c r="N135" t="s">
        <v>1097</v>
      </c>
      <c r="P135" t="s">
        <v>1027</v>
      </c>
      <c r="Q135" t="s">
        <v>1104</v>
      </c>
      <c r="U135" t="s">
        <v>1607</v>
      </c>
      <c r="V135" t="s">
        <v>1037</v>
      </c>
      <c r="W135" t="s">
        <v>1032</v>
      </c>
      <c r="X135" s="1" t="s">
        <v>1615</v>
      </c>
    </row>
    <row r="136" spans="1:25" x14ac:dyDescent="0.2">
      <c r="A136" t="b">
        <v>1</v>
      </c>
      <c r="B136" t="b">
        <v>1</v>
      </c>
      <c r="C136" t="str">
        <f>IF(E136&lt;&gt;"",VLOOKUP(E136,PHA4GEVars!$A$7:$B$241,2,FALSE),"")</f>
        <v>Strain and isolation information</v>
      </c>
      <c r="D136" t="s">
        <v>1754</v>
      </c>
      <c r="E136" t="s">
        <v>1102</v>
      </c>
      <c r="I136" t="s">
        <v>957</v>
      </c>
      <c r="M136" t="s">
        <v>1097</v>
      </c>
      <c r="N136" t="s">
        <v>1097</v>
      </c>
      <c r="P136" t="s">
        <v>1027</v>
      </c>
      <c r="Q136" t="s">
        <v>1102</v>
      </c>
      <c r="U136" t="s">
        <v>1609</v>
      </c>
      <c r="V136" t="s">
        <v>1037</v>
      </c>
      <c r="W136" t="s">
        <v>1032</v>
      </c>
      <c r="X136" s="1" t="s">
        <v>1616</v>
      </c>
    </row>
    <row r="137" spans="1:25" x14ac:dyDescent="0.2">
      <c r="A137" t="b">
        <v>1</v>
      </c>
      <c r="B137" t="b">
        <v>1</v>
      </c>
      <c r="C137" t="str">
        <f>IF(E137&lt;&gt;"",VLOOKUP(E137,PHA4GEVars!$A$7:$B$241,2,FALSE),"")</f>
        <v>Strain and isolation information</v>
      </c>
      <c r="D137" t="s">
        <v>1754</v>
      </c>
      <c r="E137" t="s">
        <v>1093</v>
      </c>
      <c r="I137" t="s">
        <v>957</v>
      </c>
      <c r="M137" t="s">
        <v>1097</v>
      </c>
      <c r="N137" t="s">
        <v>1097</v>
      </c>
      <c r="P137" t="s">
        <v>1027</v>
      </c>
      <c r="Q137" t="s">
        <v>1093</v>
      </c>
      <c r="U137" t="s">
        <v>1610</v>
      </c>
      <c r="V137" t="s">
        <v>1037</v>
      </c>
      <c r="W137" t="s">
        <v>1032</v>
      </c>
      <c r="X137" s="1" t="s">
        <v>1617</v>
      </c>
    </row>
    <row r="138" spans="1:25" x14ac:dyDescent="0.2">
      <c r="C138" t="str">
        <f>IF(E138&lt;&gt;"",VLOOKUP(E138,PHA4GEVars!$A$7:$B$241,2,FALSE),"")</f>
        <v/>
      </c>
    </row>
    <row r="139" spans="1:25" x14ac:dyDescent="0.2">
      <c r="A139" t="b">
        <v>1</v>
      </c>
      <c r="B139" t="b">
        <v>1</v>
      </c>
      <c r="C139" t="str">
        <f>IF(E139&lt;&gt;"",VLOOKUP(E139,PHA4GEVars!$A$7:$B$241,2,FALSE),"")</f>
        <v>Lineage/clade information</v>
      </c>
      <c r="D139" t="s">
        <v>1754</v>
      </c>
      <c r="E139" t="s">
        <v>1118</v>
      </c>
      <c r="I139" t="s">
        <v>957</v>
      </c>
      <c r="M139" t="s">
        <v>1105</v>
      </c>
      <c r="N139" t="s">
        <v>1105</v>
      </c>
      <c r="P139" t="s">
        <v>1027</v>
      </c>
      <c r="Q139" t="s">
        <v>2097</v>
      </c>
      <c r="R139" t="s">
        <v>2098</v>
      </c>
      <c r="S139" t="s">
        <v>1922</v>
      </c>
      <c r="U139" t="s">
        <v>1546</v>
      </c>
      <c r="V139" t="s">
        <v>1037</v>
      </c>
      <c r="W139" t="s">
        <v>2099</v>
      </c>
      <c r="X139" s="18" t="s">
        <v>1547</v>
      </c>
      <c r="Y139" t="s">
        <v>1764</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1669</v>
      </c>
      <c r="B1" s="17" t="s">
        <v>0</v>
      </c>
      <c r="C1" s="17" t="s">
        <v>1765</v>
      </c>
      <c r="D1" s="16" t="s">
        <v>1</v>
      </c>
      <c r="E1" s="16" t="s">
        <v>2</v>
      </c>
      <c r="F1" s="16" t="s">
        <v>2012</v>
      </c>
      <c r="G1" s="17" t="s">
        <v>1736</v>
      </c>
      <c r="H1" s="16" t="s">
        <v>3</v>
      </c>
      <c r="I1" s="16" t="s">
        <v>4</v>
      </c>
      <c r="J1" s="17" t="s">
        <v>6</v>
      </c>
      <c r="K1" s="17" t="s">
        <v>1016</v>
      </c>
      <c r="L1" s="17" t="s">
        <v>2005</v>
      </c>
      <c r="M1" s="17" t="s">
        <v>1974</v>
      </c>
      <c r="N1" s="17" t="s">
        <v>1969</v>
      </c>
      <c r="O1" s="17" t="s">
        <v>1800</v>
      </c>
      <c r="P1" s="16" t="s">
        <v>1653</v>
      </c>
      <c r="Q1" s="16" t="s">
        <v>1652</v>
      </c>
      <c r="R1" s="16" t="s">
        <v>1911</v>
      </c>
      <c r="S1" s="17" t="s">
        <v>1737</v>
      </c>
      <c r="T1" s="16" t="s">
        <v>1959</v>
      </c>
      <c r="U1" s="16" t="s">
        <v>1649</v>
      </c>
      <c r="V1" s="16" t="s">
        <v>1650</v>
      </c>
      <c r="W1" s="16" t="s">
        <v>1651</v>
      </c>
      <c r="X1" s="16" t="s">
        <v>9</v>
      </c>
      <c r="Y1" s="16" t="s">
        <v>1678</v>
      </c>
    </row>
    <row r="2" spans="1:25" x14ac:dyDescent="0.2">
      <c r="A2" t="b">
        <v>1</v>
      </c>
      <c r="B2" t="b">
        <v>1</v>
      </c>
      <c r="C2" t="str">
        <f>IF(E2&lt;&gt;"",VLOOKUP(E2,PHA4GEVars!$A$7:$B$241,2,FALSE),"")</f>
        <v>Sample collection and processing</v>
      </c>
      <c r="D2" t="s">
        <v>1754</v>
      </c>
      <c r="E2" t="s">
        <v>122</v>
      </c>
      <c r="H2" t="s">
        <v>187</v>
      </c>
      <c r="I2" t="s">
        <v>957</v>
      </c>
      <c r="J2" t="s">
        <v>1498</v>
      </c>
      <c r="M2" t="s">
        <v>127</v>
      </c>
      <c r="N2" t="s">
        <v>127</v>
      </c>
      <c r="O2" t="s">
        <v>1294</v>
      </c>
      <c r="P2" t="s">
        <v>1026</v>
      </c>
      <c r="Q2" t="s">
        <v>1497</v>
      </c>
      <c r="S2" t="s">
        <v>1921</v>
      </c>
      <c r="U2" t="s">
        <v>1659</v>
      </c>
      <c r="V2" t="s">
        <v>1037</v>
      </c>
      <c r="W2" t="s">
        <v>1032</v>
      </c>
      <c r="X2" s="1" t="s">
        <v>1508</v>
      </c>
    </row>
    <row r="3" spans="1:25" x14ac:dyDescent="0.2">
      <c r="A3" t="b">
        <v>1</v>
      </c>
      <c r="B3" t="b">
        <v>1</v>
      </c>
      <c r="C3" t="str">
        <f>IF(E3&lt;&gt;"",VLOOKUP(E3,PHA4GEVars!$A$7:$B$241,2,FALSE),"")</f>
        <v>Sample collection and processing</v>
      </c>
      <c r="D3" t="s">
        <v>1754</v>
      </c>
      <c r="E3" t="s">
        <v>122</v>
      </c>
      <c r="H3" t="s">
        <v>188</v>
      </c>
      <c r="I3" t="s">
        <v>957</v>
      </c>
      <c r="J3" t="s">
        <v>1499</v>
      </c>
      <c r="M3" t="s">
        <v>127</v>
      </c>
      <c r="N3" t="s">
        <v>127</v>
      </c>
      <c r="O3" t="s">
        <v>1294</v>
      </c>
      <c r="P3" t="s">
        <v>1026</v>
      </c>
      <c r="Q3" t="s">
        <v>1497</v>
      </c>
      <c r="S3" t="s">
        <v>1921</v>
      </c>
      <c r="U3" t="s">
        <v>1659</v>
      </c>
      <c r="V3" t="s">
        <v>1037</v>
      </c>
      <c r="W3" t="s">
        <v>1032</v>
      </c>
      <c r="X3" s="1" t="s">
        <v>1508</v>
      </c>
    </row>
    <row r="4" spans="1:25" x14ac:dyDescent="0.2">
      <c r="A4" t="b">
        <v>1</v>
      </c>
      <c r="B4" t="b">
        <v>1</v>
      </c>
      <c r="C4" t="str">
        <f>IF(E4&lt;&gt;"",VLOOKUP(E4,PHA4GEVars!$A$7:$B$241,2,FALSE),"")</f>
        <v>Sample collection and processing</v>
      </c>
      <c r="D4" t="s">
        <v>1754</v>
      </c>
      <c r="E4" t="s">
        <v>122</v>
      </c>
      <c r="H4" t="s">
        <v>189</v>
      </c>
      <c r="I4" t="s">
        <v>957</v>
      </c>
      <c r="J4" t="s">
        <v>1500</v>
      </c>
      <c r="M4" t="s">
        <v>127</v>
      </c>
      <c r="N4" t="s">
        <v>127</v>
      </c>
      <c r="O4" t="s">
        <v>1294</v>
      </c>
      <c r="P4" t="s">
        <v>1026</v>
      </c>
      <c r="Q4" t="s">
        <v>1497</v>
      </c>
      <c r="S4" t="s">
        <v>1921</v>
      </c>
      <c r="U4" t="s">
        <v>1659</v>
      </c>
      <c r="V4" t="s">
        <v>1037</v>
      </c>
      <c r="W4" t="s">
        <v>1032</v>
      </c>
      <c r="X4" s="1" t="s">
        <v>1508</v>
      </c>
    </row>
    <row r="5" spans="1:25" x14ac:dyDescent="0.2">
      <c r="A5" t="b">
        <v>1</v>
      </c>
      <c r="B5" t="b">
        <v>1</v>
      </c>
      <c r="C5" t="str">
        <f>IF(E5&lt;&gt;"",VLOOKUP(E5,PHA4GEVars!$A$7:$B$241,2,FALSE),"")</f>
        <v>Sample collection and processing</v>
      </c>
      <c r="D5" t="s">
        <v>1754</v>
      </c>
      <c r="E5" t="s">
        <v>122</v>
      </c>
      <c r="H5" t="s">
        <v>190</v>
      </c>
      <c r="I5" t="s">
        <v>957</v>
      </c>
      <c r="J5" t="s">
        <v>1501</v>
      </c>
      <c r="M5" t="s">
        <v>127</v>
      </c>
      <c r="N5" t="s">
        <v>127</v>
      </c>
      <c r="O5" t="s">
        <v>1294</v>
      </c>
      <c r="P5" t="s">
        <v>1026</v>
      </c>
      <c r="Q5" t="s">
        <v>1497</v>
      </c>
      <c r="S5" t="s">
        <v>1921</v>
      </c>
      <c r="U5" t="s">
        <v>1659</v>
      </c>
      <c r="V5" t="s">
        <v>1037</v>
      </c>
      <c r="W5" t="s">
        <v>1032</v>
      </c>
      <c r="X5" s="1" t="s">
        <v>1508</v>
      </c>
    </row>
    <row r="6" spans="1:25" x14ac:dyDescent="0.2">
      <c r="A6" t="b">
        <v>1</v>
      </c>
      <c r="B6" t="b">
        <v>1</v>
      </c>
      <c r="C6" t="str">
        <f>IF(E6&lt;&gt;"",VLOOKUP(E6,PHA4GEVars!$A$7:$B$241,2,FALSE),"")</f>
        <v>Sample collection and processing</v>
      </c>
      <c r="D6" t="s">
        <v>1754</v>
      </c>
      <c r="E6" t="s">
        <v>122</v>
      </c>
      <c r="H6" t="s">
        <v>191</v>
      </c>
      <c r="I6" t="s">
        <v>957</v>
      </c>
      <c r="J6" t="s">
        <v>1502</v>
      </c>
      <c r="M6" t="s">
        <v>127</v>
      </c>
      <c r="N6" t="s">
        <v>127</v>
      </c>
      <c r="O6" t="s">
        <v>1294</v>
      </c>
      <c r="P6" t="s">
        <v>1026</v>
      </c>
      <c r="Q6" t="s">
        <v>1497</v>
      </c>
      <c r="S6" t="s">
        <v>1921</v>
      </c>
      <c r="U6" t="s">
        <v>1659</v>
      </c>
      <c r="V6" t="s">
        <v>1037</v>
      </c>
      <c r="W6" t="s">
        <v>1032</v>
      </c>
      <c r="X6" s="1" t="s">
        <v>1508</v>
      </c>
    </row>
    <row r="7" spans="1:25" x14ac:dyDescent="0.2">
      <c r="A7" t="b">
        <v>1</v>
      </c>
      <c r="B7" t="b">
        <v>1</v>
      </c>
      <c r="C7" t="str">
        <f>IF(E7&lt;&gt;"",VLOOKUP(E7,PHA4GEVars!$A$7:$B$241,2,FALSE),"")</f>
        <v>Sample collection and processing</v>
      </c>
      <c r="D7" t="s">
        <v>1754</v>
      </c>
      <c r="E7" t="s">
        <v>122</v>
      </c>
      <c r="H7" t="s">
        <v>192</v>
      </c>
      <c r="I7" t="s">
        <v>957</v>
      </c>
      <c r="J7" t="s">
        <v>1503</v>
      </c>
      <c r="M7" t="s">
        <v>127</v>
      </c>
      <c r="N7" t="s">
        <v>127</v>
      </c>
      <c r="O7" t="s">
        <v>1294</v>
      </c>
      <c r="P7" t="s">
        <v>1026</v>
      </c>
      <c r="Q7" t="s">
        <v>1497</v>
      </c>
      <c r="S7" t="s">
        <v>1921</v>
      </c>
      <c r="U7" t="s">
        <v>1659</v>
      </c>
      <c r="V7" t="s">
        <v>1037</v>
      </c>
      <c r="W7" t="s">
        <v>1032</v>
      </c>
      <c r="X7" s="1" t="s">
        <v>1508</v>
      </c>
    </row>
    <row r="8" spans="1:25" x14ac:dyDescent="0.2">
      <c r="A8" t="b">
        <v>1</v>
      </c>
      <c r="B8" t="b">
        <v>1</v>
      </c>
      <c r="C8" t="str">
        <f>IF(E8&lt;&gt;"",VLOOKUP(E8,PHA4GEVars!$A$7:$B$241,2,FALSE),"")</f>
        <v>Sample collection and processing</v>
      </c>
      <c r="D8" t="s">
        <v>1754</v>
      </c>
      <c r="E8" t="s">
        <v>122</v>
      </c>
      <c r="H8" t="s">
        <v>193</v>
      </c>
      <c r="I8" t="s">
        <v>957</v>
      </c>
      <c r="J8" t="s">
        <v>1504</v>
      </c>
      <c r="M8" t="s">
        <v>127</v>
      </c>
      <c r="N8" t="s">
        <v>127</v>
      </c>
      <c r="O8" t="s">
        <v>1294</v>
      </c>
      <c r="P8" t="s">
        <v>1026</v>
      </c>
      <c r="Q8" t="s">
        <v>1497</v>
      </c>
      <c r="S8" t="s">
        <v>1921</v>
      </c>
      <c r="U8" t="s">
        <v>1659</v>
      </c>
      <c r="V8" t="s">
        <v>1037</v>
      </c>
      <c r="W8" t="s">
        <v>1032</v>
      </c>
      <c r="X8" s="1" t="s">
        <v>1508</v>
      </c>
    </row>
    <row r="9" spans="1:25" x14ac:dyDescent="0.2">
      <c r="A9" t="b">
        <v>1</v>
      </c>
      <c r="B9" t="b">
        <v>1</v>
      </c>
      <c r="C9" t="str">
        <f>IF(E9&lt;&gt;"",VLOOKUP(E9,PHA4GEVars!$A$7:$B$241,2,FALSE),"")</f>
        <v>Sample collection and processing</v>
      </c>
      <c r="D9" t="s">
        <v>1754</v>
      </c>
      <c r="E9" t="s">
        <v>122</v>
      </c>
      <c r="H9" t="s">
        <v>1125</v>
      </c>
      <c r="I9" t="s">
        <v>957</v>
      </c>
      <c r="J9" t="s">
        <v>1505</v>
      </c>
      <c r="M9" t="s">
        <v>127</v>
      </c>
      <c r="N9" t="s">
        <v>127</v>
      </c>
      <c r="O9" t="s">
        <v>1294</v>
      </c>
      <c r="P9" t="s">
        <v>1026</v>
      </c>
      <c r="Q9" t="s">
        <v>1497</v>
      </c>
      <c r="S9" t="s">
        <v>1921</v>
      </c>
      <c r="U9" t="s">
        <v>1659</v>
      </c>
      <c r="V9" t="s">
        <v>1037</v>
      </c>
      <c r="W9" t="s">
        <v>1032</v>
      </c>
      <c r="X9" s="1" t="s">
        <v>1508</v>
      </c>
    </row>
    <row r="10" spans="1:25" x14ac:dyDescent="0.2">
      <c r="A10" t="b">
        <v>1</v>
      </c>
      <c r="B10" t="b">
        <v>1</v>
      </c>
      <c r="C10" t="str">
        <f>IF(E10&lt;&gt;"",VLOOKUP(E10,PHA4GEVars!$A$7:$B$241,2,FALSE),"")</f>
        <v>Sample collection and processing</v>
      </c>
      <c r="D10" t="s">
        <v>1754</v>
      </c>
      <c r="E10" t="s">
        <v>122</v>
      </c>
      <c r="H10" t="s">
        <v>1848</v>
      </c>
      <c r="I10" t="s">
        <v>957</v>
      </c>
      <c r="J10" t="s">
        <v>1506</v>
      </c>
      <c r="M10" t="s">
        <v>127</v>
      </c>
      <c r="N10" t="s">
        <v>127</v>
      </c>
      <c r="O10" t="s">
        <v>1294</v>
      </c>
      <c r="P10" t="s">
        <v>1026</v>
      </c>
      <c r="Q10" t="s">
        <v>1497</v>
      </c>
      <c r="S10" t="s">
        <v>1921</v>
      </c>
      <c r="U10" t="s">
        <v>1659</v>
      </c>
      <c r="V10" t="s">
        <v>1037</v>
      </c>
      <c r="W10" t="s">
        <v>1032</v>
      </c>
      <c r="X10" s="1" t="s">
        <v>1508</v>
      </c>
    </row>
    <row r="11" spans="1:25" x14ac:dyDescent="0.2">
      <c r="A11" t="b">
        <v>1</v>
      </c>
      <c r="B11" t="b">
        <v>1</v>
      </c>
      <c r="C11" t="str">
        <f>IF(E11&lt;&gt;"",VLOOKUP(E11,PHA4GEVars!$A$7:$B$241,2,FALSE),"")</f>
        <v>Sample collection and processing</v>
      </c>
      <c r="D11" t="s">
        <v>1754</v>
      </c>
      <c r="E11" t="s">
        <v>122</v>
      </c>
      <c r="H11" t="s">
        <v>194</v>
      </c>
      <c r="I11" t="s">
        <v>957</v>
      </c>
      <c r="J11" t="s">
        <v>1507</v>
      </c>
      <c r="M11" t="s">
        <v>127</v>
      </c>
      <c r="N11" t="s">
        <v>127</v>
      </c>
      <c r="O11" t="s">
        <v>1294</v>
      </c>
      <c r="P11" t="s">
        <v>1026</v>
      </c>
      <c r="Q11" t="s">
        <v>1497</v>
      </c>
      <c r="S11" t="s">
        <v>1921</v>
      </c>
      <c r="U11" t="s">
        <v>1659</v>
      </c>
      <c r="V11" t="s">
        <v>1037</v>
      </c>
      <c r="W11" t="s">
        <v>1032</v>
      </c>
      <c r="X11" s="1" t="s">
        <v>1508</v>
      </c>
    </row>
    <row r="12" spans="1:25" x14ac:dyDescent="0.2">
      <c r="A12" t="b">
        <v>1</v>
      </c>
      <c r="B12" t="b">
        <v>1</v>
      </c>
      <c r="C12" t="str">
        <f>IF(E12&lt;&gt;"",VLOOKUP(E12,PHA4GEVars!$A$7:$B$241,2,FALSE),"")</f>
        <v>Sample collection and processing</v>
      </c>
      <c r="D12" t="s">
        <v>1754</v>
      </c>
      <c r="E12" t="s">
        <v>122</v>
      </c>
      <c r="H12" t="s">
        <v>1901</v>
      </c>
      <c r="I12" t="s">
        <v>957</v>
      </c>
      <c r="J12" t="s">
        <v>1894</v>
      </c>
      <c r="M12" t="s">
        <v>127</v>
      </c>
      <c r="N12" t="s">
        <v>127</v>
      </c>
      <c r="O12" t="s">
        <v>1294</v>
      </c>
      <c r="P12" t="s">
        <v>1026</v>
      </c>
      <c r="Q12" t="s">
        <v>1497</v>
      </c>
      <c r="S12" t="s">
        <v>1921</v>
      </c>
      <c r="U12" t="s">
        <v>1659</v>
      </c>
      <c r="V12" t="s">
        <v>1037</v>
      </c>
      <c r="W12" t="s">
        <v>1032</v>
      </c>
      <c r="X12" s="1" t="s">
        <v>1508</v>
      </c>
      <c r="Y12" t="s">
        <v>1862</v>
      </c>
    </row>
    <row r="13" spans="1:25" x14ac:dyDescent="0.2">
      <c r="A13" t="b">
        <v>1</v>
      </c>
      <c r="B13" t="b">
        <v>1</v>
      </c>
      <c r="C13" t="str">
        <f>IF(E13&lt;&gt;"",VLOOKUP(E13,PHA4GEVars!$A$7:$B$241,2,FALSE),"")</f>
        <v>Sample collection and processing</v>
      </c>
      <c r="D13" t="s">
        <v>1754</v>
      </c>
      <c r="E13" t="s">
        <v>122</v>
      </c>
      <c r="H13" t="s">
        <v>1902</v>
      </c>
      <c r="I13" t="s">
        <v>957</v>
      </c>
      <c r="J13" t="s">
        <v>1895</v>
      </c>
      <c r="M13" t="s">
        <v>127</v>
      </c>
      <c r="N13" t="s">
        <v>127</v>
      </c>
      <c r="O13" t="s">
        <v>1294</v>
      </c>
      <c r="P13" t="s">
        <v>1026</v>
      </c>
      <c r="Q13" t="s">
        <v>1497</v>
      </c>
      <c r="S13" t="s">
        <v>1921</v>
      </c>
      <c r="U13" t="s">
        <v>1659</v>
      </c>
      <c r="V13" t="s">
        <v>1037</v>
      </c>
      <c r="W13" t="s">
        <v>1032</v>
      </c>
      <c r="X13" s="1" t="s">
        <v>1508</v>
      </c>
      <c r="Y13" t="s">
        <v>1862</v>
      </c>
    </row>
    <row r="14" spans="1:25" x14ac:dyDescent="0.2">
      <c r="A14" t="b">
        <v>1</v>
      </c>
      <c r="B14" t="b">
        <v>1</v>
      </c>
      <c r="C14" t="str">
        <f>IF(E14&lt;&gt;"",VLOOKUP(E14,PHA4GEVars!$A$7:$B$241,2,FALSE),"")</f>
        <v>Sample collection and processing</v>
      </c>
      <c r="D14" t="s">
        <v>1754</v>
      </c>
      <c r="E14" t="s">
        <v>122</v>
      </c>
      <c r="H14" t="s">
        <v>1903</v>
      </c>
      <c r="I14" t="s">
        <v>957</v>
      </c>
      <c r="J14" t="s">
        <v>1896</v>
      </c>
      <c r="M14" t="s">
        <v>127</v>
      </c>
      <c r="N14" t="s">
        <v>127</v>
      </c>
      <c r="O14" t="s">
        <v>1294</v>
      </c>
      <c r="P14" t="s">
        <v>1026</v>
      </c>
      <c r="Q14" t="s">
        <v>1497</v>
      </c>
      <c r="S14" t="s">
        <v>1921</v>
      </c>
      <c r="U14" t="s">
        <v>1659</v>
      </c>
      <c r="V14" t="s">
        <v>1037</v>
      </c>
      <c r="W14" t="s">
        <v>1032</v>
      </c>
      <c r="X14" s="1" t="s">
        <v>1508</v>
      </c>
      <c r="Y14" t="s">
        <v>1862</v>
      </c>
    </row>
    <row r="15" spans="1:25" x14ac:dyDescent="0.2">
      <c r="A15" t="b">
        <v>1</v>
      </c>
      <c r="B15" t="b">
        <v>1</v>
      </c>
      <c r="C15" t="str">
        <f>IF(E15&lt;&gt;"",VLOOKUP(E15,PHA4GEVars!$A$7:$B$241,2,FALSE),"")</f>
        <v>Sample collection and processing</v>
      </c>
      <c r="D15" t="s">
        <v>1754</v>
      </c>
      <c r="E15" t="s">
        <v>122</v>
      </c>
      <c r="H15" t="s">
        <v>1904</v>
      </c>
      <c r="I15" t="s">
        <v>957</v>
      </c>
      <c r="J15" t="s">
        <v>1897</v>
      </c>
      <c r="M15" t="s">
        <v>127</v>
      </c>
      <c r="N15" t="s">
        <v>127</v>
      </c>
      <c r="O15" t="s">
        <v>1294</v>
      </c>
      <c r="P15" t="s">
        <v>1026</v>
      </c>
      <c r="Q15" t="s">
        <v>1497</v>
      </c>
      <c r="S15" t="s">
        <v>1921</v>
      </c>
      <c r="U15" t="s">
        <v>1659</v>
      </c>
      <c r="V15" t="s">
        <v>1037</v>
      </c>
      <c r="W15" t="s">
        <v>1032</v>
      </c>
      <c r="X15" s="1" t="s">
        <v>1508</v>
      </c>
      <c r="Y15" t="s">
        <v>1862</v>
      </c>
    </row>
    <row r="16" spans="1:25" x14ac:dyDescent="0.2">
      <c r="A16" t="b">
        <v>1</v>
      </c>
      <c r="B16" t="b">
        <v>1</v>
      </c>
      <c r="C16" t="str">
        <f>IF(E16&lt;&gt;"",VLOOKUP(E16,PHA4GEVars!$A$7:$B$241,2,FALSE),"")</f>
        <v>Sample collection and processing</v>
      </c>
      <c r="D16" t="s">
        <v>1754</v>
      </c>
      <c r="E16" t="s">
        <v>122</v>
      </c>
      <c r="H16" t="s">
        <v>1905</v>
      </c>
      <c r="I16" t="s">
        <v>957</v>
      </c>
      <c r="J16" t="s">
        <v>1898</v>
      </c>
      <c r="M16" t="s">
        <v>127</v>
      </c>
      <c r="N16" t="s">
        <v>127</v>
      </c>
      <c r="O16" t="s">
        <v>1294</v>
      </c>
      <c r="P16" t="s">
        <v>1026</v>
      </c>
      <c r="Q16" t="s">
        <v>1497</v>
      </c>
      <c r="S16" t="s">
        <v>1921</v>
      </c>
      <c r="U16" t="s">
        <v>1659</v>
      </c>
      <c r="V16" t="s">
        <v>1037</v>
      </c>
      <c r="W16" t="s">
        <v>1032</v>
      </c>
      <c r="X16" s="1" t="s">
        <v>1508</v>
      </c>
      <c r="Y16" t="s">
        <v>1862</v>
      </c>
    </row>
    <row r="17" spans="1:25" x14ac:dyDescent="0.2">
      <c r="A17" t="b">
        <v>1</v>
      </c>
      <c r="B17" t="b">
        <v>1</v>
      </c>
      <c r="C17" t="str">
        <f>IF(E17&lt;&gt;"",VLOOKUP(E17,PHA4GEVars!$A$7:$B$241,2,FALSE),"")</f>
        <v>Sample collection and processing</v>
      </c>
      <c r="D17" t="s">
        <v>1754</v>
      </c>
      <c r="E17" t="s">
        <v>122</v>
      </c>
      <c r="H17" t="s">
        <v>1906</v>
      </c>
      <c r="I17" t="s">
        <v>957</v>
      </c>
      <c r="J17" t="s">
        <v>1899</v>
      </c>
      <c r="M17" t="s">
        <v>127</v>
      </c>
      <c r="N17" t="s">
        <v>127</v>
      </c>
      <c r="O17" t="s">
        <v>1294</v>
      </c>
      <c r="P17" t="s">
        <v>1026</v>
      </c>
      <c r="Q17" t="s">
        <v>1497</v>
      </c>
      <c r="S17" t="s">
        <v>1921</v>
      </c>
      <c r="U17" t="s">
        <v>1659</v>
      </c>
      <c r="V17" t="s">
        <v>1037</v>
      </c>
      <c r="W17" t="s">
        <v>1032</v>
      </c>
      <c r="X17" s="1" t="s">
        <v>1508</v>
      </c>
      <c r="Y17" t="s">
        <v>1862</v>
      </c>
    </row>
    <row r="18" spans="1:25" x14ac:dyDescent="0.2">
      <c r="A18" t="b">
        <v>1</v>
      </c>
      <c r="B18" t="b">
        <v>1</v>
      </c>
      <c r="C18" t="str">
        <f>IF(E18&lt;&gt;"",VLOOKUP(E18,PHA4GEVars!$A$7:$B$241,2,FALSE),"")</f>
        <v>Sample collection and processing</v>
      </c>
      <c r="D18" t="s">
        <v>1754</v>
      </c>
      <c r="E18" t="s">
        <v>122</v>
      </c>
      <c r="H18" t="s">
        <v>1907</v>
      </c>
      <c r="I18" t="s">
        <v>957</v>
      </c>
      <c r="J18" t="s">
        <v>1900</v>
      </c>
      <c r="M18" t="s">
        <v>127</v>
      </c>
      <c r="N18" t="s">
        <v>127</v>
      </c>
      <c r="O18" t="s">
        <v>1294</v>
      </c>
      <c r="P18" t="s">
        <v>1026</v>
      </c>
      <c r="Q18" t="s">
        <v>1497</v>
      </c>
      <c r="S18" t="s">
        <v>1921</v>
      </c>
      <c r="U18" t="s">
        <v>1659</v>
      </c>
      <c r="V18" t="s">
        <v>1037</v>
      </c>
      <c r="W18" t="s">
        <v>1032</v>
      </c>
      <c r="X18" s="1" t="s">
        <v>1508</v>
      </c>
      <c r="Y18" t="s">
        <v>1862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1856</v>
      </c>
      <c r="C1" s="16" t="s">
        <v>1765</v>
      </c>
      <c r="D1" s="16" t="s">
        <v>1</v>
      </c>
      <c r="E1" s="16" t="s">
        <v>2</v>
      </c>
      <c r="F1" s="16" t="s">
        <v>3</v>
      </c>
      <c r="G1" s="16" t="s">
        <v>4</v>
      </c>
      <c r="H1" s="16" t="s">
        <v>5</v>
      </c>
      <c r="I1" s="16" t="s">
        <v>6</v>
      </c>
      <c r="J1" s="16" t="s">
        <v>1726</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1765</v>
      </c>
      <c r="C1" s="16" t="s">
        <v>1</v>
      </c>
      <c r="D1" s="16" t="s">
        <v>2</v>
      </c>
      <c r="E1" s="16" t="s">
        <v>3</v>
      </c>
      <c r="F1" s="16" t="s">
        <v>4</v>
      </c>
      <c r="G1" s="17" t="s">
        <v>6</v>
      </c>
      <c r="H1" s="17" t="s">
        <v>1016</v>
      </c>
      <c r="I1" s="10" t="s">
        <v>1816</v>
      </c>
      <c r="J1" s="17" t="s">
        <v>2005</v>
      </c>
    </row>
    <row r="2" spans="1:10" x14ac:dyDescent="0.2">
      <c r="A2" t="b">
        <v>1</v>
      </c>
      <c r="B2" t="str">
        <f>IF(D2&lt;&gt;"",VLOOKUP(D2,PHA4GEVars!$A$7:$B$241,2,FALSE),"")</f>
        <v/>
      </c>
      <c r="C2" t="s">
        <v>1754</v>
      </c>
      <c r="F2" t="s">
        <v>2004</v>
      </c>
      <c r="J2" t="s">
        <v>2006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topLeftCell="B1" workbookViewId="0">
      <pane ySplit="1" topLeftCell="A2" activePane="bottomLeft" state="frozen"/>
      <selection pane="bottomLeft" activeCell="E6" sqref="E6"/>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1669</v>
      </c>
      <c r="B1" s="17" t="s">
        <v>0</v>
      </c>
      <c r="C1" s="17" t="s">
        <v>1765</v>
      </c>
      <c r="D1" s="16" t="s">
        <v>1</v>
      </c>
      <c r="E1" s="16" t="s">
        <v>2</v>
      </c>
      <c r="F1" s="16" t="s">
        <v>3</v>
      </c>
      <c r="G1" s="16" t="s">
        <v>4</v>
      </c>
      <c r="H1" s="17" t="s">
        <v>6</v>
      </c>
      <c r="I1" s="17" t="s">
        <v>1016</v>
      </c>
      <c r="J1" s="10" t="s">
        <v>1751</v>
      </c>
      <c r="K1" s="10" t="s">
        <v>2018</v>
      </c>
      <c r="L1" s="17" t="s">
        <v>1969</v>
      </c>
    </row>
    <row r="2" spans="1:12" x14ac:dyDescent="0.2">
      <c r="B2" t="b">
        <v>1</v>
      </c>
      <c r="C2" t="str">
        <f>IF(E2&lt;&gt;"",VLOOKUP(E2,PHA4GEVars!$A$7:$B$241,2,FALSE),"")</f>
        <v>Sample collection and processing</v>
      </c>
      <c r="D2" t="s">
        <v>1754</v>
      </c>
      <c r="E2" t="s">
        <v>127</v>
      </c>
      <c r="G2" t="s">
        <v>1968</v>
      </c>
      <c r="J2" t="s">
        <v>1232</v>
      </c>
      <c r="K2" t="s">
        <v>127</v>
      </c>
      <c r="L2" t="s">
        <v>127</v>
      </c>
    </row>
    <row r="3" spans="1:12" x14ac:dyDescent="0.2">
      <c r="B3" t="b">
        <v>1</v>
      </c>
      <c r="C3" t="str">
        <f>IF(E3&lt;&gt;"",VLOOKUP(E3,PHA4GEVars!$A$7:$B$241,2,FALSE),"")</f>
        <v>Sequence information</v>
      </c>
      <c r="D3" t="s">
        <v>1754</v>
      </c>
      <c r="E3" t="s">
        <v>120</v>
      </c>
      <c r="G3" t="s">
        <v>1968</v>
      </c>
      <c r="J3" t="s">
        <v>1450</v>
      </c>
      <c r="K3" t="s">
        <v>120</v>
      </c>
      <c r="L3" t="s">
        <v>120</v>
      </c>
    </row>
    <row r="4" spans="1:12" x14ac:dyDescent="0.2">
      <c r="B4" t="b">
        <v>1</v>
      </c>
      <c r="C4" t="str">
        <f>IF(E4&lt;&gt;"",VLOOKUP(E4,PHA4GEVars!$A$7:$B$241,2,FALSE),"")</f>
        <v>Sequence information</v>
      </c>
      <c r="D4" t="s">
        <v>1754</v>
      </c>
      <c r="E4" t="s">
        <v>1105</v>
      </c>
      <c r="G4" t="s">
        <v>1968</v>
      </c>
      <c r="J4" t="s">
        <v>1578</v>
      </c>
      <c r="K4" t="s">
        <v>1105</v>
      </c>
      <c r="L4" t="s">
        <v>1105</v>
      </c>
    </row>
    <row r="5" spans="1:12" x14ac:dyDescent="0.2">
      <c r="B5" t="b">
        <v>1</v>
      </c>
      <c r="C5" t="str">
        <f>IF(E5&lt;&gt;"",VLOOKUP(E5,PHA4GEVars!$A$7:$B$241,2,FALSE),"")</f>
        <v>Strain and isolation information</v>
      </c>
      <c r="D5" t="s">
        <v>1754</v>
      </c>
      <c r="E5" t="s">
        <v>1097</v>
      </c>
      <c r="G5" t="s">
        <v>1968</v>
      </c>
      <c r="J5" t="s">
        <v>1451</v>
      </c>
      <c r="K5" t="s">
        <v>1097</v>
      </c>
      <c r="L5" t="s">
        <v>1097</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16" t="s">
        <v>9</v>
      </c>
      <c r="Q1" s="16" t="s">
        <v>1668</v>
      </c>
    </row>
    <row r="2" spans="1:17" s="17" customFormat="1" x14ac:dyDescent="0.2">
      <c r="A2" s="16">
        <v>688</v>
      </c>
      <c r="B2" s="16"/>
      <c r="C2" s="16" t="b">
        <v>1</v>
      </c>
      <c r="D2" s="16" t="s">
        <v>108</v>
      </c>
      <c r="E2" s="17" t="str">
        <f>IF(G2&lt;&gt;"",VLOOKUP(G2,PHA4GEVars!$A$7:$B$241,2,FALSE),"")</f>
        <v>Sample collection and processing</v>
      </c>
      <c r="F2" s="16" t="s">
        <v>1754</v>
      </c>
      <c r="G2" s="16" t="s">
        <v>1080</v>
      </c>
      <c r="H2" s="16" t="s">
        <v>1123</v>
      </c>
      <c r="I2" s="16" t="s">
        <v>1437</v>
      </c>
      <c r="J2" s="16"/>
      <c r="K2" s="16" t="s">
        <v>1446</v>
      </c>
      <c r="L2" s="16" t="s">
        <v>1447</v>
      </c>
      <c r="M2" s="16"/>
      <c r="N2" s="16"/>
      <c r="O2" s="16"/>
      <c r="P2" s="22" t="s">
        <v>1448</v>
      </c>
      <c r="Q2" s="16" t="s">
        <v>2000</v>
      </c>
    </row>
    <row r="3" spans="1:17" s="17" customFormat="1" x14ac:dyDescent="0.2">
      <c r="A3" s="16">
        <v>689</v>
      </c>
      <c r="B3" s="16"/>
      <c r="C3" s="16" t="b">
        <v>1</v>
      </c>
      <c r="D3" s="16" t="s">
        <v>108</v>
      </c>
      <c r="E3" s="17" t="str">
        <f>IF(G3&lt;&gt;"",VLOOKUP(G3,PHA4GEVars!$A$7:$B$241,2,FALSE),"")</f>
        <v>Sample collection and processing</v>
      </c>
      <c r="F3" s="16" t="s">
        <v>1754</v>
      </c>
      <c r="G3" s="16" t="s">
        <v>1080</v>
      </c>
      <c r="H3" s="16" t="s">
        <v>1124</v>
      </c>
      <c r="I3" s="16" t="s">
        <v>1437</v>
      </c>
      <c r="J3" s="16"/>
      <c r="K3" s="16" t="s">
        <v>1446</v>
      </c>
      <c r="L3" s="16" t="s">
        <v>758</v>
      </c>
      <c r="M3" s="16"/>
      <c r="N3" s="16"/>
      <c r="O3" s="16"/>
      <c r="P3" s="22" t="s">
        <v>1448</v>
      </c>
      <c r="Q3" s="16" t="s">
        <v>2000</v>
      </c>
    </row>
    <row r="4" spans="1:17" x14ac:dyDescent="0.2">
      <c r="A4" s="15">
        <v>690</v>
      </c>
      <c r="B4" s="15"/>
      <c r="C4" s="15" t="b">
        <v>1</v>
      </c>
      <c r="D4" s="15" t="s">
        <v>108</v>
      </c>
      <c r="E4" t="str">
        <f>IF(G4&lt;&gt;"",VLOOKUP(G4,PHA4GEVars!$A$7:$B$241,2,FALSE),"")</f>
        <v>Sample collection and processing</v>
      </c>
      <c r="F4" s="15" t="s">
        <v>1754</v>
      </c>
      <c r="G4" s="15" t="s">
        <v>1081</v>
      </c>
      <c r="H4" s="15" t="s">
        <v>441</v>
      </c>
      <c r="I4" s="15" t="s">
        <v>1437</v>
      </c>
      <c r="J4" s="15"/>
      <c r="K4" s="15" t="s">
        <v>1924</v>
      </c>
      <c r="L4" s="15" t="s">
        <v>1438</v>
      </c>
      <c r="M4" s="15"/>
      <c r="N4" s="15"/>
      <c r="O4" s="15"/>
      <c r="P4" s="18" t="s">
        <v>1448</v>
      </c>
      <c r="Q4" s="15"/>
    </row>
    <row r="5" spans="1:17" x14ac:dyDescent="0.2">
      <c r="C5" s="15" t="b">
        <v>1</v>
      </c>
      <c r="F5" s="15" t="s">
        <v>1754</v>
      </c>
      <c r="I5" s="15" t="s">
        <v>1437</v>
      </c>
      <c r="K5" s="15" t="s">
        <v>1972</v>
      </c>
      <c r="L5" s="15"/>
      <c r="M5" s="15" t="s">
        <v>2020</v>
      </c>
    </row>
    <row r="6" spans="1:17" x14ac:dyDescent="0.2">
      <c r="C6" s="15" t="b">
        <v>1</v>
      </c>
      <c r="F6" s="15" t="s">
        <v>1754</v>
      </c>
      <c r="I6" s="15" t="s">
        <v>1437</v>
      </c>
      <c r="K6" s="15" t="s">
        <v>1975</v>
      </c>
      <c r="L6" s="15"/>
      <c r="M6" s="15" t="s">
        <v>2020</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1765</v>
      </c>
      <c r="C1" s="16" t="s">
        <v>1</v>
      </c>
      <c r="D1" s="16" t="s">
        <v>2</v>
      </c>
      <c r="E1" s="16" t="s">
        <v>3</v>
      </c>
      <c r="F1" s="16" t="s">
        <v>4</v>
      </c>
      <c r="G1" s="17" t="s">
        <v>6</v>
      </c>
      <c r="H1" s="17" t="s">
        <v>1016</v>
      </c>
      <c r="I1" s="17" t="s">
        <v>2017</v>
      </c>
      <c r="J1" s="17" t="s">
        <v>2014</v>
      </c>
      <c r="K1" s="17" t="s">
        <v>1730</v>
      </c>
      <c r="L1" s="17" t="s">
        <v>2013</v>
      </c>
      <c r="M1" s="17" t="s">
        <v>9</v>
      </c>
    </row>
    <row r="2" spans="1:13" x14ac:dyDescent="0.2">
      <c r="A2" t="b">
        <v>1</v>
      </c>
      <c r="B2" t="str">
        <f>IF(D2&lt;&gt;"",VLOOKUP(D2,PHA4GEVars!$A$7:$B$241,2,FALSE),"")</f>
        <v/>
      </c>
      <c r="C2" t="s">
        <v>1754</v>
      </c>
      <c r="F2" t="s">
        <v>2016</v>
      </c>
      <c r="I2" t="s">
        <v>121</v>
      </c>
      <c r="J2" t="s">
        <v>124</v>
      </c>
      <c r="K2" t="s">
        <v>2011</v>
      </c>
      <c r="L2" t="s">
        <v>2019</v>
      </c>
    </row>
    <row r="3" spans="1:13" x14ac:dyDescent="0.2">
      <c r="A3" t="b">
        <v>1</v>
      </c>
      <c r="B3" t="str">
        <f>IF(D3&lt;&gt;"",VLOOKUP(D3,PHA4GEVars!$A$7:$B$241,2,FALSE),"")</f>
        <v/>
      </c>
      <c r="C3" t="s">
        <v>1754</v>
      </c>
      <c r="F3" t="s">
        <v>2016</v>
      </c>
      <c r="I3" t="s">
        <v>121</v>
      </c>
      <c r="J3" t="s">
        <v>1929</v>
      </c>
      <c r="K3" t="s">
        <v>2011</v>
      </c>
      <c r="L3" t="s">
        <v>2019</v>
      </c>
    </row>
    <row r="4" spans="1:13" x14ac:dyDescent="0.2">
      <c r="A4" t="b">
        <v>1</v>
      </c>
      <c r="B4" t="str">
        <f>IF(D4&lt;&gt;"",VLOOKUP(D4,PHA4GEVars!$A$7:$B$241,2,FALSE),"")</f>
        <v/>
      </c>
      <c r="C4" t="s">
        <v>1754</v>
      </c>
      <c r="F4" t="s">
        <v>2016</v>
      </c>
      <c r="I4" t="s">
        <v>121</v>
      </c>
      <c r="J4" t="s">
        <v>1930</v>
      </c>
      <c r="K4" t="s">
        <v>2011</v>
      </c>
      <c r="L4" t="s">
        <v>2019</v>
      </c>
    </row>
    <row r="5" spans="1:13" x14ac:dyDescent="0.2">
      <c r="A5" t="b">
        <v>1</v>
      </c>
      <c r="B5" t="str">
        <f>IF(D5&lt;&gt;"",VLOOKUP(D5,PHA4GEVars!$A$7:$B$241,2,FALSE),"")</f>
        <v/>
      </c>
      <c r="C5" t="s">
        <v>1754</v>
      </c>
      <c r="F5" t="s">
        <v>2016</v>
      </c>
      <c r="I5" t="s">
        <v>121</v>
      </c>
      <c r="J5" t="s">
        <v>1931</v>
      </c>
      <c r="K5" t="s">
        <v>2011</v>
      </c>
      <c r="L5" t="s">
        <v>2019</v>
      </c>
    </row>
    <row r="6" spans="1:13" x14ac:dyDescent="0.2">
      <c r="A6" t="b">
        <v>1</v>
      </c>
      <c r="B6" t="str">
        <f>IF(D6&lt;&gt;"",VLOOKUP(D6,PHA4GEVars!$A$7:$B$241,2,FALSE),"")</f>
        <v/>
      </c>
      <c r="C6" t="s">
        <v>1754</v>
      </c>
      <c r="F6" t="s">
        <v>2016</v>
      </c>
      <c r="I6" t="s">
        <v>121</v>
      </c>
      <c r="J6" t="s">
        <v>84</v>
      </c>
      <c r="K6" t="s">
        <v>2011</v>
      </c>
      <c r="L6" t="s">
        <v>2019</v>
      </c>
    </row>
    <row r="7" spans="1:13" x14ac:dyDescent="0.2">
      <c r="A7" t="b">
        <v>1</v>
      </c>
      <c r="B7" t="str">
        <f>IF(D7&lt;&gt;"",VLOOKUP(D7,PHA4GEVars!$A$7:$B$241,2,FALSE),"")</f>
        <v/>
      </c>
      <c r="C7" t="s">
        <v>1754</v>
      </c>
      <c r="F7" t="s">
        <v>2016</v>
      </c>
      <c r="I7" t="s">
        <v>121</v>
      </c>
      <c r="J7" t="s">
        <v>128</v>
      </c>
      <c r="K7" t="s">
        <v>2011</v>
      </c>
      <c r="L7" t="s">
        <v>2019</v>
      </c>
    </row>
    <row r="8" spans="1:13" x14ac:dyDescent="0.2">
      <c r="A8" t="b">
        <v>1</v>
      </c>
      <c r="B8" t="str">
        <f>IF(D8&lt;&gt;"",VLOOKUP(D8,PHA4GEVars!$A$7:$B$241,2,FALSE),"")</f>
        <v/>
      </c>
      <c r="C8" t="s">
        <v>1754</v>
      </c>
      <c r="F8" t="s">
        <v>2016</v>
      </c>
      <c r="I8" t="s">
        <v>121</v>
      </c>
      <c r="J8" t="s">
        <v>13</v>
      </c>
      <c r="K8" t="s">
        <v>2011</v>
      </c>
      <c r="L8" t="s">
        <v>2019</v>
      </c>
    </row>
    <row r="9" spans="1:13" x14ac:dyDescent="0.2">
      <c r="A9" t="b">
        <v>1</v>
      </c>
      <c r="B9" t="str">
        <f>IF(D9&lt;&gt;"",VLOOKUP(D9,PHA4GEVars!$A$7:$B$241,2,FALSE),"")</f>
        <v/>
      </c>
      <c r="C9" t="s">
        <v>1754</v>
      </c>
      <c r="F9" t="s">
        <v>2016</v>
      </c>
      <c r="I9" t="s">
        <v>121</v>
      </c>
      <c r="J9" t="s">
        <v>15</v>
      </c>
      <c r="K9" t="s">
        <v>2011</v>
      </c>
      <c r="L9" t="s">
        <v>2019</v>
      </c>
    </row>
    <row r="10" spans="1:13" x14ac:dyDescent="0.2">
      <c r="A10" t="b">
        <v>1</v>
      </c>
      <c r="B10" t="str">
        <f>IF(D10&lt;&gt;"",VLOOKUP(D10,PHA4GEVars!$A$7:$B$241,2,FALSE),"")</f>
        <v/>
      </c>
      <c r="C10" t="s">
        <v>1754</v>
      </c>
      <c r="F10" t="s">
        <v>2016</v>
      </c>
      <c r="I10" t="s">
        <v>121</v>
      </c>
      <c r="J10" t="s">
        <v>18</v>
      </c>
      <c r="K10" t="s">
        <v>2011</v>
      </c>
      <c r="L10" t="s">
        <v>2019</v>
      </c>
    </row>
    <row r="11" spans="1:13" x14ac:dyDescent="0.2">
      <c r="A11" t="b">
        <v>1</v>
      </c>
      <c r="B11" t="str">
        <f>IF(D11&lt;&gt;"",VLOOKUP(D11,PHA4GEVars!$A$7:$B$241,2,FALSE),"")</f>
        <v/>
      </c>
      <c r="C11" t="s">
        <v>1754</v>
      </c>
      <c r="F11" t="s">
        <v>2016</v>
      </c>
      <c r="I11" t="s">
        <v>121</v>
      </c>
      <c r="J11" t="s">
        <v>83</v>
      </c>
      <c r="K11" t="s">
        <v>2011</v>
      </c>
      <c r="L11" t="s">
        <v>2019</v>
      </c>
    </row>
    <row r="12" spans="1:13" x14ac:dyDescent="0.2">
      <c r="A12" t="b">
        <v>1</v>
      </c>
      <c r="B12" t="str">
        <f>IF(D12&lt;&gt;"",VLOOKUP(D12,PHA4GEVars!$A$7:$B$241,2,FALSE),"")</f>
        <v/>
      </c>
      <c r="C12" t="s">
        <v>1754</v>
      </c>
      <c r="F12" t="s">
        <v>2016</v>
      </c>
      <c r="I12" t="s">
        <v>121</v>
      </c>
      <c r="J12" t="s">
        <v>95</v>
      </c>
      <c r="K12" t="s">
        <v>2011</v>
      </c>
      <c r="L12" t="s">
        <v>2019</v>
      </c>
    </row>
    <row r="13" spans="1:13" x14ac:dyDescent="0.2">
      <c r="A13" t="b">
        <v>1</v>
      </c>
      <c r="B13" t="str">
        <f>IF(D13&lt;&gt;"",VLOOKUP(D13,PHA4GEVars!$A$7:$B$241,2,FALSE),"")</f>
        <v/>
      </c>
      <c r="C13" t="s">
        <v>1754</v>
      </c>
      <c r="F13" t="s">
        <v>2016</v>
      </c>
      <c r="I13" t="s">
        <v>121</v>
      </c>
      <c r="J13" t="s">
        <v>1119</v>
      </c>
      <c r="K13" t="s">
        <v>2011</v>
      </c>
      <c r="L13" t="s">
        <v>2019</v>
      </c>
    </row>
    <row r="14" spans="1:13" x14ac:dyDescent="0.2">
      <c r="A14" t="b">
        <v>1</v>
      </c>
      <c r="B14" t="str">
        <f>IF(D14&lt;&gt;"",VLOOKUP(D14,PHA4GEVars!$A$7:$B$241,2,FALSE),"")</f>
        <v/>
      </c>
      <c r="C14" t="s">
        <v>1754</v>
      </c>
      <c r="F14" t="s">
        <v>2016</v>
      </c>
      <c r="I14" t="s">
        <v>121</v>
      </c>
      <c r="J14" t="s">
        <v>1787</v>
      </c>
      <c r="K14" t="s">
        <v>2011</v>
      </c>
      <c r="L14" t="s">
        <v>2019</v>
      </c>
    </row>
    <row r="15" spans="1:13" x14ac:dyDescent="0.2">
      <c r="A15" t="b">
        <v>1</v>
      </c>
      <c r="B15" t="str">
        <f>IF(D15&lt;&gt;"",VLOOKUP(D15,PHA4GEVars!$A$7:$B$241,2,FALSE),"")</f>
        <v/>
      </c>
      <c r="C15" t="s">
        <v>1754</v>
      </c>
      <c r="F15" t="s">
        <v>2016</v>
      </c>
      <c r="I15" t="s">
        <v>121</v>
      </c>
      <c r="J15" t="s">
        <v>125</v>
      </c>
      <c r="K15" t="s">
        <v>2011</v>
      </c>
      <c r="L15" t="s">
        <v>2019</v>
      </c>
    </row>
    <row r="16" spans="1:13" x14ac:dyDescent="0.2">
      <c r="A16" t="b">
        <v>1</v>
      </c>
      <c r="B16" t="str">
        <f>IF(D16&lt;&gt;"",VLOOKUP(D16,PHA4GEVars!$A$7:$B$241,2,FALSE),"")</f>
        <v/>
      </c>
      <c r="C16" t="s">
        <v>1754</v>
      </c>
      <c r="F16" t="s">
        <v>2016</v>
      </c>
      <c r="I16" t="s">
        <v>121</v>
      </c>
      <c r="J16" t="s">
        <v>89</v>
      </c>
      <c r="K16" t="s">
        <v>2011</v>
      </c>
      <c r="L16" t="s">
        <v>2019</v>
      </c>
    </row>
    <row r="17" spans="1:12" x14ac:dyDescent="0.2">
      <c r="A17" t="b">
        <v>1</v>
      </c>
      <c r="B17" t="str">
        <f>IF(D17&lt;&gt;"",VLOOKUP(D17,PHA4GEVars!$A$7:$B$241,2,FALSE),"")</f>
        <v/>
      </c>
      <c r="C17" t="s">
        <v>1754</v>
      </c>
      <c r="F17" t="s">
        <v>2016</v>
      </c>
      <c r="I17" t="s">
        <v>121</v>
      </c>
      <c r="J17" t="s">
        <v>1107</v>
      </c>
      <c r="K17" t="s">
        <v>2011</v>
      </c>
      <c r="L17" t="s">
        <v>2019</v>
      </c>
    </row>
    <row r="18" spans="1:12" x14ac:dyDescent="0.2">
      <c r="A18" t="b">
        <v>1</v>
      </c>
      <c r="B18" t="str">
        <f>IF(D18&lt;&gt;"",VLOOKUP(D18,PHA4GEVars!$A$7:$B$241,2,FALSE),"")</f>
        <v/>
      </c>
      <c r="C18" t="s">
        <v>1754</v>
      </c>
      <c r="F18" t="s">
        <v>2016</v>
      </c>
      <c r="I18" t="s">
        <v>121</v>
      </c>
      <c r="J18" t="s">
        <v>91</v>
      </c>
      <c r="K18" t="s">
        <v>2011</v>
      </c>
      <c r="L18" t="s">
        <v>2019</v>
      </c>
    </row>
    <row r="20" spans="1:12" x14ac:dyDescent="0.2">
      <c r="A20" t="b">
        <v>1</v>
      </c>
      <c r="B20" t="str">
        <f>IF(D20&lt;&gt;"",VLOOKUP(D20,PHA4GEVars!$A$7:$B$241,2,FALSE),"")</f>
        <v/>
      </c>
      <c r="C20" t="s">
        <v>1754</v>
      </c>
      <c r="F20" t="s">
        <v>2016</v>
      </c>
      <c r="I20" t="s">
        <v>1790</v>
      </c>
      <c r="J20" t="s">
        <v>1790</v>
      </c>
      <c r="K20" t="s">
        <v>2011</v>
      </c>
      <c r="L20" t="s">
        <v>2019</v>
      </c>
    </row>
    <row r="22" spans="1:12" x14ac:dyDescent="0.2">
      <c r="A22" t="b">
        <v>1</v>
      </c>
      <c r="B22" t="str">
        <f>IF(D22&lt;&gt;"",VLOOKUP(D22,PHA4GEVars!$A$7:$B$241,2,FALSE),"")</f>
        <v/>
      </c>
      <c r="C22" t="s">
        <v>1754</v>
      </c>
      <c r="F22" t="s">
        <v>2016</v>
      </c>
      <c r="I22" t="s">
        <v>2104</v>
      </c>
      <c r="J22" t="s">
        <v>1112</v>
      </c>
      <c r="K22" t="s">
        <v>2011</v>
      </c>
      <c r="L22" t="s">
        <v>2019</v>
      </c>
    </row>
    <row r="24" spans="1:12" x14ac:dyDescent="0.2">
      <c r="A24" t="b">
        <v>1</v>
      </c>
      <c r="B24" t="str">
        <f>IF(D24&lt;&gt;"",VLOOKUP(D24,PHA4GEVars!$A$7:$B$241,2,FALSE),"")</f>
        <v/>
      </c>
      <c r="C24" t="s">
        <v>1754</v>
      </c>
      <c r="F24" t="s">
        <v>2016</v>
      </c>
      <c r="I24" t="s">
        <v>2106</v>
      </c>
      <c r="J24" t="s">
        <v>1103</v>
      </c>
      <c r="K24" t="s">
        <v>2011</v>
      </c>
      <c r="L24" t="s">
        <v>2019</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1676</v>
      </c>
      <c r="N1" s="16" t="s">
        <v>8</v>
      </c>
      <c r="O1" s="16" t="s">
        <v>9</v>
      </c>
      <c r="P1" s="16" t="s">
        <v>1668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4"/>
  <sheetViews>
    <sheetView topLeftCell="K1" zoomScaleNormal="97" workbookViewId="0">
      <pane ySplit="1" topLeftCell="A27" activePane="bottomLeft" state="frozen"/>
      <selection pane="bottomLeft" activeCell="T58" sqref="T58"/>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1765</v>
      </c>
      <c r="C1" s="16" t="s">
        <v>1</v>
      </c>
      <c r="D1" s="16" t="s">
        <v>2</v>
      </c>
      <c r="E1" s="16" t="s">
        <v>3</v>
      </c>
      <c r="F1" s="16" t="s">
        <v>4</v>
      </c>
      <c r="G1" s="70" t="s">
        <v>6</v>
      </c>
      <c r="H1" s="70" t="s">
        <v>1016</v>
      </c>
      <c r="I1" s="70" t="s">
        <v>2003</v>
      </c>
      <c r="J1" s="70" t="s">
        <v>1969</v>
      </c>
      <c r="K1" s="70" t="s">
        <v>1974</v>
      </c>
      <c r="L1" s="70" t="s">
        <v>2015</v>
      </c>
      <c r="M1" s="70" t="s">
        <v>2012</v>
      </c>
      <c r="N1" s="70" t="s">
        <v>1925</v>
      </c>
      <c r="O1" s="70" t="s">
        <v>1960</v>
      </c>
      <c r="P1" s="70" t="s">
        <v>1652</v>
      </c>
      <c r="Q1" s="70" t="s">
        <v>1648</v>
      </c>
      <c r="R1" s="70" t="s">
        <v>1649</v>
      </c>
      <c r="S1" s="70" t="s">
        <v>2108</v>
      </c>
      <c r="T1" s="71" t="s">
        <v>9</v>
      </c>
      <c r="U1" s="10" t="s">
        <v>1678</v>
      </c>
    </row>
    <row r="2" spans="1:21" x14ac:dyDescent="0.2">
      <c r="A2" t="b">
        <v>1</v>
      </c>
      <c r="B2" t="str">
        <f>IF(D2&lt;&gt;"",VLOOKUP(D2,PHA4GEVars!$A$7:$B$241,2,FALSE),"")</f>
        <v>Sequence information</v>
      </c>
      <c r="C2" t="s">
        <v>1754</v>
      </c>
      <c r="D2" t="s">
        <v>124</v>
      </c>
      <c r="E2" t="s">
        <v>413</v>
      </c>
      <c r="F2" t="s">
        <v>1226</v>
      </c>
      <c r="G2" t="s">
        <v>1204</v>
      </c>
      <c r="J2" t="s">
        <v>1105</v>
      </c>
      <c r="K2" t="s">
        <v>1105</v>
      </c>
      <c r="L2" t="s">
        <v>124</v>
      </c>
      <c r="M2" s="15" t="s">
        <v>121</v>
      </c>
      <c r="P2" t="s">
        <v>1077</v>
      </c>
      <c r="Q2" t="s">
        <v>1227</v>
      </c>
      <c r="R2" t="s">
        <v>1647</v>
      </c>
    </row>
    <row r="3" spans="1:21" x14ac:dyDescent="0.2">
      <c r="A3" t="b">
        <v>1</v>
      </c>
      <c r="B3" t="str">
        <f>IF(D3&lt;&gt;"",VLOOKUP(D3,PHA4GEVars!$A$7:$B$241,2,FALSE),"")</f>
        <v>Sequence information</v>
      </c>
      <c r="C3" t="s">
        <v>1754</v>
      </c>
      <c r="D3" t="s">
        <v>124</v>
      </c>
      <c r="E3" t="s">
        <v>414</v>
      </c>
      <c r="F3" t="s">
        <v>1226</v>
      </c>
      <c r="G3" t="s">
        <v>1205</v>
      </c>
      <c r="J3" t="s">
        <v>1105</v>
      </c>
      <c r="K3" t="s">
        <v>1105</v>
      </c>
      <c r="L3" t="s">
        <v>124</v>
      </c>
      <c r="M3" s="15" t="s">
        <v>121</v>
      </c>
      <c r="P3" t="s">
        <v>1077</v>
      </c>
      <c r="Q3" t="s">
        <v>1227</v>
      </c>
      <c r="R3" t="s">
        <v>1647</v>
      </c>
    </row>
    <row r="4" spans="1:21" x14ac:dyDescent="0.2">
      <c r="A4" t="b">
        <v>1</v>
      </c>
      <c r="B4" t="str">
        <f>IF(D4&lt;&gt;"",VLOOKUP(D4,PHA4GEVars!$A$7:$B$241,2,FALSE),"")</f>
        <v>Sequence information</v>
      </c>
      <c r="C4" t="s">
        <v>1754</v>
      </c>
      <c r="D4" t="s">
        <v>124</v>
      </c>
      <c r="E4" t="s">
        <v>415</v>
      </c>
      <c r="F4" t="s">
        <v>1226</v>
      </c>
      <c r="G4" t="s">
        <v>1224</v>
      </c>
      <c r="J4" t="s">
        <v>1105</v>
      </c>
      <c r="K4" t="s">
        <v>1105</v>
      </c>
      <c r="L4" t="s">
        <v>124</v>
      </c>
      <c r="M4" s="15" t="s">
        <v>121</v>
      </c>
      <c r="P4" t="s">
        <v>1077</v>
      </c>
      <c r="Q4" t="s">
        <v>1227</v>
      </c>
      <c r="R4" t="s">
        <v>1647</v>
      </c>
    </row>
    <row r="5" spans="1:21" x14ac:dyDescent="0.2">
      <c r="A5" t="b">
        <v>1</v>
      </c>
      <c r="B5" t="str">
        <f>IF(D5&lt;&gt;"",VLOOKUP(D5,PHA4GEVars!$A$7:$B$241,2,FALSE),"")</f>
        <v>Sequence information</v>
      </c>
      <c r="C5" t="s">
        <v>1754</v>
      </c>
      <c r="D5" t="s">
        <v>124</v>
      </c>
      <c r="E5" t="s">
        <v>416</v>
      </c>
      <c r="F5" t="s">
        <v>1226</v>
      </c>
      <c r="G5" t="s">
        <v>1225</v>
      </c>
      <c r="J5" t="s">
        <v>1105</v>
      </c>
      <c r="K5" t="s">
        <v>1105</v>
      </c>
      <c r="L5" t="s">
        <v>124</v>
      </c>
      <c r="M5" s="15" t="s">
        <v>121</v>
      </c>
      <c r="P5" t="s">
        <v>1077</v>
      </c>
      <c r="Q5" t="s">
        <v>1227</v>
      </c>
      <c r="R5" t="s">
        <v>1647</v>
      </c>
    </row>
    <row r="6" spans="1:21" x14ac:dyDescent="0.2">
      <c r="A6" t="b">
        <v>1</v>
      </c>
      <c r="B6" t="str">
        <f>IF(D6&lt;&gt;"",VLOOKUP(D6,PHA4GEVars!$A$7:$B$241,2,FALSE),"")</f>
        <v>Sequence information</v>
      </c>
      <c r="C6" t="s">
        <v>1754</v>
      </c>
      <c r="D6" t="s">
        <v>124</v>
      </c>
      <c r="E6" t="s">
        <v>417</v>
      </c>
      <c r="F6" t="s">
        <v>1226</v>
      </c>
      <c r="G6" t="s">
        <v>1206</v>
      </c>
      <c r="J6" t="s">
        <v>1105</v>
      </c>
      <c r="K6" t="s">
        <v>1105</v>
      </c>
      <c r="L6" t="s">
        <v>124</v>
      </c>
      <c r="M6" s="15" t="s">
        <v>121</v>
      </c>
      <c r="P6" t="s">
        <v>1077</v>
      </c>
      <c r="Q6" t="s">
        <v>1227</v>
      </c>
      <c r="R6" t="s">
        <v>1647</v>
      </c>
    </row>
    <row r="7" spans="1:21" x14ac:dyDescent="0.2">
      <c r="A7" t="b">
        <v>1</v>
      </c>
      <c r="B7" t="str">
        <f>IF(D7&lt;&gt;"",VLOOKUP(D7,PHA4GEVars!$A$7:$B$241,2,FALSE),"")</f>
        <v>Sequence information</v>
      </c>
      <c r="C7" t="s">
        <v>1754</v>
      </c>
      <c r="D7" t="s">
        <v>124</v>
      </c>
      <c r="E7" t="s">
        <v>418</v>
      </c>
      <c r="F7" t="s">
        <v>1226</v>
      </c>
      <c r="G7" t="s">
        <v>1207</v>
      </c>
      <c r="J7" t="s">
        <v>1105</v>
      </c>
      <c r="K7" t="s">
        <v>1105</v>
      </c>
      <c r="L7" t="s">
        <v>124</v>
      </c>
      <c r="M7" s="15" t="s">
        <v>121</v>
      </c>
      <c r="P7" t="s">
        <v>1077</v>
      </c>
      <c r="Q7" t="s">
        <v>1227</v>
      </c>
      <c r="R7" t="s">
        <v>1647</v>
      </c>
    </row>
    <row r="8" spans="1:21" x14ac:dyDescent="0.2">
      <c r="A8" t="b">
        <v>1</v>
      </c>
      <c r="B8" t="str">
        <f>IF(D8&lt;&gt;"",VLOOKUP(D8,PHA4GEVars!$A$7:$B$241,2,FALSE),"")</f>
        <v>Sequence information</v>
      </c>
      <c r="C8" t="s">
        <v>1754</v>
      </c>
      <c r="D8" t="s">
        <v>124</v>
      </c>
      <c r="E8" t="s">
        <v>419</v>
      </c>
      <c r="F8" t="s">
        <v>1226</v>
      </c>
      <c r="G8" t="s">
        <v>1208</v>
      </c>
      <c r="J8" t="s">
        <v>1105</v>
      </c>
      <c r="K8" t="s">
        <v>1105</v>
      </c>
      <c r="L8" t="s">
        <v>124</v>
      </c>
      <c r="M8" s="15" t="s">
        <v>121</v>
      </c>
      <c r="P8" t="s">
        <v>1077</v>
      </c>
      <c r="Q8" t="s">
        <v>1227</v>
      </c>
      <c r="R8" t="s">
        <v>1647</v>
      </c>
    </row>
    <row r="9" spans="1:21" x14ac:dyDescent="0.2">
      <c r="A9" t="b">
        <v>1</v>
      </c>
      <c r="B9" t="str">
        <f>IF(D9&lt;&gt;"",VLOOKUP(D9,PHA4GEVars!$A$7:$B$241,2,FALSE),"")</f>
        <v>Sequence information</v>
      </c>
      <c r="C9" t="s">
        <v>1754</v>
      </c>
      <c r="D9" t="s">
        <v>124</v>
      </c>
      <c r="E9" t="s">
        <v>420</v>
      </c>
      <c r="F9" t="s">
        <v>1226</v>
      </c>
      <c r="G9" t="s">
        <v>1209</v>
      </c>
      <c r="J9" t="s">
        <v>1105</v>
      </c>
      <c r="K9" t="s">
        <v>1105</v>
      </c>
      <c r="L9" t="s">
        <v>124</v>
      </c>
      <c r="M9" s="15" t="s">
        <v>121</v>
      </c>
      <c r="P9" t="s">
        <v>1077</v>
      </c>
      <c r="Q9" t="s">
        <v>1227</v>
      </c>
      <c r="R9" t="s">
        <v>1647</v>
      </c>
    </row>
    <row r="10" spans="1:21" x14ac:dyDescent="0.2">
      <c r="A10" t="b">
        <v>1</v>
      </c>
      <c r="B10" t="str">
        <f>IF(D10&lt;&gt;"",VLOOKUP(D10,PHA4GEVars!$A$7:$B$241,2,FALSE),"")</f>
        <v>Sequence information</v>
      </c>
      <c r="C10" t="s">
        <v>1754</v>
      </c>
      <c r="D10" t="s">
        <v>124</v>
      </c>
      <c r="E10" t="s">
        <v>421</v>
      </c>
      <c r="F10" t="s">
        <v>1226</v>
      </c>
      <c r="G10" t="s">
        <v>1210</v>
      </c>
      <c r="J10" t="s">
        <v>1105</v>
      </c>
      <c r="K10" t="s">
        <v>1105</v>
      </c>
      <c r="L10" t="s">
        <v>124</v>
      </c>
      <c r="M10" s="15" t="s">
        <v>121</v>
      </c>
      <c r="P10" t="s">
        <v>1077</v>
      </c>
      <c r="Q10" t="s">
        <v>1227</v>
      </c>
      <c r="R10" t="s">
        <v>1647</v>
      </c>
    </row>
    <row r="11" spans="1:21" x14ac:dyDescent="0.2">
      <c r="A11" t="b">
        <v>1</v>
      </c>
      <c r="B11" t="str">
        <f>IF(D11&lt;&gt;"",VLOOKUP(D11,PHA4GEVars!$A$7:$B$241,2,FALSE),"")</f>
        <v>Sequence information</v>
      </c>
      <c r="C11" t="s">
        <v>1754</v>
      </c>
      <c r="D11" t="s">
        <v>124</v>
      </c>
      <c r="E11" t="s">
        <v>422</v>
      </c>
      <c r="F11" t="s">
        <v>1226</v>
      </c>
      <c r="G11" t="s">
        <v>1211</v>
      </c>
      <c r="J11" t="s">
        <v>1105</v>
      </c>
      <c r="K11" t="s">
        <v>1105</v>
      </c>
      <c r="L11" t="s">
        <v>124</v>
      </c>
      <c r="M11" s="15" t="s">
        <v>121</v>
      </c>
      <c r="P11" t="s">
        <v>1077</v>
      </c>
      <c r="Q11" t="s">
        <v>1227</v>
      </c>
      <c r="R11" t="s">
        <v>1647</v>
      </c>
    </row>
    <row r="12" spans="1:21" x14ac:dyDescent="0.2">
      <c r="A12" t="b">
        <v>1</v>
      </c>
      <c r="B12" t="str">
        <f>IF(D12&lt;&gt;"",VLOOKUP(D12,PHA4GEVars!$A$7:$B$241,2,FALSE),"")</f>
        <v>Sequence information</v>
      </c>
      <c r="C12" t="s">
        <v>1754</v>
      </c>
      <c r="D12" t="s">
        <v>124</v>
      </c>
      <c r="E12" t="s">
        <v>423</v>
      </c>
      <c r="F12" t="s">
        <v>1226</v>
      </c>
      <c r="G12" t="s">
        <v>1212</v>
      </c>
      <c r="J12" t="s">
        <v>1105</v>
      </c>
      <c r="K12" t="s">
        <v>1105</v>
      </c>
      <c r="L12" t="s">
        <v>124</v>
      </c>
      <c r="M12" s="15" t="s">
        <v>121</v>
      </c>
      <c r="P12" t="s">
        <v>1077</v>
      </c>
      <c r="Q12" t="s">
        <v>1227</v>
      </c>
      <c r="R12" t="s">
        <v>1647</v>
      </c>
    </row>
    <row r="13" spans="1:21" x14ac:dyDescent="0.2">
      <c r="A13" t="b">
        <v>1</v>
      </c>
      <c r="B13" t="str">
        <f>IF(D13&lt;&gt;"",VLOOKUP(D13,PHA4GEVars!$A$7:$B$241,2,FALSE),"")</f>
        <v>Sequence information</v>
      </c>
      <c r="C13" t="s">
        <v>1754</v>
      </c>
      <c r="D13" t="s">
        <v>124</v>
      </c>
      <c r="E13" t="s">
        <v>424</v>
      </c>
      <c r="F13" t="s">
        <v>1226</v>
      </c>
      <c r="G13" t="s">
        <v>1213</v>
      </c>
      <c r="J13" t="s">
        <v>1105</v>
      </c>
      <c r="K13" t="s">
        <v>1105</v>
      </c>
      <c r="L13" t="s">
        <v>124</v>
      </c>
      <c r="M13" s="15" t="s">
        <v>121</v>
      </c>
      <c r="P13" t="s">
        <v>1077</v>
      </c>
      <c r="Q13" t="s">
        <v>1227</v>
      </c>
      <c r="R13" t="s">
        <v>1647</v>
      </c>
    </row>
    <row r="14" spans="1:21" x14ac:dyDescent="0.2">
      <c r="A14" t="b">
        <v>1</v>
      </c>
      <c r="B14" t="str">
        <f>IF(D14&lt;&gt;"",VLOOKUP(D14,PHA4GEVars!$A$7:$B$241,2,FALSE),"")</f>
        <v>Sequence information</v>
      </c>
      <c r="C14" t="s">
        <v>1754</v>
      </c>
      <c r="D14" t="s">
        <v>124</v>
      </c>
      <c r="E14" t="s">
        <v>425</v>
      </c>
      <c r="F14" t="s">
        <v>1226</v>
      </c>
      <c r="G14" t="s">
        <v>1214</v>
      </c>
      <c r="J14" t="s">
        <v>1105</v>
      </c>
      <c r="K14" t="s">
        <v>1105</v>
      </c>
      <c r="L14" t="s">
        <v>124</v>
      </c>
      <c r="M14" s="15" t="s">
        <v>121</v>
      </c>
      <c r="P14" t="s">
        <v>1077</v>
      </c>
      <c r="Q14" t="s">
        <v>1227</v>
      </c>
      <c r="R14" t="s">
        <v>1647</v>
      </c>
    </row>
    <row r="15" spans="1:21" x14ac:dyDescent="0.2">
      <c r="A15" t="b">
        <v>1</v>
      </c>
      <c r="B15" t="str">
        <f>IF(D15&lt;&gt;"",VLOOKUP(D15,PHA4GEVars!$A$7:$B$241,2,FALSE),"")</f>
        <v>Sequence information</v>
      </c>
      <c r="C15" t="s">
        <v>1754</v>
      </c>
      <c r="D15" t="s">
        <v>124</v>
      </c>
      <c r="E15" t="s">
        <v>426</v>
      </c>
      <c r="F15" t="s">
        <v>1226</v>
      </c>
      <c r="G15" t="s">
        <v>1215</v>
      </c>
      <c r="J15" t="s">
        <v>1105</v>
      </c>
      <c r="K15" t="s">
        <v>1105</v>
      </c>
      <c r="L15" t="s">
        <v>124</v>
      </c>
      <c r="M15" s="15" t="s">
        <v>121</v>
      </c>
      <c r="P15" t="s">
        <v>1077</v>
      </c>
      <c r="Q15" t="s">
        <v>1227</v>
      </c>
      <c r="R15" t="s">
        <v>1647</v>
      </c>
    </row>
    <row r="16" spans="1:21" x14ac:dyDescent="0.2">
      <c r="A16" t="b">
        <v>1</v>
      </c>
      <c r="B16" t="str">
        <f>IF(D16&lt;&gt;"",VLOOKUP(D16,PHA4GEVars!$A$7:$B$241,2,FALSE),"")</f>
        <v>Sequence information</v>
      </c>
      <c r="C16" t="s">
        <v>1754</v>
      </c>
      <c r="D16" t="s">
        <v>124</v>
      </c>
      <c r="E16" t="s">
        <v>427</v>
      </c>
      <c r="F16" t="s">
        <v>1226</v>
      </c>
      <c r="G16" t="s">
        <v>1216</v>
      </c>
      <c r="J16" t="s">
        <v>1105</v>
      </c>
      <c r="K16" t="s">
        <v>1105</v>
      </c>
      <c r="L16" t="s">
        <v>124</v>
      </c>
      <c r="M16" s="15" t="s">
        <v>121</v>
      </c>
      <c r="P16" t="s">
        <v>1077</v>
      </c>
      <c r="Q16" t="s">
        <v>1227</v>
      </c>
      <c r="R16" t="s">
        <v>1647</v>
      </c>
    </row>
    <row r="17" spans="1:20" x14ac:dyDescent="0.2">
      <c r="A17" t="b">
        <v>1</v>
      </c>
      <c r="B17" t="str">
        <f>IF(D17&lt;&gt;"",VLOOKUP(D17,PHA4GEVars!$A$7:$B$241,2,FALSE),"")</f>
        <v>Sequence information</v>
      </c>
      <c r="C17" t="s">
        <v>1754</v>
      </c>
      <c r="D17" t="s">
        <v>124</v>
      </c>
      <c r="E17" t="s">
        <v>428</v>
      </c>
      <c r="F17" t="s">
        <v>1226</v>
      </c>
      <c r="G17" t="s">
        <v>1217</v>
      </c>
      <c r="J17" t="s">
        <v>1105</v>
      </c>
      <c r="K17" t="s">
        <v>1105</v>
      </c>
      <c r="L17" t="s">
        <v>124</v>
      </c>
      <c r="M17" s="15" t="s">
        <v>121</v>
      </c>
      <c r="P17" t="s">
        <v>1077</v>
      </c>
      <c r="Q17" t="s">
        <v>1227</v>
      </c>
      <c r="R17" t="s">
        <v>1647</v>
      </c>
    </row>
    <row r="18" spans="1:20" x14ac:dyDescent="0.2">
      <c r="A18" t="b">
        <v>1</v>
      </c>
      <c r="B18" t="str">
        <f>IF(D18&lt;&gt;"",VLOOKUP(D18,PHA4GEVars!$A$7:$B$241,2,FALSE),"")</f>
        <v>Sequence information</v>
      </c>
      <c r="C18" t="s">
        <v>1754</v>
      </c>
      <c r="D18" t="s">
        <v>124</v>
      </c>
      <c r="E18" t="s">
        <v>429</v>
      </c>
      <c r="F18" t="s">
        <v>1226</v>
      </c>
      <c r="G18" t="s">
        <v>1218</v>
      </c>
      <c r="J18" t="s">
        <v>1105</v>
      </c>
      <c r="K18" t="s">
        <v>1105</v>
      </c>
      <c r="L18" t="s">
        <v>124</v>
      </c>
      <c r="M18" s="15" t="s">
        <v>121</v>
      </c>
      <c r="P18" t="s">
        <v>1077</v>
      </c>
      <c r="Q18" t="s">
        <v>1227</v>
      </c>
      <c r="R18" t="s">
        <v>1647</v>
      </c>
    </row>
    <row r="19" spans="1:20" x14ac:dyDescent="0.2">
      <c r="A19" t="b">
        <v>1</v>
      </c>
      <c r="B19" t="str">
        <f>IF(D19&lt;&gt;"",VLOOKUP(D19,PHA4GEVars!$A$7:$B$241,2,FALSE),"")</f>
        <v>Sequence information</v>
      </c>
      <c r="C19" t="s">
        <v>1754</v>
      </c>
      <c r="D19" t="s">
        <v>124</v>
      </c>
      <c r="E19" t="s">
        <v>430</v>
      </c>
      <c r="F19" t="s">
        <v>1226</v>
      </c>
      <c r="G19" t="s">
        <v>1219</v>
      </c>
      <c r="J19" t="s">
        <v>1105</v>
      </c>
      <c r="K19" t="s">
        <v>1105</v>
      </c>
      <c r="L19" t="s">
        <v>124</v>
      </c>
      <c r="M19" s="15" t="s">
        <v>121</v>
      </c>
      <c r="P19" t="s">
        <v>1077</v>
      </c>
      <c r="Q19" t="s">
        <v>1227</v>
      </c>
      <c r="R19" t="s">
        <v>1647</v>
      </c>
    </row>
    <row r="20" spans="1:20" x14ac:dyDescent="0.2">
      <c r="A20" t="b">
        <v>1</v>
      </c>
      <c r="B20" t="str">
        <f>IF(D20&lt;&gt;"",VLOOKUP(D20,PHA4GEVars!$A$7:$B$241,2,FALSE),"")</f>
        <v>Sequence information</v>
      </c>
      <c r="C20" t="s">
        <v>1754</v>
      </c>
      <c r="D20" t="s">
        <v>124</v>
      </c>
      <c r="E20" t="s">
        <v>431</v>
      </c>
      <c r="F20" t="s">
        <v>1226</v>
      </c>
      <c r="G20" t="s">
        <v>1220</v>
      </c>
      <c r="J20" t="s">
        <v>1105</v>
      </c>
      <c r="K20" t="s">
        <v>1105</v>
      </c>
      <c r="L20" t="s">
        <v>124</v>
      </c>
      <c r="M20" s="15" t="s">
        <v>121</v>
      </c>
      <c r="P20" t="s">
        <v>1077</v>
      </c>
      <c r="Q20" t="s">
        <v>1227</v>
      </c>
      <c r="R20" t="s">
        <v>1647</v>
      </c>
    </row>
    <row r="21" spans="1:20" x14ac:dyDescent="0.2">
      <c r="A21" t="b">
        <v>1</v>
      </c>
      <c r="B21" t="str">
        <f>IF(D21&lt;&gt;"",VLOOKUP(D21,PHA4GEVars!$A$7:$B$241,2,FALSE),"")</f>
        <v>Sequence information</v>
      </c>
      <c r="C21" t="s">
        <v>1754</v>
      </c>
      <c r="D21" t="s">
        <v>124</v>
      </c>
      <c r="E21" t="s">
        <v>432</v>
      </c>
      <c r="F21" t="s">
        <v>1226</v>
      </c>
      <c r="G21" t="s">
        <v>1221</v>
      </c>
      <c r="J21" t="s">
        <v>1105</v>
      </c>
      <c r="K21" t="s">
        <v>1105</v>
      </c>
      <c r="L21" t="s">
        <v>124</v>
      </c>
      <c r="M21" s="15" t="s">
        <v>121</v>
      </c>
      <c r="P21" t="s">
        <v>1077</v>
      </c>
      <c r="Q21" t="s">
        <v>1227</v>
      </c>
      <c r="R21" t="s">
        <v>1647</v>
      </c>
    </row>
    <row r="22" spans="1:20" x14ac:dyDescent="0.2">
      <c r="A22" t="b">
        <v>1</v>
      </c>
      <c r="B22" t="str">
        <f>IF(D22&lt;&gt;"",VLOOKUP(D22,PHA4GEVars!$A$7:$B$241,2,FALSE),"")</f>
        <v>Sequence information</v>
      </c>
      <c r="C22" t="s">
        <v>1754</v>
      </c>
      <c r="D22" t="s">
        <v>124</v>
      </c>
      <c r="E22" t="s">
        <v>433</v>
      </c>
      <c r="F22" t="s">
        <v>1226</v>
      </c>
      <c r="G22" t="s">
        <v>1222</v>
      </c>
      <c r="J22" t="s">
        <v>1105</v>
      </c>
      <c r="K22" t="s">
        <v>1105</v>
      </c>
      <c r="L22" t="s">
        <v>124</v>
      </c>
      <c r="M22" s="15" t="s">
        <v>121</v>
      </c>
      <c r="P22" t="s">
        <v>1077</v>
      </c>
      <c r="Q22" t="s">
        <v>1227</v>
      </c>
      <c r="R22" t="s">
        <v>1647</v>
      </c>
    </row>
    <row r="23" spans="1:20" x14ac:dyDescent="0.2">
      <c r="A23" t="b">
        <v>1</v>
      </c>
      <c r="B23" t="str">
        <f>IF(D23&lt;&gt;"",VLOOKUP(D23,PHA4GEVars!$A$7:$B$241,2,FALSE),"")</f>
        <v>Sequence information</v>
      </c>
      <c r="C23" t="s">
        <v>1754</v>
      </c>
      <c r="D23" t="s">
        <v>124</v>
      </c>
      <c r="E23" t="s">
        <v>434</v>
      </c>
      <c r="F23" t="s">
        <v>1226</v>
      </c>
      <c r="G23" t="s">
        <v>1223</v>
      </c>
      <c r="J23" t="s">
        <v>1105</v>
      </c>
      <c r="K23" t="s">
        <v>1105</v>
      </c>
      <c r="L23" t="s">
        <v>124</v>
      </c>
      <c r="M23" s="15" t="s">
        <v>121</v>
      </c>
      <c r="P23" t="s">
        <v>1077</v>
      </c>
      <c r="Q23" t="s">
        <v>1227</v>
      </c>
      <c r="R23" t="s">
        <v>1647</v>
      </c>
    </row>
    <row r="24" spans="1:20" x14ac:dyDescent="0.2">
      <c r="B24" t="str">
        <f>IF(D24&lt;&gt;"",VLOOKUP(D24,PHA4GEVars!$A$7:$B$241,2,FALSE),"")</f>
        <v/>
      </c>
    </row>
    <row r="25" spans="1:20" x14ac:dyDescent="0.2">
      <c r="A25" t="b">
        <v>1</v>
      </c>
      <c r="B25" t="str">
        <f>IF(D25&lt;&gt;"",VLOOKUP(D25,PHA4GEVars!$A$7:$B$241,2,FALSE),"")</f>
        <v>Environmental conditions and measurements</v>
      </c>
      <c r="C25" t="s">
        <v>1754</v>
      </c>
      <c r="D25" t="s">
        <v>1790</v>
      </c>
      <c r="F25" t="s">
        <v>1226</v>
      </c>
      <c r="J25" t="s">
        <v>127</v>
      </c>
      <c r="K25" t="s">
        <v>127</v>
      </c>
      <c r="L25" t="s">
        <v>1790</v>
      </c>
      <c r="M25" t="s">
        <v>1790</v>
      </c>
      <c r="Q25" t="s">
        <v>1371</v>
      </c>
      <c r="R25" t="s">
        <v>1809</v>
      </c>
      <c r="T25" t="s">
        <v>1372</v>
      </c>
    </row>
    <row r="26" spans="1:20" x14ac:dyDescent="0.2">
      <c r="B26" t="str">
        <f>IF(D26&lt;&gt;"",VLOOKUP(D26,PHA4GEVars!$A$7:$B$241,2,FALSE),"")</f>
        <v/>
      </c>
    </row>
    <row r="27" spans="1:20" x14ac:dyDescent="0.2">
      <c r="A27" t="b">
        <v>1</v>
      </c>
      <c r="B27" t="e">
        <f>IF(D27&lt;&gt;"",VLOOKUP(D27,PHA4GEVars!$A$7:$B$241,2,FALSE),"")</f>
        <v>#N/A</v>
      </c>
      <c r="C27" t="s">
        <v>1754</v>
      </c>
      <c r="D27" t="s">
        <v>1929</v>
      </c>
      <c r="E27" t="s">
        <v>1937</v>
      </c>
      <c r="F27" t="s">
        <v>1226</v>
      </c>
      <c r="G27" t="s">
        <v>1387</v>
      </c>
      <c r="L27" t="s">
        <v>1929</v>
      </c>
      <c r="M27" t="s">
        <v>121</v>
      </c>
      <c r="Q27" t="s">
        <v>1389</v>
      </c>
      <c r="R27" t="s">
        <v>1932</v>
      </c>
    </row>
    <row r="28" spans="1:20" x14ac:dyDescent="0.2">
      <c r="A28" t="b">
        <v>1</v>
      </c>
      <c r="B28" t="e">
        <f>IF(D28&lt;&gt;"",VLOOKUP(D28,PHA4GEVars!$A$7:$B$241,2,FALSE),"")</f>
        <v>#N/A</v>
      </c>
      <c r="C28" t="s">
        <v>1754</v>
      </c>
      <c r="D28" t="s">
        <v>1929</v>
      </c>
      <c r="E28" t="s">
        <v>1936</v>
      </c>
      <c r="F28" t="s">
        <v>1226</v>
      </c>
      <c r="G28" t="s">
        <v>1388</v>
      </c>
      <c r="L28" t="s">
        <v>1929</v>
      </c>
      <c r="M28" t="s">
        <v>121</v>
      </c>
      <c r="Q28" t="s">
        <v>1389</v>
      </c>
      <c r="R28" t="s">
        <v>1932</v>
      </c>
    </row>
    <row r="29" spans="1:20" x14ac:dyDescent="0.2">
      <c r="A29" t="b">
        <v>1</v>
      </c>
      <c r="B29" t="e">
        <f>IF(D29&lt;&gt;"",VLOOKUP(D29,PHA4GEVars!$A$7:$B$241,2,FALSE),"")</f>
        <v>#N/A</v>
      </c>
      <c r="C29" t="s">
        <v>1754</v>
      </c>
      <c r="D29" t="s">
        <v>1929</v>
      </c>
      <c r="E29" t="s">
        <v>1935</v>
      </c>
      <c r="F29" t="s">
        <v>1226</v>
      </c>
      <c r="G29" t="s">
        <v>1390</v>
      </c>
      <c r="L29" t="s">
        <v>1929</v>
      </c>
      <c r="M29" t="s">
        <v>121</v>
      </c>
      <c r="Q29" t="s">
        <v>1391</v>
      </c>
      <c r="R29" t="s">
        <v>1932</v>
      </c>
    </row>
    <row r="30" spans="1:20" x14ac:dyDescent="0.2">
      <c r="B30" t="str">
        <f>IF(D30&lt;&gt;"",VLOOKUP(D30,PHA4GEVars!$A$7:$B$241,2,FALSE),"")</f>
        <v/>
      </c>
    </row>
    <row r="31" spans="1:20" x14ac:dyDescent="0.2">
      <c r="A31" t="b">
        <v>1</v>
      </c>
      <c r="B31" t="e">
        <f>IF(D31&lt;&gt;"",VLOOKUP(D31,PHA4GEVars!$A$7:$B$241,2,FALSE),"")</f>
        <v>#N/A</v>
      </c>
      <c r="C31" t="s">
        <v>1754</v>
      </c>
      <c r="D31" t="s">
        <v>1930</v>
      </c>
      <c r="E31" t="s">
        <v>1937</v>
      </c>
      <c r="F31" t="s">
        <v>1226</v>
      </c>
      <c r="G31" t="s">
        <v>1387</v>
      </c>
      <c r="L31" t="s">
        <v>1930</v>
      </c>
      <c r="M31" t="s">
        <v>121</v>
      </c>
      <c r="Q31" t="s">
        <v>1389</v>
      </c>
      <c r="R31" t="s">
        <v>1933</v>
      </c>
    </row>
    <row r="32" spans="1:20" x14ac:dyDescent="0.2">
      <c r="A32" t="b">
        <v>1</v>
      </c>
      <c r="B32" t="e">
        <f>IF(D32&lt;&gt;"",VLOOKUP(D32,PHA4GEVars!$A$7:$B$241,2,FALSE),"")</f>
        <v>#N/A</v>
      </c>
      <c r="C32" t="s">
        <v>1754</v>
      </c>
      <c r="D32" t="s">
        <v>1930</v>
      </c>
      <c r="E32" t="s">
        <v>1936</v>
      </c>
      <c r="F32" t="s">
        <v>1226</v>
      </c>
      <c r="G32" t="s">
        <v>1388</v>
      </c>
      <c r="L32" t="s">
        <v>1930</v>
      </c>
      <c r="M32" t="s">
        <v>121</v>
      </c>
      <c r="Q32" t="s">
        <v>1389</v>
      </c>
      <c r="R32" t="s">
        <v>1933</v>
      </c>
    </row>
    <row r="33" spans="1:21" x14ac:dyDescent="0.2">
      <c r="A33" t="b">
        <v>1</v>
      </c>
      <c r="B33" t="e">
        <f>IF(D33&lt;&gt;"",VLOOKUP(D33,PHA4GEVars!$A$7:$B$241,2,FALSE),"")</f>
        <v>#N/A</v>
      </c>
      <c r="C33" t="s">
        <v>1754</v>
      </c>
      <c r="D33" t="s">
        <v>1930</v>
      </c>
      <c r="E33" t="s">
        <v>1935</v>
      </c>
      <c r="F33" t="s">
        <v>1226</v>
      </c>
      <c r="G33" t="s">
        <v>1390</v>
      </c>
      <c r="L33" t="s">
        <v>1930</v>
      </c>
      <c r="M33" t="s">
        <v>121</v>
      </c>
      <c r="Q33" t="s">
        <v>1391</v>
      </c>
      <c r="R33" t="s">
        <v>1933</v>
      </c>
    </row>
    <row r="34" spans="1:21" x14ac:dyDescent="0.2">
      <c r="B34" t="str">
        <f>IF(D34&lt;&gt;"",VLOOKUP(D34,PHA4GEVars!$A$7:$B$241,2,FALSE),"")</f>
        <v/>
      </c>
    </row>
    <row r="35" spans="1:21" x14ac:dyDescent="0.2">
      <c r="A35" t="b">
        <v>1</v>
      </c>
      <c r="B35" t="e">
        <f>IF(D35&lt;&gt;"",VLOOKUP(D35,PHA4GEVars!$A$7:$B$241,2,FALSE),"")</f>
        <v>#N/A</v>
      </c>
      <c r="C35" t="s">
        <v>1754</v>
      </c>
      <c r="D35" t="s">
        <v>1931</v>
      </c>
      <c r="E35" t="s">
        <v>1937</v>
      </c>
      <c r="F35" t="s">
        <v>1226</v>
      </c>
      <c r="G35" t="s">
        <v>1387</v>
      </c>
      <c r="L35" t="s">
        <v>1931</v>
      </c>
      <c r="M35" t="s">
        <v>121</v>
      </c>
      <c r="Q35" t="s">
        <v>1389</v>
      </c>
      <c r="R35" t="s">
        <v>1934</v>
      </c>
    </row>
    <row r="36" spans="1:21" x14ac:dyDescent="0.2">
      <c r="A36" t="b">
        <v>1</v>
      </c>
      <c r="B36" t="e">
        <f>IF(D36&lt;&gt;"",VLOOKUP(D36,PHA4GEVars!$A$7:$B$241,2,FALSE),"")</f>
        <v>#N/A</v>
      </c>
      <c r="C36" t="s">
        <v>1754</v>
      </c>
      <c r="D36" t="s">
        <v>1931</v>
      </c>
      <c r="E36" t="s">
        <v>1936</v>
      </c>
      <c r="F36" t="s">
        <v>1226</v>
      </c>
      <c r="G36" t="s">
        <v>1388</v>
      </c>
      <c r="L36" t="s">
        <v>1931</v>
      </c>
      <c r="M36" t="s">
        <v>121</v>
      </c>
      <c r="Q36" t="s">
        <v>1389</v>
      </c>
      <c r="R36" t="s">
        <v>1934</v>
      </c>
    </row>
    <row r="37" spans="1:21" x14ac:dyDescent="0.2">
      <c r="A37" t="b">
        <v>1</v>
      </c>
      <c r="B37" t="e">
        <f>IF(D37&lt;&gt;"",VLOOKUP(D37,PHA4GEVars!$A$7:$B$241,2,FALSE),"")</f>
        <v>#N/A</v>
      </c>
      <c r="C37" t="s">
        <v>1754</v>
      </c>
      <c r="D37" t="s">
        <v>1931</v>
      </c>
      <c r="E37" t="s">
        <v>1935</v>
      </c>
      <c r="F37" t="s">
        <v>1226</v>
      </c>
      <c r="G37" t="s">
        <v>1390</v>
      </c>
      <c r="L37" t="s">
        <v>1931</v>
      </c>
      <c r="M37" t="s">
        <v>121</v>
      </c>
      <c r="Q37" t="s">
        <v>1391</v>
      </c>
      <c r="R37" t="s">
        <v>1934</v>
      </c>
    </row>
    <row r="38" spans="1:21" x14ac:dyDescent="0.2">
      <c r="B38" t="str">
        <f>IF(D38&lt;&gt;"",VLOOKUP(D38,PHA4GEVars!$A$7:$B$241,2,FALSE),"")</f>
        <v/>
      </c>
    </row>
    <row r="39" spans="1:21" s="17" customFormat="1" x14ac:dyDescent="0.2">
      <c r="A39" s="17" t="b">
        <v>0</v>
      </c>
      <c r="B39" s="17" t="str">
        <f>IF(D39&lt;&gt;"",VLOOKUP(D39,PHA4GEVars!$A$7:$B$241,2,FALSE),"")</f>
        <v>Sequence information</v>
      </c>
      <c r="C39" s="17" t="s">
        <v>1754</v>
      </c>
      <c r="D39" s="17" t="s">
        <v>84</v>
      </c>
      <c r="E39" s="17" t="s">
        <v>2025</v>
      </c>
      <c r="F39" s="17" t="s">
        <v>1226</v>
      </c>
      <c r="G39" s="17" t="s">
        <v>1460</v>
      </c>
      <c r="H39" s="17" t="s">
        <v>1686</v>
      </c>
      <c r="J39" s="17" t="s">
        <v>1105</v>
      </c>
      <c r="K39" s="17" t="s">
        <v>1105</v>
      </c>
      <c r="L39" s="17" t="s">
        <v>84</v>
      </c>
      <c r="M39" s="17" t="s">
        <v>121</v>
      </c>
      <c r="O39" s="17" t="s">
        <v>1027</v>
      </c>
      <c r="Q39" s="17" t="s">
        <v>1462</v>
      </c>
      <c r="R39" s="17" t="s">
        <v>1654</v>
      </c>
      <c r="U39" s="17" t="s">
        <v>1938</v>
      </c>
    </row>
    <row r="40" spans="1:21" s="17" customFormat="1" x14ac:dyDescent="0.2">
      <c r="A40" s="17" t="b">
        <v>0</v>
      </c>
      <c r="B40" s="17" t="str">
        <f>IF(D40&lt;&gt;"",VLOOKUP(D40,PHA4GEVars!$A$7:$B$241,2,FALSE),"")</f>
        <v>Sequence information</v>
      </c>
      <c r="C40" s="17" t="s">
        <v>1754</v>
      </c>
      <c r="D40" s="17" t="s">
        <v>84</v>
      </c>
      <c r="E40" s="17" t="s">
        <v>1149</v>
      </c>
      <c r="F40" s="17" t="s">
        <v>1226</v>
      </c>
      <c r="G40" s="17" t="s">
        <v>1461</v>
      </c>
      <c r="H40" s="17" t="s">
        <v>1686</v>
      </c>
      <c r="J40" s="17" t="s">
        <v>1105</v>
      </c>
      <c r="K40" s="17" t="s">
        <v>1105</v>
      </c>
      <c r="L40" s="17" t="s">
        <v>84</v>
      </c>
      <c r="M40" s="17" t="s">
        <v>121</v>
      </c>
      <c r="O40" s="17" t="s">
        <v>1027</v>
      </c>
      <c r="Q40" s="17" t="s">
        <v>1462</v>
      </c>
      <c r="R40" s="17" t="s">
        <v>1654</v>
      </c>
      <c r="U40" s="17" t="s">
        <v>1938</v>
      </c>
    </row>
    <row r="41" spans="1:21" x14ac:dyDescent="0.2">
      <c r="B41" t="str">
        <f>IF(D41&lt;&gt;"",VLOOKUP(D41,PHA4GEVars!$A$7:$B$241,2,FALSE),"")</f>
        <v/>
      </c>
    </row>
    <row r="42" spans="1:21" ht="221" x14ac:dyDescent="0.2">
      <c r="A42" t="b">
        <v>1</v>
      </c>
      <c r="B42" t="str">
        <f>IF(D42&lt;&gt;"",VLOOKUP(D42,PHA4GEVars!$A$7:$B$241,2,FALSE),"")</f>
        <v>Sample collection and processing</v>
      </c>
      <c r="C42" t="s">
        <v>1754</v>
      </c>
      <c r="D42" t="s">
        <v>128</v>
      </c>
      <c r="E42" t="s">
        <v>198</v>
      </c>
      <c r="F42" t="s">
        <v>1226</v>
      </c>
      <c r="G42" t="s">
        <v>1511</v>
      </c>
      <c r="J42" t="s">
        <v>127</v>
      </c>
      <c r="K42" t="s">
        <v>127</v>
      </c>
      <c r="L42" t="s">
        <v>128</v>
      </c>
      <c r="M42" t="s">
        <v>121</v>
      </c>
      <c r="N42" t="s">
        <v>1509</v>
      </c>
      <c r="O42" t="s">
        <v>1027</v>
      </c>
      <c r="Q42" s="8" t="s">
        <v>2107</v>
      </c>
      <c r="R42" s="8"/>
      <c r="S42" s="76" t="s">
        <v>2109</v>
      </c>
      <c r="T42" t="s">
        <v>1516</v>
      </c>
      <c r="U42" t="s">
        <v>1512</v>
      </c>
    </row>
    <row r="43" spans="1:21" x14ac:dyDescent="0.2">
      <c r="A43" t="b">
        <v>1</v>
      </c>
      <c r="B43" t="str">
        <f>IF(D43&lt;&gt;"",VLOOKUP(D43,PHA4GEVars!$A$7:$B$241,2,FALSE),"")</f>
        <v>Sample collection and processing</v>
      </c>
      <c r="C43" t="s">
        <v>1754</v>
      </c>
      <c r="D43" t="s">
        <v>128</v>
      </c>
      <c r="E43" t="s">
        <v>199</v>
      </c>
      <c r="F43" t="s">
        <v>1226</v>
      </c>
      <c r="G43" t="s">
        <v>1515</v>
      </c>
      <c r="J43" t="s">
        <v>127</v>
      </c>
      <c r="K43" t="s">
        <v>127</v>
      </c>
      <c r="L43" t="s">
        <v>128</v>
      </c>
      <c r="M43" t="s">
        <v>121</v>
      </c>
      <c r="N43" t="s">
        <v>1509</v>
      </c>
      <c r="O43" t="s">
        <v>1027</v>
      </c>
      <c r="Q43" s="8" t="s">
        <v>2107</v>
      </c>
      <c r="R43" s="8"/>
      <c r="S43" s="8"/>
      <c r="T43" t="s">
        <v>1516</v>
      </c>
    </row>
    <row r="44" spans="1:21" x14ac:dyDescent="0.2">
      <c r="A44" t="b">
        <v>1</v>
      </c>
      <c r="B44" t="str">
        <f>IF(D44&lt;&gt;"",VLOOKUP(D44,PHA4GEVars!$A$7:$B$241,2,FALSE),"")</f>
        <v>Sample collection and processing</v>
      </c>
      <c r="C44" t="s">
        <v>1754</v>
      </c>
      <c r="D44" t="s">
        <v>128</v>
      </c>
      <c r="E44" t="s">
        <v>200</v>
      </c>
      <c r="F44" t="s">
        <v>1226</v>
      </c>
      <c r="G44" t="s">
        <v>1515</v>
      </c>
      <c r="J44" t="s">
        <v>127</v>
      </c>
      <c r="K44" t="s">
        <v>127</v>
      </c>
      <c r="L44" t="s">
        <v>128</v>
      </c>
      <c r="M44" t="s">
        <v>121</v>
      </c>
      <c r="N44" t="s">
        <v>1509</v>
      </c>
      <c r="O44" t="s">
        <v>1027</v>
      </c>
      <c r="Q44" s="8" t="s">
        <v>2107</v>
      </c>
      <c r="R44" s="8"/>
      <c r="S44" s="8"/>
      <c r="T44" t="s">
        <v>1516</v>
      </c>
    </row>
    <row r="45" spans="1:21" x14ac:dyDescent="0.2">
      <c r="A45" t="b">
        <v>1</v>
      </c>
      <c r="B45" t="str">
        <f>IF(D45&lt;&gt;"",VLOOKUP(D45,PHA4GEVars!$A$7:$B$241,2,FALSE),"")</f>
        <v>Sample collection and processing</v>
      </c>
      <c r="C45" t="s">
        <v>1754</v>
      </c>
      <c r="D45" t="s">
        <v>128</v>
      </c>
      <c r="E45" t="s">
        <v>201</v>
      </c>
      <c r="F45" t="s">
        <v>1226</v>
      </c>
      <c r="G45" t="s">
        <v>1511</v>
      </c>
      <c r="J45" t="s">
        <v>127</v>
      </c>
      <c r="K45" t="s">
        <v>127</v>
      </c>
      <c r="L45" t="s">
        <v>128</v>
      </c>
      <c r="M45" t="s">
        <v>121</v>
      </c>
      <c r="N45" t="s">
        <v>1509</v>
      </c>
      <c r="O45" t="s">
        <v>1027</v>
      </c>
      <c r="Q45" s="8" t="s">
        <v>2107</v>
      </c>
      <c r="R45" s="8"/>
      <c r="S45" s="8"/>
      <c r="T45" t="s">
        <v>1516</v>
      </c>
    </row>
    <row r="46" spans="1:21" x14ac:dyDescent="0.2">
      <c r="A46" t="b">
        <v>1</v>
      </c>
      <c r="B46" t="str">
        <f>IF(D46&lt;&gt;"",VLOOKUP(D46,PHA4GEVars!$A$7:$B$241,2,FALSE),"")</f>
        <v>Sample collection and processing</v>
      </c>
      <c r="C46" t="s">
        <v>1754</v>
      </c>
      <c r="D46" t="s">
        <v>128</v>
      </c>
      <c r="E46" t="s">
        <v>202</v>
      </c>
      <c r="F46" t="s">
        <v>1226</v>
      </c>
      <c r="G46" t="s">
        <v>1511</v>
      </c>
      <c r="J46" t="s">
        <v>127</v>
      </c>
      <c r="K46" t="s">
        <v>127</v>
      </c>
      <c r="L46" t="s">
        <v>128</v>
      </c>
      <c r="M46" t="s">
        <v>121</v>
      </c>
      <c r="N46" t="s">
        <v>1509</v>
      </c>
      <c r="O46" t="s">
        <v>1027</v>
      </c>
      <c r="Q46" s="8" t="s">
        <v>2107</v>
      </c>
      <c r="R46" s="8"/>
      <c r="S46" s="8"/>
      <c r="T46" t="s">
        <v>1516</v>
      </c>
    </row>
    <row r="47" spans="1:21" x14ac:dyDescent="0.2">
      <c r="A47" t="b">
        <v>1</v>
      </c>
      <c r="B47" t="str">
        <f>IF(D47&lt;&gt;"",VLOOKUP(D47,PHA4GEVars!$A$7:$B$241,2,FALSE),"")</f>
        <v>Sample collection and processing</v>
      </c>
      <c r="C47" t="s">
        <v>1754</v>
      </c>
      <c r="D47" t="s">
        <v>128</v>
      </c>
      <c r="E47" t="s">
        <v>203</v>
      </c>
      <c r="F47" t="s">
        <v>1226</v>
      </c>
      <c r="G47" t="s">
        <v>1511</v>
      </c>
      <c r="J47" t="s">
        <v>127</v>
      </c>
      <c r="K47" t="s">
        <v>127</v>
      </c>
      <c r="L47" t="s">
        <v>128</v>
      </c>
      <c r="M47" t="s">
        <v>121</v>
      </c>
      <c r="N47" t="s">
        <v>1509</v>
      </c>
      <c r="O47" t="s">
        <v>1027</v>
      </c>
      <c r="Q47" s="8" t="s">
        <v>2107</v>
      </c>
      <c r="R47" s="8"/>
      <c r="S47" s="8"/>
      <c r="T47" t="s">
        <v>1516</v>
      </c>
    </row>
    <row r="48" spans="1:21" x14ac:dyDescent="0.2">
      <c r="A48" t="b">
        <v>1</v>
      </c>
      <c r="B48" t="str">
        <f>IF(D48&lt;&gt;"",VLOOKUP(D48,PHA4GEVars!$A$7:$B$241,2,FALSE),"")</f>
        <v>Sample collection and processing</v>
      </c>
      <c r="C48" t="s">
        <v>1754</v>
      </c>
      <c r="D48" t="s">
        <v>128</v>
      </c>
      <c r="E48" t="s">
        <v>1943</v>
      </c>
      <c r="F48" t="s">
        <v>1226</v>
      </c>
      <c r="G48" t="s">
        <v>1515</v>
      </c>
      <c r="J48" t="s">
        <v>127</v>
      </c>
      <c r="K48" t="s">
        <v>127</v>
      </c>
      <c r="L48" t="s">
        <v>128</v>
      </c>
      <c r="M48" t="s">
        <v>121</v>
      </c>
      <c r="N48" t="s">
        <v>1509</v>
      </c>
      <c r="O48" t="s">
        <v>1027</v>
      </c>
      <c r="Q48" s="8" t="s">
        <v>2107</v>
      </c>
      <c r="R48" s="8"/>
      <c r="S48" s="8"/>
      <c r="T48" t="s">
        <v>1516</v>
      </c>
    </row>
    <row r="49" spans="1:21" x14ac:dyDescent="0.2">
      <c r="A49" t="b">
        <v>1</v>
      </c>
      <c r="B49" t="str">
        <f>IF(D49&lt;&gt;"",VLOOKUP(D49,PHA4GEVars!$A$7:$B$241,2,FALSE),"")</f>
        <v>Sample collection and processing</v>
      </c>
      <c r="C49" t="s">
        <v>1754</v>
      </c>
      <c r="D49" t="s">
        <v>128</v>
      </c>
      <c r="E49" t="s">
        <v>1126</v>
      </c>
      <c r="F49" t="s">
        <v>1226</v>
      </c>
      <c r="G49" s="20" t="s">
        <v>1391</v>
      </c>
      <c r="J49" t="s">
        <v>127</v>
      </c>
      <c r="K49" t="s">
        <v>127</v>
      </c>
      <c r="L49" t="s">
        <v>128</v>
      </c>
      <c r="M49" t="s">
        <v>121</v>
      </c>
      <c r="N49" t="s">
        <v>1509</v>
      </c>
      <c r="O49" t="s">
        <v>1027</v>
      </c>
      <c r="Q49" s="8" t="s">
        <v>2107</v>
      </c>
      <c r="R49" s="72"/>
      <c r="S49" s="75"/>
      <c r="T49" t="s">
        <v>1516</v>
      </c>
    </row>
    <row r="50" spans="1:21" x14ac:dyDescent="0.2">
      <c r="A50" t="b">
        <v>1</v>
      </c>
      <c r="B50" t="str">
        <f>IF(D50&lt;&gt;"",VLOOKUP(D50,PHA4GEVars!$A$7:$B$241,2,FALSE),"")</f>
        <v>Sample collection and processing</v>
      </c>
      <c r="C50" t="s">
        <v>1754</v>
      </c>
      <c r="D50" t="s">
        <v>128</v>
      </c>
      <c r="E50" t="s">
        <v>204</v>
      </c>
      <c r="F50" t="s">
        <v>1226</v>
      </c>
      <c r="G50" t="s">
        <v>1513</v>
      </c>
      <c r="J50" t="s">
        <v>127</v>
      </c>
      <c r="K50" t="s">
        <v>127</v>
      </c>
      <c r="L50" t="s">
        <v>128</v>
      </c>
      <c r="M50" t="s">
        <v>121</v>
      </c>
      <c r="N50" t="s">
        <v>1509</v>
      </c>
      <c r="O50" t="s">
        <v>1027</v>
      </c>
      <c r="Q50" s="8" t="s">
        <v>2107</v>
      </c>
      <c r="R50" s="8"/>
      <c r="S50" s="8"/>
      <c r="T50" t="s">
        <v>1516</v>
      </c>
      <c r="U50" t="s">
        <v>1514</v>
      </c>
    </row>
    <row r="51" spans="1:21" x14ac:dyDescent="0.2">
      <c r="B51" t="str">
        <f>IF(D51&lt;&gt;"",VLOOKUP(D51,PHA4GEVars!$A$7:$B$241,2,FALSE),"")</f>
        <v/>
      </c>
    </row>
    <row r="52" spans="1:21" x14ac:dyDescent="0.2">
      <c r="A52" t="b">
        <v>1</v>
      </c>
      <c r="B52" t="str">
        <f>IF(D52&lt;&gt;"",VLOOKUP(D52,PHA4GEVars!$A$7:$B$241,2,FALSE),"")</f>
        <v>AMR detection information</v>
      </c>
      <c r="C52" t="s">
        <v>1754</v>
      </c>
      <c r="D52" t="s">
        <v>1112</v>
      </c>
      <c r="F52" t="s">
        <v>1226</v>
      </c>
      <c r="H52" t="s">
        <v>1667</v>
      </c>
      <c r="J52" t="s">
        <v>1105</v>
      </c>
      <c r="K52" t="s">
        <v>1105</v>
      </c>
      <c r="L52" t="s">
        <v>1112</v>
      </c>
      <c r="M52" t="s">
        <v>2104</v>
      </c>
      <c r="O52" t="s">
        <v>1027</v>
      </c>
      <c r="Q52" t="s">
        <v>1531</v>
      </c>
      <c r="R52" t="s">
        <v>1637</v>
      </c>
      <c r="T52" t="s">
        <v>1532</v>
      </c>
    </row>
    <row r="53" spans="1:21" x14ac:dyDescent="0.2">
      <c r="A53" t="b">
        <v>1</v>
      </c>
      <c r="B53" t="str">
        <f>IF(D53&lt;&gt;"",VLOOKUP(D53,PHA4GEVars!$A$7:$B$241,2,FALSE),"")</f>
        <v>Bioinformatics and QC metrics</v>
      </c>
      <c r="C53" t="s">
        <v>1754</v>
      </c>
      <c r="D53" t="s">
        <v>13</v>
      </c>
      <c r="F53" t="s">
        <v>1226</v>
      </c>
      <c r="H53" t="s">
        <v>1664</v>
      </c>
      <c r="J53" t="s">
        <v>1105</v>
      </c>
      <c r="K53" t="s">
        <v>1105</v>
      </c>
      <c r="L53" t="s">
        <v>13</v>
      </c>
      <c r="M53" t="s">
        <v>121</v>
      </c>
      <c r="O53" t="s">
        <v>1027</v>
      </c>
      <c r="Q53" t="s">
        <v>1535</v>
      </c>
      <c r="R53" t="s">
        <v>1638</v>
      </c>
      <c r="T53" t="s">
        <v>1536</v>
      </c>
    </row>
    <row r="54" spans="1:21" x14ac:dyDescent="0.2">
      <c r="A54" t="b">
        <v>1</v>
      </c>
      <c r="B54" t="str">
        <f>IF(D54&lt;&gt;"",VLOOKUP(D54,PHA4GEVars!$A$7:$B$241,2,FALSE),"")</f>
        <v>Bioinformatics and QC metrics</v>
      </c>
      <c r="C54" t="s">
        <v>1754</v>
      </c>
      <c r="D54" t="s">
        <v>15</v>
      </c>
      <c r="F54" t="s">
        <v>1226</v>
      </c>
      <c r="J54" t="s">
        <v>1105</v>
      </c>
      <c r="K54" t="s">
        <v>1105</v>
      </c>
      <c r="L54" t="s">
        <v>15</v>
      </c>
      <c r="M54" t="s">
        <v>121</v>
      </c>
      <c r="O54" t="s">
        <v>1027</v>
      </c>
      <c r="Q54" t="s">
        <v>1537</v>
      </c>
      <c r="R54" t="s">
        <v>1639</v>
      </c>
      <c r="T54" t="s">
        <v>1536</v>
      </c>
    </row>
    <row r="55" spans="1:21" x14ac:dyDescent="0.2">
      <c r="A55" t="b">
        <v>1</v>
      </c>
      <c r="B55" t="str">
        <f>IF(D55&lt;&gt;"",VLOOKUP(D55,PHA4GEVars!$A$7:$B$241,2,FALSE),"")</f>
        <v>Bioinformatics and QC metrics</v>
      </c>
      <c r="C55" t="s">
        <v>1754</v>
      </c>
      <c r="D55" t="s">
        <v>18</v>
      </c>
      <c r="F55" t="s">
        <v>1226</v>
      </c>
      <c r="J55" t="s">
        <v>1105</v>
      </c>
      <c r="K55" t="s">
        <v>1105</v>
      </c>
      <c r="L55" t="s">
        <v>18</v>
      </c>
      <c r="M55" t="s">
        <v>121</v>
      </c>
      <c r="O55" t="s">
        <v>1027</v>
      </c>
      <c r="Q55" t="s">
        <v>1538</v>
      </c>
      <c r="R55" t="s">
        <v>1640</v>
      </c>
      <c r="T55" t="s">
        <v>1536</v>
      </c>
    </row>
    <row r="56" spans="1:21" x14ac:dyDescent="0.2">
      <c r="A56" t="b">
        <v>1</v>
      </c>
      <c r="B56" t="str">
        <f>IF(D56&lt;&gt;"",VLOOKUP(D56,PHA4GEVars!$A$7:$B$241,2,FALSE),"")</f>
        <v>Bioinformatics and QC metrics</v>
      </c>
      <c r="C56" t="s">
        <v>1754</v>
      </c>
      <c r="D56" t="s">
        <v>83</v>
      </c>
      <c r="F56" t="s">
        <v>1226</v>
      </c>
      <c r="J56" t="s">
        <v>1105</v>
      </c>
      <c r="K56" t="s">
        <v>1105</v>
      </c>
      <c r="L56" t="s">
        <v>83</v>
      </c>
      <c r="M56" t="s">
        <v>121</v>
      </c>
      <c r="O56" t="s">
        <v>1027</v>
      </c>
      <c r="Q56" t="s">
        <v>1542</v>
      </c>
      <c r="R56" t="s">
        <v>1641</v>
      </c>
      <c r="T56" t="s">
        <v>1536</v>
      </c>
    </row>
    <row r="57" spans="1:21" x14ac:dyDescent="0.2">
      <c r="A57" t="b">
        <v>1</v>
      </c>
      <c r="B57" t="str">
        <f>IF(D57&lt;&gt;"",VLOOKUP(D57,PHA4GEVars!$A$7:$B$241,2,FALSE),"")</f>
        <v>Bioinformatics and QC metrics</v>
      </c>
      <c r="C57" t="s">
        <v>1754</v>
      </c>
      <c r="D57" t="s">
        <v>95</v>
      </c>
      <c r="F57" t="s">
        <v>1226</v>
      </c>
      <c r="H57" t="s">
        <v>1665</v>
      </c>
      <c r="J57" t="s">
        <v>1105</v>
      </c>
      <c r="K57" t="s">
        <v>1105</v>
      </c>
      <c r="L57" t="s">
        <v>95</v>
      </c>
      <c r="M57" t="s">
        <v>121</v>
      </c>
      <c r="O57" t="s">
        <v>1027</v>
      </c>
      <c r="Q57" t="s">
        <v>1543</v>
      </c>
      <c r="R57" t="s">
        <v>1642</v>
      </c>
      <c r="T57" t="s">
        <v>1536</v>
      </c>
    </row>
    <row r="58" spans="1:21" x14ac:dyDescent="0.2">
      <c r="A58" t="b">
        <v>1</v>
      </c>
      <c r="B58" t="str">
        <f>IF(D58&lt;&gt;"",VLOOKUP(D58,PHA4GEVars!$A$7:$B$241,2,FALSE),"")</f>
        <v>Lineage/clade information</v>
      </c>
      <c r="C58" t="s">
        <v>1754</v>
      </c>
      <c r="D58" t="s">
        <v>1119</v>
      </c>
      <c r="F58" t="s">
        <v>1226</v>
      </c>
      <c r="H58" t="s">
        <v>2026</v>
      </c>
      <c r="J58" t="s">
        <v>1105</v>
      </c>
      <c r="K58" t="s">
        <v>1105</v>
      </c>
      <c r="L58" t="s">
        <v>1119</v>
      </c>
      <c r="M58" t="s">
        <v>121</v>
      </c>
      <c r="O58" t="s">
        <v>1027</v>
      </c>
      <c r="Q58" t="s">
        <v>1544</v>
      </c>
      <c r="R58" t="s">
        <v>1643</v>
      </c>
      <c r="T58" t="s">
        <v>1545</v>
      </c>
    </row>
    <row r="59" spans="1:21" x14ac:dyDescent="0.2">
      <c r="B59" t="str">
        <f>IF(D59&lt;&gt;"",VLOOKUP(D59,PHA4GEVars!$A$7:$B$241,2,FALSE),"")</f>
        <v/>
      </c>
    </row>
    <row r="60" spans="1:21" x14ac:dyDescent="0.2">
      <c r="A60" t="b">
        <v>1</v>
      </c>
      <c r="B60" t="str">
        <f>IF(D60&lt;&gt;"",VLOOKUP(D60,PHA4GEVars!$A$7:$B$241,2,FALSE),"")</f>
        <v>Sample collection and processing</v>
      </c>
      <c r="C60" t="s">
        <v>1754</v>
      </c>
      <c r="D60" t="s">
        <v>1787</v>
      </c>
      <c r="F60" t="s">
        <v>1226</v>
      </c>
      <c r="H60" t="s">
        <v>1956</v>
      </c>
      <c r="J60" t="s">
        <v>127</v>
      </c>
      <c r="K60" t="s">
        <v>127</v>
      </c>
      <c r="L60" t="s">
        <v>1787</v>
      </c>
      <c r="M60" t="s">
        <v>121</v>
      </c>
      <c r="O60" t="s">
        <v>1027</v>
      </c>
      <c r="Q60" t="s">
        <v>1552</v>
      </c>
      <c r="R60" t="s">
        <v>1957</v>
      </c>
      <c r="T60" t="s">
        <v>1553</v>
      </c>
    </row>
    <row r="61" spans="1:21" x14ac:dyDescent="0.2">
      <c r="B61" t="str">
        <f>IF(D61&lt;&gt;"",VLOOKUP(D61,PHA4GEVars!$A$7:$B$241,2,FALSE),"")</f>
        <v/>
      </c>
    </row>
    <row r="62" spans="1:21" x14ac:dyDescent="0.2">
      <c r="A62" t="b">
        <v>1</v>
      </c>
      <c r="B62" t="str">
        <f>IF(D62&lt;&gt;"",VLOOKUP(D62,PHA4GEVars!$A$7:$B$241,2,FALSE),"")</f>
        <v>Sample collection and processing</v>
      </c>
      <c r="C62" t="s">
        <v>1754</v>
      </c>
      <c r="D62" t="s">
        <v>125</v>
      </c>
      <c r="F62" t="s">
        <v>1226</v>
      </c>
      <c r="G62" s="9"/>
      <c r="H62" t="s">
        <v>1684</v>
      </c>
      <c r="J62" t="s">
        <v>127</v>
      </c>
      <c r="K62" t="s">
        <v>127</v>
      </c>
      <c r="L62" t="s">
        <v>125</v>
      </c>
      <c r="M62" t="s">
        <v>121</v>
      </c>
      <c r="O62" t="s">
        <v>1027</v>
      </c>
      <c r="Q62" t="s">
        <v>1563</v>
      </c>
      <c r="R62" t="s">
        <v>1562</v>
      </c>
      <c r="T62" t="s">
        <v>1564</v>
      </c>
    </row>
    <row r="63" spans="1:21" x14ac:dyDescent="0.2">
      <c r="B63" t="str">
        <f>IF(D63&lt;&gt;"",VLOOKUP(D63,PHA4GEVars!$A$7:$B$241,2,FALSE),"")</f>
        <v/>
      </c>
    </row>
    <row r="64" spans="1:21" x14ac:dyDescent="0.2">
      <c r="A64" t="b">
        <v>1</v>
      </c>
      <c r="B64" t="str">
        <f>IF(D64&lt;&gt;"",VLOOKUP(D64,PHA4GEVars!$A$7:$B$241,2,FALSE),"")</f>
        <v>Sequence information</v>
      </c>
      <c r="C64" t="s">
        <v>1754</v>
      </c>
      <c r="D64" t="s">
        <v>89</v>
      </c>
      <c r="F64" t="s">
        <v>1226</v>
      </c>
      <c r="H64" t="s">
        <v>1687</v>
      </c>
      <c r="J64" t="s">
        <v>1105</v>
      </c>
      <c r="K64" t="s">
        <v>1105</v>
      </c>
      <c r="L64" t="s">
        <v>89</v>
      </c>
      <c r="M64" t="s">
        <v>121</v>
      </c>
      <c r="O64" t="s">
        <v>1027</v>
      </c>
      <c r="Q64" t="s">
        <v>1576</v>
      </c>
      <c r="R64" t="s">
        <v>1575</v>
      </c>
      <c r="T64" t="s">
        <v>1577</v>
      </c>
    </row>
    <row r="65" spans="1:20" x14ac:dyDescent="0.2">
      <c r="B65" t="str">
        <f>IF(D65&lt;&gt;"",VLOOKUP(D65,PHA4GEVars!$A$7:$B$241,2,FALSE),"")</f>
        <v/>
      </c>
    </row>
    <row r="66" spans="1:20" x14ac:dyDescent="0.2">
      <c r="A66" t="b">
        <v>1</v>
      </c>
      <c r="B66" t="str">
        <f>IF(D66&lt;&gt;"",VLOOKUP(D66,PHA4GEVars!$A$7:$B$241,2,FALSE),"")</f>
        <v>Sequence information</v>
      </c>
      <c r="C66" t="s">
        <v>1754</v>
      </c>
      <c r="D66" t="s">
        <v>1107</v>
      </c>
      <c r="E66" t="s">
        <v>1942</v>
      </c>
      <c r="F66" t="s">
        <v>1226</v>
      </c>
      <c r="G66" t="s">
        <v>1581</v>
      </c>
      <c r="I66" t="s">
        <v>19</v>
      </c>
      <c r="J66" t="s">
        <v>1105</v>
      </c>
      <c r="K66" t="s">
        <v>1105</v>
      </c>
      <c r="L66" t="s">
        <v>1107</v>
      </c>
      <c r="M66" t="s">
        <v>121</v>
      </c>
      <c r="O66" t="s">
        <v>1027</v>
      </c>
      <c r="Q66" t="s">
        <v>1579</v>
      </c>
      <c r="R66" t="s">
        <v>1663</v>
      </c>
      <c r="T66" t="s">
        <v>1586</v>
      </c>
    </row>
    <row r="67" spans="1:20" x14ac:dyDescent="0.2">
      <c r="A67" t="b">
        <v>1</v>
      </c>
      <c r="B67" t="str">
        <f>IF(D67&lt;&gt;"",VLOOKUP(D67,PHA4GEVars!$A$7:$B$241,2,FALSE),"")</f>
        <v>Sequence information</v>
      </c>
      <c r="C67" t="s">
        <v>1754</v>
      </c>
      <c r="D67" t="s">
        <v>1107</v>
      </c>
      <c r="E67" t="s">
        <v>1580</v>
      </c>
      <c r="F67" t="s">
        <v>1226</v>
      </c>
      <c r="G67" t="s">
        <v>1583</v>
      </c>
      <c r="I67" t="s">
        <v>19</v>
      </c>
      <c r="J67" t="s">
        <v>1105</v>
      </c>
      <c r="K67" t="s">
        <v>1105</v>
      </c>
      <c r="L67" t="s">
        <v>1107</v>
      </c>
      <c r="M67" t="s">
        <v>121</v>
      </c>
      <c r="O67" t="s">
        <v>1027</v>
      </c>
      <c r="Q67" t="s">
        <v>1579</v>
      </c>
      <c r="R67" t="s">
        <v>1663</v>
      </c>
      <c r="T67" t="s">
        <v>1586</v>
      </c>
    </row>
    <row r="68" spans="1:20" x14ac:dyDescent="0.2">
      <c r="A68" t="b">
        <v>1</v>
      </c>
      <c r="B68" t="str">
        <f>IF(D68&lt;&gt;"",VLOOKUP(D68,PHA4GEVars!$A$7:$B$241,2,FALSE),"")</f>
        <v>Sequence information</v>
      </c>
      <c r="C68" t="s">
        <v>1754</v>
      </c>
      <c r="D68" t="s">
        <v>1107</v>
      </c>
      <c r="E68" t="s">
        <v>1941</v>
      </c>
      <c r="F68" t="s">
        <v>1226</v>
      </c>
      <c r="G68" t="s">
        <v>1582</v>
      </c>
      <c r="I68" t="s">
        <v>19</v>
      </c>
      <c r="J68" t="s">
        <v>1105</v>
      </c>
      <c r="K68" t="s">
        <v>1105</v>
      </c>
      <c r="L68" t="s">
        <v>1107</v>
      </c>
      <c r="M68" t="s">
        <v>121</v>
      </c>
      <c r="O68" t="s">
        <v>1027</v>
      </c>
      <c r="Q68" t="s">
        <v>1579</v>
      </c>
      <c r="R68" t="s">
        <v>1663</v>
      </c>
      <c r="T68" t="s">
        <v>1586</v>
      </c>
    </row>
    <row r="69" spans="1:20" x14ac:dyDescent="0.2">
      <c r="A69" t="b">
        <v>1</v>
      </c>
      <c r="B69" t="str">
        <f>IF(D69&lt;&gt;"",VLOOKUP(D69,PHA4GEVars!$A$7:$B$241,2,FALSE),"")</f>
        <v>Sequence information</v>
      </c>
      <c r="C69" t="s">
        <v>1754</v>
      </c>
      <c r="D69" t="s">
        <v>1107</v>
      </c>
      <c r="E69" t="s">
        <v>1939</v>
      </c>
      <c r="F69" t="s">
        <v>1226</v>
      </c>
      <c r="G69" t="s">
        <v>1584</v>
      </c>
      <c r="I69" t="s">
        <v>19</v>
      </c>
      <c r="J69" t="s">
        <v>1105</v>
      </c>
      <c r="K69" t="s">
        <v>1105</v>
      </c>
      <c r="L69" t="s">
        <v>1107</v>
      </c>
      <c r="M69" t="s">
        <v>121</v>
      </c>
      <c r="O69" t="s">
        <v>1027</v>
      </c>
      <c r="Q69" t="s">
        <v>1579</v>
      </c>
      <c r="R69" t="s">
        <v>1663</v>
      </c>
      <c r="T69" t="s">
        <v>1586</v>
      </c>
    </row>
    <row r="70" spans="1:20" x14ac:dyDescent="0.2">
      <c r="A70" t="b">
        <v>1</v>
      </c>
      <c r="B70" t="str">
        <f>IF(D70&lt;&gt;"",VLOOKUP(D70,PHA4GEVars!$A$7:$B$241,2,FALSE),"")</f>
        <v>Sequence information</v>
      </c>
      <c r="C70" t="s">
        <v>1754</v>
      </c>
      <c r="D70" t="s">
        <v>1107</v>
      </c>
      <c r="E70" t="s">
        <v>1940</v>
      </c>
      <c r="F70" t="s">
        <v>1226</v>
      </c>
      <c r="G70" t="s">
        <v>1585</v>
      </c>
      <c r="I70" t="s">
        <v>19</v>
      </c>
      <c r="J70" t="s">
        <v>1105</v>
      </c>
      <c r="K70" t="s">
        <v>1105</v>
      </c>
      <c r="L70" t="s">
        <v>1107</v>
      </c>
      <c r="M70" t="s">
        <v>121</v>
      </c>
      <c r="O70" t="s">
        <v>1027</v>
      </c>
      <c r="Q70" t="s">
        <v>1579</v>
      </c>
      <c r="R70" t="s">
        <v>1663</v>
      </c>
      <c r="T70" t="s">
        <v>1586</v>
      </c>
    </row>
    <row r="71" spans="1:20" x14ac:dyDescent="0.2">
      <c r="B71" t="str">
        <f>IF(D71&lt;&gt;"",VLOOKUP(D71,PHA4GEVars!$A$7:$B$241,2,FALSE),"")</f>
        <v/>
      </c>
    </row>
    <row r="72" spans="1:20" x14ac:dyDescent="0.2">
      <c r="A72" t="b">
        <v>1</v>
      </c>
      <c r="B72" t="str">
        <f>IF(D72&lt;&gt;"",VLOOKUP(D72,PHA4GEVars!$A$7:$B$241,2,FALSE),"")</f>
        <v>Strain and isolation information</v>
      </c>
      <c r="C72" t="s">
        <v>1754</v>
      </c>
      <c r="D72" t="s">
        <v>1103</v>
      </c>
      <c r="F72" t="s">
        <v>1226</v>
      </c>
      <c r="J72" t="s">
        <v>1097</v>
      </c>
      <c r="K72" t="s">
        <v>1097</v>
      </c>
      <c r="L72" t="s">
        <v>1103</v>
      </c>
      <c r="M72" t="s">
        <v>2106</v>
      </c>
      <c r="O72" t="s">
        <v>1027</v>
      </c>
      <c r="P72" t="s">
        <v>1612</v>
      </c>
      <c r="R72" t="s">
        <v>1608</v>
      </c>
      <c r="T72" t="s">
        <v>1614</v>
      </c>
    </row>
    <row r="73" spans="1:20" x14ac:dyDescent="0.2">
      <c r="B73" t="str">
        <f>IF(D73&lt;&gt;"",VLOOKUP(D73,PHA4GEVars!$A$7:$B$241,2,FALSE),"")</f>
        <v/>
      </c>
    </row>
    <row r="74" spans="1:20" x14ac:dyDescent="0.2">
      <c r="A74" t="b">
        <v>1</v>
      </c>
      <c r="B74" t="str">
        <f>IF(D74&lt;&gt;"",VLOOKUP(D74,PHA4GEVars!$A$7:$B$241,2,FALSE),"")</f>
        <v>Taxonomic identification information</v>
      </c>
      <c r="C74" t="s">
        <v>1754</v>
      </c>
      <c r="D74" t="s">
        <v>91</v>
      </c>
      <c r="F74" t="s">
        <v>1226</v>
      </c>
      <c r="H74" t="s">
        <v>2028</v>
      </c>
      <c r="J74" t="s">
        <v>1105</v>
      </c>
      <c r="K74" t="s">
        <v>1105</v>
      </c>
      <c r="L74" t="s">
        <v>91</v>
      </c>
      <c r="M74" t="s">
        <v>121</v>
      </c>
      <c r="O74" t="s">
        <v>1027</v>
      </c>
      <c r="P74" t="s">
        <v>1613</v>
      </c>
      <c r="R74" t="s">
        <v>1611</v>
      </c>
      <c r="T74" t="s">
        <v>1614</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33" t="s">
        <v>9</v>
      </c>
      <c r="Q1" s="16" t="s">
        <v>1668</v>
      </c>
    </row>
    <row r="2" spans="1:17" s="17" customFormat="1" x14ac:dyDescent="0.2">
      <c r="A2" s="16">
        <v>6</v>
      </c>
      <c r="B2" s="16"/>
      <c r="C2" s="16" t="b">
        <v>0</v>
      </c>
      <c r="D2" s="16" t="s">
        <v>11</v>
      </c>
      <c r="E2" s="17" t="str">
        <f>IF(G2&lt;&gt;"",VLOOKUP(G2,PHA4GEVars!$A$7:$B$241,2,FALSE),"")</f>
        <v>Bioinformatics and QC metrics</v>
      </c>
      <c r="F2" s="16" t="s">
        <v>1754</v>
      </c>
      <c r="G2" s="16" t="s">
        <v>100</v>
      </c>
      <c r="H2" s="16" t="s">
        <v>441</v>
      </c>
      <c r="I2" s="16" t="s">
        <v>1375</v>
      </c>
      <c r="J2" s="16"/>
      <c r="K2" s="16" t="s">
        <v>1533</v>
      </c>
      <c r="L2" s="16" t="s">
        <v>1646</v>
      </c>
      <c r="M2" s="16"/>
      <c r="N2" s="16"/>
      <c r="O2" s="16"/>
      <c r="P2" s="22" t="s">
        <v>1534</v>
      </c>
      <c r="Q2" s="16" t="s">
        <v>1760</v>
      </c>
    </row>
    <row r="3" spans="1:17" s="17" customFormat="1" x14ac:dyDescent="0.2">
      <c r="A3" s="16">
        <v>323</v>
      </c>
      <c r="B3" s="16"/>
      <c r="C3" s="16" t="b">
        <v>0</v>
      </c>
      <c r="D3" s="16" t="s">
        <v>108</v>
      </c>
      <c r="E3" s="17" t="str">
        <f>IF(G3&lt;&gt;"",VLOOKUP(G3,PHA4GEVars!$A$7:$B$241,2,FALSE),"")</f>
        <v>Sample collection and processing</v>
      </c>
      <c r="F3" s="16" t="s">
        <v>1754</v>
      </c>
      <c r="G3" s="16" t="s">
        <v>145</v>
      </c>
      <c r="H3" s="16" t="s">
        <v>441</v>
      </c>
      <c r="I3" s="16" t="s">
        <v>1375</v>
      </c>
      <c r="J3" s="16"/>
      <c r="K3" s="16" t="s">
        <v>1459</v>
      </c>
      <c r="L3" s="16" t="s">
        <v>1550</v>
      </c>
      <c r="M3" s="16"/>
      <c r="N3" s="16"/>
      <c r="O3" s="16"/>
      <c r="P3" s="22" t="s">
        <v>1551</v>
      </c>
      <c r="Q3" s="16" t="s">
        <v>1670</v>
      </c>
    </row>
    <row r="4" spans="1:17" s="17" customFormat="1" x14ac:dyDescent="0.2">
      <c r="A4" s="16">
        <v>324</v>
      </c>
      <c r="B4" s="16"/>
      <c r="C4" s="16" t="b">
        <v>0</v>
      </c>
      <c r="D4" s="16" t="s">
        <v>108</v>
      </c>
      <c r="E4" s="17" t="str">
        <f>IF(G4&lt;&gt;"",VLOOKUP(G4,PHA4GEVars!$A$7:$B$241,2,FALSE),"")</f>
        <v>Sample collection and processing</v>
      </c>
      <c r="F4" s="16" t="s">
        <v>1754</v>
      </c>
      <c r="G4" s="16" t="s">
        <v>1086</v>
      </c>
      <c r="H4" s="16" t="s">
        <v>441</v>
      </c>
      <c r="I4" s="16" t="s">
        <v>1375</v>
      </c>
      <c r="J4" s="16"/>
      <c r="K4" s="16" t="s">
        <v>958</v>
      </c>
      <c r="L4" s="16" t="s">
        <v>1517</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1754</v>
      </c>
      <c r="G5" s="16" t="s">
        <v>129</v>
      </c>
      <c r="H5" s="16" t="s">
        <v>441</v>
      </c>
      <c r="I5" s="16" t="s">
        <v>1375</v>
      </c>
      <c r="J5" s="16"/>
      <c r="K5" s="16" t="s">
        <v>1459</v>
      </c>
      <c r="L5" s="16" t="s">
        <v>1509</v>
      </c>
      <c r="M5" s="16"/>
      <c r="N5" s="16"/>
      <c r="O5" s="16"/>
      <c r="P5" s="22" t="s">
        <v>1510</v>
      </c>
      <c r="Q5" s="16" t="s">
        <v>1671</v>
      </c>
    </row>
    <row r="6" spans="1:17" s="17" customFormat="1" x14ac:dyDescent="0.2">
      <c r="A6" s="16">
        <v>838</v>
      </c>
      <c r="B6" s="16"/>
      <c r="C6" s="16" t="b">
        <v>0</v>
      </c>
      <c r="D6" s="16" t="s">
        <v>1091</v>
      </c>
      <c r="E6" s="17" t="str">
        <f>IF(G6&lt;&gt;"",VLOOKUP(G6,PHA4GEVars!$A$7:$B$241,2,FALSE),"")</f>
        <v>Strain and isolation information</v>
      </c>
      <c r="F6" s="16" t="s">
        <v>1754</v>
      </c>
      <c r="G6" s="16" t="s">
        <v>1092</v>
      </c>
      <c r="H6" s="16" t="s">
        <v>441</v>
      </c>
      <c r="I6" s="16" t="s">
        <v>1375</v>
      </c>
      <c r="J6" s="16"/>
      <c r="K6" s="16" t="s">
        <v>1600</v>
      </c>
      <c r="L6" s="16" t="s">
        <v>1601</v>
      </c>
      <c r="M6" s="16"/>
      <c r="N6" s="16"/>
      <c r="O6" s="16"/>
      <c r="P6" s="22" t="s">
        <v>1602</v>
      </c>
      <c r="Q6" s="16" t="s">
        <v>1926</v>
      </c>
    </row>
    <row r="7" spans="1:17" s="17" customFormat="1" x14ac:dyDescent="0.2">
      <c r="A7" s="16">
        <v>844</v>
      </c>
      <c r="B7" s="16"/>
      <c r="C7" s="16" t="b">
        <v>0</v>
      </c>
      <c r="D7" s="16" t="s">
        <v>1108</v>
      </c>
      <c r="E7" s="17" t="str">
        <f>IF(G7&lt;&gt;"",VLOOKUP(G7,PHA4GEVars!$A$7:$B$241,2,FALSE),"")</f>
        <v>Taxonomic identification information</v>
      </c>
      <c r="F7" s="16" t="s">
        <v>1754</v>
      </c>
      <c r="G7" s="16" t="s">
        <v>85</v>
      </c>
      <c r="H7" s="16" t="s">
        <v>441</v>
      </c>
      <c r="I7" s="16" t="s">
        <v>1375</v>
      </c>
      <c r="J7" s="16"/>
      <c r="K7" s="16" t="s">
        <v>1459</v>
      </c>
      <c r="L7" s="16" t="s">
        <v>1605</v>
      </c>
      <c r="M7" s="16"/>
      <c r="N7" s="16"/>
      <c r="O7" s="16"/>
      <c r="P7" s="22" t="s">
        <v>1606</v>
      </c>
      <c r="Q7" s="16" t="s">
        <v>1927</v>
      </c>
    </row>
    <row r="8" spans="1:17" x14ac:dyDescent="0.2">
      <c r="C8" s="16" t="b">
        <v>1</v>
      </c>
      <c r="F8" s="16" t="s">
        <v>1754</v>
      </c>
      <c r="I8" s="16" t="s">
        <v>1375</v>
      </c>
      <c r="K8" s="16" t="s">
        <v>1964</v>
      </c>
      <c r="M8" t="s">
        <v>1859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tabSelected="1" zoomScale="107" workbookViewId="0">
      <pane ySplit="1" topLeftCell="A2" activePane="bottomLeft" state="frozen"/>
      <selection pane="bottomLeft" activeCell="A32" sqref="A32"/>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1765</v>
      </c>
      <c r="C1" s="16" t="s">
        <v>1</v>
      </c>
      <c r="D1" s="16" t="s">
        <v>2</v>
      </c>
      <c r="E1" s="16" t="s">
        <v>3</v>
      </c>
      <c r="F1" s="16" t="s">
        <v>4</v>
      </c>
      <c r="G1" s="17" t="s">
        <v>1016</v>
      </c>
      <c r="H1" s="17" t="s">
        <v>1969</v>
      </c>
      <c r="I1" s="17" t="s">
        <v>1974</v>
      </c>
      <c r="J1" s="73" t="s">
        <v>2012</v>
      </c>
      <c r="K1" s="17" t="s">
        <v>1925</v>
      </c>
      <c r="L1" s="17" t="s">
        <v>1673</v>
      </c>
      <c r="M1" s="17" t="s">
        <v>2021</v>
      </c>
      <c r="N1" s="17" t="s">
        <v>1736</v>
      </c>
      <c r="O1" s="17" t="s">
        <v>2022</v>
      </c>
      <c r="P1" s="17" t="s">
        <v>2023</v>
      </c>
      <c r="Q1" s="17" t="s">
        <v>1925</v>
      </c>
      <c r="R1" s="17" t="s">
        <v>1737</v>
      </c>
      <c r="S1" s="17" t="s">
        <v>1672</v>
      </c>
      <c r="T1" s="17" t="s">
        <v>9</v>
      </c>
    </row>
    <row r="2" spans="1:20" x14ac:dyDescent="0.2">
      <c r="A2" t="b">
        <v>1</v>
      </c>
      <c r="B2" t="str">
        <f>IF(D2&lt;&gt;"",VLOOKUP(D2,PHA4GEVars!$A$7:$B$241,2,FALSE),"")</f>
        <v>Bioinformatics and QC metrics</v>
      </c>
      <c r="C2" t="s">
        <v>1754</v>
      </c>
      <c r="D2" t="s">
        <v>75</v>
      </c>
      <c r="F2" t="s">
        <v>1375</v>
      </c>
      <c r="H2" t="s">
        <v>1105</v>
      </c>
      <c r="I2" t="s">
        <v>1105</v>
      </c>
      <c r="J2" t="s">
        <v>75</v>
      </c>
      <c r="K2" t="s">
        <v>1646</v>
      </c>
      <c r="M2" t="s">
        <v>2029</v>
      </c>
      <c r="N2" t="s">
        <v>1674</v>
      </c>
      <c r="P2" t="s">
        <v>1674</v>
      </c>
      <c r="Q2" s="16"/>
      <c r="S2" t="s">
        <v>1376</v>
      </c>
    </row>
    <row r="3" spans="1:20" x14ac:dyDescent="0.2">
      <c r="B3" t="str">
        <f>IF(D3&lt;&gt;"",VLOOKUP(D3,PHA4GEVars!$A$7:$B$241,2,FALSE),"")</f>
        <v/>
      </c>
    </row>
    <row r="4" spans="1:20" x14ac:dyDescent="0.2">
      <c r="A4" t="b">
        <v>1</v>
      </c>
      <c r="B4" t="str">
        <f>IF(D4&lt;&gt;"",VLOOKUP(D4,PHA4GEVars!$A$7:$B$241,2,FALSE),"")</f>
        <v>Environmental conditions and measurements</v>
      </c>
      <c r="C4" t="s">
        <v>1754</v>
      </c>
      <c r="D4" t="s">
        <v>25</v>
      </c>
      <c r="F4" t="s">
        <v>1375</v>
      </c>
      <c r="H4" t="s">
        <v>127</v>
      </c>
      <c r="I4" t="s">
        <v>127</v>
      </c>
      <c r="J4" t="s">
        <v>25</v>
      </c>
      <c r="M4" t="s">
        <v>2031</v>
      </c>
      <c r="N4" t="s">
        <v>25</v>
      </c>
      <c r="P4" t="s">
        <v>959</v>
      </c>
      <c r="R4" t="s">
        <v>25</v>
      </c>
      <c r="T4" t="s">
        <v>968</v>
      </c>
    </row>
    <row r="5" spans="1:20" x14ac:dyDescent="0.2">
      <c r="A5" t="b">
        <v>1</v>
      </c>
      <c r="B5" t="str">
        <f>IF(D5&lt;&gt;"",VLOOKUP(D5,PHA4GEVars!$A$7:$B$241,2,FALSE),"")</f>
        <v>Environmental conditions and measurements</v>
      </c>
      <c r="C5" t="s">
        <v>1754</v>
      </c>
      <c r="D5" t="s">
        <v>29</v>
      </c>
      <c r="F5" t="s">
        <v>1375</v>
      </c>
      <c r="H5" t="s">
        <v>127</v>
      </c>
      <c r="I5" t="s">
        <v>127</v>
      </c>
      <c r="J5" t="s">
        <v>29</v>
      </c>
      <c r="M5" t="s">
        <v>2032</v>
      </c>
      <c r="N5" t="s">
        <v>29</v>
      </c>
      <c r="P5" t="s">
        <v>961</v>
      </c>
      <c r="R5" t="s">
        <v>29</v>
      </c>
      <c r="T5" t="s">
        <v>968</v>
      </c>
    </row>
    <row r="6" spans="1:20" x14ac:dyDescent="0.2">
      <c r="A6" t="b">
        <v>1</v>
      </c>
      <c r="B6" t="str">
        <f>IF(D6&lt;&gt;"",VLOOKUP(D6,PHA4GEVars!$A$7:$B$241,2,FALSE),"")</f>
        <v>Environmental conditions and measurements</v>
      </c>
      <c r="C6" t="s">
        <v>1754</v>
      </c>
      <c r="D6" t="s">
        <v>30</v>
      </c>
      <c r="F6" t="s">
        <v>1375</v>
      </c>
      <c r="H6" t="s">
        <v>127</v>
      </c>
      <c r="I6" t="s">
        <v>127</v>
      </c>
      <c r="J6" t="s">
        <v>30</v>
      </c>
      <c r="M6" t="s">
        <v>2033</v>
      </c>
      <c r="N6" t="s">
        <v>30</v>
      </c>
      <c r="P6" t="s">
        <v>962</v>
      </c>
      <c r="R6" t="s">
        <v>30</v>
      </c>
      <c r="T6" t="s">
        <v>968</v>
      </c>
    </row>
    <row r="7" spans="1:20" x14ac:dyDescent="0.2">
      <c r="A7" t="b">
        <v>1</v>
      </c>
      <c r="B7" t="e">
        <f>IF(D7&lt;&gt;"",VLOOKUP(D7,PHA4GEVars!$A$7:$B$241,2,FALSE),"")</f>
        <v>#N/A</v>
      </c>
      <c r="C7" t="s">
        <v>1754</v>
      </c>
      <c r="D7" t="s">
        <v>2048</v>
      </c>
      <c r="F7" t="s">
        <v>1375</v>
      </c>
      <c r="H7" t="s">
        <v>127</v>
      </c>
      <c r="I7" t="s">
        <v>127</v>
      </c>
      <c r="J7" t="s">
        <v>2048</v>
      </c>
      <c r="M7" t="s">
        <v>2096</v>
      </c>
      <c r="N7" t="s">
        <v>2048</v>
      </c>
      <c r="P7" t="s">
        <v>2049</v>
      </c>
      <c r="R7" t="s">
        <v>32</v>
      </c>
      <c r="T7" t="s">
        <v>968</v>
      </c>
    </row>
    <row r="8" spans="1:20" x14ac:dyDescent="0.2">
      <c r="A8" t="b">
        <v>1</v>
      </c>
      <c r="B8" t="str">
        <f>IF(D8&lt;&gt;"",VLOOKUP(D8,PHA4GEVars!$A$7:$B$241,2,FALSE),"")</f>
        <v>Environmental conditions and measurements</v>
      </c>
      <c r="C8" t="s">
        <v>1754</v>
      </c>
      <c r="D8" t="s">
        <v>34</v>
      </c>
      <c r="F8" t="s">
        <v>1375</v>
      </c>
      <c r="H8" t="s">
        <v>127</v>
      </c>
      <c r="I8" t="s">
        <v>127</v>
      </c>
      <c r="J8" t="s">
        <v>34</v>
      </c>
      <c r="M8" t="s">
        <v>2034</v>
      </c>
      <c r="N8" t="s">
        <v>34</v>
      </c>
      <c r="P8" t="s">
        <v>965</v>
      </c>
      <c r="R8" t="s">
        <v>34</v>
      </c>
      <c r="T8" t="s">
        <v>968</v>
      </c>
    </row>
    <row r="9" spans="1:20" x14ac:dyDescent="0.2">
      <c r="A9" t="b">
        <v>1</v>
      </c>
      <c r="B9" t="e">
        <f>IF(D9&lt;&gt;"",VLOOKUP(D9,PHA4GEVars!$A$7:$B$241,2,FALSE),"")</f>
        <v>#N/A</v>
      </c>
      <c r="C9" t="s">
        <v>1754</v>
      </c>
      <c r="D9" t="s">
        <v>2050</v>
      </c>
      <c r="F9" t="s">
        <v>1375</v>
      </c>
      <c r="H9" t="s">
        <v>127</v>
      </c>
      <c r="I9" t="s">
        <v>127</v>
      </c>
      <c r="J9" t="s">
        <v>2050</v>
      </c>
      <c r="M9" t="s">
        <v>2052</v>
      </c>
      <c r="N9" t="s">
        <v>2050</v>
      </c>
      <c r="P9" t="s">
        <v>2051</v>
      </c>
      <c r="R9" t="s">
        <v>35</v>
      </c>
      <c r="T9" t="s">
        <v>968</v>
      </c>
    </row>
    <row r="10" spans="1:20" x14ac:dyDescent="0.2">
      <c r="A10" t="b">
        <v>1</v>
      </c>
      <c r="B10" t="str">
        <f>IF(D10&lt;&gt;"",VLOOKUP(D10,PHA4GEVars!$A$7:$B$241,2,FALSE),"")</f>
        <v>Environmental conditions and measurements</v>
      </c>
      <c r="C10" t="s">
        <v>1754</v>
      </c>
      <c r="D10" t="s">
        <v>1790</v>
      </c>
      <c r="F10" t="s">
        <v>1375</v>
      </c>
      <c r="H10" t="s">
        <v>127</v>
      </c>
      <c r="I10" t="s">
        <v>127</v>
      </c>
      <c r="J10" t="s">
        <v>1790</v>
      </c>
      <c r="M10" t="s">
        <v>2035</v>
      </c>
      <c r="N10" t="s">
        <v>1790</v>
      </c>
      <c r="P10" t="s">
        <v>1809</v>
      </c>
      <c r="R10" s="15" t="s">
        <v>1790</v>
      </c>
      <c r="T10" t="s">
        <v>968</v>
      </c>
    </row>
    <row r="11" spans="1:20" x14ac:dyDescent="0.2">
      <c r="A11" t="b">
        <v>1</v>
      </c>
      <c r="B11" t="str">
        <f>IF(D11&lt;&gt;"",VLOOKUP(D11,PHA4GEVars!$A$7:$B$241,2,FALSE),"")</f>
        <v>Environmental conditions and measurements</v>
      </c>
      <c r="C11" t="s">
        <v>1754</v>
      </c>
      <c r="D11" t="s">
        <v>31</v>
      </c>
      <c r="F11" t="s">
        <v>1375</v>
      </c>
      <c r="H11" t="s">
        <v>127</v>
      </c>
      <c r="I11" t="s">
        <v>127</v>
      </c>
      <c r="J11" t="s">
        <v>31</v>
      </c>
      <c r="M11" t="s">
        <v>2036</v>
      </c>
      <c r="N11" t="s">
        <v>31</v>
      </c>
      <c r="P11" t="s">
        <v>963</v>
      </c>
      <c r="R11" t="s">
        <v>31</v>
      </c>
      <c r="T11" t="s">
        <v>968</v>
      </c>
    </row>
    <row r="12" spans="1:20" x14ac:dyDescent="0.2">
      <c r="A12" t="b">
        <v>1</v>
      </c>
      <c r="B12" t="str">
        <f>IF(D12&lt;&gt;"",VLOOKUP(D12,PHA4GEVars!$A$7:$B$241,2,FALSE),"")</f>
        <v>Environmental conditions and measurements</v>
      </c>
      <c r="C12" t="s">
        <v>1754</v>
      </c>
      <c r="D12" t="s">
        <v>41</v>
      </c>
      <c r="F12" t="s">
        <v>1375</v>
      </c>
      <c r="H12" t="s">
        <v>127</v>
      </c>
      <c r="I12" t="s">
        <v>127</v>
      </c>
      <c r="J12" t="s">
        <v>41</v>
      </c>
      <c r="M12" t="s">
        <v>2037</v>
      </c>
      <c r="N12" t="s">
        <v>41</v>
      </c>
      <c r="P12" t="s">
        <v>967</v>
      </c>
      <c r="R12" t="s">
        <v>41</v>
      </c>
      <c r="T12" t="s">
        <v>968</v>
      </c>
    </row>
    <row r="13" spans="1:20" x14ac:dyDescent="0.2">
      <c r="A13" t="b">
        <v>1</v>
      </c>
      <c r="B13" t="str">
        <f>IF(D13&lt;&gt;"",VLOOKUP(D13,PHA4GEVars!$A$7:$B$241,2,FALSE),"")</f>
        <v>Environmental conditions and measurements</v>
      </c>
      <c r="C13" t="s">
        <v>1754</v>
      </c>
      <c r="D13" s="15" t="s">
        <v>2045</v>
      </c>
      <c r="F13" t="s">
        <v>1375</v>
      </c>
      <c r="H13" t="s">
        <v>127</v>
      </c>
      <c r="I13" t="s">
        <v>127</v>
      </c>
      <c r="J13" s="15" t="s">
        <v>51</v>
      </c>
      <c r="M13" t="s">
        <v>2047</v>
      </c>
      <c r="N13" s="15" t="s">
        <v>51</v>
      </c>
      <c r="P13" t="s">
        <v>2046</v>
      </c>
      <c r="R13" t="s">
        <v>51</v>
      </c>
      <c r="T13" t="s">
        <v>968</v>
      </c>
    </row>
    <row r="14" spans="1:20" x14ac:dyDescent="0.2">
      <c r="A14" t="b">
        <v>1</v>
      </c>
      <c r="B14" t="str">
        <f>IF(D14&lt;&gt;"",VLOOKUP(D14,PHA4GEVars!$A$7:$B$241,2,FALSE),"")</f>
        <v>Environmental conditions and measurements</v>
      </c>
      <c r="C14" t="s">
        <v>1754</v>
      </c>
      <c r="D14" t="s">
        <v>33</v>
      </c>
      <c r="F14" t="s">
        <v>1375</v>
      </c>
      <c r="H14" t="s">
        <v>127</v>
      </c>
      <c r="I14" t="s">
        <v>127</v>
      </c>
      <c r="J14" t="s">
        <v>33</v>
      </c>
      <c r="M14" t="s">
        <v>2038</v>
      </c>
      <c r="N14" t="s">
        <v>33</v>
      </c>
      <c r="P14" t="s">
        <v>964</v>
      </c>
      <c r="R14" t="s">
        <v>33</v>
      </c>
      <c r="T14" t="s">
        <v>968</v>
      </c>
    </row>
    <row r="15" spans="1:20" x14ac:dyDescent="0.2">
      <c r="A15" t="b">
        <v>1</v>
      </c>
      <c r="B15" t="e">
        <f>IF(D15&lt;&gt;"",VLOOKUP(D15,PHA4GEVars!$A$7:$B$241,2,FALSE),"")</f>
        <v>#N/A</v>
      </c>
      <c r="C15" t="s">
        <v>1754</v>
      </c>
      <c r="D15" t="s">
        <v>2053</v>
      </c>
      <c r="F15" t="s">
        <v>1375</v>
      </c>
      <c r="H15" t="s">
        <v>127</v>
      </c>
      <c r="I15" t="s">
        <v>127</v>
      </c>
      <c r="J15" t="s">
        <v>2053</v>
      </c>
      <c r="M15" t="s">
        <v>2054</v>
      </c>
      <c r="N15" t="s">
        <v>2053</v>
      </c>
      <c r="P15" t="s">
        <v>2055</v>
      </c>
      <c r="R15" t="s">
        <v>26</v>
      </c>
      <c r="T15" t="s">
        <v>968</v>
      </c>
    </row>
    <row r="16" spans="1:20" x14ac:dyDescent="0.2">
      <c r="A16" t="b">
        <v>1</v>
      </c>
      <c r="B16" t="e">
        <f>IF(D16&lt;&gt;"",VLOOKUP(D16,PHA4GEVars!$A$7:$B$241,2,FALSE),"")</f>
        <v>#N/A</v>
      </c>
      <c r="C16" t="s">
        <v>1754</v>
      </c>
      <c r="D16" t="s">
        <v>2056</v>
      </c>
      <c r="F16" t="s">
        <v>1375</v>
      </c>
      <c r="H16" t="s">
        <v>127</v>
      </c>
      <c r="I16" t="s">
        <v>127</v>
      </c>
      <c r="J16" t="s">
        <v>2056</v>
      </c>
      <c r="M16" t="s">
        <v>2057</v>
      </c>
      <c r="N16" t="s">
        <v>2056</v>
      </c>
      <c r="P16" t="s">
        <v>2058</v>
      </c>
      <c r="R16" t="s">
        <v>27</v>
      </c>
      <c r="T16" t="s">
        <v>968</v>
      </c>
    </row>
    <row r="17" spans="1:20" x14ac:dyDescent="0.2">
      <c r="A17" t="b">
        <v>1</v>
      </c>
      <c r="B17" t="str">
        <f>IF(D17&lt;&gt;"",VLOOKUP(D17,PHA4GEVars!$A$7:$B$241,2,FALSE),"")</f>
        <v>Environmental conditions and measurements</v>
      </c>
      <c r="C17" t="s">
        <v>1754</v>
      </c>
      <c r="D17" t="s">
        <v>28</v>
      </c>
      <c r="F17" t="s">
        <v>1375</v>
      </c>
      <c r="H17" t="s">
        <v>127</v>
      </c>
      <c r="I17" t="s">
        <v>127</v>
      </c>
      <c r="J17" t="s">
        <v>28</v>
      </c>
      <c r="M17" t="s">
        <v>2039</v>
      </c>
      <c r="N17" t="s">
        <v>28</v>
      </c>
      <c r="P17" t="s">
        <v>960</v>
      </c>
      <c r="R17" t="s">
        <v>28</v>
      </c>
      <c r="T17" t="s">
        <v>968</v>
      </c>
    </row>
    <row r="18" spans="1:20" x14ac:dyDescent="0.2">
      <c r="A18" t="b">
        <v>1</v>
      </c>
      <c r="B18" t="str">
        <f>IF(D18&lt;&gt;"",VLOOKUP(D18,PHA4GEVars!$A$7:$B$241,2,FALSE),"")</f>
        <v>Environmental conditions and measurements</v>
      </c>
      <c r="C18" t="s">
        <v>1754</v>
      </c>
      <c r="D18" t="s">
        <v>1071</v>
      </c>
      <c r="F18" t="s">
        <v>1375</v>
      </c>
      <c r="H18" t="s">
        <v>127</v>
      </c>
      <c r="I18" t="s">
        <v>127</v>
      </c>
      <c r="J18" t="s">
        <v>1071</v>
      </c>
      <c r="M18" t="s">
        <v>2040</v>
      </c>
      <c r="N18" t="s">
        <v>1071</v>
      </c>
      <c r="P18" t="s">
        <v>1738</v>
      </c>
      <c r="R18" t="s">
        <v>1071</v>
      </c>
      <c r="T18" t="s">
        <v>968</v>
      </c>
    </row>
    <row r="19" spans="1:20" x14ac:dyDescent="0.2">
      <c r="A19" t="b">
        <v>1</v>
      </c>
      <c r="B19" t="str">
        <f>IF(D19&lt;&gt;"",VLOOKUP(D19,PHA4GEVars!$A$7:$B$241,2,FALSE),"")</f>
        <v>Environmental conditions and measurements</v>
      </c>
      <c r="C19" t="s">
        <v>1754</v>
      </c>
      <c r="D19" t="s">
        <v>1068</v>
      </c>
      <c r="F19" t="s">
        <v>1375</v>
      </c>
      <c r="H19" t="s">
        <v>127</v>
      </c>
      <c r="I19" t="s">
        <v>127</v>
      </c>
      <c r="J19" t="s">
        <v>1068</v>
      </c>
      <c r="M19" t="s">
        <v>2041</v>
      </c>
      <c r="N19" t="s">
        <v>1068</v>
      </c>
      <c r="P19" t="s">
        <v>1739</v>
      </c>
      <c r="R19" t="s">
        <v>1068</v>
      </c>
      <c r="T19" t="s">
        <v>968</v>
      </c>
    </row>
    <row r="20" spans="1:20" x14ac:dyDescent="0.2">
      <c r="A20" t="b">
        <v>1</v>
      </c>
      <c r="B20" t="e">
        <f>IF(D20&lt;&gt;"",VLOOKUP(D20,PHA4GEVars!$A$7:$B$241,2,FALSE),"")</f>
        <v>#N/A</v>
      </c>
      <c r="C20" t="s">
        <v>1754</v>
      </c>
      <c r="D20" t="s">
        <v>2060</v>
      </c>
      <c r="F20" t="s">
        <v>1375</v>
      </c>
      <c r="H20" t="s">
        <v>127</v>
      </c>
      <c r="I20" t="s">
        <v>127</v>
      </c>
      <c r="J20" t="s">
        <v>2060</v>
      </c>
      <c r="M20" t="s">
        <v>2059</v>
      </c>
      <c r="N20" t="s">
        <v>2060</v>
      </c>
      <c r="P20" t="s">
        <v>2061</v>
      </c>
      <c r="R20" t="s">
        <v>37</v>
      </c>
      <c r="T20" t="s">
        <v>968</v>
      </c>
    </row>
    <row r="21" spans="1:20" x14ac:dyDescent="0.2">
      <c r="A21" t="b">
        <v>1</v>
      </c>
      <c r="B21" t="e">
        <f>IF(D21&lt;&gt;"",VLOOKUP(D21,PHA4GEVars!$A$7:$B$241,2,FALSE),"")</f>
        <v>#N/A</v>
      </c>
      <c r="C21" t="s">
        <v>1754</v>
      </c>
      <c r="D21" t="s">
        <v>2070</v>
      </c>
      <c r="F21" t="s">
        <v>1375</v>
      </c>
      <c r="H21" t="s">
        <v>127</v>
      </c>
      <c r="I21" t="s">
        <v>127</v>
      </c>
      <c r="J21" t="s">
        <v>2070</v>
      </c>
      <c r="M21" t="s">
        <v>2071</v>
      </c>
      <c r="N21" t="s">
        <v>2070</v>
      </c>
      <c r="P21" t="s">
        <v>2072</v>
      </c>
      <c r="R21" t="s">
        <v>36</v>
      </c>
      <c r="T21" t="s">
        <v>968</v>
      </c>
    </row>
    <row r="22" spans="1:20" x14ac:dyDescent="0.2">
      <c r="A22" t="b">
        <v>1</v>
      </c>
      <c r="B22" t="e">
        <f>IF(D22&lt;&gt;"",VLOOKUP(D22,PHA4GEVars!$A$7:$B$241,2,FALSE),"")</f>
        <v>#N/A</v>
      </c>
      <c r="C22" t="s">
        <v>1754</v>
      </c>
      <c r="D22" t="s">
        <v>2078</v>
      </c>
      <c r="F22" t="s">
        <v>1375</v>
      </c>
      <c r="H22" t="s">
        <v>127</v>
      </c>
      <c r="I22" t="s">
        <v>127</v>
      </c>
      <c r="J22" t="s">
        <v>2078</v>
      </c>
      <c r="M22" t="s">
        <v>2079</v>
      </c>
      <c r="N22" t="s">
        <v>2078</v>
      </c>
      <c r="P22" t="s">
        <v>2080</v>
      </c>
      <c r="R22" t="s">
        <v>38</v>
      </c>
      <c r="T22" t="s">
        <v>968</v>
      </c>
    </row>
    <row r="23" spans="1:20" x14ac:dyDescent="0.2">
      <c r="A23" t="b">
        <v>1</v>
      </c>
      <c r="B23" t="e">
        <f>IF(D23&lt;&gt;"",VLOOKUP(D23,PHA4GEVars!$A$7:$B$241,2,FALSE),"")</f>
        <v>#N/A</v>
      </c>
      <c r="C23" t="s">
        <v>1754</v>
      </c>
      <c r="D23" t="s">
        <v>2087</v>
      </c>
      <c r="F23" t="s">
        <v>1375</v>
      </c>
      <c r="H23" t="s">
        <v>127</v>
      </c>
      <c r="I23" t="s">
        <v>127</v>
      </c>
      <c r="J23" t="s">
        <v>2087</v>
      </c>
      <c r="M23" t="s">
        <v>2086</v>
      </c>
      <c r="N23" t="s">
        <v>2087</v>
      </c>
      <c r="P23" t="s">
        <v>2088</v>
      </c>
      <c r="R23" t="s">
        <v>39</v>
      </c>
      <c r="T23" t="s">
        <v>968</v>
      </c>
    </row>
    <row r="24" spans="1:20" x14ac:dyDescent="0.2">
      <c r="A24" t="b">
        <v>1</v>
      </c>
      <c r="B24" t="str">
        <f>IF(D24&lt;&gt;"",VLOOKUP(D24,PHA4GEVars!$A$7:$B$241,2,FALSE),"")</f>
        <v>Environmental conditions and measurements</v>
      </c>
      <c r="C24" t="s">
        <v>1754</v>
      </c>
      <c r="D24" t="s">
        <v>40</v>
      </c>
      <c r="F24" t="s">
        <v>1375</v>
      </c>
      <c r="H24" t="s">
        <v>127</v>
      </c>
      <c r="I24" t="s">
        <v>127</v>
      </c>
      <c r="J24" t="s">
        <v>40</v>
      </c>
      <c r="M24" t="s">
        <v>2042</v>
      </c>
      <c r="N24" t="s">
        <v>40</v>
      </c>
      <c r="P24" t="s">
        <v>966</v>
      </c>
      <c r="R24" t="s">
        <v>40</v>
      </c>
      <c r="T24" t="s">
        <v>968</v>
      </c>
    </row>
    <row r="26" spans="1:20" x14ac:dyDescent="0.2">
      <c r="A26" t="b">
        <v>1</v>
      </c>
      <c r="B26" t="str">
        <f>IF(D26&lt;&gt;"",VLOOKUP(D26,PHA4GEVars!$A$7:$B$241,2,FALSE),"")</f>
        <v>Sample collection and processing</v>
      </c>
      <c r="C26" t="s">
        <v>1754</v>
      </c>
      <c r="D26" t="s">
        <v>1783</v>
      </c>
      <c r="F26" t="s">
        <v>1375</v>
      </c>
      <c r="H26" t="s">
        <v>127</v>
      </c>
      <c r="I26" t="s">
        <v>127</v>
      </c>
      <c r="J26" t="s">
        <v>1783</v>
      </c>
      <c r="M26" t="s">
        <v>2043</v>
      </c>
      <c r="N26" t="s">
        <v>1783</v>
      </c>
      <c r="P26" t="s">
        <v>2027</v>
      </c>
      <c r="R26" t="s">
        <v>1783</v>
      </c>
    </row>
    <row r="27" spans="1:20" x14ac:dyDescent="0.2">
      <c r="A27" t="b">
        <v>1</v>
      </c>
      <c r="B27" t="str">
        <f>IF(D27&lt;&gt;"",VLOOKUP(D27,PHA4GEVars!$A$7:$B$241,2,FALSE),"")</f>
        <v>Sample collection and processing</v>
      </c>
      <c r="C27" t="s">
        <v>1754</v>
      </c>
      <c r="D27" t="s">
        <v>1090</v>
      </c>
      <c r="F27" t="s">
        <v>1375</v>
      </c>
      <c r="H27" t="s">
        <v>127</v>
      </c>
      <c r="I27" t="s">
        <v>127</v>
      </c>
      <c r="J27" t="s">
        <v>1090</v>
      </c>
      <c r="M27" t="s">
        <v>2044</v>
      </c>
      <c r="N27" t="s">
        <v>1090</v>
      </c>
      <c r="P27" t="s">
        <v>1554</v>
      </c>
      <c r="R27" t="s">
        <v>1090</v>
      </c>
    </row>
    <row r="29" spans="1:20" x14ac:dyDescent="0.2">
      <c r="A29" t="b">
        <v>1</v>
      </c>
      <c r="B29" t="str">
        <f>IF(D29&lt;&gt;"",VLOOKUP(D29,PHA4GEVars!$A$7:$B$241,2,FALSE),"")</f>
        <v>Sequence information</v>
      </c>
      <c r="C29" t="s">
        <v>1754</v>
      </c>
      <c r="D29" t="s">
        <v>121</v>
      </c>
      <c r="F29" t="s">
        <v>1375</v>
      </c>
      <c r="H29" t="s">
        <v>1105</v>
      </c>
      <c r="I29" t="s">
        <v>1105</v>
      </c>
      <c r="J29" t="s">
        <v>121</v>
      </c>
      <c r="L29" t="s">
        <v>2009</v>
      </c>
      <c r="M29" t="s">
        <v>2030</v>
      </c>
      <c r="N29" t="s">
        <v>121</v>
      </c>
      <c r="P29" t="s">
        <v>1457</v>
      </c>
      <c r="R29" t="s">
        <v>121</v>
      </c>
    </row>
    <row r="30" spans="1:20" x14ac:dyDescent="0.2">
      <c r="A30" t="b">
        <v>0</v>
      </c>
      <c r="B30" t="str">
        <f>IF(D30&lt;&gt;"",VLOOKUP(D30,PHA4GEVars!$A$7:$B$241,2,FALSE),"")</f>
        <v/>
      </c>
      <c r="C30" t="s">
        <v>1754</v>
      </c>
      <c r="F30" t="s">
        <v>1375</v>
      </c>
      <c r="J30" t="s">
        <v>2104</v>
      </c>
      <c r="L30" t="s">
        <v>2024</v>
      </c>
      <c r="M30" t="s">
        <v>2103</v>
      </c>
      <c r="N30" t="s">
        <v>2104</v>
      </c>
      <c r="R30" t="s">
        <v>1928</v>
      </c>
    </row>
    <row r="31" spans="1:20" x14ac:dyDescent="0.2">
      <c r="A31" t="b">
        <v>0</v>
      </c>
      <c r="B31" t="str">
        <f>IF(D31&lt;&gt;"",VLOOKUP(D31,PHA4GEVars!$A$7:$B$241,2,FALSE),"")</f>
        <v/>
      </c>
      <c r="C31" t="s">
        <v>1754</v>
      </c>
      <c r="F31" t="s">
        <v>1375</v>
      </c>
      <c r="J31" t="s">
        <v>2106</v>
      </c>
      <c r="L31" t="s">
        <v>2010</v>
      </c>
      <c r="M31" t="s">
        <v>2105</v>
      </c>
      <c r="N31" t="s">
        <v>2106</v>
      </c>
      <c r="R31" t="s">
        <v>1928</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3"/>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16" t="s">
        <v>9</v>
      </c>
      <c r="Q1" s="16" t="s">
        <v>1668</v>
      </c>
    </row>
    <row r="2" spans="1:17" x14ac:dyDescent="0.2">
      <c r="A2" s="15">
        <v>25</v>
      </c>
      <c r="B2" s="15" t="b">
        <v>1</v>
      </c>
      <c r="C2" s="15" t="b">
        <v>1</v>
      </c>
      <c r="D2" s="15" t="s">
        <v>11</v>
      </c>
      <c r="E2" t="str">
        <f>IF(G2&lt;&gt;"",VLOOKUP(G2,PHA4GEVars!$A$7:$B$241,2,FALSE),"")</f>
        <v>Bioinformatics and QC metrics</v>
      </c>
      <c r="F2" s="15" t="s">
        <v>1754</v>
      </c>
      <c r="G2" s="15" t="s">
        <v>102</v>
      </c>
      <c r="H2" s="15" t="s">
        <v>441</v>
      </c>
      <c r="I2" s="15" t="s">
        <v>1250</v>
      </c>
      <c r="J2" s="15"/>
      <c r="K2" s="15" t="s">
        <v>9</v>
      </c>
      <c r="L2" s="15" t="s">
        <v>1263</v>
      </c>
      <c r="M2" s="15"/>
      <c r="N2" s="15"/>
      <c r="O2" s="15"/>
      <c r="P2" s="15" t="s">
        <v>1259</v>
      </c>
      <c r="Q2" s="15" t="s">
        <v>1671</v>
      </c>
    </row>
    <row r="3" spans="1:17" x14ac:dyDescent="0.2">
      <c r="A3" s="15">
        <v>32</v>
      </c>
      <c r="B3" s="15" t="b">
        <v>1</v>
      </c>
      <c r="C3" s="15" t="b">
        <v>1</v>
      </c>
      <c r="D3" s="15" t="s">
        <v>11</v>
      </c>
      <c r="E3" t="str">
        <f>IF(G3&lt;&gt;"",VLOOKUP(G3,PHA4GEVars!$A$7:$B$241,2,FALSE),"")</f>
        <v>Bioinformatics and QC metrics</v>
      </c>
      <c r="F3" s="15" t="s">
        <v>1754</v>
      </c>
      <c r="G3" s="15" t="s">
        <v>103</v>
      </c>
      <c r="H3" s="15" t="s">
        <v>1992</v>
      </c>
      <c r="I3" s="15" t="s">
        <v>1250</v>
      </c>
      <c r="J3" s="15"/>
      <c r="K3" s="15" t="s">
        <v>1249</v>
      </c>
      <c r="L3" s="15" t="s">
        <v>1251</v>
      </c>
      <c r="M3" s="15"/>
      <c r="N3" s="15"/>
      <c r="O3" s="15"/>
      <c r="P3" s="15" t="s">
        <v>1259</v>
      </c>
      <c r="Q3" s="15" t="s">
        <v>1671</v>
      </c>
    </row>
    <row r="4" spans="1:17" x14ac:dyDescent="0.2">
      <c r="A4" s="15">
        <v>33</v>
      </c>
      <c r="B4" s="15" t="b">
        <v>1</v>
      </c>
      <c r="C4" s="15" t="b">
        <v>1</v>
      </c>
      <c r="D4" s="15" t="s">
        <v>11</v>
      </c>
      <c r="E4" t="str">
        <f>IF(G4&lt;&gt;"",VLOOKUP(G4,PHA4GEVars!$A$7:$B$241,2,FALSE),"")</f>
        <v>Bioinformatics and QC metrics</v>
      </c>
      <c r="F4" s="15" t="s">
        <v>1754</v>
      </c>
      <c r="G4" s="15" t="s">
        <v>103</v>
      </c>
      <c r="H4" s="15" t="s">
        <v>1993</v>
      </c>
      <c r="I4" s="15" t="s">
        <v>1250</v>
      </c>
      <c r="J4" s="15"/>
      <c r="K4" s="15" t="s">
        <v>1249</v>
      </c>
      <c r="L4" s="15" t="s">
        <v>1252</v>
      </c>
      <c r="M4" s="15"/>
      <c r="N4" s="15"/>
      <c r="O4" s="15"/>
      <c r="P4" s="15" t="s">
        <v>1259</v>
      </c>
      <c r="Q4" s="15" t="s">
        <v>1671</v>
      </c>
    </row>
    <row r="5" spans="1:17" x14ac:dyDescent="0.2">
      <c r="A5" s="15">
        <v>34</v>
      </c>
      <c r="B5" s="15" t="b">
        <v>1</v>
      </c>
      <c r="C5" s="15" t="b">
        <v>1</v>
      </c>
      <c r="D5" s="15" t="s">
        <v>11</v>
      </c>
      <c r="E5" t="str">
        <f>IF(G5&lt;&gt;"",VLOOKUP(G5,PHA4GEVars!$A$7:$B$241,2,FALSE),"")</f>
        <v>Bioinformatics and QC metrics</v>
      </c>
      <c r="F5" s="15" t="s">
        <v>1754</v>
      </c>
      <c r="G5" s="15" t="s">
        <v>103</v>
      </c>
      <c r="H5" s="15" t="s">
        <v>1994</v>
      </c>
      <c r="I5" s="15" t="s">
        <v>1250</v>
      </c>
      <c r="J5" s="15"/>
      <c r="K5" s="15" t="s">
        <v>1249</v>
      </c>
      <c r="L5" s="15" t="s">
        <v>1253</v>
      </c>
      <c r="M5" s="15"/>
      <c r="N5" s="15"/>
      <c r="O5" s="15"/>
      <c r="P5" s="15" t="s">
        <v>1259</v>
      </c>
      <c r="Q5" s="15" t="s">
        <v>1671</v>
      </c>
    </row>
    <row r="6" spans="1:17" x14ac:dyDescent="0.2">
      <c r="A6" s="15">
        <v>35</v>
      </c>
      <c r="B6" s="15" t="b">
        <v>1</v>
      </c>
      <c r="C6" s="15" t="b">
        <v>1</v>
      </c>
      <c r="D6" s="15" t="s">
        <v>11</v>
      </c>
      <c r="E6" t="str">
        <f>IF(G6&lt;&gt;"",VLOOKUP(G6,PHA4GEVars!$A$7:$B$241,2,FALSE),"")</f>
        <v>Bioinformatics and QC metrics</v>
      </c>
      <c r="F6" s="15" t="s">
        <v>1754</v>
      </c>
      <c r="G6" s="15" t="s">
        <v>103</v>
      </c>
      <c r="H6" s="15" t="s">
        <v>1995</v>
      </c>
      <c r="I6" s="15" t="s">
        <v>1250</v>
      </c>
      <c r="J6" s="15"/>
      <c r="K6" s="15" t="s">
        <v>1249</v>
      </c>
      <c r="L6" s="15" t="s">
        <v>1254</v>
      </c>
      <c r="M6" s="15"/>
      <c r="N6" s="15"/>
      <c r="O6" s="15"/>
      <c r="P6" s="15" t="s">
        <v>1259</v>
      </c>
      <c r="Q6" s="15" t="s">
        <v>1671</v>
      </c>
    </row>
    <row r="7" spans="1:17" x14ac:dyDescent="0.2">
      <c r="A7" s="15">
        <v>36</v>
      </c>
      <c r="B7" s="15" t="b">
        <v>1</v>
      </c>
      <c r="C7" s="15" t="b">
        <v>1</v>
      </c>
      <c r="D7" s="15" t="s">
        <v>11</v>
      </c>
      <c r="E7" t="str">
        <f>IF(G7&lt;&gt;"",VLOOKUP(G7,PHA4GEVars!$A$7:$B$241,2,FALSE),"")</f>
        <v>Bioinformatics and QC metrics</v>
      </c>
      <c r="F7" s="15" t="s">
        <v>1754</v>
      </c>
      <c r="G7" s="15" t="s">
        <v>103</v>
      </c>
      <c r="H7" s="15" t="s">
        <v>1996</v>
      </c>
      <c r="I7" s="15" t="s">
        <v>1250</v>
      </c>
      <c r="J7" s="15"/>
      <c r="K7" s="15" t="s">
        <v>1249</v>
      </c>
      <c r="L7" s="15" t="s">
        <v>1255</v>
      </c>
      <c r="M7" s="15"/>
      <c r="N7" s="15"/>
      <c r="O7" s="15"/>
      <c r="P7" s="15" t="s">
        <v>1259</v>
      </c>
      <c r="Q7" s="15" t="s">
        <v>1671</v>
      </c>
    </row>
    <row r="8" spans="1:17" x14ac:dyDescent="0.2">
      <c r="A8" s="15">
        <v>37</v>
      </c>
      <c r="B8" s="15" t="b">
        <v>1</v>
      </c>
      <c r="C8" s="15" t="b">
        <v>1</v>
      </c>
      <c r="D8" s="15" t="s">
        <v>11</v>
      </c>
      <c r="E8" t="str">
        <f>IF(G8&lt;&gt;"",VLOOKUP(G8,PHA4GEVars!$A$7:$B$241,2,FALSE),"")</f>
        <v>Bioinformatics and QC metrics</v>
      </c>
      <c r="F8" s="15" t="s">
        <v>1754</v>
      </c>
      <c r="G8" s="15" t="s">
        <v>103</v>
      </c>
      <c r="H8" s="15" t="s">
        <v>1997</v>
      </c>
      <c r="I8" s="15" t="s">
        <v>1250</v>
      </c>
      <c r="J8" s="15"/>
      <c r="K8" s="15" t="s">
        <v>1249</v>
      </c>
      <c r="L8" s="15" t="s">
        <v>1256</v>
      </c>
      <c r="M8" s="15"/>
      <c r="N8" s="15"/>
      <c r="O8" s="15"/>
      <c r="P8" s="15" t="s">
        <v>1259</v>
      </c>
      <c r="Q8" s="15" t="s">
        <v>1671</v>
      </c>
    </row>
    <row r="9" spans="1:17" x14ac:dyDescent="0.2">
      <c r="A9" s="15">
        <v>38</v>
      </c>
      <c r="B9" s="15" t="b">
        <v>1</v>
      </c>
      <c r="C9" s="15" t="b">
        <v>1</v>
      </c>
      <c r="D9" s="15" t="s">
        <v>11</v>
      </c>
      <c r="E9" t="str">
        <f>IF(G9&lt;&gt;"",VLOOKUP(G9,PHA4GEVars!$A$7:$B$241,2,FALSE),"")</f>
        <v>Bioinformatics and QC metrics</v>
      </c>
      <c r="F9" s="15" t="s">
        <v>1754</v>
      </c>
      <c r="G9" s="15" t="s">
        <v>103</v>
      </c>
      <c r="H9" s="15" t="s">
        <v>1998</v>
      </c>
      <c r="I9" s="15" t="s">
        <v>1250</v>
      </c>
      <c r="J9" s="15"/>
      <c r="K9" s="15" t="s">
        <v>1249</v>
      </c>
      <c r="L9" s="15" t="s">
        <v>1257</v>
      </c>
      <c r="M9" s="15"/>
      <c r="N9" s="15"/>
      <c r="O9" s="15"/>
      <c r="P9" s="15" t="s">
        <v>1259</v>
      </c>
      <c r="Q9" s="15" t="s">
        <v>1671</v>
      </c>
    </row>
    <row r="10" spans="1:17" x14ac:dyDescent="0.2">
      <c r="A10" s="15">
        <v>39</v>
      </c>
      <c r="B10" s="15" t="b">
        <v>1</v>
      </c>
      <c r="C10" s="15" t="b">
        <v>1</v>
      </c>
      <c r="D10" s="15" t="s">
        <v>11</v>
      </c>
      <c r="E10" t="str">
        <f>IF(G10&lt;&gt;"",VLOOKUP(G10,PHA4GEVars!$A$7:$B$241,2,FALSE),"")</f>
        <v>Bioinformatics and QC metrics</v>
      </c>
      <c r="F10" s="15" t="s">
        <v>1754</v>
      </c>
      <c r="G10" s="15" t="s">
        <v>103</v>
      </c>
      <c r="H10" s="15" t="s">
        <v>1999</v>
      </c>
      <c r="I10" s="15" t="s">
        <v>1250</v>
      </c>
      <c r="J10" s="15"/>
      <c r="K10" s="15" t="s">
        <v>1249</v>
      </c>
      <c r="L10" s="15" t="s">
        <v>1258</v>
      </c>
      <c r="M10" s="15"/>
      <c r="N10" s="15"/>
      <c r="O10" s="15"/>
      <c r="P10" s="15" t="s">
        <v>1259</v>
      </c>
      <c r="Q10" s="15" t="s">
        <v>1671</v>
      </c>
    </row>
    <row r="11" spans="1:17" x14ac:dyDescent="0.2">
      <c r="B11" s="15" t="b">
        <v>1</v>
      </c>
      <c r="C11" s="15" t="b">
        <v>1</v>
      </c>
      <c r="D11" s="15"/>
      <c r="E11" t="str">
        <f>IF(G11&lt;&gt;"",VLOOKUP(G11,PHA4GEVars!$A$7:$B$241,2,FALSE),"")</f>
        <v/>
      </c>
      <c r="F11" s="15" t="s">
        <v>1754</v>
      </c>
      <c r="I11" s="15" t="s">
        <v>1250</v>
      </c>
      <c r="K11" s="15" t="s">
        <v>2008</v>
      </c>
      <c r="M11" s="15" t="s">
        <v>2007</v>
      </c>
    </row>
    <row r="12" spans="1:17" x14ac:dyDescent="0.2">
      <c r="B12" s="15" t="b">
        <v>1</v>
      </c>
      <c r="C12" s="15" t="b">
        <v>1</v>
      </c>
      <c r="D12" s="15"/>
      <c r="E12" t="str">
        <f>IF(G12&lt;&gt;"",VLOOKUP(G12,PHA4GEVars!$A$7:$B$241,2,FALSE),"")</f>
        <v/>
      </c>
      <c r="F12" s="15" t="s">
        <v>1754</v>
      </c>
      <c r="I12" s="15" t="s">
        <v>1250</v>
      </c>
      <c r="K12" s="15" t="s">
        <v>1976</v>
      </c>
      <c r="M12" s="15" t="s">
        <v>2020</v>
      </c>
    </row>
    <row r="13" spans="1:17" x14ac:dyDescent="0.2">
      <c r="B13" s="15" t="b">
        <v>1</v>
      </c>
      <c r="C13" s="15" t="b">
        <v>1</v>
      </c>
      <c r="D13" s="15"/>
      <c r="E13" t="str">
        <f>IF(G13&lt;&gt;"",VLOOKUP(G13,PHA4GEVars!$A$7:$B$241,2,FALSE),"")</f>
        <v/>
      </c>
      <c r="F13" s="15" t="s">
        <v>1754</v>
      </c>
      <c r="I13" s="15" t="s">
        <v>1250</v>
      </c>
      <c r="K13" s="15" t="s">
        <v>1963</v>
      </c>
      <c r="M13" s="15" t="s">
        <v>2020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1386</v>
      </c>
      <c r="B1" s="16" t="s">
        <v>1669</v>
      </c>
      <c r="C1" s="16" t="s">
        <v>0</v>
      </c>
      <c r="D1" s="16" t="s">
        <v>10</v>
      </c>
      <c r="E1" s="16" t="s">
        <v>1</v>
      </c>
      <c r="F1" s="16" t="s">
        <v>2</v>
      </c>
      <c r="G1" s="16" t="s">
        <v>3</v>
      </c>
      <c r="H1" s="29" t="s">
        <v>4</v>
      </c>
      <c r="I1" s="29" t="s">
        <v>1688</v>
      </c>
      <c r="J1" s="16" t="s">
        <v>5</v>
      </c>
      <c r="K1" s="16" t="s">
        <v>6</v>
      </c>
      <c r="L1" s="16" t="s">
        <v>1676</v>
      </c>
      <c r="M1" s="16" t="s">
        <v>8</v>
      </c>
      <c r="N1" s="16" t="s">
        <v>9</v>
      </c>
      <c r="O1" s="16" t="s">
        <v>1668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1765</v>
      </c>
      <c r="C1" s="16" t="s">
        <v>1</v>
      </c>
      <c r="D1" s="16" t="s">
        <v>2</v>
      </c>
      <c r="E1" s="16" t="s">
        <v>3</v>
      </c>
      <c r="F1" s="16" t="s">
        <v>4</v>
      </c>
      <c r="G1" s="16" t="s">
        <v>1662</v>
      </c>
      <c r="H1" s="16" t="s">
        <v>1016</v>
      </c>
      <c r="I1" s="16" t="s">
        <v>1737</v>
      </c>
      <c r="J1" s="16" t="s">
        <v>1649</v>
      </c>
      <c r="K1" s="16" t="s">
        <v>9</v>
      </c>
    </row>
    <row r="2" spans="1:11" x14ac:dyDescent="0.2">
      <c r="B2" t="str">
        <f>IF(D2&lt;&gt;"",VLOOKUP(D2,PHA4GEVars!$A$7:$B$241,2,FALSE),"")</f>
        <v>Database identifiers</v>
      </c>
      <c r="C2" s="15" t="s">
        <v>1754</v>
      </c>
      <c r="D2" s="15" t="s">
        <v>67</v>
      </c>
      <c r="E2" s="15"/>
      <c r="F2" s="15" t="s">
        <v>1156</v>
      </c>
      <c r="G2" s="15" t="s">
        <v>1157</v>
      </c>
      <c r="H2" s="16"/>
      <c r="I2" s="16"/>
      <c r="J2" s="15" t="s">
        <v>1167</v>
      </c>
      <c r="K2" s="16"/>
    </row>
    <row r="3" spans="1:11" x14ac:dyDescent="0.2">
      <c r="B3" t="str">
        <f>IF(D3&lt;&gt;"",VLOOKUP(D3,PHA4GEVars!$A$7:$B$241,2,FALSE),"")</f>
        <v>Database identifiers</v>
      </c>
      <c r="C3" s="15" t="s">
        <v>1754</v>
      </c>
      <c r="D3" s="15" t="s">
        <v>68</v>
      </c>
      <c r="E3" s="15"/>
      <c r="F3" s="15" t="s">
        <v>1156</v>
      </c>
      <c r="G3" s="15" t="s">
        <v>1157</v>
      </c>
      <c r="H3" s="16"/>
      <c r="I3" s="16"/>
      <c r="J3" s="15" t="s">
        <v>1168</v>
      </c>
      <c r="K3" s="16"/>
    </row>
    <row r="4" spans="1:11" x14ac:dyDescent="0.2">
      <c r="B4" t="e">
        <f>IF(D4&lt;&gt;"",VLOOKUP(D4,PHA4GEVars!$A$7:$B$241,2,FALSE),"")</f>
        <v>#N/A</v>
      </c>
      <c r="C4" s="15" t="s">
        <v>1754</v>
      </c>
      <c r="D4" s="15" t="s">
        <v>73</v>
      </c>
      <c r="E4" s="15"/>
      <c r="F4" s="15" t="s">
        <v>1156</v>
      </c>
      <c r="G4" s="15" t="s">
        <v>1158</v>
      </c>
      <c r="H4" s="16"/>
      <c r="I4" s="16"/>
      <c r="J4" s="15" t="s">
        <v>1169</v>
      </c>
      <c r="K4" s="16"/>
    </row>
    <row r="5" spans="1:11" x14ac:dyDescent="0.2">
      <c r="B5" t="str">
        <f>IF(D5&lt;&gt;"",VLOOKUP(D5,PHA4GEVars!$A$7:$B$241,2,FALSE),"")</f>
        <v>Database identifiers</v>
      </c>
      <c r="C5" s="15" t="s">
        <v>1754</v>
      </c>
      <c r="D5" s="15" t="s">
        <v>78</v>
      </c>
      <c r="E5" s="15"/>
      <c r="F5" s="15" t="s">
        <v>1156</v>
      </c>
      <c r="G5" s="15" t="s">
        <v>1159</v>
      </c>
      <c r="H5" s="16"/>
      <c r="I5" s="16"/>
      <c r="J5" s="15" t="s">
        <v>1170</v>
      </c>
      <c r="K5" s="16"/>
    </row>
    <row r="6" spans="1:11" x14ac:dyDescent="0.2">
      <c r="B6" t="str">
        <f>IF(D6&lt;&gt;"",VLOOKUP(D6,PHA4GEVars!$A$7:$B$241,2,FALSE),"")</f>
        <v>Database identifiers</v>
      </c>
      <c r="C6" s="15" t="s">
        <v>1754</v>
      </c>
      <c r="D6" s="15" t="s">
        <v>79</v>
      </c>
      <c r="E6" s="15"/>
      <c r="F6" s="15" t="s">
        <v>1156</v>
      </c>
      <c r="G6" s="15" t="s">
        <v>1160</v>
      </c>
      <c r="H6" s="16"/>
      <c r="I6" s="16"/>
      <c r="J6" s="15" t="s">
        <v>1171</v>
      </c>
      <c r="K6" s="16"/>
    </row>
    <row r="7" spans="1:11" x14ac:dyDescent="0.2">
      <c r="B7" t="str">
        <f>IF(D7&lt;&gt;"",VLOOKUP(D7,PHA4GEVars!$A$7:$B$241,2,FALSE),"")</f>
        <v>Database identifiers</v>
      </c>
      <c r="C7" s="15" t="s">
        <v>1754</v>
      </c>
      <c r="D7" s="15" t="s">
        <v>80</v>
      </c>
      <c r="E7" s="15"/>
      <c r="F7" s="15" t="s">
        <v>1156</v>
      </c>
      <c r="G7" s="15" t="s">
        <v>1161</v>
      </c>
      <c r="H7" s="16"/>
      <c r="I7" s="16"/>
      <c r="J7" s="15" t="s">
        <v>1172</v>
      </c>
      <c r="K7" s="16"/>
    </row>
    <row r="8" spans="1:11" x14ac:dyDescent="0.2">
      <c r="B8" t="str">
        <f>IF(D8&lt;&gt;"",VLOOKUP(D8,PHA4GEVars!$A$7:$B$241,2,FALSE),"")</f>
        <v>Database identifiers</v>
      </c>
      <c r="C8" s="15" t="s">
        <v>1754</v>
      </c>
      <c r="D8" s="15" t="s">
        <v>82</v>
      </c>
      <c r="E8" s="15"/>
      <c r="F8" s="15" t="s">
        <v>1156</v>
      </c>
      <c r="G8" s="15" t="s">
        <v>1162</v>
      </c>
      <c r="H8" s="16"/>
      <c r="I8" s="16"/>
      <c r="J8" s="15" t="s">
        <v>1173</v>
      </c>
      <c r="K8" s="16"/>
    </row>
    <row r="9" spans="1:11" x14ac:dyDescent="0.2">
      <c r="B9" t="str">
        <f>IF(D9&lt;&gt;"",VLOOKUP(D9,PHA4GEVars!$A$7:$B$241,2,FALSE),"")</f>
        <v>Database identifiers</v>
      </c>
      <c r="C9" s="15" t="s">
        <v>1754</v>
      </c>
      <c r="D9" s="15" t="s">
        <v>86</v>
      </c>
      <c r="E9" s="15"/>
      <c r="F9" s="15" t="s">
        <v>1156</v>
      </c>
      <c r="G9" s="15" t="s">
        <v>1163</v>
      </c>
      <c r="H9" s="15"/>
      <c r="I9" s="15" t="s">
        <v>1923</v>
      </c>
      <c r="J9" s="15" t="s">
        <v>1174</v>
      </c>
      <c r="K9" s="16"/>
    </row>
    <row r="10" spans="1:11" x14ac:dyDescent="0.2">
      <c r="B10" t="str">
        <f>IF(D10&lt;&gt;"",VLOOKUP(D10,PHA4GEVars!$A$7:$B$241,2,FALSE),"")</f>
        <v>Database identifiers</v>
      </c>
      <c r="C10" s="15" t="s">
        <v>1754</v>
      </c>
      <c r="D10" s="15" t="s">
        <v>87</v>
      </c>
      <c r="E10" s="15"/>
      <c r="F10" s="15" t="s">
        <v>1156</v>
      </c>
      <c r="G10" s="15" t="s">
        <v>1164</v>
      </c>
      <c r="H10" s="16"/>
      <c r="I10" s="16"/>
      <c r="J10" s="15" t="s">
        <v>1175</v>
      </c>
      <c r="K10" s="16"/>
    </row>
    <row r="11" spans="1:11" x14ac:dyDescent="0.2">
      <c r="B11" t="str">
        <f>IF(D11&lt;&gt;"",VLOOKUP(D11,PHA4GEVars!$A$7:$B$241,2,FALSE),"")</f>
        <v>Database identifiers</v>
      </c>
      <c r="C11" s="15" t="s">
        <v>1754</v>
      </c>
      <c r="D11" s="15" t="s">
        <v>90</v>
      </c>
      <c r="E11" s="15"/>
      <c r="F11" s="15" t="s">
        <v>1156</v>
      </c>
      <c r="G11" s="15" t="s">
        <v>1166</v>
      </c>
      <c r="H11" s="16"/>
      <c r="I11" s="16"/>
      <c r="J11" s="15" t="s">
        <v>1176</v>
      </c>
      <c r="K11" s="16"/>
    </row>
    <row r="12" spans="1:11" x14ac:dyDescent="0.2">
      <c r="B12" t="str">
        <f>IF(D12&lt;&gt;"",VLOOKUP(D12,PHA4GEVars!$A$7:$B$241,2,FALSE),"")</f>
        <v>Database identifiers</v>
      </c>
      <c r="C12" s="15" t="s">
        <v>1754</v>
      </c>
      <c r="D12" s="15" t="s">
        <v>1772</v>
      </c>
      <c r="E12" s="15"/>
      <c r="F12" s="15" t="s">
        <v>1156</v>
      </c>
      <c r="G12" s="15" t="s">
        <v>1165</v>
      </c>
      <c r="H12" s="16"/>
      <c r="I12" s="16"/>
      <c r="J12" s="15" t="s">
        <v>1177</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zoomScale="115" workbookViewId="0">
      <pane ySplit="1" topLeftCell="A2" activePane="bottomLeft" state="frozen"/>
      <selection pane="bottomLeft" activeCell="K8" sqref="I2:K8"/>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17" customFormat="1" x14ac:dyDescent="0.2">
      <c r="A1" s="17" t="s">
        <v>0</v>
      </c>
      <c r="B1" s="17" t="s">
        <v>1765</v>
      </c>
      <c r="C1" s="16" t="s">
        <v>1</v>
      </c>
      <c r="D1" s="16" t="s">
        <v>2</v>
      </c>
      <c r="E1" s="16" t="s">
        <v>3</v>
      </c>
      <c r="F1" s="16" t="s">
        <v>4</v>
      </c>
      <c r="G1" s="16" t="s">
        <v>1016</v>
      </c>
      <c r="H1" s="16" t="s">
        <v>1728</v>
      </c>
      <c r="I1" s="16" t="s">
        <v>1729</v>
      </c>
      <c r="J1" s="16" t="s">
        <v>1730</v>
      </c>
      <c r="K1" s="16" t="s">
        <v>1731</v>
      </c>
      <c r="L1" s="16" t="s">
        <v>1965</v>
      </c>
      <c r="M1" s="16" t="s">
        <v>1966</v>
      </c>
      <c r="N1" s="16" t="s">
        <v>9</v>
      </c>
    </row>
    <row r="2" spans="1:14" x14ac:dyDescent="0.2">
      <c r="A2" t="b">
        <v>1</v>
      </c>
      <c r="B2" t="str">
        <f>IF(D2&lt;&gt;"",VLOOKUP(D2,PHA4GEVars!$A$7:$B$241,2,FALSE),"")</f>
        <v>Database identifiers</v>
      </c>
      <c r="C2" t="s">
        <v>1754</v>
      </c>
      <c r="D2" t="s">
        <v>1075</v>
      </c>
      <c r="F2" t="s">
        <v>1727</v>
      </c>
      <c r="I2" t="s">
        <v>1623</v>
      </c>
      <c r="J2" t="s">
        <v>1732</v>
      </c>
      <c r="K2" t="s">
        <v>1180</v>
      </c>
      <c r="L2" t="s">
        <v>1075</v>
      </c>
      <c r="M2" t="s">
        <v>149</v>
      </c>
    </row>
    <row r="3" spans="1:14" x14ac:dyDescent="0.2">
      <c r="A3" t="b">
        <v>1</v>
      </c>
      <c r="B3" t="str">
        <f>IF(D3&lt;&gt;"",VLOOKUP(D3,PHA4GEVars!$A$7:$B$241,2,FALSE),"")</f>
        <v>Database identifiers</v>
      </c>
      <c r="C3" t="s">
        <v>1754</v>
      </c>
      <c r="D3" t="s">
        <v>149</v>
      </c>
      <c r="F3" t="s">
        <v>1727</v>
      </c>
      <c r="I3" t="s">
        <v>1180</v>
      </c>
      <c r="J3" t="s">
        <v>1732</v>
      </c>
      <c r="K3" t="s">
        <v>1624</v>
      </c>
      <c r="L3" t="s">
        <v>149</v>
      </c>
      <c r="M3" t="s">
        <v>112</v>
      </c>
      <c r="N3" t="s">
        <v>1967</v>
      </c>
    </row>
    <row r="4" spans="1:14" x14ac:dyDescent="0.2">
      <c r="A4" t="b">
        <v>1</v>
      </c>
      <c r="B4" t="str">
        <f>IF(D4&lt;&gt;"",VLOOKUP(D4,PHA4GEVars!$A$7:$B$241,2,FALSE),"")</f>
        <v>Database identifiers</v>
      </c>
      <c r="C4" t="s">
        <v>1754</v>
      </c>
      <c r="D4" t="s">
        <v>139</v>
      </c>
      <c r="F4" t="s">
        <v>1727</v>
      </c>
      <c r="I4" t="s">
        <v>1622</v>
      </c>
      <c r="J4" t="s">
        <v>1732</v>
      </c>
      <c r="K4" t="s">
        <v>1180</v>
      </c>
      <c r="L4" t="s">
        <v>139</v>
      </c>
      <c r="M4" t="s">
        <v>149</v>
      </c>
    </row>
    <row r="5" spans="1:14" s="17" customFormat="1" x14ac:dyDescent="0.2">
      <c r="A5" s="17" t="b">
        <v>1</v>
      </c>
      <c r="B5" s="17" t="str">
        <f>IF(D5&lt;&gt;"",VLOOKUP(D5,PHA4GEVars!$A$7:$B$241,2,FALSE),"")</f>
        <v>Strain and isolation information</v>
      </c>
      <c r="C5" s="17" t="s">
        <v>1754</v>
      </c>
      <c r="D5" s="17" t="s">
        <v>1095</v>
      </c>
      <c r="F5" s="17" t="s">
        <v>1727</v>
      </c>
      <c r="I5" s="17" t="s">
        <v>1595</v>
      </c>
      <c r="J5" s="17" t="s">
        <v>1732</v>
      </c>
      <c r="K5" s="17" t="s">
        <v>1180</v>
      </c>
      <c r="L5" s="17" t="s">
        <v>1095</v>
      </c>
      <c r="M5" s="17" t="s">
        <v>149</v>
      </c>
      <c r="N5" s="17" t="s">
        <v>1734</v>
      </c>
    </row>
    <row r="6" spans="1:14" s="17" customFormat="1" x14ac:dyDescent="0.2">
      <c r="A6" s="17" t="b">
        <v>1</v>
      </c>
      <c r="B6" s="17" t="str">
        <f>IF(D6&lt;&gt;"",VLOOKUP(D6,PHA4GEVars!$A$7:$B$241,2,FALSE),"")</f>
        <v>Strain and isolation information</v>
      </c>
      <c r="C6" s="17" t="s">
        <v>1754</v>
      </c>
      <c r="D6" s="17" t="s">
        <v>1094</v>
      </c>
      <c r="F6" s="17" t="s">
        <v>1727</v>
      </c>
      <c r="I6" s="17" t="s">
        <v>1596</v>
      </c>
      <c r="J6" s="17" t="s">
        <v>1732</v>
      </c>
      <c r="K6" s="17" t="s">
        <v>1180</v>
      </c>
      <c r="L6" s="17" t="s">
        <v>1094</v>
      </c>
      <c r="M6" s="17" t="s">
        <v>149</v>
      </c>
      <c r="N6" s="17" t="s">
        <v>1734</v>
      </c>
    </row>
    <row r="7" spans="1:14" s="17" customFormat="1" x14ac:dyDescent="0.2">
      <c r="A7" s="17" t="b">
        <v>1</v>
      </c>
      <c r="B7" s="17" t="str">
        <f>IF(D7&lt;&gt;"",VLOOKUP(D7,PHA4GEVars!$A$7:$B$241,2,FALSE),"")</f>
        <v>Strain and isolation information</v>
      </c>
      <c r="C7" s="17" t="s">
        <v>1754</v>
      </c>
      <c r="D7" s="17" t="s">
        <v>1094</v>
      </c>
      <c r="F7" s="17" t="s">
        <v>1727</v>
      </c>
      <c r="I7" s="17" t="s">
        <v>1596</v>
      </c>
      <c r="J7" s="17" t="s">
        <v>1733</v>
      </c>
      <c r="K7" s="17" t="s">
        <v>1595</v>
      </c>
      <c r="L7" s="17" t="s">
        <v>1094</v>
      </c>
      <c r="M7" s="17" t="s">
        <v>1095</v>
      </c>
      <c r="N7" s="17" t="s">
        <v>1734</v>
      </c>
    </row>
    <row r="8" spans="1:14" s="17" customFormat="1" x14ac:dyDescent="0.2">
      <c r="A8" s="17" t="b">
        <v>1</v>
      </c>
      <c r="B8" s="17" t="str">
        <f>IF(D8&lt;&gt;"",VLOOKUP(D8,PHA4GEVars!$A$7:$B$241,2,FALSE),"")</f>
        <v>Strain and isolation information</v>
      </c>
      <c r="C8" s="17" t="s">
        <v>1754</v>
      </c>
      <c r="D8" s="17" t="s">
        <v>1096</v>
      </c>
      <c r="F8" s="17" t="s">
        <v>1727</v>
      </c>
      <c r="I8" s="17" t="s">
        <v>1603</v>
      </c>
      <c r="J8" s="17" t="s">
        <v>1732</v>
      </c>
      <c r="K8" s="17" t="s">
        <v>1596</v>
      </c>
      <c r="L8" s="17" t="s">
        <v>1096</v>
      </c>
      <c r="M8" s="17" t="s">
        <v>1094</v>
      </c>
      <c r="N8" s="17" t="s">
        <v>1734</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topLeftCell="R1" zoomScale="108" workbookViewId="0">
      <pane ySplit="1" topLeftCell="A28" activePane="bottomLeft" state="frozen"/>
      <selection pane="bottomLeft" activeCell="A45" sqref="A45:XFD49"/>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1386</v>
      </c>
      <c r="B1" s="16" t="s">
        <v>0</v>
      </c>
      <c r="C1" s="16" t="s">
        <v>10</v>
      </c>
      <c r="D1" s="16" t="s">
        <v>1765</v>
      </c>
      <c r="E1" s="16" t="s">
        <v>1</v>
      </c>
      <c r="F1" s="16" t="s">
        <v>2</v>
      </c>
      <c r="G1" s="16" t="s">
        <v>3</v>
      </c>
      <c r="H1" s="16" t="s">
        <v>4</v>
      </c>
      <c r="I1" s="16" t="s">
        <v>1858</v>
      </c>
      <c r="J1" s="16" t="s">
        <v>6</v>
      </c>
      <c r="K1" s="16" t="s">
        <v>7</v>
      </c>
      <c r="L1" s="16" t="s">
        <v>8</v>
      </c>
      <c r="M1" s="16" t="s">
        <v>9</v>
      </c>
      <c r="N1" s="16" t="s">
        <v>1678</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1754</v>
      </c>
      <c r="F2" t="s">
        <v>117</v>
      </c>
      <c r="G2" t="s">
        <v>249</v>
      </c>
      <c r="H2" t="s">
        <v>1178</v>
      </c>
      <c r="I2" t="s">
        <v>1228</v>
      </c>
      <c r="J2" t="s">
        <v>1229</v>
      </c>
      <c r="M2" s="1" t="s">
        <v>1471</v>
      </c>
      <c r="N2" t="s">
        <v>1756</v>
      </c>
    </row>
    <row r="3" spans="1:30" x14ac:dyDescent="0.2">
      <c r="A3">
        <v>250</v>
      </c>
      <c r="B3" t="b">
        <f t="shared" si="0"/>
        <v>1</v>
      </c>
      <c r="C3" t="s">
        <v>108</v>
      </c>
      <c r="D3" t="str">
        <f>IF(F3&lt;&gt;"",VLOOKUP(F3,PHA4GEVars!$A$7:$B$241,2,FALSE),"")</f>
        <v>Sample collection and processing</v>
      </c>
      <c r="E3" t="s">
        <v>1754</v>
      </c>
      <c r="F3" t="s">
        <v>117</v>
      </c>
      <c r="G3" t="s">
        <v>250</v>
      </c>
      <c r="H3" t="s">
        <v>1178</v>
      </c>
      <c r="I3" t="s">
        <v>1228</v>
      </c>
      <c r="J3" t="s">
        <v>1463</v>
      </c>
      <c r="M3" s="1" t="s">
        <v>1471</v>
      </c>
    </row>
    <row r="4" spans="1:30" x14ac:dyDescent="0.2">
      <c r="A4">
        <v>251</v>
      </c>
      <c r="B4" t="b">
        <f t="shared" si="0"/>
        <v>1</v>
      </c>
      <c r="C4" t="s">
        <v>108</v>
      </c>
      <c r="D4" t="str">
        <f>IF(F4&lt;&gt;"",VLOOKUP(F4,PHA4GEVars!$A$7:$B$241,2,FALSE),"")</f>
        <v>Sample collection and processing</v>
      </c>
      <c r="E4" t="s">
        <v>1754</v>
      </c>
      <c r="F4" t="s">
        <v>117</v>
      </c>
      <c r="G4" t="s">
        <v>251</v>
      </c>
      <c r="H4" t="s">
        <v>1178</v>
      </c>
      <c r="I4" t="s">
        <v>1228</v>
      </c>
      <c r="J4" t="s">
        <v>1464</v>
      </c>
      <c r="M4" s="1" t="s">
        <v>1471</v>
      </c>
    </row>
    <row r="5" spans="1:30" x14ac:dyDescent="0.2">
      <c r="A5">
        <v>252</v>
      </c>
      <c r="B5" t="b">
        <f t="shared" si="0"/>
        <v>1</v>
      </c>
      <c r="C5" t="s">
        <v>108</v>
      </c>
      <c r="D5" t="str">
        <f>IF(F5&lt;&gt;"",VLOOKUP(F5,PHA4GEVars!$A$7:$B$241,2,FALSE),"")</f>
        <v>Sample collection and processing</v>
      </c>
      <c r="E5" t="s">
        <v>1754</v>
      </c>
      <c r="F5" t="s">
        <v>117</v>
      </c>
      <c r="G5" t="s">
        <v>252</v>
      </c>
      <c r="H5" t="s">
        <v>1178</v>
      </c>
      <c r="I5" t="s">
        <v>1228</v>
      </c>
      <c r="J5" t="s">
        <v>1465</v>
      </c>
      <c r="M5" s="1" t="s">
        <v>1471</v>
      </c>
    </row>
    <row r="6" spans="1:30" x14ac:dyDescent="0.2">
      <c r="A6">
        <v>253</v>
      </c>
      <c r="B6" t="b">
        <f t="shared" si="0"/>
        <v>1</v>
      </c>
      <c r="C6" t="s">
        <v>108</v>
      </c>
      <c r="D6" t="str">
        <f>IF(F6&lt;&gt;"",VLOOKUP(F6,PHA4GEVars!$A$7:$B$241,2,FALSE),"")</f>
        <v>Sample collection and processing</v>
      </c>
      <c r="E6" t="s">
        <v>1754</v>
      </c>
      <c r="F6" t="s">
        <v>117</v>
      </c>
      <c r="G6" t="s">
        <v>253</v>
      </c>
      <c r="H6" t="s">
        <v>1178</v>
      </c>
      <c r="I6" t="s">
        <v>1228</v>
      </c>
      <c r="J6" t="s">
        <v>1466</v>
      </c>
      <c r="M6" s="1" t="s">
        <v>1471</v>
      </c>
    </row>
    <row r="7" spans="1:30" x14ac:dyDescent="0.2">
      <c r="A7">
        <v>254</v>
      </c>
      <c r="B7" t="b">
        <f t="shared" si="0"/>
        <v>1</v>
      </c>
      <c r="C7" t="s">
        <v>108</v>
      </c>
      <c r="D7" t="str">
        <f>IF(F7&lt;&gt;"",VLOOKUP(F7,PHA4GEVars!$A$7:$B$241,2,FALSE),"")</f>
        <v>Sample collection and processing</v>
      </c>
      <c r="E7" t="s">
        <v>1754</v>
      </c>
      <c r="F7" t="s">
        <v>117</v>
      </c>
      <c r="G7" t="s">
        <v>254</v>
      </c>
      <c r="H7" t="s">
        <v>1178</v>
      </c>
      <c r="I7" t="s">
        <v>1228</v>
      </c>
      <c r="J7" t="s">
        <v>1467</v>
      </c>
      <c r="M7" s="1" t="s">
        <v>1471</v>
      </c>
    </row>
    <row r="8" spans="1:30" x14ac:dyDescent="0.2">
      <c r="A8">
        <v>255</v>
      </c>
      <c r="B8" t="b">
        <f t="shared" si="0"/>
        <v>1</v>
      </c>
      <c r="C8" t="s">
        <v>108</v>
      </c>
      <c r="D8" t="str">
        <f>IF(F8&lt;&gt;"",VLOOKUP(F8,PHA4GEVars!$A$7:$B$241,2,FALSE),"")</f>
        <v>Sample collection and processing</v>
      </c>
      <c r="E8" t="s">
        <v>1754</v>
      </c>
      <c r="F8" t="s">
        <v>117</v>
      </c>
      <c r="G8" t="s">
        <v>255</v>
      </c>
      <c r="H8" t="s">
        <v>1178</v>
      </c>
      <c r="I8" t="s">
        <v>1228</v>
      </c>
      <c r="J8" t="s">
        <v>1425</v>
      </c>
      <c r="M8" s="1" t="s">
        <v>1472</v>
      </c>
    </row>
    <row r="9" spans="1:30" x14ac:dyDescent="0.2">
      <c r="A9">
        <v>256</v>
      </c>
      <c r="B9" t="b">
        <f t="shared" si="0"/>
        <v>1</v>
      </c>
      <c r="C9" t="s">
        <v>108</v>
      </c>
      <c r="D9" t="str">
        <f>IF(F9&lt;&gt;"",VLOOKUP(F9,PHA4GEVars!$A$7:$B$241,2,FALSE),"")</f>
        <v>Sample collection and processing</v>
      </c>
      <c r="E9" t="s">
        <v>1754</v>
      </c>
      <c r="F9" t="s">
        <v>117</v>
      </c>
      <c r="G9" t="s">
        <v>256</v>
      </c>
      <c r="H9" t="s">
        <v>1178</v>
      </c>
      <c r="I9" t="s">
        <v>1228</v>
      </c>
      <c r="J9" t="s">
        <v>1468</v>
      </c>
      <c r="M9" s="1" t="s">
        <v>1473</v>
      </c>
    </row>
    <row r="10" spans="1:30" x14ac:dyDescent="0.2">
      <c r="A10">
        <v>257</v>
      </c>
      <c r="B10" t="b">
        <f t="shared" si="0"/>
        <v>1</v>
      </c>
      <c r="C10" t="s">
        <v>108</v>
      </c>
      <c r="D10" t="str">
        <f>IF(F10&lt;&gt;"",VLOOKUP(F10,PHA4GEVars!$A$7:$B$241,2,FALSE),"")</f>
        <v>Sample collection and processing</v>
      </c>
      <c r="E10" t="s">
        <v>1754</v>
      </c>
      <c r="F10" t="s">
        <v>117</v>
      </c>
      <c r="G10" t="s">
        <v>257</v>
      </c>
      <c r="H10" t="s">
        <v>1178</v>
      </c>
      <c r="I10" t="s">
        <v>1228</v>
      </c>
      <c r="J10" t="s">
        <v>1424</v>
      </c>
      <c r="M10" s="1" t="s">
        <v>1473</v>
      </c>
    </row>
    <row r="11" spans="1:30" x14ac:dyDescent="0.2">
      <c r="A11">
        <v>258</v>
      </c>
      <c r="B11" t="b">
        <f t="shared" si="0"/>
        <v>1</v>
      </c>
      <c r="C11" t="s">
        <v>108</v>
      </c>
      <c r="D11" t="str">
        <f>IF(F11&lt;&gt;"",VLOOKUP(F11,PHA4GEVars!$A$7:$B$241,2,FALSE),"")</f>
        <v>Sample collection and processing</v>
      </c>
      <c r="E11" t="s">
        <v>1754</v>
      </c>
      <c r="F11" t="s">
        <v>117</v>
      </c>
      <c r="G11" t="s">
        <v>258</v>
      </c>
      <c r="H11" t="s">
        <v>1178</v>
      </c>
      <c r="I11" t="s">
        <v>1228</v>
      </c>
      <c r="J11" t="s">
        <v>1469</v>
      </c>
      <c r="M11" s="1" t="s">
        <v>1474</v>
      </c>
    </row>
    <row r="12" spans="1:30" x14ac:dyDescent="0.2">
      <c r="A12">
        <v>259</v>
      </c>
      <c r="B12" t="b">
        <f t="shared" si="0"/>
        <v>1</v>
      </c>
      <c r="C12" t="s">
        <v>108</v>
      </c>
      <c r="D12" t="str">
        <f>IF(F12&lt;&gt;"",VLOOKUP(F12,PHA4GEVars!$A$7:$B$241,2,FALSE),"")</f>
        <v>Sample collection and processing</v>
      </c>
      <c r="E12" t="s">
        <v>1754</v>
      </c>
      <c r="F12" t="s">
        <v>117</v>
      </c>
      <c r="G12" t="s">
        <v>259</v>
      </c>
      <c r="H12" t="s">
        <v>1178</v>
      </c>
      <c r="I12" t="s">
        <v>1228</v>
      </c>
      <c r="J12" t="s">
        <v>1423</v>
      </c>
      <c r="M12" s="1" t="s">
        <v>1474</v>
      </c>
    </row>
    <row r="13" spans="1:30" x14ac:dyDescent="0.2">
      <c r="A13">
        <v>260</v>
      </c>
      <c r="B13" t="b">
        <f t="shared" si="0"/>
        <v>1</v>
      </c>
      <c r="C13" t="s">
        <v>108</v>
      </c>
      <c r="D13" t="str">
        <f>IF(F13&lt;&gt;"",VLOOKUP(F13,PHA4GEVars!$A$7:$B$241,2,FALSE),"")</f>
        <v>Sample collection and processing</v>
      </c>
      <c r="E13" t="s">
        <v>1754</v>
      </c>
      <c r="F13" t="s">
        <v>117</v>
      </c>
      <c r="G13" t="s">
        <v>1834</v>
      </c>
      <c r="H13" t="s">
        <v>1178</v>
      </c>
      <c r="I13" t="s">
        <v>1228</v>
      </c>
      <c r="J13" t="s">
        <v>1470</v>
      </c>
      <c r="M13" s="1" t="s">
        <v>1474</v>
      </c>
    </row>
    <row r="14" spans="1:30" x14ac:dyDescent="0.2">
      <c r="B14" t="b">
        <f t="shared" ref="B14" si="1">IF(OR(G14="NA",H14="wide_value"),"",TRUE)</f>
        <v>1</v>
      </c>
      <c r="C14" t="s">
        <v>108</v>
      </c>
      <c r="D14" t="str">
        <f>IF(F14&lt;&gt;"",VLOOKUP(F14,PHA4GEVars!$A$7:$B$241,2,FALSE),"")</f>
        <v>Sample collection and processing</v>
      </c>
      <c r="E14" t="s">
        <v>1754</v>
      </c>
      <c r="F14" t="s">
        <v>117</v>
      </c>
      <c r="G14" t="s">
        <v>1863</v>
      </c>
      <c r="H14" t="s">
        <v>1178</v>
      </c>
      <c r="I14" t="s">
        <v>1228</v>
      </c>
      <c r="J14" t="s">
        <v>1864</v>
      </c>
      <c r="M14" s="1"/>
      <c r="N14" t="s">
        <v>1862</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1754</v>
      </c>
      <c r="F16" t="s">
        <v>1785</v>
      </c>
      <c r="G16" t="s">
        <v>260</v>
      </c>
      <c r="H16" t="s">
        <v>1178</v>
      </c>
      <c r="I16" t="s">
        <v>1228</v>
      </c>
      <c r="J16" t="s">
        <v>1229</v>
      </c>
      <c r="M16" s="1" t="s">
        <v>1475</v>
      </c>
      <c r="N16" t="s">
        <v>1857</v>
      </c>
    </row>
    <row r="17" spans="1:14" x14ac:dyDescent="0.2">
      <c r="A17">
        <v>262</v>
      </c>
      <c r="B17" t="b">
        <v>1</v>
      </c>
      <c r="C17" t="s">
        <v>108</v>
      </c>
      <c r="D17" t="str">
        <f>IF(F17&lt;&gt;"",VLOOKUP(F17,PHA4GEVars!$A$7:$B$241,2,FALSE),"")</f>
        <v>Sample collection and processing</v>
      </c>
      <c r="E17" t="s">
        <v>1754</v>
      </c>
      <c r="F17" t="s">
        <v>1785</v>
      </c>
      <c r="G17" t="s">
        <v>261</v>
      </c>
      <c r="H17" t="s">
        <v>1178</v>
      </c>
      <c r="I17" t="s">
        <v>1228</v>
      </c>
      <c r="J17" t="s">
        <v>1425</v>
      </c>
      <c r="M17" s="1" t="s">
        <v>1479</v>
      </c>
      <c r="N17" t="s">
        <v>1857</v>
      </c>
    </row>
    <row r="18" spans="1:14" x14ac:dyDescent="0.2">
      <c r="A18">
        <v>263</v>
      </c>
      <c r="B18" t="b">
        <v>1</v>
      </c>
      <c r="C18" t="s">
        <v>108</v>
      </c>
      <c r="D18" t="str">
        <f>IF(F18&lt;&gt;"",VLOOKUP(F18,PHA4GEVars!$A$7:$B$241,2,FALSE),"")</f>
        <v>Sample collection and processing</v>
      </c>
      <c r="E18" t="s">
        <v>1754</v>
      </c>
      <c r="F18" t="s">
        <v>1785</v>
      </c>
      <c r="G18" t="s">
        <v>262</v>
      </c>
      <c r="H18" t="s">
        <v>1178</v>
      </c>
      <c r="I18" t="s">
        <v>1228</v>
      </c>
      <c r="J18" t="s">
        <v>1230</v>
      </c>
      <c r="M18" s="1" t="s">
        <v>1478</v>
      </c>
      <c r="N18" t="s">
        <v>1857</v>
      </c>
    </row>
    <row r="19" spans="1:14" x14ac:dyDescent="0.2">
      <c r="A19">
        <v>264</v>
      </c>
      <c r="B19" t="b">
        <v>1</v>
      </c>
      <c r="C19" t="s">
        <v>108</v>
      </c>
      <c r="D19" t="str">
        <f>IF(F19&lt;&gt;"",VLOOKUP(F19,PHA4GEVars!$A$7:$B$241,2,FALSE),"")</f>
        <v>Sample collection and processing</v>
      </c>
      <c r="E19" t="s">
        <v>1754</v>
      </c>
      <c r="F19" t="s">
        <v>1785</v>
      </c>
      <c r="G19" t="s">
        <v>263</v>
      </c>
      <c r="H19" t="s">
        <v>1178</v>
      </c>
      <c r="I19" t="s">
        <v>1228</v>
      </c>
      <c r="J19" t="s">
        <v>1469</v>
      </c>
      <c r="M19" s="1" t="s">
        <v>1477</v>
      </c>
      <c r="N19" t="s">
        <v>1857</v>
      </c>
    </row>
    <row r="20" spans="1:14" x14ac:dyDescent="0.2">
      <c r="A20">
        <v>265</v>
      </c>
      <c r="B20" t="b">
        <v>1</v>
      </c>
      <c r="C20" t="s">
        <v>108</v>
      </c>
      <c r="D20" t="str">
        <f>IF(F20&lt;&gt;"",VLOOKUP(F20,PHA4GEVars!$A$7:$B$241,2,FALSE),"")</f>
        <v>Sample collection and processing</v>
      </c>
      <c r="E20" t="s">
        <v>1754</v>
      </c>
      <c r="F20" t="s">
        <v>1785</v>
      </c>
      <c r="G20" t="s">
        <v>1137</v>
      </c>
      <c r="H20" t="s">
        <v>1178</v>
      </c>
      <c r="I20" t="s">
        <v>1228</v>
      </c>
      <c r="J20" t="s">
        <v>1426</v>
      </c>
      <c r="M20" s="1" t="s">
        <v>1476</v>
      </c>
      <c r="N20" t="s">
        <v>1857</v>
      </c>
    </row>
    <row r="21" spans="1:14" x14ac:dyDescent="0.2">
      <c r="B21" t="b">
        <v>1</v>
      </c>
      <c r="C21" t="s">
        <v>108</v>
      </c>
      <c r="D21" t="str">
        <f>IF(F21&lt;&gt;"",VLOOKUP(F21,PHA4GEVars!$A$7:$B$241,2,FALSE),"")</f>
        <v>Sample collection and processing</v>
      </c>
      <c r="E21" t="s">
        <v>1754</v>
      </c>
      <c r="F21" t="s">
        <v>1785</v>
      </c>
      <c r="G21" t="s">
        <v>1865</v>
      </c>
      <c r="H21" t="s">
        <v>1178</v>
      </c>
      <c r="I21" t="s">
        <v>1228</v>
      </c>
      <c r="J21" t="s">
        <v>1864</v>
      </c>
      <c r="M21" s="1"/>
      <c r="N21" t="s">
        <v>1862</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1754</v>
      </c>
      <c r="F23" t="s">
        <v>148</v>
      </c>
      <c r="G23" t="s">
        <v>1835</v>
      </c>
      <c r="H23" t="s">
        <v>1178</v>
      </c>
      <c r="I23" t="s">
        <v>1427</v>
      </c>
      <c r="J23" t="s">
        <v>1428</v>
      </c>
      <c r="M23" s="1" t="s">
        <v>1265</v>
      </c>
    </row>
    <row r="24" spans="1:14" x14ac:dyDescent="0.2">
      <c r="A24">
        <v>268</v>
      </c>
      <c r="B24" t="b">
        <f t="shared" si="2"/>
        <v>1</v>
      </c>
      <c r="C24" t="s">
        <v>108</v>
      </c>
      <c r="D24" t="str">
        <f>IF(F24&lt;&gt;"",VLOOKUP(F24,PHA4GEVars!$A$7:$B$241,2,FALSE),"")</f>
        <v>Sample collection and processing</v>
      </c>
      <c r="E24" t="s">
        <v>1754</v>
      </c>
      <c r="F24" t="s">
        <v>148</v>
      </c>
      <c r="G24" t="s">
        <v>1836</v>
      </c>
      <c r="H24" t="s">
        <v>1178</v>
      </c>
      <c r="I24" t="s">
        <v>1427</v>
      </c>
      <c r="J24" t="s">
        <v>1431</v>
      </c>
      <c r="M24" s="1" t="s">
        <v>1265</v>
      </c>
    </row>
    <row r="25" spans="1:14" x14ac:dyDescent="0.2">
      <c r="A25">
        <v>269</v>
      </c>
      <c r="B25" t="b">
        <f t="shared" si="2"/>
        <v>1</v>
      </c>
      <c r="C25" t="s">
        <v>108</v>
      </c>
      <c r="D25" t="str">
        <f>IF(F25&lt;&gt;"",VLOOKUP(F25,PHA4GEVars!$A$7:$B$241,2,FALSE),"")</f>
        <v>Sample collection and processing</v>
      </c>
      <c r="E25" t="s">
        <v>1754</v>
      </c>
      <c r="F25" t="s">
        <v>148</v>
      </c>
      <c r="G25" t="s">
        <v>241</v>
      </c>
      <c r="H25" t="s">
        <v>1178</v>
      </c>
      <c r="I25" t="s">
        <v>1427</v>
      </c>
      <c r="J25" t="s">
        <v>1434</v>
      </c>
      <c r="M25" s="1" t="s">
        <v>1265</v>
      </c>
    </row>
    <row r="26" spans="1:14" x14ac:dyDescent="0.2">
      <c r="A26">
        <v>270</v>
      </c>
      <c r="B26" t="b">
        <f t="shared" si="2"/>
        <v>1</v>
      </c>
      <c r="C26" t="s">
        <v>108</v>
      </c>
      <c r="D26" t="str">
        <f>IF(F26&lt;&gt;"",VLOOKUP(F26,PHA4GEVars!$A$7:$B$241,2,FALSE),"")</f>
        <v>Sample collection and processing</v>
      </c>
      <c r="E26" t="s">
        <v>1754</v>
      </c>
      <c r="F26" t="s">
        <v>148</v>
      </c>
      <c r="G26" t="s">
        <v>242</v>
      </c>
      <c r="H26" t="s">
        <v>1178</v>
      </c>
      <c r="I26" t="s">
        <v>1427</v>
      </c>
      <c r="J26" t="s">
        <v>1435</v>
      </c>
      <c r="M26" s="1" t="s">
        <v>1265</v>
      </c>
    </row>
    <row r="27" spans="1:14" x14ac:dyDescent="0.2">
      <c r="A27">
        <v>271</v>
      </c>
      <c r="B27" t="b">
        <f t="shared" si="2"/>
        <v>1</v>
      </c>
      <c r="C27" t="s">
        <v>108</v>
      </c>
      <c r="D27" t="str">
        <f>IF(F27&lt;&gt;"",VLOOKUP(F27,PHA4GEVars!$A$7:$B$241,2,FALSE),"")</f>
        <v>Sample collection and processing</v>
      </c>
      <c r="E27" t="s">
        <v>1754</v>
      </c>
      <c r="F27" t="s">
        <v>148</v>
      </c>
      <c r="G27" t="s">
        <v>243</v>
      </c>
      <c r="H27" t="s">
        <v>1178</v>
      </c>
      <c r="I27" t="s">
        <v>1427</v>
      </c>
      <c r="J27" t="s">
        <v>1430</v>
      </c>
      <c r="M27" s="1" t="s">
        <v>1265</v>
      </c>
    </row>
    <row r="28" spans="1:14" x14ac:dyDescent="0.2">
      <c r="A28">
        <v>272</v>
      </c>
      <c r="B28" t="b">
        <f t="shared" si="2"/>
        <v>1</v>
      </c>
      <c r="C28" t="s">
        <v>108</v>
      </c>
      <c r="D28" t="str">
        <f>IF(F28&lt;&gt;"",VLOOKUP(F28,PHA4GEVars!$A$7:$B$241,2,FALSE),"")</f>
        <v>Sample collection and processing</v>
      </c>
      <c r="E28" t="s">
        <v>1754</v>
      </c>
      <c r="F28" t="s">
        <v>148</v>
      </c>
      <c r="G28" t="s">
        <v>244</v>
      </c>
      <c r="H28" t="s">
        <v>1178</v>
      </c>
      <c r="I28" t="s">
        <v>1427</v>
      </c>
      <c r="J28" t="s">
        <v>1433</v>
      </c>
      <c r="M28" s="1" t="s">
        <v>1265</v>
      </c>
    </row>
    <row r="29" spans="1:14" x14ac:dyDescent="0.2">
      <c r="A29">
        <v>273</v>
      </c>
      <c r="B29" t="b">
        <f t="shared" si="2"/>
        <v>1</v>
      </c>
      <c r="C29" t="s">
        <v>108</v>
      </c>
      <c r="D29" t="str">
        <f>IF(F29&lt;&gt;"",VLOOKUP(F29,PHA4GEVars!$A$7:$B$241,2,FALSE),"")</f>
        <v>Sample collection and processing</v>
      </c>
      <c r="E29" t="s">
        <v>1754</v>
      </c>
      <c r="F29" t="s">
        <v>148</v>
      </c>
      <c r="G29" t="s">
        <v>245</v>
      </c>
      <c r="H29" t="s">
        <v>1178</v>
      </c>
      <c r="I29" t="s">
        <v>1427</v>
      </c>
      <c r="J29" t="s">
        <v>1436</v>
      </c>
      <c r="M29" s="1" t="s">
        <v>1265</v>
      </c>
    </row>
    <row r="30" spans="1:14" x14ac:dyDescent="0.2">
      <c r="A30">
        <v>274</v>
      </c>
      <c r="B30" t="b">
        <f t="shared" si="2"/>
        <v>1</v>
      </c>
      <c r="C30" t="s">
        <v>108</v>
      </c>
      <c r="D30" t="str">
        <f>IF(F30&lt;&gt;"",VLOOKUP(F30,PHA4GEVars!$A$7:$B$241,2,FALSE),"")</f>
        <v>Sample collection and processing</v>
      </c>
      <c r="E30" t="s">
        <v>1754</v>
      </c>
      <c r="F30" t="s">
        <v>148</v>
      </c>
      <c r="G30" t="s">
        <v>1833</v>
      </c>
      <c r="H30" t="s">
        <v>1178</v>
      </c>
      <c r="I30" t="s">
        <v>1427</v>
      </c>
      <c r="J30" t="s">
        <v>1429</v>
      </c>
      <c r="M30" s="1" t="s">
        <v>1265</v>
      </c>
    </row>
    <row r="31" spans="1:14" x14ac:dyDescent="0.2">
      <c r="A31">
        <v>275</v>
      </c>
      <c r="B31" t="b">
        <f t="shared" si="2"/>
        <v>1</v>
      </c>
      <c r="C31" t="s">
        <v>108</v>
      </c>
      <c r="D31" t="str">
        <f>IF(F31&lt;&gt;"",VLOOKUP(F31,PHA4GEVars!$A$7:$B$241,2,FALSE),"")</f>
        <v>Sample collection and processing</v>
      </c>
      <c r="E31" t="s">
        <v>1754</v>
      </c>
      <c r="F31" t="s">
        <v>148</v>
      </c>
      <c r="G31" t="s">
        <v>1837</v>
      </c>
      <c r="H31" t="s">
        <v>1178</v>
      </c>
      <c r="I31" t="s">
        <v>1427</v>
      </c>
      <c r="J31" t="s">
        <v>1432</v>
      </c>
      <c r="M31" s="1" t="s">
        <v>1265</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1754</v>
      </c>
      <c r="F33" t="s">
        <v>1087</v>
      </c>
      <c r="G33" t="s">
        <v>1135</v>
      </c>
      <c r="H33" t="s">
        <v>1178</v>
      </c>
      <c r="I33" t="s">
        <v>1492</v>
      </c>
      <c r="J33" t="s">
        <v>1493</v>
      </c>
    </row>
    <row r="34" spans="1:14" x14ac:dyDescent="0.2">
      <c r="A34">
        <v>326</v>
      </c>
      <c r="B34" t="b">
        <f>IF(OR(G34="NA",H34="wide_value"),"",TRUE)</f>
        <v>1</v>
      </c>
      <c r="C34" t="s">
        <v>108</v>
      </c>
      <c r="D34" t="str">
        <f>IF(F34&lt;&gt;"",VLOOKUP(F34,PHA4GEVars!$A$7:$B$241,2,FALSE),"")</f>
        <v>Sample collection and processing</v>
      </c>
      <c r="E34" t="s">
        <v>1754</v>
      </c>
      <c r="F34" t="s">
        <v>1087</v>
      </c>
      <c r="G34" t="s">
        <v>1136</v>
      </c>
      <c r="H34" t="s">
        <v>1178</v>
      </c>
      <c r="I34" t="s">
        <v>1492</v>
      </c>
      <c r="J34" t="s">
        <v>1494</v>
      </c>
    </row>
    <row r="35" spans="1:14" x14ac:dyDescent="0.2">
      <c r="A35">
        <v>327</v>
      </c>
      <c r="B35" t="b">
        <f>IF(OR(G35="NA",H35="wide_value"),"",TRUE)</f>
        <v>1</v>
      </c>
      <c r="C35" t="s">
        <v>108</v>
      </c>
      <c r="D35" t="str">
        <f>IF(F35&lt;&gt;"",VLOOKUP(F35,PHA4GEVars!$A$7:$B$241,2,FALSE),"")</f>
        <v>Sample collection and processing</v>
      </c>
      <c r="E35" t="s">
        <v>1754</v>
      </c>
      <c r="F35" t="s">
        <v>1087</v>
      </c>
      <c r="G35" t="s">
        <v>205</v>
      </c>
      <c r="H35" t="s">
        <v>1178</v>
      </c>
      <c r="I35" t="s">
        <v>1492</v>
      </c>
      <c r="J35" t="s">
        <v>1495</v>
      </c>
    </row>
    <row r="36" spans="1:14" x14ac:dyDescent="0.2">
      <c r="A36">
        <v>328</v>
      </c>
      <c r="B36" t="b">
        <f>IF(OR(G36="NA",H36="wide_value"),"",TRUE)</f>
        <v>1</v>
      </c>
      <c r="C36" t="s">
        <v>108</v>
      </c>
      <c r="D36" t="str">
        <f>IF(F36&lt;&gt;"",VLOOKUP(F36,PHA4GEVars!$A$7:$B$241,2,FALSE),"")</f>
        <v>Sample collection and processing</v>
      </c>
      <c r="E36" t="s">
        <v>1754</v>
      </c>
      <c r="F36" t="s">
        <v>1087</v>
      </c>
      <c r="G36" t="s">
        <v>206</v>
      </c>
      <c r="H36" t="s">
        <v>1178</v>
      </c>
      <c r="I36" t="s">
        <v>1492</v>
      </c>
      <c r="J36" t="s">
        <v>1496</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1754</v>
      </c>
      <c r="F38" t="s">
        <v>146</v>
      </c>
      <c r="G38" t="s">
        <v>166</v>
      </c>
      <c r="H38" t="s">
        <v>1178</v>
      </c>
      <c r="I38" t="s">
        <v>1958</v>
      </c>
      <c r="J38" t="s">
        <v>1270</v>
      </c>
      <c r="M38" s="1" t="s">
        <v>1268</v>
      </c>
      <c r="N38" s="17"/>
    </row>
    <row r="39" spans="1:14" x14ac:dyDescent="0.2">
      <c r="A39">
        <v>623</v>
      </c>
      <c r="B39" t="b">
        <f t="shared" ref="B39:B44" si="3">IF(OR(G39="NA",H39="wide_value"),"",TRUE)</f>
        <v>1</v>
      </c>
      <c r="C39" t="s">
        <v>108</v>
      </c>
      <c r="D39" t="str">
        <f>IF(F39&lt;&gt;"",VLOOKUP(F39,PHA4GEVars!$A$7:$B$241,2,FALSE),"")</f>
        <v>Sample collection and processing</v>
      </c>
      <c r="E39" t="s">
        <v>1754</v>
      </c>
      <c r="F39" t="s">
        <v>146</v>
      </c>
      <c r="G39" t="s">
        <v>167</v>
      </c>
      <c r="H39" t="s">
        <v>1178</v>
      </c>
      <c r="I39" t="s">
        <v>1958</v>
      </c>
      <c r="J39" t="s">
        <v>1271</v>
      </c>
      <c r="M39" s="1" t="s">
        <v>1268</v>
      </c>
      <c r="N39" s="17"/>
    </row>
    <row r="40" spans="1:14" x14ac:dyDescent="0.2">
      <c r="A40">
        <v>624</v>
      </c>
      <c r="B40" t="b">
        <f t="shared" si="3"/>
        <v>1</v>
      </c>
      <c r="C40" t="s">
        <v>108</v>
      </c>
      <c r="D40" t="str">
        <f>IF(F40&lt;&gt;"",VLOOKUP(F40,PHA4GEVars!$A$7:$B$241,2,FALSE),"")</f>
        <v>Sample collection and processing</v>
      </c>
      <c r="E40" t="s">
        <v>1754</v>
      </c>
      <c r="F40" t="s">
        <v>146</v>
      </c>
      <c r="G40" t="s">
        <v>168</v>
      </c>
      <c r="H40" t="s">
        <v>1178</v>
      </c>
      <c r="I40" t="s">
        <v>1958</v>
      </c>
      <c r="J40" t="s">
        <v>1272</v>
      </c>
      <c r="M40" s="1" t="s">
        <v>1268</v>
      </c>
      <c r="N40" s="17"/>
    </row>
    <row r="41" spans="1:14" x14ac:dyDescent="0.2">
      <c r="A41">
        <v>625</v>
      </c>
      <c r="B41" t="b">
        <f t="shared" si="3"/>
        <v>1</v>
      </c>
      <c r="C41" t="s">
        <v>108</v>
      </c>
      <c r="D41" t="str">
        <f>IF(F41&lt;&gt;"",VLOOKUP(F41,PHA4GEVars!$A$7:$B$241,2,FALSE),"")</f>
        <v>Sample collection and processing</v>
      </c>
      <c r="E41" t="s">
        <v>1754</v>
      </c>
      <c r="F41" t="s">
        <v>146</v>
      </c>
      <c r="G41" t="s">
        <v>169</v>
      </c>
      <c r="H41" t="s">
        <v>1178</v>
      </c>
      <c r="I41" t="s">
        <v>1958</v>
      </c>
      <c r="J41" t="s">
        <v>1267</v>
      </c>
      <c r="M41" s="1" t="s">
        <v>1268</v>
      </c>
      <c r="N41" s="17"/>
    </row>
    <row r="42" spans="1:14" x14ac:dyDescent="0.2">
      <c r="A42">
        <v>626</v>
      </c>
      <c r="B42" t="b">
        <f t="shared" si="3"/>
        <v>1</v>
      </c>
      <c r="C42" t="s">
        <v>108</v>
      </c>
      <c r="D42" t="str">
        <f>IF(F42&lt;&gt;"",VLOOKUP(F42,PHA4GEVars!$A$7:$B$241,2,FALSE),"")</f>
        <v>Sample collection and processing</v>
      </c>
      <c r="E42" t="s">
        <v>1754</v>
      </c>
      <c r="F42" t="s">
        <v>146</v>
      </c>
      <c r="G42" t="s">
        <v>170</v>
      </c>
      <c r="H42" t="s">
        <v>1178</v>
      </c>
      <c r="I42" t="s">
        <v>1958</v>
      </c>
      <c r="J42" t="s">
        <v>1273</v>
      </c>
      <c r="M42" s="1" t="s">
        <v>1265</v>
      </c>
      <c r="N42" s="17"/>
    </row>
    <row r="43" spans="1:14" x14ac:dyDescent="0.2">
      <c r="A43">
        <v>627</v>
      </c>
      <c r="B43" t="b">
        <f t="shared" si="3"/>
        <v>1</v>
      </c>
      <c r="C43" t="s">
        <v>108</v>
      </c>
      <c r="D43" t="str">
        <f>IF(F43&lt;&gt;"",VLOOKUP(F43,PHA4GEVars!$A$7:$B$241,2,FALSE),"")</f>
        <v>Sample collection and processing</v>
      </c>
      <c r="E43" t="s">
        <v>1754</v>
      </c>
      <c r="F43" t="s">
        <v>146</v>
      </c>
      <c r="G43" t="s">
        <v>171</v>
      </c>
      <c r="H43" t="s">
        <v>1178</v>
      </c>
      <c r="I43" t="s">
        <v>1958</v>
      </c>
      <c r="J43" t="s">
        <v>1274</v>
      </c>
      <c r="M43" s="1" t="s">
        <v>1265</v>
      </c>
      <c r="N43" s="17"/>
    </row>
    <row r="44" spans="1:14" x14ac:dyDescent="0.2">
      <c r="A44">
        <v>628</v>
      </c>
      <c r="B44" t="b">
        <f t="shared" si="3"/>
        <v>1</v>
      </c>
      <c r="C44" t="s">
        <v>108</v>
      </c>
      <c r="D44" t="str">
        <f>IF(F44&lt;&gt;"",VLOOKUP(F44,PHA4GEVars!$A$7:$B$241,2,FALSE),"")</f>
        <v>Sample collection and processing</v>
      </c>
      <c r="E44" t="s">
        <v>1754</v>
      </c>
      <c r="F44" t="s">
        <v>146</v>
      </c>
      <c r="G44" t="s">
        <v>172</v>
      </c>
      <c r="H44" t="s">
        <v>1178</v>
      </c>
      <c r="I44" t="s">
        <v>1958</v>
      </c>
      <c r="J44" t="s">
        <v>1269</v>
      </c>
      <c r="M44" s="1" t="s">
        <v>1265</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C1" zoomScale="110" zoomScaleNormal="110" workbookViewId="0">
      <pane ySplit="1" topLeftCell="A2" activePane="bottomLeft" state="frozen"/>
      <selection pane="bottomLeft" activeCell="J2" sqref="J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1386</v>
      </c>
      <c r="B1" s="16" t="s">
        <v>1669</v>
      </c>
      <c r="C1" s="16" t="s">
        <v>0</v>
      </c>
      <c r="D1" s="16" t="s">
        <v>10</v>
      </c>
      <c r="E1" s="16" t="s">
        <v>1765</v>
      </c>
      <c r="F1" s="16" t="s">
        <v>1</v>
      </c>
      <c r="G1" s="16" t="s">
        <v>2</v>
      </c>
      <c r="H1" s="16" t="s">
        <v>3</v>
      </c>
      <c r="I1" s="16" t="s">
        <v>4</v>
      </c>
      <c r="J1" s="16" t="s">
        <v>5</v>
      </c>
      <c r="K1" s="16" t="s">
        <v>6</v>
      </c>
      <c r="L1" s="16" t="s">
        <v>1726</v>
      </c>
      <c r="M1" s="16" t="s">
        <v>1676</v>
      </c>
      <c r="N1" s="16" t="s">
        <v>8</v>
      </c>
      <c r="O1" s="16" t="s">
        <v>9</v>
      </c>
      <c r="P1" s="16" t="s">
        <v>1668</v>
      </c>
    </row>
    <row r="2" spans="1:18" ht="85" x14ac:dyDescent="0.2">
      <c r="A2" s="15"/>
      <c r="B2" s="15" t="b">
        <v>1</v>
      </c>
      <c r="C2" s="15" t="b">
        <v>1</v>
      </c>
      <c r="D2" s="15" t="s">
        <v>108</v>
      </c>
      <c r="E2" t="str">
        <f>IF(G2&lt;&gt;"",VLOOKUP(G2,PHA4GEVars!$A$7:$B$241,2,FALSE),"")</f>
        <v>Sample collection and processing</v>
      </c>
      <c r="F2" s="15" t="s">
        <v>1754</v>
      </c>
      <c r="G2" s="15" t="s">
        <v>117</v>
      </c>
      <c r="H2" s="15"/>
      <c r="I2" s="15" t="s">
        <v>1178</v>
      </c>
      <c r="J2" s="15" t="s">
        <v>1228</v>
      </c>
      <c r="K2" s="15"/>
      <c r="L2" s="69" t="s">
        <v>2114</v>
      </c>
      <c r="M2" s="15"/>
      <c r="N2" s="15"/>
      <c r="O2" s="18" t="s">
        <v>1471</v>
      </c>
      <c r="R2" s="15" t="s">
        <v>1827</v>
      </c>
    </row>
    <row r="3" spans="1:18" x14ac:dyDescent="0.2">
      <c r="A3" s="15">
        <v>261</v>
      </c>
      <c r="B3" s="15" t="b">
        <v>1</v>
      </c>
      <c r="C3" s="15" t="b">
        <v>0</v>
      </c>
      <c r="D3" s="15" t="s">
        <v>108</v>
      </c>
      <c r="E3" t="str">
        <f>IF(G3&lt;&gt;"",VLOOKUP(G3,PHA4GEVars!$A$7:$B$241,2,FALSE),"")</f>
        <v>Sample collection and processing</v>
      </c>
      <c r="F3" s="15" t="s">
        <v>1754</v>
      </c>
      <c r="G3" s="15" t="s">
        <v>1785</v>
      </c>
      <c r="H3" s="15"/>
      <c r="I3" s="15" t="s">
        <v>1178</v>
      </c>
      <c r="J3" s="15" t="s">
        <v>1228</v>
      </c>
      <c r="K3" s="15"/>
      <c r="L3" s="15"/>
      <c r="M3" s="15"/>
      <c r="N3" s="15"/>
      <c r="O3" s="18" t="s">
        <v>1475</v>
      </c>
      <c r="P3" s="15"/>
    </row>
    <row r="4" spans="1:18" x14ac:dyDescent="0.2">
      <c r="A4" s="15">
        <v>267</v>
      </c>
      <c r="B4" s="15" t="b">
        <v>1</v>
      </c>
      <c r="C4" s="15" t="b">
        <v>1</v>
      </c>
      <c r="D4" s="15" t="s">
        <v>108</v>
      </c>
      <c r="E4" t="str">
        <f>IF(G4&lt;&gt;"",VLOOKUP(G4,PHA4GEVars!$A$7:$B$241,2,FALSE),"")</f>
        <v>Sample collection and processing</v>
      </c>
      <c r="F4" s="15" t="s">
        <v>1754</v>
      </c>
      <c r="G4" s="15" t="s">
        <v>148</v>
      </c>
      <c r="H4" s="15"/>
      <c r="I4" s="15" t="s">
        <v>1178</v>
      </c>
      <c r="J4" s="15" t="s">
        <v>1427</v>
      </c>
      <c r="K4" s="15"/>
      <c r="L4" s="15"/>
      <c r="M4" s="15"/>
      <c r="N4" s="15"/>
      <c r="O4" s="18" t="s">
        <v>1265</v>
      </c>
      <c r="P4" s="15" t="s">
        <v>1677</v>
      </c>
    </row>
    <row r="5" spans="1:18" x14ac:dyDescent="0.2">
      <c r="A5" s="15">
        <v>325</v>
      </c>
      <c r="B5" s="15" t="b">
        <v>1</v>
      </c>
      <c r="C5" s="15" t="b">
        <v>1</v>
      </c>
      <c r="D5" s="15" t="s">
        <v>108</v>
      </c>
      <c r="E5" t="str">
        <f>IF(G5&lt;&gt;"",VLOOKUP(G5,PHA4GEVars!$A$7:$B$241,2,FALSE),"")</f>
        <v>Sample collection and processing</v>
      </c>
      <c r="F5" s="15" t="s">
        <v>1754</v>
      </c>
      <c r="G5" s="15" t="s">
        <v>1087</v>
      </c>
      <c r="H5" s="15"/>
      <c r="I5" s="15" t="s">
        <v>1178</v>
      </c>
      <c r="J5" s="15" t="s">
        <v>1492</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1754</v>
      </c>
      <c r="G7" s="15" t="s">
        <v>127</v>
      </c>
      <c r="H7" s="15"/>
      <c r="I7" s="15" t="s">
        <v>1178</v>
      </c>
      <c r="J7" s="15" t="s">
        <v>1231</v>
      </c>
      <c r="K7" s="15" t="s">
        <v>1232</v>
      </c>
      <c r="L7" s="15"/>
      <c r="M7" s="15"/>
      <c r="N7" s="15"/>
      <c r="O7" s="18" t="s">
        <v>1755</v>
      </c>
      <c r="P7" s="15"/>
    </row>
    <row r="8" spans="1:18" x14ac:dyDescent="0.2">
      <c r="A8" s="15">
        <v>631</v>
      </c>
      <c r="B8" s="15" t="b">
        <v>1</v>
      </c>
      <c r="C8" s="15" t="b">
        <v>1</v>
      </c>
      <c r="D8" s="15" t="s">
        <v>108</v>
      </c>
      <c r="E8" t="str">
        <f>IF(G8&lt;&gt;"",VLOOKUP(G8,PHA4GEVars!$A$7:$B$241,2,FALSE),"")</f>
        <v>Sample collection and processing</v>
      </c>
      <c r="F8" s="15" t="s">
        <v>1754</v>
      </c>
      <c r="G8" s="15" t="s">
        <v>144</v>
      </c>
      <c r="H8" s="15"/>
      <c r="I8" s="15" t="s">
        <v>1178</v>
      </c>
      <c r="J8" s="15" t="s">
        <v>1239</v>
      </c>
      <c r="K8" s="15"/>
      <c r="L8" s="15" t="s">
        <v>1818</v>
      </c>
      <c r="M8" s="15"/>
      <c r="N8" s="15"/>
      <c r="O8" s="18" t="s">
        <v>1636</v>
      </c>
      <c r="P8" s="23" t="s">
        <v>1817</v>
      </c>
    </row>
    <row r="9" spans="1:18" x14ac:dyDescent="0.2">
      <c r="A9" s="15">
        <v>632</v>
      </c>
      <c r="B9" s="15" t="b">
        <v>1</v>
      </c>
      <c r="C9" s="15" t="b">
        <v>1</v>
      </c>
      <c r="D9" s="15" t="s">
        <v>108</v>
      </c>
      <c r="E9" t="str">
        <f>IF(G9&lt;&gt;"",VLOOKUP(G9,PHA4GEVars!$A$7:$B$241,2,FALSE),"")</f>
        <v>Sample collection and processing</v>
      </c>
      <c r="F9" s="15" t="s">
        <v>1754</v>
      </c>
      <c r="G9" s="15" t="s">
        <v>1083</v>
      </c>
      <c r="H9" s="15"/>
      <c r="I9" s="15" t="s">
        <v>1178</v>
      </c>
      <c r="J9" s="15" t="s">
        <v>1240</v>
      </c>
      <c r="K9" s="15"/>
      <c r="L9" s="15" t="s">
        <v>1763</v>
      </c>
      <c r="M9" s="15"/>
      <c r="N9" s="15"/>
      <c r="O9" s="18" t="s">
        <v>1241</v>
      </c>
      <c r="P9" s="23" t="s">
        <v>1683</v>
      </c>
    </row>
    <row r="10" spans="1:18" x14ac:dyDescent="0.2">
      <c r="A10" s="15">
        <v>634</v>
      </c>
      <c r="B10" s="15" t="b">
        <v>1</v>
      </c>
      <c r="C10" s="15" t="b">
        <v>1</v>
      </c>
      <c r="D10" s="15" t="s">
        <v>108</v>
      </c>
      <c r="E10" t="str">
        <f>IF(G10&lt;&gt;"",VLOOKUP(G10,PHA4GEVars!$A$7:$B$241,2,FALSE),"")</f>
        <v>Sample collection and processing</v>
      </c>
      <c r="F10" s="15" t="s">
        <v>1754</v>
      </c>
      <c r="G10" s="15" t="s">
        <v>1084</v>
      </c>
      <c r="H10" s="15"/>
      <c r="I10" s="15" t="s">
        <v>1178</v>
      </c>
      <c r="J10" s="15" t="s">
        <v>1682</v>
      </c>
      <c r="K10" s="15"/>
      <c r="L10" s="15" t="s">
        <v>1818</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1754</v>
      </c>
      <c r="G12" s="15" t="s">
        <v>123</v>
      </c>
      <c r="H12" s="15" t="s">
        <v>176</v>
      </c>
      <c r="I12" s="15" t="s">
        <v>1178</v>
      </c>
      <c r="J12" s="15" t="s">
        <v>1635</v>
      </c>
      <c r="K12" s="15" t="s">
        <v>1556</v>
      </c>
      <c r="L12" s="15"/>
      <c r="M12" s="15"/>
      <c r="N12" s="15"/>
      <c r="O12" s="18" t="s">
        <v>1560</v>
      </c>
      <c r="P12" s="25" t="s">
        <v>1671</v>
      </c>
    </row>
    <row r="13" spans="1:18" x14ac:dyDescent="0.2">
      <c r="A13" s="15">
        <v>644</v>
      </c>
      <c r="B13" s="15" t="b">
        <v>1</v>
      </c>
      <c r="C13" s="15" t="b">
        <v>1</v>
      </c>
      <c r="D13" s="15" t="s">
        <v>108</v>
      </c>
      <c r="E13" t="str">
        <f>IF(G13&lt;&gt;"",VLOOKUP(G13,PHA4GEVars!$A$7:$B$241,2,FALSE),"")</f>
        <v>Sample collection and processing</v>
      </c>
      <c r="F13" s="15" t="s">
        <v>1754</v>
      </c>
      <c r="G13" s="15" t="s">
        <v>123</v>
      </c>
      <c r="H13" s="15" t="s">
        <v>177</v>
      </c>
      <c r="I13" s="15" t="s">
        <v>1178</v>
      </c>
      <c r="J13" s="15" t="s">
        <v>1635</v>
      </c>
      <c r="K13" s="15" t="s">
        <v>1557</v>
      </c>
      <c r="L13" s="15"/>
      <c r="M13" s="15"/>
      <c r="N13" s="15"/>
      <c r="O13" s="18" t="s">
        <v>1560</v>
      </c>
      <c r="P13" s="25" t="s">
        <v>1671</v>
      </c>
    </row>
    <row r="14" spans="1:18" x14ac:dyDescent="0.2">
      <c r="A14" s="15">
        <v>645</v>
      </c>
      <c r="B14" s="15" t="b">
        <v>1</v>
      </c>
      <c r="C14" s="15" t="b">
        <v>1</v>
      </c>
      <c r="D14" s="15" t="s">
        <v>108</v>
      </c>
      <c r="E14" t="str">
        <f>IF(G14&lt;&gt;"",VLOOKUP(G14,PHA4GEVars!$A$7:$B$241,2,FALSE),"")</f>
        <v>Sample collection and processing</v>
      </c>
      <c r="F14" s="15" t="s">
        <v>1754</v>
      </c>
      <c r="G14" s="15" t="s">
        <v>123</v>
      </c>
      <c r="H14" s="15" t="s">
        <v>178</v>
      </c>
      <c r="I14" s="15" t="s">
        <v>1178</v>
      </c>
      <c r="J14" s="15" t="s">
        <v>1635</v>
      </c>
      <c r="K14" s="15" t="s">
        <v>1558</v>
      </c>
      <c r="L14" s="15"/>
      <c r="M14" s="15"/>
      <c r="N14" s="15"/>
      <c r="O14" s="18" t="s">
        <v>1560</v>
      </c>
      <c r="P14" s="25" t="s">
        <v>1671</v>
      </c>
    </row>
    <row r="15" spans="1:18" x14ac:dyDescent="0.2">
      <c r="A15" s="15">
        <v>646</v>
      </c>
      <c r="B15" s="15" t="b">
        <v>1</v>
      </c>
      <c r="C15" s="15" t="b">
        <v>1</v>
      </c>
      <c r="D15" s="15" t="s">
        <v>108</v>
      </c>
      <c r="E15" t="str">
        <f>IF(G15&lt;&gt;"",VLOOKUP(G15,PHA4GEVars!$A$7:$B$241,2,FALSE),"")</f>
        <v>Sample collection and processing</v>
      </c>
      <c r="F15" s="15" t="s">
        <v>1754</v>
      </c>
      <c r="G15" s="15" t="s">
        <v>123</v>
      </c>
      <c r="H15" s="15" t="s">
        <v>179</v>
      </c>
      <c r="I15" s="15" t="s">
        <v>1178</v>
      </c>
      <c r="J15" s="15" t="s">
        <v>1635</v>
      </c>
      <c r="K15" s="15" t="s">
        <v>1559</v>
      </c>
      <c r="L15" s="15"/>
      <c r="M15" s="15"/>
      <c r="N15" s="15"/>
      <c r="O15" s="18" t="s">
        <v>1560</v>
      </c>
      <c r="P15" s="25" t="s">
        <v>1671</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1754</v>
      </c>
      <c r="G17" s="15" t="s">
        <v>147</v>
      </c>
      <c r="H17" s="15"/>
      <c r="I17" s="15" t="s">
        <v>1178</v>
      </c>
      <c r="J17" s="15" t="s">
        <v>1296</v>
      </c>
      <c r="K17" s="15" t="s">
        <v>1297</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1754</v>
      </c>
      <c r="G19" s="16" t="s">
        <v>128</v>
      </c>
      <c r="H19" s="16" t="s">
        <v>1128</v>
      </c>
      <c r="I19" s="16" t="s">
        <v>1178</v>
      </c>
      <c r="J19" s="16" t="s">
        <v>1179</v>
      </c>
      <c r="K19" s="16" t="s">
        <v>1628</v>
      </c>
      <c r="L19" s="16"/>
      <c r="M19" s="16"/>
      <c r="N19" s="16"/>
      <c r="O19" s="22" t="s">
        <v>1630</v>
      </c>
      <c r="P19" s="24" t="s">
        <v>1757</v>
      </c>
    </row>
    <row r="20" spans="1:16" s="17" customFormat="1" x14ac:dyDescent="0.2">
      <c r="A20" s="16">
        <v>678</v>
      </c>
      <c r="B20" s="16"/>
      <c r="C20" s="16"/>
      <c r="D20" s="16" t="s">
        <v>108</v>
      </c>
      <c r="E20" s="17" t="str">
        <f>IF(G20&lt;&gt;"",VLOOKUP(G20,PHA4GEVars!$A$7:$B$241,2,FALSE),"")</f>
        <v>Sample collection and processing</v>
      </c>
      <c r="F20" s="16" t="s">
        <v>1754</v>
      </c>
      <c r="G20" s="16" t="s">
        <v>128</v>
      </c>
      <c r="H20" s="16" t="s">
        <v>1129</v>
      </c>
      <c r="I20" s="16" t="s">
        <v>1178</v>
      </c>
      <c r="J20" s="16" t="s">
        <v>1179</v>
      </c>
      <c r="K20" s="16" t="s">
        <v>1629</v>
      </c>
      <c r="L20" s="16"/>
      <c r="M20" s="16"/>
      <c r="N20" s="16"/>
      <c r="O20" s="22" t="s">
        <v>1631</v>
      </c>
      <c r="P20" s="24" t="s">
        <v>1757</v>
      </c>
    </row>
    <row r="21" spans="1:16" s="17" customFormat="1" x14ac:dyDescent="0.2">
      <c r="A21" s="16"/>
      <c r="B21" s="16"/>
      <c r="C21" s="16"/>
      <c r="D21" s="16"/>
      <c r="E21" t="str">
        <f>IF(G21&lt;&gt;"",VLOOKUP(G21,PHA4GEVars!$A$7:$B$241,2,FALSE),"")</f>
        <v/>
      </c>
      <c r="F21" s="16"/>
      <c r="G21" s="16"/>
      <c r="H21" s="16"/>
      <c r="I21" s="16"/>
      <c r="J21" s="16"/>
      <c r="K21" s="16"/>
      <c r="L21" s="16"/>
      <c r="M21" s="16"/>
      <c r="N21" s="16"/>
      <c r="O21" s="22"/>
      <c r="P21" s="24"/>
    </row>
    <row r="22" spans="1:16" x14ac:dyDescent="0.2">
      <c r="A22" s="15">
        <v>832</v>
      </c>
      <c r="B22" s="15" t="b">
        <v>0</v>
      </c>
      <c r="C22" s="15" t="b">
        <v>0</v>
      </c>
      <c r="D22" s="15" t="s">
        <v>1091</v>
      </c>
      <c r="E22" t="str">
        <f>IF(G22&lt;&gt;"",VLOOKUP(G22,PHA4GEVars!$A$7:$B$241,2,FALSE),"")</f>
        <v>Strain and isolation information</v>
      </c>
      <c r="F22" s="15" t="s">
        <v>1754</v>
      </c>
      <c r="G22" s="15" t="s">
        <v>1101</v>
      </c>
      <c r="H22" s="15"/>
      <c r="I22" s="15" t="s">
        <v>1178</v>
      </c>
      <c r="J22" s="15" t="s">
        <v>1296</v>
      </c>
      <c r="K22" s="15" t="s">
        <v>1597</v>
      </c>
      <c r="L22" s="15"/>
      <c r="M22" s="15"/>
      <c r="N22" s="15"/>
      <c r="O22" s="18" t="s">
        <v>1598</v>
      </c>
      <c r="P22" s="23" t="s">
        <v>1830</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8"/>
  <sheetViews>
    <sheetView zoomScale="125" workbookViewId="0">
      <pane ySplit="1" topLeftCell="A2" activePane="bottomLeft" state="frozen"/>
      <selection pane="bottomLeft" activeCell="D3" sqref="D3"/>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17" customFormat="1" x14ac:dyDescent="0.2">
      <c r="A1" s="17" t="s">
        <v>0</v>
      </c>
      <c r="B1" s="17" t="s">
        <v>1765</v>
      </c>
      <c r="C1" s="16" t="s">
        <v>1</v>
      </c>
      <c r="D1" s="16" t="s">
        <v>2</v>
      </c>
      <c r="E1" s="16" t="s">
        <v>3</v>
      </c>
      <c r="F1" s="16" t="s">
        <v>4</v>
      </c>
      <c r="G1" s="16" t="s">
        <v>1016</v>
      </c>
      <c r="H1" s="16" t="s">
        <v>1974</v>
      </c>
      <c r="I1" s="16" t="s">
        <v>1969</v>
      </c>
      <c r="J1" s="16" t="s">
        <v>1961</v>
      </c>
      <c r="K1" s="16" t="s">
        <v>1747</v>
      </c>
      <c r="L1" s="16" t="s">
        <v>1745</v>
      </c>
      <c r="M1" s="16" t="s">
        <v>1744</v>
      </c>
      <c r="N1" s="16" t="s">
        <v>1725</v>
      </c>
      <c r="O1" s="16" t="s">
        <v>9</v>
      </c>
    </row>
    <row r="2" spans="1:16" x14ac:dyDescent="0.2">
      <c r="A2" t="b">
        <v>1</v>
      </c>
      <c r="B2" t="str">
        <f>IF(D2&lt;&gt;"",VLOOKUP(D2,PHA4GEVars!$A$7:$B$241,2,FALSE),"")</f>
        <v>Database identifiers</v>
      </c>
      <c r="C2" t="s">
        <v>1754</v>
      </c>
      <c r="D2" t="s">
        <v>1075</v>
      </c>
      <c r="F2" t="s">
        <v>1178</v>
      </c>
      <c r="G2" t="s">
        <v>1753</v>
      </c>
      <c r="H2" t="s">
        <v>127</v>
      </c>
      <c r="I2" t="s">
        <v>127</v>
      </c>
      <c r="J2" t="s">
        <v>1075</v>
      </c>
      <c r="N2" t="s">
        <v>1623</v>
      </c>
      <c r="O2" t="s">
        <v>1626</v>
      </c>
    </row>
    <row r="3" spans="1:16" ht="367" customHeight="1" x14ac:dyDescent="0.2">
      <c r="A3" t="b">
        <v>1</v>
      </c>
      <c r="B3" t="str">
        <f>IF(D3&lt;&gt;"",VLOOKUP(D3,PHA4GEVars!$A$7:$B$241,2,FALSE),"")</f>
        <v>Database identifiers</v>
      </c>
      <c r="C3" t="s">
        <v>1754</v>
      </c>
      <c r="D3" t="s">
        <v>149</v>
      </c>
      <c r="F3" t="s">
        <v>1178</v>
      </c>
      <c r="G3" s="28" t="s">
        <v>2119</v>
      </c>
      <c r="H3" s="28" t="s">
        <v>127</v>
      </c>
      <c r="I3" s="28" t="s">
        <v>127</v>
      </c>
      <c r="J3" t="s">
        <v>149</v>
      </c>
      <c r="K3" s="28" t="s">
        <v>1297</v>
      </c>
      <c r="L3" s="28"/>
      <c r="M3" s="28" t="s">
        <v>1854</v>
      </c>
      <c r="N3" t="s">
        <v>1180</v>
      </c>
      <c r="O3" s="28"/>
    </row>
    <row r="4" spans="1:16" ht="17" x14ac:dyDescent="0.2">
      <c r="A4" t="b">
        <v>1</v>
      </c>
      <c r="B4" t="str">
        <f>IF(D4&lt;&gt;"",VLOOKUP(D4,PHA4GEVars!$A$7:$B$241,2,FALSE),"")</f>
        <v>Database identifiers</v>
      </c>
      <c r="C4" t="s">
        <v>1754</v>
      </c>
      <c r="D4" t="s">
        <v>139</v>
      </c>
      <c r="F4" t="s">
        <v>1178</v>
      </c>
      <c r="G4" s="28"/>
      <c r="H4" s="28" t="s">
        <v>127</v>
      </c>
      <c r="I4" s="28" t="s">
        <v>127</v>
      </c>
      <c r="J4" t="s">
        <v>139</v>
      </c>
      <c r="K4" s="28"/>
      <c r="L4" s="28" t="s">
        <v>1746</v>
      </c>
      <c r="M4" s="28"/>
      <c r="N4" t="s">
        <v>1622</v>
      </c>
      <c r="O4" t="s">
        <v>1625</v>
      </c>
    </row>
    <row r="5" spans="1:16" x14ac:dyDescent="0.2">
      <c r="A5" t="b">
        <v>1</v>
      </c>
      <c r="B5" t="str">
        <f>IF(D5&lt;&gt;"",VLOOKUP(D5,PHA4GEVars!$A$7:$B$241,2,FALSE),"")</f>
        <v>Strain and isolation information</v>
      </c>
      <c r="C5" t="s">
        <v>1754</v>
      </c>
      <c r="D5" t="s">
        <v>1095</v>
      </c>
      <c r="F5" t="s">
        <v>1178</v>
      </c>
      <c r="H5" t="s">
        <v>1097</v>
      </c>
      <c r="I5" t="s">
        <v>1097</v>
      </c>
      <c r="J5" t="s">
        <v>1095</v>
      </c>
      <c r="N5" t="s">
        <v>1595</v>
      </c>
      <c r="O5" s="18" t="s">
        <v>1598</v>
      </c>
      <c r="P5" t="s">
        <v>1919</v>
      </c>
    </row>
    <row r="6" spans="1:16" ht="17" x14ac:dyDescent="0.2">
      <c r="A6" t="b">
        <v>1</v>
      </c>
      <c r="B6" t="str">
        <f>IF(D6&lt;&gt;"",VLOOKUP(D6,PHA4GEVars!$A$7:$B$241,2,FALSE),"")</f>
        <v>Strain and isolation information</v>
      </c>
      <c r="C6" t="s">
        <v>1754</v>
      </c>
      <c r="D6" t="s">
        <v>1094</v>
      </c>
      <c r="F6" t="s">
        <v>1178</v>
      </c>
      <c r="G6" s="28" t="s">
        <v>1806</v>
      </c>
      <c r="H6" t="s">
        <v>1097</v>
      </c>
      <c r="I6" t="s">
        <v>1097</v>
      </c>
      <c r="J6" t="s">
        <v>1094</v>
      </c>
      <c r="K6" s="28" t="s">
        <v>1597</v>
      </c>
      <c r="L6" s="28"/>
      <c r="M6" s="28"/>
      <c r="N6" t="s">
        <v>1596</v>
      </c>
      <c r="O6" s="18" t="s">
        <v>1598</v>
      </c>
      <c r="P6" t="s">
        <v>1919</v>
      </c>
    </row>
    <row r="7" spans="1:16" x14ac:dyDescent="0.2">
      <c r="A7" t="b">
        <v>1</v>
      </c>
      <c r="B7" t="str">
        <f>IF(D7&lt;&gt;"",VLOOKUP(D7,PHA4GEVars!$A$7:$B$241,2,FALSE),"")</f>
        <v>Strain and isolation information</v>
      </c>
      <c r="C7" t="s">
        <v>1754</v>
      </c>
      <c r="D7" t="s">
        <v>1096</v>
      </c>
      <c r="F7" t="s">
        <v>1178</v>
      </c>
      <c r="H7" t="s">
        <v>1097</v>
      </c>
      <c r="I7" t="s">
        <v>1097</v>
      </c>
      <c r="J7" t="s">
        <v>1096</v>
      </c>
      <c r="N7" t="s">
        <v>1603</v>
      </c>
      <c r="O7" s="18" t="s">
        <v>1604</v>
      </c>
      <c r="P7" t="s">
        <v>1919</v>
      </c>
    </row>
    <row r="8" spans="1:16" ht="17" x14ac:dyDescent="0.2">
      <c r="A8" t="b">
        <v>1</v>
      </c>
      <c r="B8" t="str">
        <f>IF(D8&lt;&gt;"",VLOOKUP(D8,PHA4GEVars!$A$7:$B$241,2,FALSE),"")</f>
        <v>Database identifiers</v>
      </c>
      <c r="C8" t="s">
        <v>1754</v>
      </c>
      <c r="D8" t="s">
        <v>112</v>
      </c>
      <c r="F8" t="s">
        <v>1178</v>
      </c>
      <c r="H8" s="28" t="s">
        <v>127</v>
      </c>
      <c r="I8" s="28" t="s">
        <v>127</v>
      </c>
      <c r="J8" t="s">
        <v>112</v>
      </c>
      <c r="N8" t="s">
        <v>1624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26"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1386</v>
      </c>
      <c r="B1" s="16" t="s">
        <v>1669</v>
      </c>
      <c r="C1" s="16" t="s">
        <v>0</v>
      </c>
      <c r="D1" s="16" t="s">
        <v>10</v>
      </c>
      <c r="E1" s="16" t="s">
        <v>1765</v>
      </c>
      <c r="F1" s="16" t="s">
        <v>1</v>
      </c>
      <c r="G1" s="16" t="s">
        <v>2</v>
      </c>
      <c r="H1" s="16" t="s">
        <v>3</v>
      </c>
      <c r="I1" s="16" t="s">
        <v>4</v>
      </c>
      <c r="J1" s="16" t="s">
        <v>1688</v>
      </c>
      <c r="K1" s="16" t="s">
        <v>5</v>
      </c>
      <c r="L1" s="16" t="s">
        <v>6</v>
      </c>
      <c r="M1" s="16" t="s">
        <v>1726</v>
      </c>
      <c r="N1" s="16" t="s">
        <v>1676</v>
      </c>
      <c r="O1" s="16" t="s">
        <v>8</v>
      </c>
      <c r="P1" s="16" t="s">
        <v>9</v>
      </c>
      <c r="Q1" s="16" t="s">
        <v>1668</v>
      </c>
    </row>
    <row r="2" spans="1:17" x14ac:dyDescent="0.2">
      <c r="A2" s="15">
        <v>61</v>
      </c>
      <c r="B2" s="15" t="b">
        <v>1</v>
      </c>
      <c r="C2" s="15" t="b">
        <v>1</v>
      </c>
      <c r="D2" s="15" t="s">
        <v>66</v>
      </c>
      <c r="E2" t="str">
        <f>IF(G2&lt;&gt;"",VLOOKUP(G2,PHA4GEVars!$A$7:$B$241,2,FALSE),"")</f>
        <v>Database identifiers</v>
      </c>
      <c r="F2" s="15" t="s">
        <v>1754</v>
      </c>
      <c r="G2" s="15" t="s">
        <v>142</v>
      </c>
      <c r="H2" s="15"/>
      <c r="I2" s="27" t="s">
        <v>1183</v>
      </c>
      <c r="J2" s="27"/>
      <c r="K2" s="15" t="s">
        <v>1184</v>
      </c>
      <c r="L2" s="15" t="s">
        <v>1185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1754</v>
      </c>
      <c r="G4" s="15" t="s">
        <v>1784</v>
      </c>
      <c r="H4" s="15" t="s">
        <v>207</v>
      </c>
      <c r="I4" s="15" t="s">
        <v>1183</v>
      </c>
      <c r="J4" s="15"/>
      <c r="K4" s="15" t="s">
        <v>1234</v>
      </c>
      <c r="L4" s="15" t="s">
        <v>1689</v>
      </c>
      <c r="M4" s="15"/>
      <c r="N4" s="15"/>
      <c r="O4" s="15"/>
      <c r="P4" s="15"/>
      <c r="Q4" s="15" t="s">
        <v>1762</v>
      </c>
    </row>
    <row r="5" spans="1:17" x14ac:dyDescent="0.2">
      <c r="A5" s="15">
        <v>288</v>
      </c>
      <c r="B5" s="15" t="b">
        <v>1</v>
      </c>
      <c r="C5" s="15" t="b">
        <v>1</v>
      </c>
      <c r="D5" s="15" t="s">
        <v>108</v>
      </c>
      <c r="E5" t="str">
        <f>IF(G5&lt;&gt;"",VLOOKUP(G5,PHA4GEVars!$A$7:$B$241,2,FALSE),"")</f>
        <v>Sample collection and processing</v>
      </c>
      <c r="F5" s="15" t="s">
        <v>1754</v>
      </c>
      <c r="G5" s="15" t="s">
        <v>1784</v>
      </c>
      <c r="H5" s="15" t="s">
        <v>208</v>
      </c>
      <c r="I5" s="15" t="s">
        <v>1183</v>
      </c>
      <c r="J5" s="15"/>
      <c r="K5" s="15" t="s">
        <v>1234</v>
      </c>
      <c r="L5" s="15" t="s">
        <v>1690</v>
      </c>
      <c r="M5" s="15"/>
      <c r="N5" s="15"/>
      <c r="O5" s="15"/>
      <c r="P5" s="15"/>
      <c r="Q5" s="15" t="s">
        <v>1762</v>
      </c>
    </row>
    <row r="6" spans="1:17" x14ac:dyDescent="0.2">
      <c r="A6" s="15">
        <v>289</v>
      </c>
      <c r="B6" s="15" t="b">
        <v>1</v>
      </c>
      <c r="C6" s="15" t="b">
        <v>1</v>
      </c>
      <c r="D6" s="15" t="s">
        <v>108</v>
      </c>
      <c r="E6" t="str">
        <f>IF(G6&lt;&gt;"",VLOOKUP(G6,PHA4GEVars!$A$7:$B$241,2,FALSE),"")</f>
        <v>Sample collection and processing</v>
      </c>
      <c r="F6" s="15" t="s">
        <v>1754</v>
      </c>
      <c r="G6" s="15" t="s">
        <v>1784</v>
      </c>
      <c r="H6" s="15" t="s">
        <v>209</v>
      </c>
      <c r="I6" s="15" t="s">
        <v>1183</v>
      </c>
      <c r="J6" s="15"/>
      <c r="K6" s="15" t="s">
        <v>1234</v>
      </c>
      <c r="L6" s="15" t="s">
        <v>1691</v>
      </c>
      <c r="M6" s="15"/>
      <c r="N6" s="15"/>
      <c r="O6" s="15"/>
      <c r="P6" s="15"/>
      <c r="Q6" s="15" t="s">
        <v>1762</v>
      </c>
    </row>
    <row r="7" spans="1:17" x14ac:dyDescent="0.2">
      <c r="A7" s="15">
        <v>290</v>
      </c>
      <c r="B7" s="15" t="b">
        <v>1</v>
      </c>
      <c r="C7" s="15" t="b">
        <v>1</v>
      </c>
      <c r="D7" s="15" t="s">
        <v>108</v>
      </c>
      <c r="E7" t="str">
        <f>IF(G7&lt;&gt;"",VLOOKUP(G7,PHA4GEVars!$A$7:$B$241,2,FALSE),"")</f>
        <v>Sample collection and processing</v>
      </c>
      <c r="F7" s="15" t="s">
        <v>1754</v>
      </c>
      <c r="G7" s="15" t="s">
        <v>1784</v>
      </c>
      <c r="H7" s="15" t="s">
        <v>210</v>
      </c>
      <c r="I7" s="15" t="s">
        <v>1183</v>
      </c>
      <c r="J7" s="15"/>
      <c r="K7" s="15" t="s">
        <v>1234</v>
      </c>
      <c r="L7" s="15" t="s">
        <v>1692</v>
      </c>
      <c r="M7" s="15"/>
      <c r="N7" s="15"/>
      <c r="O7" s="15"/>
      <c r="P7" s="15"/>
      <c r="Q7" s="15" t="s">
        <v>1762</v>
      </c>
    </row>
    <row r="8" spans="1:17" x14ac:dyDescent="0.2">
      <c r="A8" s="15">
        <v>291</v>
      </c>
      <c r="B8" s="15" t="b">
        <v>1</v>
      </c>
      <c r="C8" s="15" t="b">
        <v>1</v>
      </c>
      <c r="D8" s="15" t="s">
        <v>108</v>
      </c>
      <c r="E8" t="str">
        <f>IF(G8&lt;&gt;"",VLOOKUP(G8,PHA4GEVars!$A$7:$B$241,2,FALSE),"")</f>
        <v>Sample collection and processing</v>
      </c>
      <c r="F8" s="15" t="s">
        <v>1754</v>
      </c>
      <c r="G8" s="15" t="s">
        <v>1784</v>
      </c>
      <c r="H8" s="15" t="s">
        <v>211</v>
      </c>
      <c r="I8" s="15" t="s">
        <v>1183</v>
      </c>
      <c r="J8" s="15"/>
      <c r="K8" s="15" t="s">
        <v>1234</v>
      </c>
      <c r="L8" s="15" t="s">
        <v>1693</v>
      </c>
      <c r="M8" s="15"/>
      <c r="N8" s="15"/>
      <c r="O8" s="15"/>
      <c r="P8" s="15"/>
      <c r="Q8" s="15" t="s">
        <v>1762</v>
      </c>
    </row>
    <row r="9" spans="1:17" x14ac:dyDescent="0.2">
      <c r="A9" s="15">
        <v>292</v>
      </c>
      <c r="B9" s="15" t="b">
        <v>1</v>
      </c>
      <c r="C9" s="15" t="b">
        <v>1</v>
      </c>
      <c r="D9" s="15" t="s">
        <v>108</v>
      </c>
      <c r="E9" t="str">
        <f>IF(G9&lt;&gt;"",VLOOKUP(G9,PHA4GEVars!$A$7:$B$241,2,FALSE),"")</f>
        <v>Sample collection and processing</v>
      </c>
      <c r="F9" s="15" t="s">
        <v>1754</v>
      </c>
      <c r="G9" s="15" t="s">
        <v>1784</v>
      </c>
      <c r="H9" s="15" t="s">
        <v>212</v>
      </c>
      <c r="I9" s="15" t="s">
        <v>1183</v>
      </c>
      <c r="J9" s="15"/>
      <c r="K9" s="15" t="s">
        <v>1234</v>
      </c>
      <c r="L9" s="15" t="s">
        <v>1694</v>
      </c>
      <c r="M9" s="15"/>
      <c r="N9" s="15"/>
      <c r="O9" s="15"/>
      <c r="P9" s="15"/>
      <c r="Q9" s="15" t="s">
        <v>1762</v>
      </c>
    </row>
    <row r="10" spans="1:17" x14ac:dyDescent="0.2">
      <c r="A10" s="15">
        <v>293</v>
      </c>
      <c r="B10" s="15" t="b">
        <v>1</v>
      </c>
      <c r="C10" s="15" t="b">
        <v>1</v>
      </c>
      <c r="D10" s="15" t="s">
        <v>108</v>
      </c>
      <c r="E10" t="str">
        <f>IF(G10&lt;&gt;"",VLOOKUP(G10,PHA4GEVars!$A$7:$B$241,2,FALSE),"")</f>
        <v>Sample collection and processing</v>
      </c>
      <c r="F10" s="15" t="s">
        <v>1754</v>
      </c>
      <c r="G10" s="15" t="s">
        <v>1784</v>
      </c>
      <c r="H10" s="15" t="s">
        <v>213</v>
      </c>
      <c r="I10" s="15" t="s">
        <v>1183</v>
      </c>
      <c r="J10" s="15"/>
      <c r="K10" s="15" t="s">
        <v>1234</v>
      </c>
      <c r="L10" s="15" t="s">
        <v>1695</v>
      </c>
      <c r="M10" s="15"/>
      <c r="N10" s="15"/>
      <c r="O10" s="15"/>
      <c r="P10" s="15"/>
      <c r="Q10" s="15" t="s">
        <v>1762</v>
      </c>
    </row>
    <row r="11" spans="1:17" x14ac:dyDescent="0.2">
      <c r="A11" s="15">
        <v>294</v>
      </c>
      <c r="B11" s="15" t="b">
        <v>1</v>
      </c>
      <c r="C11" s="15" t="b">
        <v>1</v>
      </c>
      <c r="D11" s="15" t="s">
        <v>108</v>
      </c>
      <c r="E11" t="str">
        <f>IF(G11&lt;&gt;"",VLOOKUP(G11,PHA4GEVars!$A$7:$B$241,2,FALSE),"")</f>
        <v>Sample collection and processing</v>
      </c>
      <c r="F11" s="15" t="s">
        <v>1754</v>
      </c>
      <c r="G11" s="15" t="s">
        <v>1784</v>
      </c>
      <c r="H11" s="15" t="s">
        <v>214</v>
      </c>
      <c r="I11" s="15" t="s">
        <v>1183</v>
      </c>
      <c r="J11" s="15"/>
      <c r="K11" s="15" t="s">
        <v>1234</v>
      </c>
      <c r="L11" s="15" t="s">
        <v>1696</v>
      </c>
      <c r="M11" s="15"/>
      <c r="N11" s="15"/>
      <c r="O11" s="15"/>
      <c r="P11" s="15"/>
      <c r="Q11" s="15" t="s">
        <v>1762</v>
      </c>
    </row>
    <row r="12" spans="1:17" x14ac:dyDescent="0.2">
      <c r="A12" s="15">
        <v>295</v>
      </c>
      <c r="B12" s="15" t="b">
        <v>1</v>
      </c>
      <c r="C12" s="15" t="b">
        <v>1</v>
      </c>
      <c r="D12" s="15" t="s">
        <v>108</v>
      </c>
      <c r="E12" t="str">
        <f>IF(G12&lt;&gt;"",VLOOKUP(G12,PHA4GEVars!$A$7:$B$241,2,FALSE),"")</f>
        <v>Sample collection and processing</v>
      </c>
      <c r="F12" s="15" t="s">
        <v>1754</v>
      </c>
      <c r="G12" s="15" t="s">
        <v>1784</v>
      </c>
      <c r="H12" s="15" t="s">
        <v>215</v>
      </c>
      <c r="I12" s="15" t="s">
        <v>1183</v>
      </c>
      <c r="J12" s="15"/>
      <c r="K12" s="15" t="s">
        <v>1234</v>
      </c>
      <c r="L12" s="15" t="s">
        <v>1697</v>
      </c>
      <c r="M12" s="15"/>
      <c r="N12" s="15"/>
      <c r="O12" s="15"/>
      <c r="P12" s="15"/>
      <c r="Q12" s="15" t="s">
        <v>1762</v>
      </c>
    </row>
    <row r="13" spans="1:17" x14ac:dyDescent="0.2">
      <c r="A13" s="15">
        <v>296</v>
      </c>
      <c r="B13" s="15" t="b">
        <v>1</v>
      </c>
      <c r="C13" s="15" t="b">
        <v>1</v>
      </c>
      <c r="D13" s="15" t="s">
        <v>108</v>
      </c>
      <c r="E13" t="str">
        <f>IF(G13&lt;&gt;"",VLOOKUP(G13,PHA4GEVars!$A$7:$B$241,2,FALSE),"")</f>
        <v>Sample collection and processing</v>
      </c>
      <c r="F13" s="15" t="s">
        <v>1754</v>
      </c>
      <c r="G13" s="15" t="s">
        <v>1784</v>
      </c>
      <c r="H13" s="15" t="s">
        <v>216</v>
      </c>
      <c r="I13" s="15" t="s">
        <v>1183</v>
      </c>
      <c r="J13" s="15"/>
      <c r="K13" s="15" t="s">
        <v>1234</v>
      </c>
      <c r="L13" s="15" t="s">
        <v>1698</v>
      </c>
      <c r="M13" s="15"/>
      <c r="N13" s="15"/>
      <c r="O13" s="15"/>
      <c r="P13" s="15"/>
      <c r="Q13" s="15" t="s">
        <v>1762</v>
      </c>
    </row>
    <row r="14" spans="1:17" x14ac:dyDescent="0.2">
      <c r="A14" s="15">
        <v>297</v>
      </c>
      <c r="B14" s="15" t="b">
        <v>1</v>
      </c>
      <c r="C14" s="15" t="b">
        <v>1</v>
      </c>
      <c r="D14" s="15" t="s">
        <v>108</v>
      </c>
      <c r="E14" t="str">
        <f>IF(G14&lt;&gt;"",VLOOKUP(G14,PHA4GEVars!$A$7:$B$241,2,FALSE),"")</f>
        <v>Sample collection and processing</v>
      </c>
      <c r="F14" s="15" t="s">
        <v>1754</v>
      </c>
      <c r="G14" s="15" t="s">
        <v>1784</v>
      </c>
      <c r="H14" s="15" t="s">
        <v>217</v>
      </c>
      <c r="I14" s="15" t="s">
        <v>1183</v>
      </c>
      <c r="J14" s="15"/>
      <c r="K14" s="15" t="s">
        <v>1234</v>
      </c>
      <c r="L14" s="15" t="s">
        <v>1699</v>
      </c>
      <c r="M14" s="15"/>
      <c r="N14" s="15"/>
      <c r="O14" s="15"/>
      <c r="P14" s="15"/>
      <c r="Q14" s="15" t="s">
        <v>1762</v>
      </c>
    </row>
    <row r="15" spans="1:17" x14ac:dyDescent="0.2">
      <c r="A15" s="15">
        <v>298</v>
      </c>
      <c r="B15" s="15" t="b">
        <v>1</v>
      </c>
      <c r="C15" s="15" t="b">
        <v>1</v>
      </c>
      <c r="D15" s="15" t="s">
        <v>108</v>
      </c>
      <c r="E15" t="str">
        <f>IF(G15&lt;&gt;"",VLOOKUP(G15,PHA4GEVars!$A$7:$B$241,2,FALSE),"")</f>
        <v>Sample collection and processing</v>
      </c>
      <c r="F15" s="15" t="s">
        <v>1754</v>
      </c>
      <c r="G15" s="15" t="s">
        <v>1784</v>
      </c>
      <c r="H15" s="15" t="s">
        <v>218</v>
      </c>
      <c r="I15" s="15" t="s">
        <v>1183</v>
      </c>
      <c r="J15" s="15"/>
      <c r="K15" s="15" t="s">
        <v>1234</v>
      </c>
      <c r="L15" s="15" t="s">
        <v>1700</v>
      </c>
      <c r="M15" s="15"/>
      <c r="N15" s="15"/>
      <c r="O15" s="15"/>
      <c r="P15" s="15"/>
      <c r="Q15" s="15" t="s">
        <v>1762</v>
      </c>
    </row>
    <row r="16" spans="1:17" x14ac:dyDescent="0.2">
      <c r="A16" s="15">
        <v>299</v>
      </c>
      <c r="B16" s="15" t="b">
        <v>1</v>
      </c>
      <c r="C16" s="15" t="b">
        <v>1</v>
      </c>
      <c r="D16" s="15" t="s">
        <v>108</v>
      </c>
      <c r="E16" t="str">
        <f>IF(G16&lt;&gt;"",VLOOKUP(G16,PHA4GEVars!$A$7:$B$241,2,FALSE),"")</f>
        <v>Sample collection and processing</v>
      </c>
      <c r="F16" s="15" t="s">
        <v>1754</v>
      </c>
      <c r="G16" s="15" t="s">
        <v>1784</v>
      </c>
      <c r="H16" s="15" t="s">
        <v>219</v>
      </c>
      <c r="I16" s="15" t="s">
        <v>1183</v>
      </c>
      <c r="J16" s="15"/>
      <c r="K16" s="15" t="s">
        <v>1234</v>
      </c>
      <c r="L16" s="15" t="s">
        <v>1701</v>
      </c>
      <c r="M16" s="15"/>
      <c r="N16" s="15"/>
      <c r="O16" s="15"/>
      <c r="P16" s="15"/>
      <c r="Q16" s="15" t="s">
        <v>1762</v>
      </c>
    </row>
    <row r="17" spans="1:17" x14ac:dyDescent="0.2">
      <c r="A17" s="15">
        <v>300</v>
      </c>
      <c r="B17" s="15" t="b">
        <v>1</v>
      </c>
      <c r="C17" s="15" t="b">
        <v>1</v>
      </c>
      <c r="D17" s="15" t="s">
        <v>108</v>
      </c>
      <c r="E17" t="str">
        <f>IF(G17&lt;&gt;"",VLOOKUP(G17,PHA4GEVars!$A$7:$B$241,2,FALSE),"")</f>
        <v>Sample collection and processing</v>
      </c>
      <c r="F17" s="15" t="s">
        <v>1754</v>
      </c>
      <c r="G17" s="15" t="s">
        <v>1784</v>
      </c>
      <c r="H17" s="15" t="s">
        <v>220</v>
      </c>
      <c r="I17" s="15" t="s">
        <v>1183</v>
      </c>
      <c r="J17" s="15"/>
      <c r="K17" s="15" t="s">
        <v>1234</v>
      </c>
      <c r="L17" s="15" t="s">
        <v>1702</v>
      </c>
      <c r="M17" s="15"/>
      <c r="N17" s="15"/>
      <c r="O17" s="15"/>
      <c r="P17" s="15"/>
      <c r="Q17" s="15" t="s">
        <v>1762</v>
      </c>
    </row>
    <row r="18" spans="1:17" x14ac:dyDescent="0.2">
      <c r="A18" s="15">
        <v>301</v>
      </c>
      <c r="B18" s="15" t="b">
        <v>1</v>
      </c>
      <c r="C18" s="15" t="b">
        <v>1</v>
      </c>
      <c r="D18" s="15" t="s">
        <v>108</v>
      </c>
      <c r="E18" t="str">
        <f>IF(G18&lt;&gt;"",VLOOKUP(G18,PHA4GEVars!$A$7:$B$241,2,FALSE),"")</f>
        <v>Sample collection and processing</v>
      </c>
      <c r="F18" s="15" t="s">
        <v>1754</v>
      </c>
      <c r="G18" s="15" t="s">
        <v>1784</v>
      </c>
      <c r="H18" s="15" t="s">
        <v>221</v>
      </c>
      <c r="I18" s="15" t="s">
        <v>1183</v>
      </c>
      <c r="J18" s="15"/>
      <c r="K18" s="15" t="s">
        <v>1234</v>
      </c>
      <c r="L18" s="15" t="s">
        <v>1703</v>
      </c>
      <c r="M18" s="15"/>
      <c r="N18" s="15"/>
      <c r="O18" s="15"/>
      <c r="P18" s="15"/>
      <c r="Q18" s="15" t="s">
        <v>1762</v>
      </c>
    </row>
    <row r="19" spans="1:17" x14ac:dyDescent="0.2">
      <c r="A19" s="15">
        <v>302</v>
      </c>
      <c r="B19" s="15" t="b">
        <v>1</v>
      </c>
      <c r="C19" s="15" t="b">
        <v>1</v>
      </c>
      <c r="D19" s="15" t="s">
        <v>108</v>
      </c>
      <c r="E19" t="str">
        <f>IF(G19&lt;&gt;"",VLOOKUP(G19,PHA4GEVars!$A$7:$B$241,2,FALSE),"")</f>
        <v>Sample collection and processing</v>
      </c>
      <c r="F19" s="15" t="s">
        <v>1754</v>
      </c>
      <c r="G19" s="15" t="s">
        <v>1784</v>
      </c>
      <c r="H19" s="15" t="s">
        <v>222</v>
      </c>
      <c r="I19" s="15" t="s">
        <v>1183</v>
      </c>
      <c r="J19" s="15"/>
      <c r="K19" s="15" t="s">
        <v>1234</v>
      </c>
      <c r="L19" s="15" t="s">
        <v>1704</v>
      </c>
      <c r="M19" s="15"/>
      <c r="N19" s="15"/>
      <c r="O19" s="15"/>
      <c r="P19" s="15"/>
      <c r="Q19" s="15" t="s">
        <v>1762</v>
      </c>
    </row>
    <row r="20" spans="1:17" x14ac:dyDescent="0.2">
      <c r="A20" s="15">
        <v>303</v>
      </c>
      <c r="B20" s="15" t="b">
        <v>1</v>
      </c>
      <c r="C20" s="15" t="b">
        <v>1</v>
      </c>
      <c r="D20" s="15" t="s">
        <v>108</v>
      </c>
      <c r="E20" t="str">
        <f>IF(G20&lt;&gt;"",VLOOKUP(G20,PHA4GEVars!$A$7:$B$241,2,FALSE),"")</f>
        <v>Sample collection and processing</v>
      </c>
      <c r="F20" s="15" t="s">
        <v>1754</v>
      </c>
      <c r="G20" s="15" t="s">
        <v>1784</v>
      </c>
      <c r="H20" s="15" t="s">
        <v>223</v>
      </c>
      <c r="I20" s="15" t="s">
        <v>1183</v>
      </c>
      <c r="J20" s="15"/>
      <c r="K20" s="15" t="s">
        <v>1234</v>
      </c>
      <c r="L20" s="15" t="s">
        <v>1705</v>
      </c>
      <c r="M20" s="15"/>
      <c r="N20" s="15"/>
      <c r="O20" s="15"/>
      <c r="P20" s="15"/>
      <c r="Q20" s="15" t="s">
        <v>1762</v>
      </c>
    </row>
    <row r="21" spans="1:17" x14ac:dyDescent="0.2">
      <c r="A21" s="15">
        <v>304</v>
      </c>
      <c r="B21" s="15" t="b">
        <v>1</v>
      </c>
      <c r="C21" s="15" t="b">
        <v>1</v>
      </c>
      <c r="D21" s="15" t="s">
        <v>108</v>
      </c>
      <c r="E21" t="str">
        <f>IF(G21&lt;&gt;"",VLOOKUP(G21,PHA4GEVars!$A$7:$B$241,2,FALSE),"")</f>
        <v>Sample collection and processing</v>
      </c>
      <c r="F21" s="15" t="s">
        <v>1754</v>
      </c>
      <c r="G21" s="15" t="s">
        <v>1784</v>
      </c>
      <c r="H21" s="15" t="s">
        <v>224</v>
      </c>
      <c r="I21" s="15" t="s">
        <v>1183</v>
      </c>
      <c r="J21" s="15"/>
      <c r="K21" s="15" t="s">
        <v>1234</v>
      </c>
      <c r="L21" s="15" t="s">
        <v>1706</v>
      </c>
      <c r="M21" s="15"/>
      <c r="N21" s="15"/>
      <c r="O21" s="15"/>
      <c r="P21" s="15"/>
      <c r="Q21" s="15" t="s">
        <v>1762</v>
      </c>
    </row>
    <row r="22" spans="1:17" x14ac:dyDescent="0.2">
      <c r="A22" s="15">
        <v>305</v>
      </c>
      <c r="B22" s="15" t="b">
        <v>1</v>
      </c>
      <c r="C22" s="15" t="b">
        <v>1</v>
      </c>
      <c r="D22" s="15" t="s">
        <v>108</v>
      </c>
      <c r="E22" t="str">
        <f>IF(G22&lt;&gt;"",VLOOKUP(G22,PHA4GEVars!$A$7:$B$241,2,FALSE),"")</f>
        <v>Sample collection and processing</v>
      </c>
      <c r="F22" s="15" t="s">
        <v>1754</v>
      </c>
      <c r="G22" s="15" t="s">
        <v>1784</v>
      </c>
      <c r="H22" s="15" t="s">
        <v>225</v>
      </c>
      <c r="I22" s="15" t="s">
        <v>1183</v>
      </c>
      <c r="J22" s="15"/>
      <c r="K22" s="15" t="s">
        <v>1234</v>
      </c>
      <c r="L22" s="15" t="s">
        <v>1707</v>
      </c>
      <c r="M22" s="15"/>
      <c r="N22" s="15"/>
      <c r="O22" s="15"/>
      <c r="P22" s="15"/>
      <c r="Q22" s="15" t="s">
        <v>1762</v>
      </c>
    </row>
    <row r="23" spans="1:17" x14ac:dyDescent="0.2">
      <c r="A23" s="15">
        <v>306</v>
      </c>
      <c r="B23" s="15" t="b">
        <v>1</v>
      </c>
      <c r="C23" s="15" t="b">
        <v>1</v>
      </c>
      <c r="D23" s="15" t="s">
        <v>108</v>
      </c>
      <c r="E23" t="str">
        <f>IF(G23&lt;&gt;"",VLOOKUP(G23,PHA4GEVars!$A$7:$B$241,2,FALSE),"")</f>
        <v>Sample collection and processing</v>
      </c>
      <c r="F23" s="15" t="s">
        <v>1754</v>
      </c>
      <c r="G23" s="15" t="s">
        <v>1784</v>
      </c>
      <c r="H23" s="15" t="s">
        <v>226</v>
      </c>
      <c r="I23" s="15" t="s">
        <v>1183</v>
      </c>
      <c r="J23" s="15"/>
      <c r="K23" s="15" t="s">
        <v>1234</v>
      </c>
      <c r="L23" s="15" t="s">
        <v>1708</v>
      </c>
      <c r="M23" s="15"/>
      <c r="N23" s="15"/>
      <c r="O23" s="15"/>
      <c r="P23" s="15"/>
      <c r="Q23" s="15" t="s">
        <v>1762</v>
      </c>
    </row>
    <row r="24" spans="1:17" x14ac:dyDescent="0.2">
      <c r="A24" s="15">
        <v>307</v>
      </c>
      <c r="B24" s="15" t="b">
        <v>1</v>
      </c>
      <c r="C24" s="15" t="b">
        <v>1</v>
      </c>
      <c r="D24" s="15" t="s">
        <v>108</v>
      </c>
      <c r="E24" t="str">
        <f>IF(G24&lt;&gt;"",VLOOKUP(G24,PHA4GEVars!$A$7:$B$241,2,FALSE),"")</f>
        <v>Sample collection and processing</v>
      </c>
      <c r="F24" s="15" t="s">
        <v>1754</v>
      </c>
      <c r="G24" s="15" t="s">
        <v>1784</v>
      </c>
      <c r="H24" s="15" t="s">
        <v>227</v>
      </c>
      <c r="I24" s="15" t="s">
        <v>1183</v>
      </c>
      <c r="J24" s="15"/>
      <c r="K24" s="15" t="s">
        <v>1234</v>
      </c>
      <c r="L24" s="15" t="s">
        <v>1709</v>
      </c>
      <c r="M24" s="15"/>
      <c r="N24" s="15"/>
      <c r="O24" s="15"/>
      <c r="P24" s="15"/>
      <c r="Q24" s="15" t="s">
        <v>1762</v>
      </c>
    </row>
    <row r="25" spans="1:17" x14ac:dyDescent="0.2">
      <c r="A25" s="15">
        <v>308</v>
      </c>
      <c r="B25" s="15" t="b">
        <v>1</v>
      </c>
      <c r="C25" s="15" t="b">
        <v>1</v>
      </c>
      <c r="D25" s="15" t="s">
        <v>108</v>
      </c>
      <c r="E25" t="str">
        <f>IF(G25&lt;&gt;"",VLOOKUP(G25,PHA4GEVars!$A$7:$B$241,2,FALSE),"")</f>
        <v>Sample collection and processing</v>
      </c>
      <c r="F25" s="15" t="s">
        <v>1754</v>
      </c>
      <c r="G25" s="15" t="s">
        <v>1784</v>
      </c>
      <c r="H25" s="15" t="s">
        <v>228</v>
      </c>
      <c r="I25" s="15" t="s">
        <v>1183</v>
      </c>
      <c r="J25" s="15"/>
      <c r="K25" s="15" t="s">
        <v>1234</v>
      </c>
      <c r="L25" s="15" t="s">
        <v>1710</v>
      </c>
      <c r="M25" s="15"/>
      <c r="N25" s="15"/>
      <c r="O25" s="15"/>
      <c r="P25" s="15"/>
      <c r="Q25" s="15" t="s">
        <v>1762</v>
      </c>
    </row>
    <row r="26" spans="1:17" x14ac:dyDescent="0.2">
      <c r="A26" s="15">
        <v>309</v>
      </c>
      <c r="B26" s="15" t="b">
        <v>1</v>
      </c>
      <c r="C26" s="15" t="b">
        <v>1</v>
      </c>
      <c r="D26" s="15" t="s">
        <v>108</v>
      </c>
      <c r="E26" t="str">
        <f>IF(G26&lt;&gt;"",VLOOKUP(G26,PHA4GEVars!$A$7:$B$241,2,FALSE),"")</f>
        <v>Sample collection and processing</v>
      </c>
      <c r="F26" s="15" t="s">
        <v>1754</v>
      </c>
      <c r="G26" s="15" t="s">
        <v>1784</v>
      </c>
      <c r="H26" s="15" t="s">
        <v>229</v>
      </c>
      <c r="I26" s="15" t="s">
        <v>1183</v>
      </c>
      <c r="J26" s="15"/>
      <c r="K26" s="15" t="s">
        <v>1234</v>
      </c>
      <c r="L26" s="15" t="s">
        <v>1711</v>
      </c>
      <c r="M26" s="15"/>
      <c r="N26" s="15"/>
      <c r="O26" s="15"/>
      <c r="P26" s="15"/>
      <c r="Q26" s="15" t="s">
        <v>1762</v>
      </c>
    </row>
    <row r="27" spans="1:17" x14ac:dyDescent="0.2">
      <c r="A27" s="15">
        <v>310</v>
      </c>
      <c r="B27" s="15" t="b">
        <v>1</v>
      </c>
      <c r="C27" s="15" t="b">
        <v>1</v>
      </c>
      <c r="D27" s="15" t="s">
        <v>108</v>
      </c>
      <c r="E27" t="str">
        <f>IF(G27&lt;&gt;"",VLOOKUP(G27,PHA4GEVars!$A$7:$B$241,2,FALSE),"")</f>
        <v>Sample collection and processing</v>
      </c>
      <c r="F27" s="15" t="s">
        <v>1754</v>
      </c>
      <c r="G27" s="15" t="s">
        <v>1784</v>
      </c>
      <c r="H27" s="15" t="s">
        <v>230</v>
      </c>
      <c r="I27" s="15" t="s">
        <v>1183</v>
      </c>
      <c r="J27" s="15"/>
      <c r="K27" s="15" t="s">
        <v>1234</v>
      </c>
      <c r="L27" s="15" t="s">
        <v>1712</v>
      </c>
      <c r="M27" s="15"/>
      <c r="N27" s="15"/>
      <c r="O27" s="15"/>
      <c r="P27" s="15"/>
      <c r="Q27" s="15" t="s">
        <v>1762</v>
      </c>
    </row>
    <row r="28" spans="1:17" x14ac:dyDescent="0.2">
      <c r="A28" s="15">
        <v>311</v>
      </c>
      <c r="B28" s="15" t="b">
        <v>1</v>
      </c>
      <c r="C28" s="15" t="b">
        <v>1</v>
      </c>
      <c r="D28" s="15" t="s">
        <v>108</v>
      </c>
      <c r="E28" t="str">
        <f>IF(G28&lt;&gt;"",VLOOKUP(G28,PHA4GEVars!$A$7:$B$241,2,FALSE),"")</f>
        <v>Sample collection and processing</v>
      </c>
      <c r="F28" s="15" t="s">
        <v>1754</v>
      </c>
      <c r="G28" s="15" t="s">
        <v>1784</v>
      </c>
      <c r="H28" s="15" t="s">
        <v>231</v>
      </c>
      <c r="I28" s="15" t="s">
        <v>1183</v>
      </c>
      <c r="J28" s="15"/>
      <c r="K28" s="15" t="s">
        <v>1234</v>
      </c>
      <c r="L28" s="15" t="s">
        <v>1713</v>
      </c>
      <c r="M28" s="15"/>
      <c r="N28" s="15"/>
      <c r="O28" s="15"/>
      <c r="P28" s="15"/>
      <c r="Q28" s="15" t="s">
        <v>1762</v>
      </c>
    </row>
    <row r="29" spans="1:17" x14ac:dyDescent="0.2">
      <c r="A29" s="15">
        <v>312</v>
      </c>
      <c r="B29" s="15" t="b">
        <v>1</v>
      </c>
      <c r="C29" s="15" t="b">
        <v>1</v>
      </c>
      <c r="D29" s="15" t="s">
        <v>108</v>
      </c>
      <c r="E29" t="str">
        <f>IF(G29&lt;&gt;"",VLOOKUP(G29,PHA4GEVars!$A$7:$B$241,2,FALSE),"")</f>
        <v>Sample collection and processing</v>
      </c>
      <c r="F29" s="15" t="s">
        <v>1754</v>
      </c>
      <c r="G29" s="15" t="s">
        <v>1784</v>
      </c>
      <c r="H29" s="15" t="s">
        <v>232</v>
      </c>
      <c r="I29" s="15" t="s">
        <v>1183</v>
      </c>
      <c r="J29" s="15"/>
      <c r="K29" s="15" t="s">
        <v>1234</v>
      </c>
      <c r="L29" s="15" t="s">
        <v>1714</v>
      </c>
      <c r="M29" s="15"/>
      <c r="N29" s="15"/>
      <c r="O29" s="15"/>
      <c r="P29" s="15"/>
      <c r="Q29" s="15" t="s">
        <v>1762</v>
      </c>
    </row>
    <row r="30" spans="1:17" x14ac:dyDescent="0.2">
      <c r="A30" s="15">
        <v>313</v>
      </c>
      <c r="B30" s="15" t="b">
        <v>1</v>
      </c>
      <c r="C30" s="15" t="b">
        <v>1</v>
      </c>
      <c r="D30" s="15" t="s">
        <v>108</v>
      </c>
      <c r="E30" t="str">
        <f>IF(G30&lt;&gt;"",VLOOKUP(G30,PHA4GEVars!$A$7:$B$241,2,FALSE),"")</f>
        <v>Sample collection and processing</v>
      </c>
      <c r="F30" s="15" t="s">
        <v>1754</v>
      </c>
      <c r="G30" s="15" t="s">
        <v>1784</v>
      </c>
      <c r="H30" s="15" t="s">
        <v>233</v>
      </c>
      <c r="I30" s="15" t="s">
        <v>1183</v>
      </c>
      <c r="J30" s="15"/>
      <c r="K30" s="15" t="s">
        <v>1234</v>
      </c>
      <c r="L30" s="15" t="s">
        <v>1715</v>
      </c>
      <c r="M30" s="15"/>
      <c r="N30" s="15"/>
      <c r="O30" s="15"/>
      <c r="P30" s="15"/>
      <c r="Q30" s="15" t="s">
        <v>1762</v>
      </c>
    </row>
    <row r="31" spans="1:17" x14ac:dyDescent="0.2">
      <c r="A31" s="15">
        <v>314</v>
      </c>
      <c r="B31" s="15" t="b">
        <v>1</v>
      </c>
      <c r="C31" s="15" t="b">
        <v>1</v>
      </c>
      <c r="D31" s="15" t="s">
        <v>108</v>
      </c>
      <c r="E31" t="str">
        <f>IF(G31&lt;&gt;"",VLOOKUP(G31,PHA4GEVars!$A$7:$B$241,2,FALSE),"")</f>
        <v>Sample collection and processing</v>
      </c>
      <c r="F31" s="15" t="s">
        <v>1754</v>
      </c>
      <c r="G31" s="15" t="s">
        <v>1784</v>
      </c>
      <c r="H31" s="15" t="s">
        <v>234</v>
      </c>
      <c r="I31" s="15" t="s">
        <v>1183</v>
      </c>
      <c r="J31" s="15"/>
      <c r="K31" s="15" t="s">
        <v>1234</v>
      </c>
      <c r="L31" s="15" t="s">
        <v>1716</v>
      </c>
      <c r="M31" s="15"/>
      <c r="N31" s="15"/>
      <c r="O31" s="15"/>
      <c r="P31" s="15"/>
      <c r="Q31" s="15" t="s">
        <v>1762</v>
      </c>
    </row>
    <row r="32" spans="1:17" x14ac:dyDescent="0.2">
      <c r="A32" s="15">
        <v>315</v>
      </c>
      <c r="B32" s="15" t="b">
        <v>1</v>
      </c>
      <c r="C32" s="15" t="b">
        <v>1</v>
      </c>
      <c r="D32" s="15" t="s">
        <v>108</v>
      </c>
      <c r="E32" t="str">
        <f>IF(G32&lt;&gt;"",VLOOKUP(G32,PHA4GEVars!$A$7:$B$241,2,FALSE),"")</f>
        <v>Sample collection and processing</v>
      </c>
      <c r="F32" s="15" t="s">
        <v>1754</v>
      </c>
      <c r="G32" s="15" t="s">
        <v>1784</v>
      </c>
      <c r="H32" s="15" t="s">
        <v>235</v>
      </c>
      <c r="I32" s="15" t="s">
        <v>1183</v>
      </c>
      <c r="J32" s="15"/>
      <c r="K32" s="15" t="s">
        <v>1234</v>
      </c>
      <c r="L32" s="15" t="s">
        <v>1717</v>
      </c>
      <c r="M32" s="15"/>
      <c r="N32" s="15"/>
      <c r="O32" s="15"/>
      <c r="P32" s="15"/>
      <c r="Q32" s="15" t="s">
        <v>1762</v>
      </c>
    </row>
    <row r="33" spans="1:17" x14ac:dyDescent="0.2">
      <c r="A33" s="15">
        <v>316</v>
      </c>
      <c r="B33" s="15" t="b">
        <v>1</v>
      </c>
      <c r="C33" s="15" t="b">
        <v>1</v>
      </c>
      <c r="D33" s="15" t="s">
        <v>108</v>
      </c>
      <c r="E33" t="str">
        <f>IF(G33&lt;&gt;"",VLOOKUP(G33,PHA4GEVars!$A$7:$B$241,2,FALSE),"")</f>
        <v>Sample collection and processing</v>
      </c>
      <c r="F33" s="15" t="s">
        <v>1754</v>
      </c>
      <c r="G33" s="15" t="s">
        <v>1784</v>
      </c>
      <c r="H33" s="15" t="s">
        <v>236</v>
      </c>
      <c r="I33" s="15" t="s">
        <v>1183</v>
      </c>
      <c r="J33" s="15"/>
      <c r="K33" s="15" t="s">
        <v>1234</v>
      </c>
      <c r="L33" s="15" t="s">
        <v>1718</v>
      </c>
      <c r="M33" s="15"/>
      <c r="N33" s="15"/>
      <c r="O33" s="15"/>
      <c r="P33" s="15"/>
      <c r="Q33" s="15" t="s">
        <v>1762</v>
      </c>
    </row>
    <row r="34" spans="1:17" x14ac:dyDescent="0.2">
      <c r="A34" s="15">
        <v>317</v>
      </c>
      <c r="B34" s="15" t="b">
        <v>1</v>
      </c>
      <c r="C34" s="15" t="b">
        <v>1</v>
      </c>
      <c r="D34" s="15" t="s">
        <v>108</v>
      </c>
      <c r="E34" t="str">
        <f>IF(G34&lt;&gt;"",VLOOKUP(G34,PHA4GEVars!$A$7:$B$241,2,FALSE),"")</f>
        <v>Sample collection and processing</v>
      </c>
      <c r="F34" s="15" t="s">
        <v>1754</v>
      </c>
      <c r="G34" s="15" t="s">
        <v>1784</v>
      </c>
      <c r="H34" s="15" t="s">
        <v>1990</v>
      </c>
      <c r="I34" s="15" t="s">
        <v>1183</v>
      </c>
      <c r="J34" s="15"/>
      <c r="K34" s="15" t="s">
        <v>1234</v>
      </c>
      <c r="L34" s="15" t="s">
        <v>1719</v>
      </c>
      <c r="M34" s="15"/>
      <c r="N34" s="15"/>
      <c r="O34" s="15"/>
      <c r="P34" s="15"/>
      <c r="Q34" s="15" t="s">
        <v>1762</v>
      </c>
    </row>
    <row r="35" spans="1:17" x14ac:dyDescent="0.2">
      <c r="A35" s="15">
        <v>318</v>
      </c>
      <c r="B35" s="15" t="b">
        <v>1</v>
      </c>
      <c r="C35" s="15" t="b">
        <v>1</v>
      </c>
      <c r="D35" s="15" t="s">
        <v>108</v>
      </c>
      <c r="E35" t="str">
        <f>IF(G35&lt;&gt;"",VLOOKUP(G35,PHA4GEVars!$A$7:$B$241,2,FALSE),"")</f>
        <v>Sample collection and processing</v>
      </c>
      <c r="F35" s="15" t="s">
        <v>1754</v>
      </c>
      <c r="G35" s="15" t="s">
        <v>1784</v>
      </c>
      <c r="H35" s="15" t="s">
        <v>1131</v>
      </c>
      <c r="I35" s="15" t="s">
        <v>1183</v>
      </c>
      <c r="J35" s="15"/>
      <c r="K35" s="15" t="s">
        <v>1234</v>
      </c>
      <c r="L35" s="15" t="s">
        <v>1720</v>
      </c>
      <c r="M35" s="15"/>
      <c r="N35" s="15"/>
      <c r="O35" s="15"/>
      <c r="P35" s="15"/>
      <c r="Q35" s="15" t="s">
        <v>1762</v>
      </c>
    </row>
    <row r="36" spans="1:17" x14ac:dyDescent="0.2">
      <c r="A36" s="15">
        <v>319</v>
      </c>
      <c r="B36" s="15" t="b">
        <v>1</v>
      </c>
      <c r="C36" s="15" t="b">
        <v>1</v>
      </c>
      <c r="D36" s="15" t="s">
        <v>108</v>
      </c>
      <c r="E36" t="str">
        <f>IF(G36&lt;&gt;"",VLOOKUP(G36,PHA4GEVars!$A$7:$B$241,2,FALSE),"")</f>
        <v>Sample collection and processing</v>
      </c>
      <c r="F36" s="15" t="s">
        <v>1754</v>
      </c>
      <c r="G36" s="15" t="s">
        <v>1784</v>
      </c>
      <c r="H36" s="15" t="s">
        <v>237</v>
      </c>
      <c r="I36" s="15" t="s">
        <v>1183</v>
      </c>
      <c r="J36" s="15"/>
      <c r="K36" s="15" t="s">
        <v>1234</v>
      </c>
      <c r="L36" s="15" t="s">
        <v>1721</v>
      </c>
      <c r="M36" s="15"/>
      <c r="N36" s="15"/>
      <c r="O36" s="15"/>
      <c r="P36" s="15"/>
      <c r="Q36" s="15" t="s">
        <v>1762</v>
      </c>
    </row>
    <row r="37" spans="1:17" x14ac:dyDescent="0.2">
      <c r="A37" s="15">
        <v>320</v>
      </c>
      <c r="B37" s="15" t="b">
        <v>1</v>
      </c>
      <c r="C37" s="15" t="b">
        <v>1</v>
      </c>
      <c r="D37" s="15" t="s">
        <v>108</v>
      </c>
      <c r="E37" t="str">
        <f>IF(G37&lt;&gt;"",VLOOKUP(G37,PHA4GEVars!$A$7:$B$241,2,FALSE),"")</f>
        <v>Sample collection and processing</v>
      </c>
      <c r="F37" s="15" t="s">
        <v>1754</v>
      </c>
      <c r="G37" s="15" t="s">
        <v>1784</v>
      </c>
      <c r="H37" s="15" t="s">
        <v>238</v>
      </c>
      <c r="I37" s="15" t="s">
        <v>1183</v>
      </c>
      <c r="J37" s="15"/>
      <c r="K37" s="15" t="s">
        <v>1234</v>
      </c>
      <c r="L37" s="15" t="s">
        <v>1722</v>
      </c>
      <c r="M37" s="15"/>
      <c r="N37" s="15"/>
      <c r="O37" s="15"/>
      <c r="P37" s="15"/>
      <c r="Q37" s="15" t="s">
        <v>1762</v>
      </c>
    </row>
    <row r="38" spans="1:17" x14ac:dyDescent="0.2">
      <c r="A38" s="15">
        <v>321</v>
      </c>
      <c r="B38" s="15" t="b">
        <v>1</v>
      </c>
      <c r="C38" s="15" t="b">
        <v>1</v>
      </c>
      <c r="D38" s="15" t="s">
        <v>108</v>
      </c>
      <c r="E38" t="str">
        <f>IF(G38&lt;&gt;"",VLOOKUP(G38,PHA4GEVars!$A$7:$B$241,2,FALSE),"")</f>
        <v>Sample collection and processing</v>
      </c>
      <c r="F38" s="15" t="s">
        <v>1754</v>
      </c>
      <c r="G38" s="15" t="s">
        <v>1784</v>
      </c>
      <c r="H38" s="15" t="s">
        <v>239</v>
      </c>
      <c r="I38" s="15" t="s">
        <v>1183</v>
      </c>
      <c r="J38" s="15"/>
      <c r="K38" s="15" t="s">
        <v>1234</v>
      </c>
      <c r="L38" s="15" t="s">
        <v>1723</v>
      </c>
      <c r="M38" s="15"/>
      <c r="N38" s="15"/>
      <c r="O38" s="15"/>
      <c r="P38" s="15"/>
      <c r="Q38" s="15" t="s">
        <v>1762</v>
      </c>
    </row>
    <row r="39" spans="1:17" x14ac:dyDescent="0.2">
      <c r="A39" s="15">
        <v>322</v>
      </c>
      <c r="B39" s="15" t="b">
        <v>1</v>
      </c>
      <c r="C39" s="15" t="b">
        <v>1</v>
      </c>
      <c r="D39" s="15" t="s">
        <v>108</v>
      </c>
      <c r="E39" t="str">
        <f>IF(G39&lt;&gt;"",VLOOKUP(G39,PHA4GEVars!$A$7:$B$241,2,FALSE),"")</f>
        <v>Sample collection and processing</v>
      </c>
      <c r="F39" s="15" t="s">
        <v>1754</v>
      </c>
      <c r="G39" s="15" t="s">
        <v>1784</v>
      </c>
      <c r="H39" s="15" t="s">
        <v>240</v>
      </c>
      <c r="I39" s="15" t="s">
        <v>1183</v>
      </c>
      <c r="J39" s="15"/>
      <c r="K39" s="15" t="s">
        <v>1234</v>
      </c>
      <c r="L39" s="15" t="s">
        <v>1724</v>
      </c>
      <c r="M39" s="15"/>
      <c r="N39" s="15"/>
      <c r="O39" s="15"/>
      <c r="P39" s="15"/>
      <c r="Q39" s="15" t="s">
        <v>1762</v>
      </c>
    </row>
    <row r="40" spans="1:17" x14ac:dyDescent="0.2">
      <c r="B40" s="15" t="b">
        <v>1</v>
      </c>
      <c r="C40" s="15" t="b">
        <v>1</v>
      </c>
      <c r="D40" s="15" t="s">
        <v>108</v>
      </c>
      <c r="E40" t="str">
        <f>IF(G40&lt;&gt;"",VLOOKUP(G40,PHA4GEVars!$A$7:$B$241,2,FALSE),"")</f>
        <v>Sample collection and processing</v>
      </c>
      <c r="F40" s="15" t="s">
        <v>1754</v>
      </c>
      <c r="G40" s="15" t="s">
        <v>1784</v>
      </c>
      <c r="H40" t="s">
        <v>1866</v>
      </c>
      <c r="I40" s="15" t="s">
        <v>1183</v>
      </c>
      <c r="K40" s="15" t="s">
        <v>1234</v>
      </c>
      <c r="L40" t="s">
        <v>1880</v>
      </c>
      <c r="Q40" s="15" t="s">
        <v>1862</v>
      </c>
    </row>
    <row r="41" spans="1:17" x14ac:dyDescent="0.2">
      <c r="B41" s="15" t="b">
        <v>1</v>
      </c>
      <c r="C41" s="15" t="b">
        <v>1</v>
      </c>
      <c r="D41" s="15" t="s">
        <v>108</v>
      </c>
      <c r="E41" t="str">
        <f>IF(G41&lt;&gt;"",VLOOKUP(G41,PHA4GEVars!$A$7:$B$241,2,FALSE),"")</f>
        <v>Sample collection and processing</v>
      </c>
      <c r="F41" s="15" t="s">
        <v>1754</v>
      </c>
      <c r="G41" s="15" t="s">
        <v>1784</v>
      </c>
      <c r="H41" t="s">
        <v>1867</v>
      </c>
      <c r="I41" s="15" t="s">
        <v>1183</v>
      </c>
      <c r="K41" s="15" t="s">
        <v>1234</v>
      </c>
      <c r="L41" t="s">
        <v>1881</v>
      </c>
      <c r="Q41" s="15" t="s">
        <v>1862</v>
      </c>
    </row>
    <row r="42" spans="1:17" x14ac:dyDescent="0.2">
      <c r="B42" s="15" t="b">
        <v>1</v>
      </c>
      <c r="C42" s="15" t="b">
        <v>1</v>
      </c>
      <c r="D42" s="15" t="s">
        <v>108</v>
      </c>
      <c r="E42" t="str">
        <f>IF(G42&lt;&gt;"",VLOOKUP(G42,PHA4GEVars!$A$7:$B$241,2,FALSE),"")</f>
        <v>Sample collection and processing</v>
      </c>
      <c r="F42" s="15" t="s">
        <v>1754</v>
      </c>
      <c r="G42" s="15" t="s">
        <v>1784</v>
      </c>
      <c r="H42" t="s">
        <v>1868</v>
      </c>
      <c r="I42" s="15" t="s">
        <v>1183</v>
      </c>
      <c r="K42" s="15" t="s">
        <v>1234</v>
      </c>
      <c r="L42" t="s">
        <v>1882</v>
      </c>
      <c r="Q42" s="15" t="s">
        <v>1862</v>
      </c>
    </row>
    <row r="43" spans="1:17" x14ac:dyDescent="0.2">
      <c r="B43" s="15" t="b">
        <v>1</v>
      </c>
      <c r="C43" s="15" t="b">
        <v>1</v>
      </c>
      <c r="D43" s="15" t="s">
        <v>108</v>
      </c>
      <c r="E43" t="str">
        <f>IF(G43&lt;&gt;"",VLOOKUP(G43,PHA4GEVars!$A$7:$B$241,2,FALSE),"")</f>
        <v>Sample collection and processing</v>
      </c>
      <c r="F43" s="15" t="s">
        <v>1754</v>
      </c>
      <c r="G43" s="15" t="s">
        <v>1784</v>
      </c>
      <c r="H43" t="s">
        <v>1869</v>
      </c>
      <c r="I43" s="15" t="s">
        <v>1183</v>
      </c>
      <c r="K43" s="15" t="s">
        <v>1234</v>
      </c>
      <c r="L43" t="s">
        <v>1883</v>
      </c>
      <c r="Q43" s="15" t="s">
        <v>1862</v>
      </c>
    </row>
    <row r="44" spans="1:17" x14ac:dyDescent="0.2">
      <c r="B44" s="15" t="b">
        <v>1</v>
      </c>
      <c r="C44" s="15" t="b">
        <v>1</v>
      </c>
      <c r="D44" s="15" t="s">
        <v>108</v>
      </c>
      <c r="E44" t="str">
        <f>IF(G44&lt;&gt;"",VLOOKUP(G44,PHA4GEVars!$A$7:$B$241,2,FALSE),"")</f>
        <v>Sample collection and processing</v>
      </c>
      <c r="F44" s="15" t="s">
        <v>1754</v>
      </c>
      <c r="G44" s="15" t="s">
        <v>1784</v>
      </c>
      <c r="H44" t="s">
        <v>1870</v>
      </c>
      <c r="I44" s="15" t="s">
        <v>1183</v>
      </c>
      <c r="K44" s="15" t="s">
        <v>1234</v>
      </c>
      <c r="L44" t="s">
        <v>1884</v>
      </c>
      <c r="Q44" s="15" t="s">
        <v>1862</v>
      </c>
    </row>
    <row r="45" spans="1:17" x14ac:dyDescent="0.2">
      <c r="B45" s="15" t="b">
        <v>1</v>
      </c>
      <c r="C45" s="15" t="b">
        <v>1</v>
      </c>
      <c r="D45" s="15" t="s">
        <v>108</v>
      </c>
      <c r="E45" t="str">
        <f>IF(G45&lt;&gt;"",VLOOKUP(G45,PHA4GEVars!$A$7:$B$241,2,FALSE),"")</f>
        <v>Sample collection and processing</v>
      </c>
      <c r="F45" s="15" t="s">
        <v>1754</v>
      </c>
      <c r="G45" s="15" t="s">
        <v>1784</v>
      </c>
      <c r="H45" t="s">
        <v>1871</v>
      </c>
      <c r="I45" s="15" t="s">
        <v>1183</v>
      </c>
      <c r="K45" s="15" t="s">
        <v>1234</v>
      </c>
      <c r="L45" t="s">
        <v>1885</v>
      </c>
      <c r="Q45" s="15" t="s">
        <v>1862</v>
      </c>
    </row>
    <row r="46" spans="1:17" x14ac:dyDescent="0.2">
      <c r="B46" s="15" t="b">
        <v>1</v>
      </c>
      <c r="C46" s="15" t="b">
        <v>1</v>
      </c>
      <c r="D46" s="15" t="s">
        <v>108</v>
      </c>
      <c r="E46" t="str">
        <f>IF(G46&lt;&gt;"",VLOOKUP(G46,PHA4GEVars!$A$7:$B$241,2,FALSE),"")</f>
        <v>Sample collection and processing</v>
      </c>
      <c r="F46" s="15" t="s">
        <v>1754</v>
      </c>
      <c r="G46" s="15" t="s">
        <v>1784</v>
      </c>
      <c r="H46" t="s">
        <v>1872</v>
      </c>
      <c r="I46" s="15" t="s">
        <v>1183</v>
      </c>
      <c r="K46" s="15" t="s">
        <v>1234</v>
      </c>
      <c r="L46" t="s">
        <v>1886</v>
      </c>
      <c r="Q46" s="15" t="s">
        <v>1862</v>
      </c>
    </row>
    <row r="47" spans="1:17" x14ac:dyDescent="0.2">
      <c r="B47" s="15" t="b">
        <v>1</v>
      </c>
      <c r="C47" s="15" t="b">
        <v>1</v>
      </c>
      <c r="D47" s="15" t="s">
        <v>108</v>
      </c>
      <c r="E47" t="str">
        <f>IF(G47&lt;&gt;"",VLOOKUP(G47,PHA4GEVars!$A$7:$B$241,2,FALSE),"")</f>
        <v>Sample collection and processing</v>
      </c>
      <c r="F47" s="15" t="s">
        <v>1754</v>
      </c>
      <c r="G47" s="15" t="s">
        <v>1784</v>
      </c>
      <c r="H47" t="s">
        <v>1873</v>
      </c>
      <c r="I47" s="15" t="s">
        <v>1183</v>
      </c>
      <c r="K47" s="15" t="s">
        <v>1234</v>
      </c>
      <c r="L47" t="s">
        <v>1887</v>
      </c>
      <c r="Q47" s="15" t="s">
        <v>1862</v>
      </c>
    </row>
    <row r="48" spans="1:17" x14ac:dyDescent="0.2">
      <c r="B48" s="15" t="b">
        <v>1</v>
      </c>
      <c r="C48" s="15" t="b">
        <v>1</v>
      </c>
      <c r="D48" s="15" t="s">
        <v>108</v>
      </c>
      <c r="E48" t="str">
        <f>IF(G48&lt;&gt;"",VLOOKUP(G48,PHA4GEVars!$A$7:$B$241,2,FALSE),"")</f>
        <v>Sample collection and processing</v>
      </c>
      <c r="F48" s="15" t="s">
        <v>1754</v>
      </c>
      <c r="G48" s="15" t="s">
        <v>1784</v>
      </c>
      <c r="H48" t="s">
        <v>1874</v>
      </c>
      <c r="I48" s="15" t="s">
        <v>1183</v>
      </c>
      <c r="K48" s="15" t="s">
        <v>1234</v>
      </c>
      <c r="L48" t="s">
        <v>1888</v>
      </c>
      <c r="Q48" s="15" t="s">
        <v>1862</v>
      </c>
    </row>
    <row r="49" spans="1:17" x14ac:dyDescent="0.2">
      <c r="B49" s="15" t="b">
        <v>1</v>
      </c>
      <c r="C49" s="15" t="b">
        <v>1</v>
      </c>
      <c r="D49" s="15" t="s">
        <v>108</v>
      </c>
      <c r="E49" t="str">
        <f>IF(G49&lt;&gt;"",VLOOKUP(G49,PHA4GEVars!$A$7:$B$241,2,FALSE),"")</f>
        <v>Sample collection and processing</v>
      </c>
      <c r="F49" s="15" t="s">
        <v>1754</v>
      </c>
      <c r="G49" s="15" t="s">
        <v>1784</v>
      </c>
      <c r="H49" t="s">
        <v>1875</v>
      </c>
      <c r="I49" s="15" t="s">
        <v>1183</v>
      </c>
      <c r="K49" s="15" t="s">
        <v>1234</v>
      </c>
      <c r="L49" t="s">
        <v>1889</v>
      </c>
      <c r="Q49" s="15" t="s">
        <v>1862</v>
      </c>
    </row>
    <row r="50" spans="1:17" x14ac:dyDescent="0.2">
      <c r="B50" s="15" t="b">
        <v>1</v>
      </c>
      <c r="C50" s="15" t="b">
        <v>1</v>
      </c>
      <c r="D50" s="15" t="s">
        <v>108</v>
      </c>
      <c r="E50" t="str">
        <f>IF(G50&lt;&gt;"",VLOOKUP(G50,PHA4GEVars!$A$7:$B$241,2,FALSE),"")</f>
        <v>Sample collection and processing</v>
      </c>
      <c r="F50" s="15" t="s">
        <v>1754</v>
      </c>
      <c r="G50" s="15" t="s">
        <v>1784</v>
      </c>
      <c r="H50" t="s">
        <v>1876</v>
      </c>
      <c r="I50" s="15" t="s">
        <v>1183</v>
      </c>
      <c r="K50" s="15" t="s">
        <v>1234</v>
      </c>
      <c r="L50" t="s">
        <v>1890</v>
      </c>
      <c r="Q50" s="15" t="s">
        <v>1862</v>
      </c>
    </row>
    <row r="51" spans="1:17" x14ac:dyDescent="0.2">
      <c r="B51" s="15" t="b">
        <v>1</v>
      </c>
      <c r="C51" s="15" t="b">
        <v>1</v>
      </c>
      <c r="D51" s="15" t="s">
        <v>108</v>
      </c>
      <c r="E51" t="str">
        <f>IF(G51&lt;&gt;"",VLOOKUP(G51,PHA4GEVars!$A$7:$B$241,2,FALSE),"")</f>
        <v>Sample collection and processing</v>
      </c>
      <c r="F51" s="15" t="s">
        <v>1754</v>
      </c>
      <c r="G51" s="15" t="s">
        <v>1784</v>
      </c>
      <c r="H51" t="s">
        <v>1877</v>
      </c>
      <c r="I51" s="15" t="s">
        <v>1183</v>
      </c>
      <c r="K51" s="15" t="s">
        <v>1234</v>
      </c>
      <c r="L51" t="s">
        <v>1891</v>
      </c>
      <c r="Q51" s="15" t="s">
        <v>1862</v>
      </c>
    </row>
    <row r="52" spans="1:17" x14ac:dyDescent="0.2">
      <c r="B52" s="15" t="b">
        <v>1</v>
      </c>
      <c r="C52" s="15" t="b">
        <v>1</v>
      </c>
      <c r="D52" s="15" t="s">
        <v>108</v>
      </c>
      <c r="E52" t="str">
        <f>IF(G52&lt;&gt;"",VLOOKUP(G52,PHA4GEVars!$A$7:$B$241,2,FALSE),"")</f>
        <v>Sample collection and processing</v>
      </c>
      <c r="F52" s="15" t="s">
        <v>1754</v>
      </c>
      <c r="G52" s="15" t="s">
        <v>1784</v>
      </c>
      <c r="H52" t="s">
        <v>1878</v>
      </c>
      <c r="I52" s="15" t="s">
        <v>1183</v>
      </c>
      <c r="K52" s="15" t="s">
        <v>1234</v>
      </c>
      <c r="L52" t="s">
        <v>1892</v>
      </c>
      <c r="Q52" s="15" t="s">
        <v>1862</v>
      </c>
    </row>
    <row r="53" spans="1:17" x14ac:dyDescent="0.2">
      <c r="B53" s="15" t="b">
        <v>1</v>
      </c>
      <c r="C53" s="15" t="b">
        <v>1</v>
      </c>
      <c r="D53" s="15" t="s">
        <v>108</v>
      </c>
      <c r="E53" t="str">
        <f>IF(G53&lt;&gt;"",VLOOKUP(G53,PHA4GEVars!$A$7:$B$241,2,FALSE),"")</f>
        <v>Sample collection and processing</v>
      </c>
      <c r="F53" s="15" t="s">
        <v>1754</v>
      </c>
      <c r="G53" s="15" t="s">
        <v>1784</v>
      </c>
      <c r="H53" t="s">
        <v>1879</v>
      </c>
      <c r="I53" s="15" t="s">
        <v>1183</v>
      </c>
      <c r="K53" s="15" t="s">
        <v>1234</v>
      </c>
      <c r="L53" t="s">
        <v>1893</v>
      </c>
      <c r="Q53" s="15" t="s">
        <v>1862</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1754</v>
      </c>
      <c r="G55" s="15" t="s">
        <v>1078</v>
      </c>
      <c r="H55" s="15" t="s">
        <v>441</v>
      </c>
      <c r="I55" s="15" t="s">
        <v>1183</v>
      </c>
      <c r="J55" s="15"/>
      <c r="K55" s="15" t="s">
        <v>1283</v>
      </c>
      <c r="L55" s="15" t="s">
        <v>1285</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1754</v>
      </c>
      <c r="G56" s="15" t="s">
        <v>1079</v>
      </c>
      <c r="H56" s="15" t="s">
        <v>441</v>
      </c>
      <c r="I56" s="15" t="s">
        <v>1183</v>
      </c>
      <c r="J56" s="15"/>
      <c r="K56" s="15" t="s">
        <v>1284</v>
      </c>
      <c r="L56" s="15" t="s">
        <v>1286</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1754</v>
      </c>
      <c r="G57" s="15" t="s">
        <v>1779</v>
      </c>
      <c r="H57" s="15" t="s">
        <v>441</v>
      </c>
      <c r="I57" s="15" t="s">
        <v>1183</v>
      </c>
      <c r="J57" s="15"/>
      <c r="K57" s="15" t="s">
        <v>1153</v>
      </c>
      <c r="L57" s="15" t="s">
        <v>1203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1754</v>
      </c>
      <c r="G59" s="16" t="s">
        <v>143</v>
      </c>
      <c r="H59" s="16" t="s">
        <v>1518</v>
      </c>
      <c r="I59" s="16" t="s">
        <v>1183</v>
      </c>
      <c r="J59" s="16"/>
      <c r="K59" s="16" t="s">
        <v>1235</v>
      </c>
      <c r="L59" s="16" t="s">
        <v>1236</v>
      </c>
      <c r="M59" s="16"/>
      <c r="N59" s="16"/>
      <c r="O59" s="16"/>
      <c r="P59" s="22" t="s">
        <v>1528</v>
      </c>
      <c r="Q59" s="16" t="s">
        <v>1685</v>
      </c>
    </row>
    <row r="60" spans="1:17" s="17" customFormat="1" x14ac:dyDescent="0.2">
      <c r="A60" s="16">
        <v>681</v>
      </c>
      <c r="B60" s="15" t="b">
        <v>1</v>
      </c>
      <c r="C60" s="15" t="b">
        <v>1</v>
      </c>
      <c r="D60" s="16" t="s">
        <v>108</v>
      </c>
      <c r="E60" s="17" t="str">
        <f>IF(G60&lt;&gt;"",VLOOKUP(G60,PHA4GEVars!$A$7:$B$241,2,FALSE),"")</f>
        <v>Sample collection and processing</v>
      </c>
      <c r="F60" s="16" t="s">
        <v>1754</v>
      </c>
      <c r="G60" s="16" t="s">
        <v>143</v>
      </c>
      <c r="H60" s="16" t="s">
        <v>1519</v>
      </c>
      <c r="I60" s="16" t="s">
        <v>1183</v>
      </c>
      <c r="J60" s="16"/>
      <c r="K60" s="16" t="s">
        <v>1235</v>
      </c>
      <c r="L60" s="16" t="s">
        <v>1237</v>
      </c>
      <c r="M60" s="16"/>
      <c r="N60" s="16"/>
      <c r="O60" s="16"/>
      <c r="P60" s="22" t="s">
        <v>1528</v>
      </c>
      <c r="Q60" s="16" t="s">
        <v>1685</v>
      </c>
    </row>
    <row r="61" spans="1:17" s="17" customFormat="1" x14ac:dyDescent="0.2">
      <c r="A61" s="16">
        <v>682</v>
      </c>
      <c r="B61" s="15" t="b">
        <v>1</v>
      </c>
      <c r="C61" s="15" t="b">
        <v>1</v>
      </c>
      <c r="D61" s="16" t="s">
        <v>108</v>
      </c>
      <c r="E61" s="17" t="str">
        <f>IF(G61&lt;&gt;"",VLOOKUP(G61,PHA4GEVars!$A$7:$B$241,2,FALSE),"")</f>
        <v>Sample collection and processing</v>
      </c>
      <c r="F61" s="16" t="s">
        <v>1754</v>
      </c>
      <c r="G61" s="16" t="s">
        <v>143</v>
      </c>
      <c r="H61" s="16" t="s">
        <v>1991</v>
      </c>
      <c r="I61" s="16" t="s">
        <v>1183</v>
      </c>
      <c r="J61" s="16"/>
      <c r="K61" s="16" t="s">
        <v>1235</v>
      </c>
      <c r="L61" s="16" t="s">
        <v>1524</v>
      </c>
      <c r="M61" s="16"/>
      <c r="N61" s="16"/>
      <c r="O61" s="16"/>
      <c r="P61" s="22" t="s">
        <v>1528</v>
      </c>
      <c r="Q61" s="16" t="s">
        <v>1685</v>
      </c>
    </row>
    <row r="62" spans="1:17" s="17" customFormat="1" x14ac:dyDescent="0.2">
      <c r="A62" s="16">
        <v>683</v>
      </c>
      <c r="B62" s="15" t="b">
        <v>1</v>
      </c>
      <c r="C62" s="15" t="b">
        <v>1</v>
      </c>
      <c r="D62" s="16" t="s">
        <v>108</v>
      </c>
      <c r="E62" s="17" t="str">
        <f>IF(G62&lt;&gt;"",VLOOKUP(G62,PHA4GEVars!$A$7:$B$241,2,FALSE),"")</f>
        <v>Sample collection and processing</v>
      </c>
      <c r="F62" s="16" t="s">
        <v>1754</v>
      </c>
      <c r="G62" s="16" t="s">
        <v>143</v>
      </c>
      <c r="H62" s="16" t="s">
        <v>1130</v>
      </c>
      <c r="I62" s="16" t="s">
        <v>1183</v>
      </c>
      <c r="J62" s="16"/>
      <c r="K62" s="16" t="s">
        <v>1235</v>
      </c>
      <c r="L62" s="16" t="s">
        <v>1233</v>
      </c>
      <c r="M62" s="16"/>
      <c r="N62" s="16"/>
      <c r="O62" s="16"/>
      <c r="P62" s="22" t="s">
        <v>1528</v>
      </c>
      <c r="Q62" s="16" t="s">
        <v>1685</v>
      </c>
    </row>
    <row r="63" spans="1:17" s="17" customFormat="1" x14ac:dyDescent="0.2">
      <c r="A63" s="16">
        <v>684</v>
      </c>
      <c r="B63" s="15" t="b">
        <v>1</v>
      </c>
      <c r="C63" s="15" t="b">
        <v>1</v>
      </c>
      <c r="D63" s="16" t="s">
        <v>108</v>
      </c>
      <c r="E63" s="17" t="str">
        <f>IF(G63&lt;&gt;"",VLOOKUP(G63,PHA4GEVars!$A$7:$B$241,2,FALSE),"")</f>
        <v>Sample collection and processing</v>
      </c>
      <c r="F63" s="16" t="s">
        <v>1754</v>
      </c>
      <c r="G63" s="16" t="s">
        <v>143</v>
      </c>
      <c r="H63" s="16" t="s">
        <v>1520</v>
      </c>
      <c r="I63" s="16" t="s">
        <v>1183</v>
      </c>
      <c r="J63" s="16"/>
      <c r="K63" s="16" t="s">
        <v>1235</v>
      </c>
      <c r="L63" s="16" t="s">
        <v>1525</v>
      </c>
      <c r="M63" s="16"/>
      <c r="N63" s="16"/>
      <c r="O63" s="16"/>
      <c r="P63" s="22" t="s">
        <v>1528</v>
      </c>
      <c r="Q63" s="16" t="s">
        <v>1685</v>
      </c>
    </row>
    <row r="64" spans="1:17" s="17" customFormat="1" x14ac:dyDescent="0.2">
      <c r="A64" s="16">
        <v>685</v>
      </c>
      <c r="B64" s="15" t="b">
        <v>1</v>
      </c>
      <c r="C64" s="15" t="b">
        <v>1</v>
      </c>
      <c r="D64" s="16" t="s">
        <v>108</v>
      </c>
      <c r="E64" s="17" t="str">
        <f>IF(G64&lt;&gt;"",VLOOKUP(G64,PHA4GEVars!$A$7:$B$241,2,FALSE),"")</f>
        <v>Sample collection and processing</v>
      </c>
      <c r="F64" s="16" t="s">
        <v>1754</v>
      </c>
      <c r="G64" s="16" t="s">
        <v>143</v>
      </c>
      <c r="H64" s="16" t="s">
        <v>1521</v>
      </c>
      <c r="I64" s="16" t="s">
        <v>1183</v>
      </c>
      <c r="J64" s="16"/>
      <c r="K64" s="16" t="s">
        <v>1235</v>
      </c>
      <c r="L64" s="16" t="s">
        <v>1238</v>
      </c>
      <c r="M64" s="16"/>
      <c r="N64" s="16"/>
      <c r="O64" s="16"/>
      <c r="P64" s="22" t="s">
        <v>1528</v>
      </c>
      <c r="Q64" s="16" t="s">
        <v>1685</v>
      </c>
    </row>
    <row r="65" spans="1:17" s="17" customFormat="1" x14ac:dyDescent="0.2">
      <c r="A65" s="16">
        <v>686</v>
      </c>
      <c r="B65" s="15" t="b">
        <v>1</v>
      </c>
      <c r="C65" s="15" t="b">
        <v>1</v>
      </c>
      <c r="D65" s="16" t="s">
        <v>108</v>
      </c>
      <c r="E65" s="17" t="str">
        <f>IF(G65&lt;&gt;"",VLOOKUP(G65,PHA4GEVars!$A$7:$B$241,2,FALSE),"")</f>
        <v>Sample collection and processing</v>
      </c>
      <c r="F65" s="16" t="s">
        <v>1754</v>
      </c>
      <c r="G65" s="16" t="s">
        <v>143</v>
      </c>
      <c r="H65" s="16" t="s">
        <v>1522</v>
      </c>
      <c r="I65" s="16" t="s">
        <v>1183</v>
      </c>
      <c r="J65" s="16"/>
      <c r="K65" s="16" t="s">
        <v>1235</v>
      </c>
      <c r="L65" s="16" t="s">
        <v>1526</v>
      </c>
      <c r="M65" s="16"/>
      <c r="N65" s="16"/>
      <c r="O65" s="16"/>
      <c r="P65" s="22" t="s">
        <v>1528</v>
      </c>
      <c r="Q65" s="16" t="s">
        <v>1685</v>
      </c>
    </row>
    <row r="66" spans="1:17" s="17" customFormat="1" x14ac:dyDescent="0.2">
      <c r="A66" s="16">
        <v>687</v>
      </c>
      <c r="B66" s="15" t="b">
        <v>1</v>
      </c>
      <c r="C66" s="15" t="b">
        <v>1</v>
      </c>
      <c r="D66" s="16" t="s">
        <v>108</v>
      </c>
      <c r="E66" s="17" t="str">
        <f>IF(G66&lt;&gt;"",VLOOKUP(G66,PHA4GEVars!$A$7:$B$241,2,FALSE),"")</f>
        <v>Sample collection and processing</v>
      </c>
      <c r="F66" s="16" t="s">
        <v>1754</v>
      </c>
      <c r="G66" s="16" t="s">
        <v>143</v>
      </c>
      <c r="H66" s="16" t="s">
        <v>1523</v>
      </c>
      <c r="I66" s="16" t="s">
        <v>1183</v>
      </c>
      <c r="J66" s="16"/>
      <c r="K66" s="16" t="s">
        <v>1235</v>
      </c>
      <c r="L66" s="16" t="s">
        <v>1527</v>
      </c>
      <c r="M66" s="16"/>
      <c r="N66" s="16"/>
      <c r="O66" s="16"/>
      <c r="P66" s="22" t="s">
        <v>1528</v>
      </c>
      <c r="Q66" s="16" t="s">
        <v>1685</v>
      </c>
    </row>
    <row r="68" spans="1:17" x14ac:dyDescent="0.2">
      <c r="B68" s="15" t="b">
        <v>1</v>
      </c>
      <c r="C68" s="15" t="b">
        <v>1</v>
      </c>
      <c r="F68" s="15" t="s">
        <v>1754</v>
      </c>
      <c r="I68" s="15" t="s">
        <v>1183</v>
      </c>
      <c r="K68" s="15" t="s">
        <v>1972</v>
      </c>
      <c r="M68" t="s">
        <v>2020</v>
      </c>
    </row>
    <row r="69" spans="1:17" x14ac:dyDescent="0.2">
      <c r="B69" s="15" t="b">
        <v>1</v>
      </c>
      <c r="C69" s="15" t="b">
        <v>1</v>
      </c>
      <c r="F69" s="15" t="s">
        <v>1754</v>
      </c>
      <c r="I69" s="15" t="s">
        <v>1183</v>
      </c>
      <c r="K69" s="15" t="s">
        <v>1975</v>
      </c>
      <c r="M69" t="s">
        <v>2020</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1386</v>
      </c>
      <c r="B1" s="10" t="s">
        <v>1669</v>
      </c>
      <c r="C1" s="7" t="s">
        <v>0</v>
      </c>
      <c r="D1" s="6" t="s">
        <v>10</v>
      </c>
      <c r="E1" s="3" t="s">
        <v>1</v>
      </c>
      <c r="F1" s="3" t="s">
        <v>2</v>
      </c>
      <c r="G1" s="3" t="s">
        <v>3</v>
      </c>
      <c r="H1" s="3" t="s">
        <v>4</v>
      </c>
      <c r="I1" s="3" t="s">
        <v>1688</v>
      </c>
      <c r="J1" s="3" t="s">
        <v>5</v>
      </c>
      <c r="K1" s="3" t="s">
        <v>6</v>
      </c>
      <c r="L1" s="3" t="s">
        <v>1676</v>
      </c>
      <c r="M1" s="3" t="s">
        <v>8</v>
      </c>
      <c r="N1" s="4" t="s">
        <v>9</v>
      </c>
      <c r="O1" s="7" t="s">
        <v>1668</v>
      </c>
    </row>
    <row r="2" spans="1:15" ht="19" x14ac:dyDescent="0.25">
      <c r="A2" s="9" t="s">
        <v>1761</v>
      </c>
      <c r="B2" s="10"/>
      <c r="C2" s="7"/>
      <c r="D2" s="7"/>
      <c r="E2" s="7"/>
      <c r="F2" s="7"/>
      <c r="G2" s="7"/>
      <c r="H2" s="7"/>
      <c r="I2" s="7"/>
      <c r="J2" s="7"/>
      <c r="K2" s="7"/>
      <c r="L2" s="7"/>
      <c r="M2" s="7"/>
      <c r="N2" s="7"/>
      <c r="O2" s="7"/>
    </row>
    <row r="3" spans="1:15" x14ac:dyDescent="0.2">
      <c r="A3" s="12">
        <v>216</v>
      </c>
      <c r="B3" s="13" t="b">
        <v>1</v>
      </c>
      <c r="C3" s="12"/>
      <c r="D3" s="12" t="s">
        <v>24</v>
      </c>
      <c r="E3" s="12" t="s">
        <v>1754</v>
      </c>
      <c r="F3" s="12" t="s">
        <v>1790</v>
      </c>
      <c r="G3" s="12"/>
      <c r="H3" s="14"/>
      <c r="I3" s="14" t="s">
        <v>1035</v>
      </c>
      <c r="J3" s="12"/>
      <c r="K3" s="12"/>
      <c r="L3" s="12"/>
      <c r="M3" s="12"/>
      <c r="N3" s="5"/>
      <c r="O3" s="9"/>
    </row>
    <row r="4" spans="1:15" x14ac:dyDescent="0.2">
      <c r="A4" s="12">
        <v>229</v>
      </c>
      <c r="B4" s="12" t="b">
        <v>1</v>
      </c>
      <c r="C4" s="12"/>
      <c r="D4" s="12" t="s">
        <v>441</v>
      </c>
      <c r="E4" s="12" t="s">
        <v>1754</v>
      </c>
      <c r="F4" s="12" t="s">
        <v>435</v>
      </c>
      <c r="G4" s="12" t="s">
        <v>436</v>
      </c>
      <c r="H4" s="12" t="s">
        <v>441</v>
      </c>
      <c r="I4" s="12"/>
      <c r="J4" s="12" t="s">
        <v>441</v>
      </c>
      <c r="K4" s="12" t="s">
        <v>441</v>
      </c>
      <c r="L4" s="12"/>
      <c r="M4" s="12"/>
      <c r="N4" s="11" t="s">
        <v>1057</v>
      </c>
      <c r="O4" s="9"/>
    </row>
    <row r="5" spans="1:15" x14ac:dyDescent="0.2">
      <c r="A5" s="12">
        <v>230</v>
      </c>
      <c r="B5" s="12" t="b">
        <v>1</v>
      </c>
      <c r="C5" s="12"/>
      <c r="D5" s="12" t="s">
        <v>441</v>
      </c>
      <c r="E5" s="12" t="s">
        <v>1754</v>
      </c>
      <c r="F5" s="12" t="s">
        <v>435</v>
      </c>
      <c r="G5" s="12" t="s">
        <v>437</v>
      </c>
      <c r="H5" s="12" t="s">
        <v>441</v>
      </c>
      <c r="I5" s="12"/>
      <c r="J5" s="12" t="s">
        <v>441</v>
      </c>
      <c r="K5" s="12" t="s">
        <v>441</v>
      </c>
      <c r="L5" s="12"/>
      <c r="M5" s="12"/>
      <c r="N5" s="11" t="s">
        <v>1057</v>
      </c>
      <c r="O5" s="9"/>
    </row>
    <row r="6" spans="1:15" x14ac:dyDescent="0.2">
      <c r="A6" s="12">
        <v>231</v>
      </c>
      <c r="B6" s="12" t="b">
        <v>1</v>
      </c>
      <c r="C6" s="12"/>
      <c r="D6" s="12" t="s">
        <v>441</v>
      </c>
      <c r="E6" s="12" t="s">
        <v>1754</v>
      </c>
      <c r="F6" s="12" t="s">
        <v>435</v>
      </c>
      <c r="G6" s="12" t="s">
        <v>438</v>
      </c>
      <c r="H6" s="12" t="s">
        <v>441</v>
      </c>
      <c r="I6" s="12"/>
      <c r="J6" s="12" t="s">
        <v>441</v>
      </c>
      <c r="K6" s="12" t="s">
        <v>1055</v>
      </c>
      <c r="L6" s="12"/>
      <c r="M6" s="12"/>
      <c r="N6" s="5"/>
      <c r="O6" s="9"/>
    </row>
    <row r="7" spans="1:15" x14ac:dyDescent="0.2">
      <c r="A7" s="12">
        <v>232</v>
      </c>
      <c r="B7" s="12" t="b">
        <v>1</v>
      </c>
      <c r="C7" s="12"/>
      <c r="D7" s="12" t="s">
        <v>441</v>
      </c>
      <c r="E7" s="12" t="s">
        <v>1754</v>
      </c>
      <c r="F7" s="12" t="s">
        <v>435</v>
      </c>
      <c r="G7" s="12" t="s">
        <v>439</v>
      </c>
      <c r="H7" s="12" t="s">
        <v>441</v>
      </c>
      <c r="I7" s="12"/>
      <c r="J7" s="12" t="s">
        <v>441</v>
      </c>
      <c r="K7" s="12" t="s">
        <v>1054</v>
      </c>
      <c r="L7" s="12"/>
      <c r="M7" s="12"/>
      <c r="N7" s="5"/>
      <c r="O7" s="9"/>
    </row>
    <row r="8" spans="1:15" x14ac:dyDescent="0.2">
      <c r="A8" s="12">
        <v>233</v>
      </c>
      <c r="B8" s="12" t="b">
        <v>1</v>
      </c>
      <c r="C8" s="12"/>
      <c r="D8" s="12" t="s">
        <v>441</v>
      </c>
      <c r="E8" s="12" t="s">
        <v>1754</v>
      </c>
      <c r="F8" s="12" t="s">
        <v>435</v>
      </c>
      <c r="G8" s="12" t="s">
        <v>440</v>
      </c>
      <c r="H8" s="12" t="s">
        <v>441</v>
      </c>
      <c r="I8" s="12"/>
      <c r="J8" s="12" t="s">
        <v>441</v>
      </c>
      <c r="K8" s="12" t="s">
        <v>1056</v>
      </c>
      <c r="L8" s="12"/>
      <c r="M8" s="12"/>
      <c r="N8" s="5"/>
      <c r="O8" s="9"/>
    </row>
    <row r="9" spans="1:15" x14ac:dyDescent="0.2">
      <c r="A9" s="12">
        <v>676</v>
      </c>
      <c r="B9" s="12"/>
      <c r="C9" s="12"/>
      <c r="D9" s="12" t="s">
        <v>108</v>
      </c>
      <c r="E9" s="12" t="s">
        <v>1754</v>
      </c>
      <c r="F9" s="12" t="s">
        <v>128</v>
      </c>
      <c r="G9" s="12" t="s">
        <v>1127</v>
      </c>
      <c r="H9" s="14" t="s">
        <v>1627</v>
      </c>
      <c r="I9" s="14"/>
      <c r="J9" s="12"/>
      <c r="K9" s="12"/>
      <c r="L9" s="12"/>
      <c r="M9" s="12"/>
      <c r="N9" s="11" t="s">
        <v>1627</v>
      </c>
      <c r="O9" s="9" t="s">
        <v>1670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19" zoomScale="131" workbookViewId="0">
      <selection activeCell="A46" sqref="A46"/>
    </sheetView>
  </sheetViews>
  <sheetFormatPr baseColWidth="10" defaultRowHeight="16" x14ac:dyDescent="0.2"/>
  <cols>
    <col min="1" max="1" width="34.83203125" customWidth="1"/>
    <col min="2" max="2" width="25.6640625" customWidth="1"/>
  </cols>
  <sheetData>
    <row r="1" spans="1:2" ht="17" x14ac:dyDescent="0.2">
      <c r="A1" s="36" t="s">
        <v>1767</v>
      </c>
      <c r="B1" s="36" t="s">
        <v>1766</v>
      </c>
    </row>
    <row r="2" spans="1:2" ht="17" x14ac:dyDescent="0.2">
      <c r="A2" s="38" t="s">
        <v>1768</v>
      </c>
      <c r="B2" s="37"/>
    </row>
    <row r="3" spans="1:2" x14ac:dyDescent="0.2">
      <c r="A3" s="40" t="s">
        <v>1769</v>
      </c>
      <c r="B3" s="39"/>
    </row>
    <row r="4" spans="1:2" x14ac:dyDescent="0.2">
      <c r="A4" s="41" t="s">
        <v>1770</v>
      </c>
      <c r="B4" s="39"/>
    </row>
    <row r="5" spans="1:2" ht="17" thickBot="1" x14ac:dyDescent="0.25">
      <c r="A5" s="42" t="s">
        <v>1771</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1075</v>
      </c>
      <c r="B9" s="44" t="s">
        <v>66</v>
      </c>
    </row>
    <row r="10" spans="1:2" x14ac:dyDescent="0.2">
      <c r="A10" s="46" t="s">
        <v>90</v>
      </c>
      <c r="B10" s="44" t="s">
        <v>66</v>
      </c>
    </row>
    <row r="11" spans="1:2" x14ac:dyDescent="0.2">
      <c r="A11" s="46" t="s">
        <v>1076</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1772</v>
      </c>
      <c r="B15" s="44" t="s">
        <v>66</v>
      </c>
    </row>
    <row r="16" spans="1:2" x14ac:dyDescent="0.2">
      <c r="A16" s="46" t="s">
        <v>86</v>
      </c>
      <c r="B16" s="44" t="s">
        <v>66</v>
      </c>
    </row>
    <row r="17" spans="1:3" x14ac:dyDescent="0.2">
      <c r="A17" s="46" t="s">
        <v>1773</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1077</v>
      </c>
      <c r="B24" s="48" t="s">
        <v>108</v>
      </c>
      <c r="C24" t="s">
        <v>127</v>
      </c>
    </row>
    <row r="25" spans="1:3" x14ac:dyDescent="0.2">
      <c r="A25" s="46" t="s">
        <v>1774</v>
      </c>
      <c r="B25" s="50" t="s">
        <v>108</v>
      </c>
    </row>
    <row r="26" spans="1:3" x14ac:dyDescent="0.2">
      <c r="A26" s="45" t="s">
        <v>127</v>
      </c>
      <c r="B26" s="50" t="s">
        <v>108</v>
      </c>
      <c r="C26" t="s">
        <v>1970</v>
      </c>
    </row>
    <row r="27" spans="1:3" x14ac:dyDescent="0.2">
      <c r="A27" s="46" t="s">
        <v>109</v>
      </c>
      <c r="B27" s="50" t="s">
        <v>108</v>
      </c>
    </row>
    <row r="28" spans="1:3" x14ac:dyDescent="0.2">
      <c r="A28" s="45" t="s">
        <v>1775</v>
      </c>
      <c r="B28" s="50" t="s">
        <v>108</v>
      </c>
    </row>
    <row r="29" spans="1:3" x14ac:dyDescent="0.2">
      <c r="A29" s="45" t="s">
        <v>1776</v>
      </c>
      <c r="B29" s="50" t="s">
        <v>108</v>
      </c>
    </row>
    <row r="30" spans="1:3" x14ac:dyDescent="0.2">
      <c r="A30" s="46" t="s">
        <v>1777</v>
      </c>
      <c r="B30" s="50" t="s">
        <v>108</v>
      </c>
    </row>
    <row r="31" spans="1:3" x14ac:dyDescent="0.2">
      <c r="A31" s="46" t="s">
        <v>1778</v>
      </c>
      <c r="B31" s="50" t="s">
        <v>108</v>
      </c>
    </row>
    <row r="32" spans="1:3" x14ac:dyDescent="0.2">
      <c r="A32" s="46" t="s">
        <v>1779</v>
      </c>
      <c r="B32" s="50" t="s">
        <v>108</v>
      </c>
    </row>
    <row r="33" spans="1:2" x14ac:dyDescent="0.2">
      <c r="A33" s="46" t="s">
        <v>1078</v>
      </c>
      <c r="B33" s="50" t="s">
        <v>108</v>
      </c>
    </row>
    <row r="34" spans="1:2" x14ac:dyDescent="0.2">
      <c r="A34" s="46" t="s">
        <v>1079</v>
      </c>
      <c r="B34" s="50" t="s">
        <v>108</v>
      </c>
    </row>
    <row r="35" spans="1:2" x14ac:dyDescent="0.2">
      <c r="A35" s="46" t="s">
        <v>1080</v>
      </c>
      <c r="B35" s="50" t="s">
        <v>108</v>
      </c>
    </row>
    <row r="36" spans="1:2" x14ac:dyDescent="0.2">
      <c r="A36" s="46" t="s">
        <v>1081</v>
      </c>
      <c r="B36" s="50" t="s">
        <v>108</v>
      </c>
    </row>
    <row r="37" spans="1:2" x14ac:dyDescent="0.2">
      <c r="A37" s="45" t="s">
        <v>113</v>
      </c>
      <c r="B37" s="50" t="s">
        <v>108</v>
      </c>
    </row>
    <row r="38" spans="1:2" x14ac:dyDescent="0.2">
      <c r="A38" s="45" t="s">
        <v>146</v>
      </c>
      <c r="B38" s="50" t="s">
        <v>108</v>
      </c>
    </row>
    <row r="39" spans="1:2" x14ac:dyDescent="0.2">
      <c r="A39" s="47" t="s">
        <v>1082</v>
      </c>
      <c r="B39" s="50" t="s">
        <v>108</v>
      </c>
    </row>
    <row r="40" spans="1:2" x14ac:dyDescent="0.2">
      <c r="A40" s="46" t="s">
        <v>147</v>
      </c>
      <c r="B40" s="50" t="s">
        <v>108</v>
      </c>
    </row>
    <row r="41" spans="1:2" x14ac:dyDescent="0.2">
      <c r="A41" s="45" t="s">
        <v>144</v>
      </c>
      <c r="B41" s="50" t="s">
        <v>108</v>
      </c>
    </row>
    <row r="42" spans="1:2" x14ac:dyDescent="0.2">
      <c r="A42" s="51" t="s">
        <v>1083</v>
      </c>
      <c r="B42" s="50" t="s">
        <v>108</v>
      </c>
    </row>
    <row r="43" spans="1:2" x14ac:dyDescent="0.2">
      <c r="A43" s="46" t="s">
        <v>111</v>
      </c>
      <c r="B43" s="50" t="s">
        <v>108</v>
      </c>
    </row>
    <row r="44" spans="1:2" x14ac:dyDescent="0.2">
      <c r="A44" s="51" t="s">
        <v>1084</v>
      </c>
      <c r="B44" s="52" t="s">
        <v>108</v>
      </c>
    </row>
    <row r="45" spans="1:2" x14ac:dyDescent="0.2">
      <c r="A45" s="51" t="s">
        <v>1085</v>
      </c>
      <c r="B45" s="52" t="s">
        <v>108</v>
      </c>
    </row>
    <row r="46" spans="1:2" x14ac:dyDescent="0.2">
      <c r="A46" s="53" t="s">
        <v>123</v>
      </c>
      <c r="B46" s="52" t="s">
        <v>108</v>
      </c>
    </row>
    <row r="47" spans="1:2" x14ac:dyDescent="0.2">
      <c r="A47" s="54" t="s">
        <v>1780</v>
      </c>
      <c r="B47" s="52" t="s">
        <v>108</v>
      </c>
    </row>
    <row r="48" spans="1:2" x14ac:dyDescent="0.2">
      <c r="A48" s="54" t="s">
        <v>1781</v>
      </c>
      <c r="B48" s="52" t="s">
        <v>108</v>
      </c>
    </row>
    <row r="49" spans="1:2" x14ac:dyDescent="0.2">
      <c r="A49" s="53" t="s">
        <v>122</v>
      </c>
      <c r="B49" s="52" t="s">
        <v>108</v>
      </c>
    </row>
    <row r="50" spans="1:2" x14ac:dyDescent="0.2">
      <c r="A50" s="53" t="s">
        <v>1782</v>
      </c>
      <c r="B50" s="52" t="s">
        <v>108</v>
      </c>
    </row>
    <row r="51" spans="1:2" x14ac:dyDescent="0.2">
      <c r="A51" s="53" t="s">
        <v>152</v>
      </c>
      <c r="B51" s="52" t="s">
        <v>108</v>
      </c>
    </row>
    <row r="52" spans="1:2" x14ac:dyDescent="0.2">
      <c r="A52" s="53" t="s">
        <v>116</v>
      </c>
      <c r="B52" s="52" t="s">
        <v>108</v>
      </c>
    </row>
    <row r="53" spans="1:2" x14ac:dyDescent="0.2">
      <c r="A53" s="53" t="s">
        <v>1783</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1086</v>
      </c>
      <c r="B59" s="52" t="s">
        <v>108</v>
      </c>
    </row>
    <row r="60" spans="1:2" x14ac:dyDescent="0.2">
      <c r="A60" s="54" t="s">
        <v>1784</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1087</v>
      </c>
      <c r="B64" s="52" t="s">
        <v>108</v>
      </c>
    </row>
    <row r="65" spans="1:2" x14ac:dyDescent="0.2">
      <c r="A65" s="53" t="s">
        <v>145</v>
      </c>
      <c r="B65" s="52" t="s">
        <v>108</v>
      </c>
    </row>
    <row r="66" spans="1:2" x14ac:dyDescent="0.2">
      <c r="A66" s="53" t="s">
        <v>117</v>
      </c>
      <c r="B66" s="52" t="s">
        <v>108</v>
      </c>
    </row>
    <row r="67" spans="1:2" x14ac:dyDescent="0.2">
      <c r="A67" s="54" t="s">
        <v>1785</v>
      </c>
      <c r="B67" s="52" t="s">
        <v>108</v>
      </c>
    </row>
    <row r="68" spans="1:2" x14ac:dyDescent="0.2">
      <c r="A68" s="53" t="s">
        <v>1786</v>
      </c>
      <c r="B68" s="52" t="s">
        <v>108</v>
      </c>
    </row>
    <row r="69" spans="1:2" x14ac:dyDescent="0.2">
      <c r="A69" s="53" t="s">
        <v>1787</v>
      </c>
      <c r="B69" s="52" t="s">
        <v>108</v>
      </c>
    </row>
    <row r="70" spans="1:2" x14ac:dyDescent="0.2">
      <c r="A70" s="54" t="s">
        <v>1088</v>
      </c>
      <c r="B70" s="52" t="s">
        <v>108</v>
      </c>
    </row>
    <row r="71" spans="1:2" ht="30" x14ac:dyDescent="0.2">
      <c r="A71" s="53" t="s">
        <v>1089</v>
      </c>
      <c r="B71" s="52" t="s">
        <v>108</v>
      </c>
    </row>
    <row r="72" spans="1:2" ht="30" x14ac:dyDescent="0.2">
      <c r="A72" s="53" t="s">
        <v>1090</v>
      </c>
      <c r="B72" s="52" t="s">
        <v>108</v>
      </c>
    </row>
    <row r="73" spans="1:2" ht="30" x14ac:dyDescent="0.2">
      <c r="A73" s="56" t="s">
        <v>1077</v>
      </c>
      <c r="B73" s="56" t="s">
        <v>24</v>
      </c>
    </row>
    <row r="74" spans="1:2" ht="30" x14ac:dyDescent="0.2">
      <c r="A74" s="54" t="s">
        <v>1788</v>
      </c>
      <c r="B74" s="35" t="s">
        <v>24</v>
      </c>
    </row>
    <row r="75" spans="1:2" ht="30" x14ac:dyDescent="0.2">
      <c r="A75" s="53" t="s">
        <v>1789</v>
      </c>
      <c r="B75" s="35" t="s">
        <v>24</v>
      </c>
    </row>
    <row r="76" spans="1:2" ht="30" x14ac:dyDescent="0.2">
      <c r="A76" s="53" t="s">
        <v>1790</v>
      </c>
      <c r="B76" s="35" t="s">
        <v>24</v>
      </c>
    </row>
    <row r="77" spans="1:2" ht="30" x14ac:dyDescent="0.2">
      <c r="A77" s="53" t="s">
        <v>1791</v>
      </c>
      <c r="B77" s="35" t="s">
        <v>24</v>
      </c>
    </row>
    <row r="78" spans="1:2" ht="30" x14ac:dyDescent="0.2">
      <c r="A78" s="53" t="s">
        <v>1792</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1066</v>
      </c>
      <c r="B89" s="35" t="s">
        <v>24</v>
      </c>
    </row>
    <row r="90" spans="1:2" ht="30" x14ac:dyDescent="0.2">
      <c r="A90" s="53" t="s">
        <v>1067</v>
      </c>
      <c r="B90" s="35" t="s">
        <v>24</v>
      </c>
    </row>
    <row r="91" spans="1:2" ht="30" x14ac:dyDescent="0.2">
      <c r="A91" s="53" t="s">
        <v>1068</v>
      </c>
      <c r="B91" s="35" t="s">
        <v>24</v>
      </c>
    </row>
    <row r="92" spans="1:2" ht="30" x14ac:dyDescent="0.2">
      <c r="A92" s="53" t="s">
        <v>1069</v>
      </c>
      <c r="B92" s="35" t="s">
        <v>24</v>
      </c>
    </row>
    <row r="93" spans="1:2" ht="30" x14ac:dyDescent="0.2">
      <c r="A93" s="53" t="s">
        <v>1070</v>
      </c>
      <c r="B93" s="35" t="s">
        <v>24</v>
      </c>
    </row>
    <row r="94" spans="1:2" ht="30" x14ac:dyDescent="0.2">
      <c r="A94" s="53" t="s">
        <v>1071</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1793</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1077</v>
      </c>
      <c r="B149" s="57" t="s">
        <v>1091</v>
      </c>
      <c r="C149" t="s">
        <v>1097</v>
      </c>
    </row>
    <row r="150" spans="1:3" x14ac:dyDescent="0.2">
      <c r="A150" s="54" t="s">
        <v>1092</v>
      </c>
      <c r="B150" s="35" t="s">
        <v>1091</v>
      </c>
    </row>
    <row r="151" spans="1:3" x14ac:dyDescent="0.2">
      <c r="A151" s="53" t="s">
        <v>1093</v>
      </c>
      <c r="B151" s="35" t="s">
        <v>1091</v>
      </c>
    </row>
    <row r="152" spans="1:3" x14ac:dyDescent="0.2">
      <c r="A152" s="59" t="s">
        <v>1094</v>
      </c>
      <c r="B152" s="35" t="s">
        <v>1091</v>
      </c>
    </row>
    <row r="153" spans="1:3" x14ac:dyDescent="0.2">
      <c r="A153" s="54" t="s">
        <v>1095</v>
      </c>
      <c r="B153" s="35" t="s">
        <v>1091</v>
      </c>
    </row>
    <row r="154" spans="1:3" x14ac:dyDescent="0.2">
      <c r="A154" s="53" t="s">
        <v>1096</v>
      </c>
      <c r="B154" s="35" t="s">
        <v>1091</v>
      </c>
    </row>
    <row r="155" spans="1:3" x14ac:dyDescent="0.2">
      <c r="A155" s="53" t="s">
        <v>1097</v>
      </c>
      <c r="B155" s="35" t="s">
        <v>1091</v>
      </c>
      <c r="C155" t="s">
        <v>1970</v>
      </c>
    </row>
    <row r="156" spans="1:3" x14ac:dyDescent="0.2">
      <c r="A156" s="53" t="s">
        <v>1098</v>
      </c>
      <c r="B156" s="35" t="s">
        <v>1091</v>
      </c>
    </row>
    <row r="157" spans="1:3" x14ac:dyDescent="0.2">
      <c r="A157" s="53" t="s">
        <v>1794</v>
      </c>
      <c r="B157" s="35" t="s">
        <v>1091</v>
      </c>
    </row>
    <row r="158" spans="1:3" x14ac:dyDescent="0.2">
      <c r="A158" s="53" t="s">
        <v>1099</v>
      </c>
      <c r="B158" s="35" t="s">
        <v>1091</v>
      </c>
    </row>
    <row r="159" spans="1:3" x14ac:dyDescent="0.2">
      <c r="A159" s="53" t="s">
        <v>1100</v>
      </c>
      <c r="B159" s="35" t="s">
        <v>1091</v>
      </c>
    </row>
    <row r="160" spans="1:3" x14ac:dyDescent="0.2">
      <c r="A160" s="53" t="s">
        <v>1101</v>
      </c>
      <c r="B160" s="35" t="s">
        <v>1091</v>
      </c>
    </row>
    <row r="161" spans="1:3" x14ac:dyDescent="0.2">
      <c r="A161" s="54" t="s">
        <v>1102</v>
      </c>
      <c r="B161" s="35" t="s">
        <v>1091</v>
      </c>
    </row>
    <row r="162" spans="1:3" x14ac:dyDescent="0.2">
      <c r="A162" s="54" t="s">
        <v>1103</v>
      </c>
      <c r="B162" s="35" t="s">
        <v>1091</v>
      </c>
    </row>
    <row r="163" spans="1:3" x14ac:dyDescent="0.2">
      <c r="A163" s="53" t="s">
        <v>1104</v>
      </c>
      <c r="B163" s="35" t="s">
        <v>1091</v>
      </c>
    </row>
    <row r="164" spans="1:3" x14ac:dyDescent="0.2">
      <c r="A164" s="58" t="s">
        <v>1077</v>
      </c>
      <c r="B164" s="57" t="s">
        <v>16</v>
      </c>
      <c r="C164" t="s">
        <v>1971</v>
      </c>
    </row>
    <row r="165" spans="1:3" x14ac:dyDescent="0.2">
      <c r="A165" s="59" t="s">
        <v>1795</v>
      </c>
      <c r="B165" s="35" t="s">
        <v>16</v>
      </c>
    </row>
    <row r="166" spans="1:3" x14ac:dyDescent="0.2">
      <c r="A166" s="53" t="s">
        <v>104</v>
      </c>
      <c r="B166" s="35" t="s">
        <v>16</v>
      </c>
    </row>
    <row r="167" spans="1:3" x14ac:dyDescent="0.2">
      <c r="A167" s="61" t="s">
        <v>1105</v>
      </c>
      <c r="B167" s="60" t="s">
        <v>16</v>
      </c>
      <c r="C167" t="s">
        <v>1970</v>
      </c>
    </row>
    <row r="168" spans="1:3" x14ac:dyDescent="0.2">
      <c r="A168" s="61" t="s">
        <v>1796</v>
      </c>
      <c r="B168" s="60" t="s">
        <v>16</v>
      </c>
    </row>
    <row r="169" spans="1:3" x14ac:dyDescent="0.2">
      <c r="A169" s="61" t="s">
        <v>1106</v>
      </c>
      <c r="B169" s="60" t="s">
        <v>16</v>
      </c>
    </row>
    <row r="170" spans="1:3" x14ac:dyDescent="0.2">
      <c r="A170" s="59" t="s">
        <v>120</v>
      </c>
      <c r="B170" s="35" t="s">
        <v>16</v>
      </c>
      <c r="C170" t="s">
        <v>1970</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1107</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1077</v>
      </c>
      <c r="B184" s="57" t="s">
        <v>11</v>
      </c>
    </row>
    <row r="185" spans="1:2" x14ac:dyDescent="0.2">
      <c r="A185" s="66" t="s">
        <v>75</v>
      </c>
      <c r="B185" s="65" t="s">
        <v>11</v>
      </c>
    </row>
    <row r="186" spans="1:2" x14ac:dyDescent="0.2">
      <c r="A186" s="66" t="s">
        <v>1797</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1798</v>
      </c>
      <c r="B207" s="35" t="s">
        <v>11</v>
      </c>
    </row>
    <row r="208" spans="1:2" x14ac:dyDescent="0.2">
      <c r="A208" s="63" t="s">
        <v>1799</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1077</v>
      </c>
      <c r="B214" s="56" t="s">
        <v>1108</v>
      </c>
    </row>
    <row r="215" spans="1:2" ht="28" x14ac:dyDescent="0.2">
      <c r="A215" s="61" t="s">
        <v>91</v>
      </c>
      <c r="B215" s="60" t="s">
        <v>1108</v>
      </c>
    </row>
    <row r="216" spans="1:2" ht="28" x14ac:dyDescent="0.2">
      <c r="A216" s="61" t="s">
        <v>92</v>
      </c>
      <c r="B216" s="60" t="s">
        <v>1108</v>
      </c>
    </row>
    <row r="217" spans="1:2" ht="28" x14ac:dyDescent="0.2">
      <c r="A217" s="64" t="s">
        <v>97</v>
      </c>
      <c r="B217" s="60" t="s">
        <v>1108</v>
      </c>
    </row>
    <row r="218" spans="1:2" ht="28" x14ac:dyDescent="0.2">
      <c r="A218" s="64" t="s">
        <v>99</v>
      </c>
      <c r="B218" s="60" t="s">
        <v>1108</v>
      </c>
    </row>
    <row r="219" spans="1:2" ht="28" x14ac:dyDescent="0.2">
      <c r="A219" s="67" t="s">
        <v>1109</v>
      </c>
      <c r="B219" s="60" t="s">
        <v>1108</v>
      </c>
    </row>
    <row r="220" spans="1:2" ht="28" x14ac:dyDescent="0.2">
      <c r="A220" s="67" t="s">
        <v>1110</v>
      </c>
      <c r="B220" s="60" t="s">
        <v>1108</v>
      </c>
    </row>
    <row r="221" spans="1:2" ht="28" x14ac:dyDescent="0.2">
      <c r="A221" s="63" t="s">
        <v>85</v>
      </c>
      <c r="B221" s="60" t="s">
        <v>1108</v>
      </c>
    </row>
    <row r="222" spans="1:2" x14ac:dyDescent="0.2">
      <c r="A222" s="56"/>
      <c r="B222" s="56" t="s">
        <v>1111</v>
      </c>
    </row>
    <row r="223" spans="1:2" x14ac:dyDescent="0.2">
      <c r="A223" s="51" t="s">
        <v>1112</v>
      </c>
      <c r="B223" s="35" t="s">
        <v>1111</v>
      </c>
    </row>
    <row r="224" spans="1:2" x14ac:dyDescent="0.2">
      <c r="A224" s="51" t="s">
        <v>1113</v>
      </c>
      <c r="B224" s="35" t="s">
        <v>1111</v>
      </c>
    </row>
    <row r="225" spans="1:2" x14ac:dyDescent="0.2">
      <c r="A225" s="51" t="s">
        <v>1114</v>
      </c>
      <c r="B225" s="35" t="s">
        <v>1111</v>
      </c>
    </row>
    <row r="226" spans="1:2" x14ac:dyDescent="0.2">
      <c r="A226" s="51" t="s">
        <v>1115</v>
      </c>
      <c r="B226" s="35" t="s">
        <v>1111</v>
      </c>
    </row>
    <row r="227" spans="1:2" x14ac:dyDescent="0.2">
      <c r="A227" s="51" t="s">
        <v>1116</v>
      </c>
      <c r="B227" s="35" t="s">
        <v>1111</v>
      </c>
    </row>
    <row r="228" spans="1:2" x14ac:dyDescent="0.2">
      <c r="A228" s="56"/>
      <c r="B228" s="56" t="s">
        <v>1117</v>
      </c>
    </row>
    <row r="229" spans="1:2" x14ac:dyDescent="0.2">
      <c r="A229" s="67" t="s">
        <v>1118</v>
      </c>
      <c r="B229" s="44" t="s">
        <v>1117</v>
      </c>
    </row>
    <row r="230" spans="1:2" x14ac:dyDescent="0.2">
      <c r="A230" s="67" t="s">
        <v>1119</v>
      </c>
      <c r="B230" s="44" t="s">
        <v>1117</v>
      </c>
    </row>
    <row r="231" spans="1:2" x14ac:dyDescent="0.2">
      <c r="A231" s="67" t="s">
        <v>1120</v>
      </c>
      <c r="B231" s="44" t="s">
        <v>1117</v>
      </c>
    </row>
    <row r="232" spans="1:2" x14ac:dyDescent="0.2">
      <c r="A232" s="67" t="s">
        <v>1121</v>
      </c>
      <c r="B232" s="44" t="s">
        <v>1117</v>
      </c>
    </row>
    <row r="233" spans="1:2" x14ac:dyDescent="0.2">
      <c r="A233" s="56" t="s">
        <v>1077</v>
      </c>
      <c r="B233" s="56" t="s">
        <v>132</v>
      </c>
    </row>
    <row r="234" spans="1:2" x14ac:dyDescent="0.2">
      <c r="A234" s="53" t="s">
        <v>113</v>
      </c>
      <c r="B234" s="35" t="s">
        <v>132</v>
      </c>
    </row>
    <row r="235" spans="1:2" x14ac:dyDescent="0.2">
      <c r="A235" s="53" t="s">
        <v>137</v>
      </c>
      <c r="B235" s="35" t="s">
        <v>132</v>
      </c>
    </row>
    <row r="236" spans="1:2" x14ac:dyDescent="0.2">
      <c r="A236" s="53" t="s">
        <v>1122</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1077</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2025-07-30T18:10:10Z</dcterms:modified>
</cp:coreProperties>
</file>
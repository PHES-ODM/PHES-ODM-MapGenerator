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F954EFD8-4B08-3F45-A3DC-4037CFB16FDC}" xr6:coauthVersionLast="47" xr6:coauthVersionMax="47" xr10:uidLastSave="{00000000-0000-0000-0000-000000000000}"/>
  <bookViews>
    <workbookView xWindow="2020" yWindow="500" windowWidth="38940" windowHeight="20920" activeTab="3" xr2:uid="{77810E24-F86B-BC44-A0D5-8790E6EC60B4}"/>
  </bookViews>
  <sheets>
    <sheet name="maps" sheetId="1" r:id="rId1"/>
    <sheet name="wide" sheetId="2" r:id="rId2"/>
    <sheet name="wide_qualityReports" sheetId="7" r:id="rId3"/>
    <sheet name="enums" sheetId="3" r:id="rId4"/>
    <sheet name="id_gen" sheetId="4" r:id="rId5"/>
    <sheet name="maps original" sheetId="6" r:id="rId6"/>
  </sheets>
  <externalReferences>
    <externalReference r:id="rId7"/>
  </externalReferences>
  <definedNames>
    <definedName name="_xlnm._FilterDatabase" localSheetId="3" hidden="1">enums!$A$1:$J$185</definedName>
    <definedName name="_xlnm._FilterDatabase" localSheetId="0" hidden="1">maps!$A$1:$L$91</definedName>
    <definedName name="_xlnm._FilterDatabase" localSheetId="5" hidden="1">'maps original'!$A$1:$L$87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<sst xmlns="http://schemas.openxmlformats.org/spreadsheetml/2006/main" count="2995" uniqueCount="837">
  <si>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</si>
  <si>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</si>
  <si>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</si>
  <si>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</si>
  <si>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</si>
  <si>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</si>
  <si>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</si>
  <si>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</si>
  <si>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</si>
  <si>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</si>
  <si>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</si>
  <si>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</si>
  <si>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</si>
  <si>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</si>
  <si>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</si>
  <si>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</si>
  <si>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</si>
  <si>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</si>
  <si>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</si>
  <si>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</si>
  <si>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</si>
  <si>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</si>
  <si>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</si>
  <si>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</si>
  <si>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</si>
  <si>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</si>
  <si>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</si>
  <si>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</si>
  <si>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</si>
  <si>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</si>
  <si>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</si>
  <si>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</si>
  <si>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</si>
  <si>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</si>
  <si>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</si>
  <si>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</si>
  <si>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</si>
  <si>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</si>
  <si>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</si>
  <si>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</si>
  <si>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</si>
  <si>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</si>
  <si>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</si>
  <si>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</si>
  <si>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</si>
  <si>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</si>
  <si>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</si>
  <si>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</si>
  <si>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</si>
  <si>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</si>
  <si>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</si>
  <si>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</si>
  <si>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</si>
  <si>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</si>
  <si>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</si>
  <si>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</si>
  <si>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</si>
  <si>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</si>
  <si>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</si>
  <si>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</si>
  <si>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</si>
  <si>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</si>
  <si>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</si>
  <si>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</si>
  <si>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</si>
  <si>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</si>
  <si>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</si>
  <si>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</si>
  <si>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</si>
  <si>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</si>
  <si>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</si>
  <si>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</si>
  <si>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</si>
  <si>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</si>
  <si>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</si>
  <si>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</si>
  <si>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</si>
  <si>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</si>
  <si>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</si>
  <si>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</si>
  <si>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</si>
  <si>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</si>
  <si>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</si>
  <si>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</si>
  <si>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</si>
  <si>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</si>
  <si>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</si>
  <si>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</si>
  <si>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</si>
  <si>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</si>
  <si>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</si>
  <si>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</si>
  <si>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</si>
  <si>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</si>
  <si>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</si>
  <si>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</si>
  <si>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</si>
  <si>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</si>
  <si>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</si>
  <si>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</si>
  <si>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</si>
  <si>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</si>
  <si>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</si>
  <si>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</si>
  <si>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</si>
  <si>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</si>
  <si>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</si>
  <si>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</si>
  <si>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</si>
  <si>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</si>
  <si>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</si>
  <si>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</si>
  <si>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</si>
  <si>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</si>
  <si>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</si>
  <si>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</si>
  <si>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</si>
  <si>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</si>
  <si>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</si>
  <si>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</si>
  <si>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</si>
  <si>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</si>
  <si>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</si>
  <si>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</si>
  <si>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</si>
  <si>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</si>
  <si>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</si>
  <si>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</si>
  <si>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</si>
  <si>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</si>
  <si>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</si>
  <si>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</si>
  <si>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</si>
  <si>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</si>
  <si>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</si>
  <si>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</si>
  <si>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</si>
  <si>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</si>
  <si>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</si>
  <si>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</si>
  <si>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</si>
  <si>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</si>
  <si>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</si>
  <si>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</si>
  <si>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</si>
  <si>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</si>
  <si>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</si>
  <si>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</si>
  <si>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</si>
  <si>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</si>
  <si>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</si>
  <si>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</si>
  <si>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</si>
  <si>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</si>
  <si>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</si>
  <si>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</si>
  <si>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</si>
  <si>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</si>
  <si>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</si>
  <si>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</si>
  <si>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</si>
  <si>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</si>
  <si>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</si>
  <si>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</si>
  <si>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</si>
  <si>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</si>
  <si>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</si>
  <si>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</si>
  <si>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</si>
  <si>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</si>
  <si>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</si>
  <si>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</si>
  <si>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</si>
  <si>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</si>
  <si>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</si>
  <si>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</si>
  <si>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</si>
  <si>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</si>
  <si>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</si>
  <si>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</si>
  <si>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</si>
  <si>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</si>
  <si>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</si>
  <si>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</si>
  <si>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</si>
  <si>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</si>
  <si>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</si>
  <si>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</si>
  <si>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</si>
  <si>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</si>
  <si>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</si>
  <si>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</si>
  <si>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</si>
  <si>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</si>
  <si>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</si>
  <si>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</si>
  <si>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</si>
  <si>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</si>
  <si>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</si>
  <si>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</si>
  <si>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</si>
  <si>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</si>
  <si>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</si>
  <si>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</si>
  <si>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</si>
  <si>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</si>
  <si>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</si>
  <si>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</si>
  <si>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</si>
  <si>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</si>
  <si>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</si>
  <si>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</si>
  <si>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</si>
  <si>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</si>
  <si>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</si>
  <si>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</si>
  <si>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</si>
  <si>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</si>
  <si>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</si>
  <si>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</si>
  <si>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</si>
  <si>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</si>
  <si>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</si>
  <si>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</si>
  <si>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</si>
  <si>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</si>
  <si>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</si>
  <si>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</si>
  <si>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</si>
  <si>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</si>
  <si>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</si>
  <si>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</si>
  <si>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</si>
  <si>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</si>
  <si>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</si>
  <si>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</si>
  <si>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</si>
  <si>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</si>
  <si>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</si>
  <si>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</si>
  <si>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</si>
  <si>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</si>
  <si>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</si>
  <si>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</si>
  <si>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</si>
  <si>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</si>
  <si>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</si>
  <si>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</si>
  <si>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</si>
  <si>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</si>
  <si>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</si>
  <si>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</si>
  <si>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</si>
  <si>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</si>
  <si>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</si>
  <si>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</si>
  <si>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</si>
  <si>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</si>
  <si>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</si>
  <si>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</si>
  <si>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</si>
  <si>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</si>
  <si>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</si>
  <si>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</si>
  <si>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</si>
  <si>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</si>
  <si>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</si>
  <si>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</si>
  <si>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</si>
  <si>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</si>
  <si>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</si>
  <si>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</si>
  <si>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</si>
  <si>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</si>
  <si>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</si>
  <si>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</si>
  <si>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</si>
  <si>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</si>
  <si>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</si>
  <si>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</si>
  <si>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</si>
  <si>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</si>
  <si>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</si>
  <si>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</si>
  <si>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</si>
  <si>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</si>
  <si>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</si>
  <si>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</si>
  <si>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</si>
  <si>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</si>
  <si>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</si>
  <si>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</si>
  <si>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</si>
  <si>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</si>
  <si>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</si>
  <si>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</si>
  <si>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</si>
  <si>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</si>
  <si>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</si>
  <si>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</si>
  <si>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</si>
  <si>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</si>
  <si>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</si>
  <si>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</si>
  <si>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</si>
  <si>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</si>
  <si>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</si>
  <si>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</si>
  <si>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</si>
  <si>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</si>
  <si>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</si>
  <si>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</si>
  <si>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</si>
  <si>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</si>
  <si>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</si>
  <si>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</si>
  <si>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</si>
  <si>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</si>
  <si>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</si>
  <si>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</si>
  <si>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</si>
  <si>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</si>
  <si>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</si>
  <si>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</si>
  <si>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</si>
  <si>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</si>
  <si>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</si>
  <si>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</si>
  <si>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</si>
  <si>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</si>
  <si>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</si>
  <si>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</si>
  <si>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</si>
  <si>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</si>
  <si>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</si>
  <si>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</si>
  <si>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</si>
  <si>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</si>
  <si>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</si>
  <si>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</si>
  <si>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</si>
  <si>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</si>
  <si>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</si>
  <si>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</si>
  <si>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</si>
  <si>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</si>
  <si>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</si>
  <si>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</si>
  <si>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</si>
  <si>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</si>
  <si>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</si>
  <si>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</si>
  <si>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</si>
  <si>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</si>
  <si>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</si>
  <si>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</si>
  <si>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</si>
  <si>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</si>
  <si>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</si>
  <si>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</si>
  <si>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</si>
  <si>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</si>
  <si>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</si>
  <si>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</si>
  <si>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</si>
  <si>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</si>
  <si>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</si>
  <si>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</si>
  <si>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</si>
  <si>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</si>
  <si>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</si>
  <si>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</si>
  <si>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</si>
  <si>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</si>
  <si>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</si>
  <si>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</si>
  <si>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</si>
  <si>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</si>
  <si>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</si>
  <si>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</si>
  <si>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</si>
  <si>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</si>
  <si>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</si>
  <si>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</si>
  <si>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</si>
  <si>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</si>
  <si>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</si>
  <si>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</si>
  <si>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</si>
  <si>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</si>
  <si>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</si>
  <si>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</si>
  <si>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</si>
  <si>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</si>
  <si>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</si>
  <si>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</si>
  <si>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</si>
  <si>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</si>
  <si>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</si>
  <si>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</si>
  <si>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</si>
  <si>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</si>
  <si>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</si>
  <si>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</si>
  <si>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</si>
  <si>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</si>
  <si>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</si>
  <si>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</si>
  <si>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</si>
  <si>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</si>
  <si>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</si>
  <si>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</si>
  <si>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</si>
  <si>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</si>
  <si>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</si>
  <si>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</si>
  <si>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</si>
  <si>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</si>
  <si>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</si>
  <si>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</si>
  <si>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</si>
  <si>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</si>
  <si>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</si>
  <si>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</si>
  <si>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</si>
  <si>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</si>
  <si>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</si>
  <si>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</si>
  <si>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</si>
  <si>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</si>
  <si>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</si>
  <si>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</si>
  <si>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</si>
  <si>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</si>
  <si>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</si>
  <si>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</si>
  <si>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</si>
  <si>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</si>
  <si>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</si>
  <si>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</si>
  <si>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</si>
  <si>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</si>
  <si>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</si>
  <si>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</si>
  <si>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</si>
  <si>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</si>
  <si>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</si>
  <si>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</si>
  <si>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</si>
  <si>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</si>
  <si>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</si>
  <si>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</si>
  <si>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</si>
  <si>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</si>
  <si>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</si>
  <si>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</si>
  <si>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</si>
  <si>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</si>
  <si>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</si>
  <si>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</si>
  <si>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</si>
  <si>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</si>
  <si>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</si>
  <si>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</si>
  <si>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</si>
  <si>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</si>
  <si>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</si>
  <si>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</si>
  <si>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</si>
  <si>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</si>
  <si>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</si>
  <si>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</si>
  <si>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</si>
  <si>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</si>
  <si>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</si>
  <si>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</si>
  <si>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</si>
  <si>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</si>
  <si>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</si>
  <si>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</si>
  <si>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</si>
  <si>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</si>
  <si>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</si>
  <si>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</si>
  <si>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</si>
  <si>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</si>
  <si>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</si>
  <si>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</si>
  <si>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</si>
  <si>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</si>
  <si>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</si>
  <si>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</si>
  <si>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</si>
  <si>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</si>
  <si>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</si>
  <si>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</si>
  <si>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</si>
  <si>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</si>
  <si>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</si>
  <si>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</si>
  <si>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</si>
  <si>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</si>
  <si>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</si>
  <si>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</si>
  <si>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</si>
  <si>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</si>
  <si>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</si>
  <si>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</si>
  <si>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</si>
  <si>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</si>
  <si>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</si>
  <si>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</si>
  <si>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</si>
  <si>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</si>
  <si>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</si>
  <si>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</si>
  <si>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</si>
  <si>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</si>
  <si>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</si>
  <si>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</si>
  <si>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</si>
  <si>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</si>
  <si>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</si>
  <si>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</si>
  <si>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</si>
  <si>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</si>
  <si>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</si>
  <si>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</si>
  <si>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</si>
  <si>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</si>
  <si>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</si>
  <si>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</si>
  <si>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</si>
  <si>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</si>
  <si>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</si>
  <si>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</si>
  <si>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</si>
  <si>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</si>
  <si>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</si>
  <si>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</si>
  <si>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</si>
  <si>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</si>
  <si>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</si>
  <si>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</si>
  <si>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</si>
  <si>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</si>
  <si>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</si>
  <si>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</si>
  <si>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</si>
  <si>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</si>
  <si>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</si>
  <si>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</si>
  <si>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</si>
  <si>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</si>
  <si>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</si>
  <si>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</si>
  <si>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</si>
  <si>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</si>
  <si>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</si>
  <si>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</si>
  <si>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</si>
  <si>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</si>
  <si>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</si>
  <si>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</si>
  <si>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</si>
  <si>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</si>
  <si>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</si>
  <si>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</si>
  <si>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</si>
  <si>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</si>
  <si>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</si>
  <si>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</si>
  <si>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</si>
  <si>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</si>
  <si>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</si>
  <si>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</si>
  <si>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</si>
  <si>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</si>
  <si>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</si>
  <si>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</si>
  <si>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</si>
  <si>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</si>
  <si>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</si>
  <si>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</si>
  <si>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</si>
  <si>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</si>
  <si>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</si>
  <si>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</si>
  <si>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</si>
  <si>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</si>
  <si>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</si>
  <si>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</si>
  <si>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</si>
  <si>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</si>
  <si>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</si>
  <si>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</si>
  <si>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</si>
  <si>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</si>
  <si>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</si>
  <si>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</si>
  <si>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</si>
  <si>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</si>
  <si>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</si>
  <si>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</si>
  <si>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</si>
  <si>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</si>
  <si>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</si>
  <si>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</si>
  <si>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</si>
  <si>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</si>
  <si>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</si>
  <si>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</si>
  <si>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</si>
  <si>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</si>
  <si>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</si>
  <si>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</si>
  <si>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</si>
  <si>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</si>
  <si>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</si>
  <si>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</si>
  <si>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</si>
  <si>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</si>
  <si>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</si>
  <si>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</si>
  <si>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</si>
  <si>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</si>
  <si>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</si>
  <si>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</si>
  <si>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</si>
  <si>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</si>
  <si>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</si>
  <si>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</si>
  <si>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</si>
  <si>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</si>
  <si>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</si>
  <si>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</si>
  <si>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</si>
  <si>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</si>
  <si>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</si>
  <si>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</si>
  <si>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</si>
  <si>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</si>
  <si>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</si>
  <si>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</si>
  <si>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</si>
  <si>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</si>
  <si>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</si>
  <si>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</si>
  <si>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</si>
  <si>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</si>
  <si>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</si>
  <si>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</si>
  <si>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</si>
  <si>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</si>
  <si>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</si>
  <si>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</si>
  <si>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</si>
  <si>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</si>
  <si>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</si>
  <si>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</si>
  <si>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</si>
  <si>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</si>
  <si>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</si>
  <si>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</si>
  <si>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</si>
  <si>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</si>
  <si>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</si>
  <si>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</si>
  <si>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</si>
  <si>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</si>
  <si>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</si>
  <si>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</si>
  <si>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</si>
  <si>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</si>
  <si>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</si>
  <si>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</si>
  <si>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</si>
  <si>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</si>
  <si>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</si>
  <si>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</si>
  <si>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</si>
  <si>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</si>
  <si>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</si>
  <si>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</si>
  <si>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</si>
  <si>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</si>
  <si>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</si>
  <si>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</si>
  <si>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</si>
  <si>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</si>
  <si>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</si>
  <si>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</si>
  <si>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</si>
  <si>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</si>
  <si>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</si>
  <si>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</si>
  <si>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</si>
  <si>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</si>
  <si>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</si>
  <si>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</si>
  <si>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</si>
  <si>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</si>
  <si>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</si>
  <si>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</si>
  <si>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</si>
  <si>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</si>
  <si>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</si>
  <si>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</si>
  <si>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</si>
  <si>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</si>
  <si>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</si>
  <si>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</si>
  <si>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</si>
  <si>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</si>
  <si>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</si>
  <si>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</si>
  <si>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</si>
  <si>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</si>
  <si>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</si>
  <si>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</si>
  <si>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</si>
  <si>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</si>
  <si>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</si>
  <si>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</si>
  <si>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</si>
  <si>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</si>
  <si>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</si>
  <si>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</si>
  <si>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</si>
  <si>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</si>
  <si>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</si>
  <si>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</si>
  <si>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</si>
  <si>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</si>
  <si>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</si>
  <si>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</si>
  <si>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</si>
  <si>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</si>
  <si>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</si>
  <si>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</si>
  <si>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</si>
  <si>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</si>
  <si>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</si>
  <si>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</si>
  <si>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</si>
  <si>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</si>
  <si>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</si>
  <si>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</si>
  <si>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</si>
  <si>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</si>
  <si>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</si>
  <si>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</si>
  <si>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</si>
  <si>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</si>
  <si>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</si>
  <si>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</si>
  <si>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</si>
  <si>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</si>
  <si>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</si>
  <si>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</si>
  <si>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</si>
  <si>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</si>
  <si>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</si>
  <si>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</si>
  <si>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</si>
  <si>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</si>
  <si>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</si>
  <si>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</si>
  <si>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</si>
  <si>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</si>
  <si>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</si>
  <si>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</si>
  <si>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</si>
  <si>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</si>
  <si>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</si>
  <si>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</si>
  <si>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</si>
  <si>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</si>
  <si>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</si>
  <si>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</si>
  <si>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</si>
  <si>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</si>
  <si>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</si>
  <si>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</si>
  <si>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</si>
  <si>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</si>
  <si>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</si>
  <si>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</si>
  <si>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</si>
  <si>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</si>
  <si>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</si>
  <si>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</si>
  <si>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</si>
  <si>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</si>
  <si>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</si>
  <si>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</si>
  <si>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</si>
  <si>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</si>
  <si>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</si>
  <si>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</si>
  <si>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</si>
  <si>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</si>
  <si>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</si>
  <si>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</si>
  <si>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</si>
  <si>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</si>
  <si>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</si>
  <si>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</si>
  <si>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</si>
  <si>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</si>
  <si>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</si>
  <si>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</si>
  <si>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</si>
  <si>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</si>
  <si>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</si>
  <si>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</si>
  <si>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</si>
  <si>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</si>
  <si>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</si>
  <si>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"ignore"
target = get_qualityFlag(src.inhibition_detect, src.inhibition_adjust)</t>
  </si>
  <si>
    <t>qualityReportID_value</t>
  </si>
  <si>
    <t>qualityFlag_value</t>
  </si>
  <si>
    <t>{ "notes_value" : "{{pretreatment_specify}}" }</t>
  </si>
  <si>
    <t>{"reflink_value": "{{stan_ref}}"}</t>
  </si>
  <si>
    <t>{"reflink_value": "{{pcr_gene_target_ref}}", "group_value": "{{pcr_target}}"}</t>
  </si>
  <si>
    <t>{"reflink_value": "{{pcr_gene_target_ref}}"}</t>
  </si>
  <si>
    <t>{"reflink_value": "{{lod_ref}}"}</t>
  </si>
  <si>
    <t>{"reflink_value": "{{hum_frac_target_mic_ref}}"}</t>
  </si>
  <si>
    <t>{"reflink_value": "{{hum_frac_target_chem_ref}}"}</t>
  </si>
  <si>
    <t>{"reflink_value": "{{other_norm_ref}}"}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</si>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</sst>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  <xf numFmtId="0" fontId="13" fillId="0" borderId="0" xfId="0" applyFont="1"/>
    <xf numFmtId="0" fontId="13" fillId="3" borderId="0" xfId="0" applyFont="1" applyFill="1"/>
    <xf numFmtId="0" fontId="14" fillId="3" borderId="0" xfId="0" applyFont="1" applyFill="1" applyAlignment="1">
      <alignment horizontal="left" vertical="top"/>
    </xf>
    <xf numFmtId="0" fontId="9" fillId="0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836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/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/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817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/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/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/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817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35" t="b">
        <v>1</v>
      </c>
      <c r="B18" s="36" t="s">
        <v>1</v>
      </c>
      <c r="C18" s="36" t="s">
        <v>635</v>
      </c>
      <c r="D18" s="36" t="s">
        <v>15</v>
      </c>
      <c r="E18" s="37" t="s">
        <v>85</v>
      </c>
      <c r="F18" s="36" t="s">
        <v>77</v>
      </c>
      <c r="G18" s="36" t="s">
        <v>101</v>
      </c>
      <c r="H18" s="36" t="s">
        <v>76</v>
      </c>
      <c r="I18" s="36"/>
      <c r="J18" s="36"/>
      <c r="K18" s="36"/>
      <c r="L18" s="38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/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/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/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/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/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/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816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816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816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816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816</v>
      </c>
      <c r="F84" s="2" t="s">
        <v>147</v>
      </c>
      <c r="G84" s="2" t="s">
        <v>148</v>
      </c>
      <c r="H84" s="2"/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816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793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B94" s="2"/>
      <c r="C94" s="2" t="s">
        <v>635</v>
      </c>
      <c r="D94" s="2" t="s">
        <v>798</v>
      </c>
      <c r="E94" s="2"/>
      <c r="F94" s="2" t="s">
        <v>79</v>
      </c>
      <c r="G94" s="2" t="s">
        <v>747</v>
      </c>
      <c r="H94" s="2" t="str">
        <f t="shared" ref="H94:H101" si="0">"{{"&amp;D94&amp;"}}"</f>
        <v>{{id:addressID}}</v>
      </c>
      <c r="I94" s="2"/>
      <c r="J94" s="2"/>
      <c r="K94" s="2"/>
    </row>
    <row r="95" spans="1:12" x14ac:dyDescent="0.2">
      <c r="A95" t="b">
        <v>1</v>
      </c>
      <c r="B95" s="2"/>
      <c r="C95" s="2" t="s">
        <v>635</v>
      </c>
      <c r="D95" s="2" t="s">
        <v>793</v>
      </c>
      <c r="E95" s="2"/>
      <c r="F95" s="2" t="s">
        <v>115</v>
      </c>
      <c r="G95" s="2" t="s">
        <v>743</v>
      </c>
      <c r="H95" s="2" t="str">
        <f>"{{"&amp;D95&amp;"}}"</f>
        <v>{{id:datasetID}}</v>
      </c>
      <c r="I95" s="2"/>
      <c r="J95" s="2"/>
      <c r="K95" s="2"/>
    </row>
    <row r="96" spans="1:12" x14ac:dyDescent="0.2">
      <c r="A96" t="b">
        <v>1</v>
      </c>
      <c r="B96" s="2"/>
      <c r="C96" s="2" t="s">
        <v>635</v>
      </c>
      <c r="D96" s="2" t="s">
        <v>791</v>
      </c>
      <c r="E96" s="2"/>
      <c r="F96" s="2" t="s">
        <v>115</v>
      </c>
      <c r="G96" s="2" t="s">
        <v>742</v>
      </c>
      <c r="H96" s="2" t="str">
        <f>"{{"&amp;D96&amp;"}}"</f>
        <v>{{id:measureRepID}}</v>
      </c>
      <c r="I96" s="2"/>
      <c r="J96" s="2"/>
      <c r="K96" s="2"/>
    </row>
    <row r="97" spans="1:11" x14ac:dyDescent="0.2">
      <c r="A97" t="b">
        <v>1</v>
      </c>
      <c r="B97" s="2"/>
      <c r="C97" s="2" t="s">
        <v>635</v>
      </c>
      <c r="D97" s="2" t="s">
        <v>794</v>
      </c>
      <c r="E97" s="2"/>
      <c r="F97" s="2" t="s">
        <v>115</v>
      </c>
      <c r="G97" s="2" t="s">
        <v>744</v>
      </c>
      <c r="H97" s="2" t="str">
        <f>"{{"&amp;D97&amp;"}}"</f>
        <v>{{id:measureSetRepID}}</v>
      </c>
      <c r="I97" s="2"/>
      <c r="J97" s="2"/>
      <c r="K97" s="2"/>
    </row>
    <row r="98" spans="1:11" x14ac:dyDescent="0.2">
      <c r="A98" t="b">
        <v>1</v>
      </c>
      <c r="B98" s="2"/>
      <c r="C98" s="2" t="s">
        <v>635</v>
      </c>
      <c r="D98" s="2" t="s">
        <v>791</v>
      </c>
      <c r="E98" s="2"/>
      <c r="F98" s="2" t="s">
        <v>147</v>
      </c>
      <c r="G98" s="2" t="s">
        <v>742</v>
      </c>
      <c r="H98" s="2" t="str">
        <f t="shared" si="0"/>
        <v>{{id:measureRepID}}</v>
      </c>
      <c r="I98" s="2"/>
      <c r="J98" s="2"/>
      <c r="K98" s="2"/>
    </row>
    <row r="99" spans="1:11" x14ac:dyDescent="0.2">
      <c r="A99" t="b">
        <v>1</v>
      </c>
      <c r="B99" s="2"/>
      <c r="C99" s="2" t="s">
        <v>635</v>
      </c>
      <c r="D99" s="2" t="s">
        <v>794</v>
      </c>
      <c r="E99" s="2"/>
      <c r="F99" s="2" t="s">
        <v>147</v>
      </c>
      <c r="G99" s="2" t="s">
        <v>744</v>
      </c>
      <c r="H99" s="2" t="str">
        <f t="shared" si="0"/>
        <v>{{id:measureSetRepID}}</v>
      </c>
      <c r="I99" s="2"/>
      <c r="J99" s="2"/>
      <c r="K99" s="2"/>
    </row>
    <row r="100" spans="1:11" x14ac:dyDescent="0.2">
      <c r="A100" t="b">
        <v>1</v>
      </c>
      <c r="B100" s="2"/>
      <c r="C100" s="2" t="s">
        <v>635</v>
      </c>
      <c r="D100" s="2" t="s">
        <v>796</v>
      </c>
      <c r="E100" s="2"/>
      <c r="F100" s="2" t="s">
        <v>152</v>
      </c>
      <c r="G100" s="2" t="s">
        <v>753</v>
      </c>
      <c r="H100" s="2" t="str">
        <f t="shared" si="0"/>
        <v>{{id:instrumentID}}</v>
      </c>
      <c r="I100" s="2"/>
      <c r="J100" s="2"/>
      <c r="K100" s="2"/>
    </row>
    <row r="101" spans="1:11" x14ac:dyDescent="0.2">
      <c r="A101" t="b">
        <v>1</v>
      </c>
      <c r="B101" s="2"/>
      <c r="C101" s="2" t="s">
        <v>635</v>
      </c>
      <c r="D101" s="2" t="s">
        <v>795</v>
      </c>
      <c r="E101" s="2"/>
      <c r="F101" s="2" t="s">
        <v>152</v>
      </c>
      <c r="G101" s="2" t="s">
        <v>752</v>
      </c>
      <c r="H101" s="2" t="str">
        <f t="shared" si="0"/>
        <v>{{id:stepID}}</v>
      </c>
      <c r="I101" s="2"/>
      <c r="J101" s="2"/>
      <c r="K101" s="2"/>
    </row>
    <row r="102" spans="1:11" x14ac:dyDescent="0.2">
      <c r="A102" t="b">
        <v>1</v>
      </c>
      <c r="B102" s="2"/>
      <c r="C102" s="2" t="s">
        <v>635</v>
      </c>
      <c r="D102" s="2" t="s">
        <v>793</v>
      </c>
      <c r="E102" s="2"/>
      <c r="F102" s="2" t="s">
        <v>476</v>
      </c>
      <c r="G102" s="2" t="s">
        <v>743</v>
      </c>
      <c r="H102" s="2" t="str">
        <f>"{{"&amp;D102&amp;"}}"</f>
        <v>{{id:datasetID}}</v>
      </c>
      <c r="I102" s="2"/>
      <c r="J102" s="2"/>
      <c r="K102" s="2"/>
    </row>
    <row r="103" spans="1:11" x14ac:dyDescent="0.2">
      <c r="A103" t="b">
        <v>1</v>
      </c>
      <c r="B103" s="2"/>
      <c r="C103" s="2" t="s">
        <v>635</v>
      </c>
      <c r="D103" s="2" t="s">
        <v>793</v>
      </c>
      <c r="E103" s="2"/>
      <c r="F103" s="2" t="s">
        <v>118</v>
      </c>
      <c r="G103" s="2" t="s">
        <v>743</v>
      </c>
      <c r="H103" s="2" t="str">
        <f>"{{"&amp;D103&amp;"}}"</f>
        <v>{{id:datasetID}}</v>
      </c>
      <c r="I103" s="2"/>
      <c r="J103" s="2"/>
      <c r="K103" s="2"/>
    </row>
    <row r="104" spans="1:11" x14ac:dyDescent="0.2">
      <c r="A104" t="b">
        <v>1</v>
      </c>
      <c r="B104" s="2"/>
      <c r="C104" s="2" t="s">
        <v>635</v>
      </c>
      <c r="D104" s="2" t="s">
        <v>793</v>
      </c>
      <c r="E104" s="2"/>
      <c r="F104" s="2" t="s">
        <v>77</v>
      </c>
      <c r="G104" s="2" t="s">
        <v>743</v>
      </c>
      <c r="H104" s="2" t="str">
        <f>"{{"&amp;D104&amp;"}}"</f>
        <v>{{id:datasetID}}</v>
      </c>
      <c r="I104" s="2"/>
      <c r="J104" s="2"/>
      <c r="K104" s="2"/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111" activePane="bottomLeft" state="frozen"/>
      <selection pane="bottomLeft" activeCell="C135" sqref="C135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28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830</v>
      </c>
      <c r="I1" s="11" t="s">
        <v>831</v>
      </c>
      <c r="J1" s="11" t="s">
        <v>832</v>
      </c>
      <c r="K1" s="11" t="s">
        <v>833</v>
      </c>
      <c r="L1" s="11" t="s">
        <v>834</v>
      </c>
      <c r="M1" s="11" t="s">
        <v>835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/>
      <c r="M5" s="2"/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822</v>
      </c>
      <c r="H8" s="2" t="s">
        <v>165</v>
      </c>
      <c r="I8" s="2" t="s">
        <v>170</v>
      </c>
      <c r="J8" s="2" t="s">
        <v>650</v>
      </c>
      <c r="K8" s="2" t="s">
        <v>641</v>
      </c>
      <c r="L8" s="2"/>
      <c r="M8" s="2"/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/>
      <c r="I10" s="2" t="s">
        <v>650</v>
      </c>
      <c r="J10" s="2" t="s">
        <v>422</v>
      </c>
      <c r="K10" s="2" t="s">
        <v>684</v>
      </c>
      <c r="L10" s="2"/>
      <c r="M10" s="2"/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/>
      <c r="M11" s="2"/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/>
      <c r="M12" s="2"/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/>
      <c r="M13" s="2"/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816</v>
      </c>
      <c r="E14" s="2" t="s">
        <v>152</v>
      </c>
      <c r="F14" s="2"/>
      <c r="G14" s="2"/>
      <c r="H14" s="2"/>
      <c r="I14" s="2" t="s">
        <v>650</v>
      </c>
      <c r="J14" s="2" t="s">
        <v>650</v>
      </c>
      <c r="K14" s="2" t="s">
        <v>650</v>
      </c>
      <c r="L14" s="2"/>
      <c r="M14" s="2"/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/>
      <c r="I16" s="2" t="s">
        <v>650</v>
      </c>
      <c r="J16" s="2" t="s">
        <v>427</v>
      </c>
      <c r="K16" s="2" t="s">
        <v>685</v>
      </c>
      <c r="L16" s="2"/>
      <c r="M16" s="2"/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/>
      <c r="M17" s="2"/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/>
      <c r="M18" s="2"/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/>
      <c r="M19" s="2"/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/>
      <c r="M20" s="2"/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/>
      <c r="M21" s="2"/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/>
      <c r="M22" s="2"/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/>
      <c r="M23" s="2"/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/>
      <c r="M24" s="2"/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/>
      <c r="M25" s="2"/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/>
      <c r="M26" s="2"/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/>
      <c r="M27" s="2"/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/>
      <c r="M28" s="2"/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/>
      <c r="M29" s="2"/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/>
      <c r="M30" s="2"/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/>
      <c r="M31" s="2"/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/>
      <c r="M32" s="2"/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/>
      <c r="M33" s="2"/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/>
      <c r="M34" s="2"/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/>
      <c r="M35" s="2"/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/>
      <c r="M36" s="2"/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/>
      <c r="M37" s="2"/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/>
      <c r="M38" s="2"/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/>
      <c r="M39" s="2"/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/>
      <c r="I41" s="2" t="s">
        <v>650</v>
      </c>
      <c r="J41" s="2" t="s">
        <v>446</v>
      </c>
      <c r="K41" s="2" t="s">
        <v>686</v>
      </c>
      <c r="L41" s="2"/>
      <c r="M41" s="2"/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/>
      <c r="M42" s="2"/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/>
      <c r="M43" s="2"/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/>
      <c r="M44" s="2"/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/>
      <c r="M45" s="2"/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/>
      <c r="M46" s="2"/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/>
      <c r="M47" s="2"/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/>
      <c r="M48" s="2"/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/>
      <c r="M49" s="2"/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/>
      <c r="M50" s="2"/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/>
      <c r="M51" s="2"/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/>
      <c r="M52" s="2"/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/>
      <c r="M53" s="2"/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/>
      <c r="M54" s="2"/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/>
      <c r="M55" s="2"/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/>
      <c r="M56" s="2"/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/>
      <c r="M57" s="2"/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/>
      <c r="M58" s="2"/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/>
      <c r="M59" s="2"/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/>
      <c r="M60" s="2"/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/>
      <c r="M61" s="2"/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/>
      <c r="M62" s="2"/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/>
      <c r="M63" s="2"/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/>
      <c r="M64" s="2"/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/>
      <c r="M65" s="2"/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/>
      <c r="M66" s="2"/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/>
      <c r="M67" s="2"/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/>
      <c r="M68" s="2"/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/>
      <c r="M69" s="2"/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/>
      <c r="M70" s="2"/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/>
      <c r="M71" s="2"/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/>
      <c r="M72" s="2"/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/>
      <c r="M73" s="2"/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/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/>
      <c r="I80" s="2" t="s">
        <v>650</v>
      </c>
      <c r="J80" s="2" t="s">
        <v>484</v>
      </c>
      <c r="K80" s="2" t="s">
        <v>662</v>
      </c>
      <c r="L80" s="2"/>
      <c r="M80" s="2"/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816</v>
      </c>
      <c r="E82" s="2" t="s">
        <v>152</v>
      </c>
      <c r="F82" s="2"/>
      <c r="G82" s="2"/>
      <c r="H82" s="2"/>
      <c r="I82" s="2" t="s">
        <v>650</v>
      </c>
      <c r="J82" s="2" t="s">
        <v>485</v>
      </c>
      <c r="K82" s="2" t="s">
        <v>687</v>
      </c>
      <c r="L82" s="2"/>
      <c r="M82" s="2"/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/>
      <c r="M83" s="2"/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/>
      <c r="M84" s="2"/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/>
      <c r="M85" s="2"/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/>
      <c r="M86" s="2"/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/>
      <c r="M87" s="2"/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/>
      <c r="M88" s="2"/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/>
      <c r="M89" s="2"/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/>
      <c r="M90" s="2"/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/>
      <c r="M91" s="2"/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/>
      <c r="M92" s="2"/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/>
      <c r="M93" s="2"/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/>
      <c r="M94" s="2"/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/>
      <c r="M95" s="2"/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/>
      <c r="M96" s="2"/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/>
      <c r="M97" s="2"/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816</v>
      </c>
      <c r="E99" s="2" t="s">
        <v>152</v>
      </c>
      <c r="F99" s="2"/>
      <c r="G99" s="2"/>
      <c r="H99" s="2"/>
      <c r="I99" s="2" t="s">
        <v>650</v>
      </c>
      <c r="J99" s="2" t="s">
        <v>486</v>
      </c>
      <c r="K99" s="2" t="s">
        <v>688</v>
      </c>
      <c r="L99" s="2"/>
      <c r="M99" s="2"/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/>
      <c r="M100" s="2"/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/>
      <c r="M101" s="2"/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/>
      <c r="M102" s="2"/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/>
      <c r="M103" s="2"/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/>
      <c r="M104" s="2"/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/>
      <c r="M105" s="2"/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/>
      <c r="I108" s="2" t="s">
        <v>650</v>
      </c>
      <c r="J108" s="2" t="s">
        <v>504</v>
      </c>
      <c r="K108" s="2" t="s">
        <v>664</v>
      </c>
      <c r="L108" s="2"/>
      <c r="M108" s="2"/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/>
      <c r="I110" s="2" t="s">
        <v>650</v>
      </c>
      <c r="J110" s="2" t="s">
        <v>468</v>
      </c>
      <c r="K110" s="2" t="s">
        <v>689</v>
      </c>
      <c r="L110" s="2"/>
      <c r="M110" s="2"/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/>
      <c r="M111" s="2"/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/>
      <c r="M112" s="2"/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/>
      <c r="M113" s="2"/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/>
      <c r="M114" s="2"/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/>
      <c r="M115" s="2"/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823</v>
      </c>
      <c r="H118" s="2"/>
      <c r="I118" s="2" t="s">
        <v>650</v>
      </c>
      <c r="J118" s="2" t="s">
        <v>507</v>
      </c>
      <c r="K118" s="2" t="s">
        <v>690</v>
      </c>
      <c r="L118" s="2"/>
      <c r="M118" s="2"/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/>
      <c r="M119" s="2"/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/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824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825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825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825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826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827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828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829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8" priority="11"/>
  </conditionalFormatting>
  <conditionalFormatting sqref="K94">
    <cfRule type="duplicateValues" dxfId="7" priority="1"/>
    <cfRule type="duplicateValues" dxfId="6" priority="2"/>
  </conditionalFormatting>
  <conditionalFormatting sqref="K121:M121">
    <cfRule type="duplicateValues" dxfId="5" priority="7"/>
  </conditionalFormatting>
  <conditionalFormatting sqref="L122 I122:J122 L127:L128">
    <cfRule type="duplicateValues" dxfId="4" priority="8"/>
  </conditionalFormatting>
  <conditionalFormatting sqref="L134">
    <cfRule type="duplicateValues" dxfId="3" priority="5"/>
  </conditionalFormatting>
  <conditionalFormatting sqref="L135">
    <cfRule type="duplicateValues" dxfId="2" priority="4"/>
  </conditionalFormatting>
  <conditionalFormatting sqref="L136">
    <cfRule type="duplicateValues" dxfId="1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K17"/>
  <sheetViews>
    <sheetView workbookViewId="0">
      <pane ySplit="1" topLeftCell="A2" activePane="bottomLeft" state="frozen"/>
      <selection pane="bottomLeft" activeCell="D4" sqref="D4"/>
    </sheetView>
  </sheetViews>
  <sheetFormatPr baseColWidth="10" defaultRowHeight="16" x14ac:dyDescent="0.2"/>
  <cols>
    <col min="3" max="3" width="18.6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23" customWidth="1"/>
    <col min="9" max="10" width="22.33203125" customWidth="1"/>
  </cols>
  <sheetData>
    <row r="1" spans="1:11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820</v>
      </c>
      <c r="I1" s="11" t="s">
        <v>821</v>
      </c>
      <c r="J1" s="11" t="s">
        <v>818</v>
      </c>
      <c r="K1" s="12" t="s">
        <v>121</v>
      </c>
    </row>
    <row r="2" spans="1:11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808</v>
      </c>
      <c r="I2" t="s">
        <v>807</v>
      </c>
    </row>
    <row r="3" spans="1:11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1" x14ac:dyDescent="0.2">
      <c r="A4" t="b">
        <v>1</v>
      </c>
      <c r="B4" t="s">
        <v>635</v>
      </c>
      <c r="C4" t="s">
        <v>56</v>
      </c>
      <c r="D4" t="s">
        <v>816</v>
      </c>
      <c r="E4" t="s">
        <v>147</v>
      </c>
      <c r="F4" t="s">
        <v>150</v>
      </c>
    </row>
    <row r="6" spans="1:11" x14ac:dyDescent="0.2">
      <c r="A6" t="b">
        <v>1</v>
      </c>
      <c r="B6" t="s">
        <v>635</v>
      </c>
      <c r="C6" t="s">
        <v>64</v>
      </c>
      <c r="D6" t="s">
        <v>141</v>
      </c>
      <c r="E6" t="s">
        <v>147</v>
      </c>
      <c r="F6" t="s">
        <v>596</v>
      </c>
      <c r="H6" t="s">
        <v>809</v>
      </c>
      <c r="I6" t="s">
        <v>810</v>
      </c>
    </row>
    <row r="7" spans="1:11" x14ac:dyDescent="0.2">
      <c r="A7" t="b">
        <v>1</v>
      </c>
      <c r="B7" t="s">
        <v>635</v>
      </c>
      <c r="C7" t="s">
        <v>64</v>
      </c>
      <c r="D7" t="s">
        <v>142</v>
      </c>
      <c r="E7" t="s">
        <v>147</v>
      </c>
      <c r="F7" t="s">
        <v>598</v>
      </c>
    </row>
    <row r="8" spans="1:11" x14ac:dyDescent="0.2">
      <c r="A8" t="b">
        <v>1</v>
      </c>
      <c r="B8" t="s">
        <v>635</v>
      </c>
      <c r="C8" t="s">
        <v>64</v>
      </c>
      <c r="D8" t="s">
        <v>816</v>
      </c>
      <c r="E8" t="s">
        <v>147</v>
      </c>
      <c r="F8" t="s">
        <v>598</v>
      </c>
    </row>
    <row r="10" spans="1:11" x14ac:dyDescent="0.2">
      <c r="A10" t="b">
        <v>1</v>
      </c>
      <c r="B10" t="s">
        <v>635</v>
      </c>
      <c r="C10" t="s">
        <v>66</v>
      </c>
      <c r="D10" t="s">
        <v>141</v>
      </c>
      <c r="E10" t="s">
        <v>147</v>
      </c>
      <c r="F10" t="s">
        <v>602</v>
      </c>
      <c r="H10" t="s">
        <v>811</v>
      </c>
      <c r="I10" t="s">
        <v>812</v>
      </c>
    </row>
    <row r="11" spans="1:11" x14ac:dyDescent="0.2">
      <c r="A11" t="b">
        <v>1</v>
      </c>
      <c r="B11" t="s">
        <v>635</v>
      </c>
      <c r="C11" t="s">
        <v>66</v>
      </c>
      <c r="D11" t="s">
        <v>142</v>
      </c>
      <c r="E11" t="s">
        <v>147</v>
      </c>
      <c r="F11" t="s">
        <v>598</v>
      </c>
    </row>
    <row r="13" spans="1:11" ht="19" customHeight="1" x14ac:dyDescent="0.2">
      <c r="A13" t="b">
        <v>1</v>
      </c>
      <c r="B13" t="s">
        <v>635</v>
      </c>
      <c r="C13" t="s">
        <v>68</v>
      </c>
      <c r="E13" t="s">
        <v>147</v>
      </c>
      <c r="H13" t="s">
        <v>813</v>
      </c>
      <c r="J13" s="34" t="s">
        <v>819</v>
      </c>
    </row>
    <row r="14" spans="1:11" ht="19" customHeight="1" x14ac:dyDescent="0.2">
      <c r="J14" s="34"/>
    </row>
    <row r="15" spans="1:11" x14ac:dyDescent="0.2">
      <c r="A15" t="b">
        <v>1</v>
      </c>
      <c r="B15" t="s">
        <v>635</v>
      </c>
      <c r="C15" t="s">
        <v>73</v>
      </c>
      <c r="D15" t="s">
        <v>141</v>
      </c>
      <c r="E15" t="s">
        <v>147</v>
      </c>
      <c r="F15" t="s">
        <v>149</v>
      </c>
      <c r="H15" t="s">
        <v>814</v>
      </c>
      <c r="I15" t="s">
        <v>815</v>
      </c>
    </row>
    <row r="16" spans="1:11" x14ac:dyDescent="0.2">
      <c r="A16" t="b">
        <v>1</v>
      </c>
      <c r="B16" t="s">
        <v>635</v>
      </c>
      <c r="C16" t="s">
        <v>73</v>
      </c>
      <c r="D16" t="s">
        <v>142</v>
      </c>
      <c r="E16" t="s">
        <v>147</v>
      </c>
      <c r="F16" t="s">
        <v>150</v>
      </c>
    </row>
    <row r="17" spans="1:6" x14ac:dyDescent="0.2">
      <c r="A17" t="b">
        <v>1</v>
      </c>
      <c r="B17" t="s">
        <v>635</v>
      </c>
      <c r="C17" t="s">
        <v>73</v>
      </c>
      <c r="D17" t="s">
        <v>816</v>
      </c>
      <c r="E17" t="s">
        <v>147</v>
      </c>
      <c r="F17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tabSelected="1" workbookViewId="0">
      <pane ySplit="1" topLeftCell="A150" activePane="bottomLeft" state="frozen"/>
      <selection pane="bottomLeft" activeCell="D173" sqref="D173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816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816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816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816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771</v>
      </c>
      <c r="F1" s="23" t="s">
        <v>789</v>
      </c>
      <c r="G1" s="23" t="s">
        <v>790</v>
      </c>
    </row>
    <row r="2" spans="1:7" x14ac:dyDescent="0.2">
      <c r="A2" t="b">
        <v>1</v>
      </c>
      <c r="B2" t="s">
        <v>79</v>
      </c>
      <c r="C2" t="s">
        <v>747</v>
      </c>
      <c r="E2" t="s">
        <v>798</v>
      </c>
      <c r="F2" t="s">
        <v>800</v>
      </c>
      <c r="G2" t="s">
        <v>799</v>
      </c>
    </row>
    <row r="3" spans="1:7" x14ac:dyDescent="0.2">
      <c r="B3" t="s">
        <v>79</v>
      </c>
      <c r="C3" t="s">
        <v>743</v>
      </c>
      <c r="E3" t="s">
        <v>793</v>
      </c>
    </row>
    <row r="5" spans="1:7" x14ac:dyDescent="0.2">
      <c r="A5" t="b">
        <v>1</v>
      </c>
      <c r="B5" t="s">
        <v>115</v>
      </c>
      <c r="C5" t="s">
        <v>742</v>
      </c>
      <c r="E5" t="s">
        <v>791</v>
      </c>
      <c r="F5" t="s">
        <v>777</v>
      </c>
      <c r="G5" t="s">
        <v>772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776</v>
      </c>
      <c r="G6" t="s">
        <v>775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778</v>
      </c>
      <c r="G7" t="s">
        <v>773</v>
      </c>
    </row>
    <row r="8" spans="1:7" x14ac:dyDescent="0.2">
      <c r="A8" t="b">
        <v>1</v>
      </c>
      <c r="B8" t="s">
        <v>115</v>
      </c>
      <c r="C8" t="s">
        <v>745</v>
      </c>
      <c r="E8" t="s">
        <v>792</v>
      </c>
      <c r="F8" t="s">
        <v>781</v>
      </c>
      <c r="G8" t="s">
        <v>780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779</v>
      </c>
      <c r="G9" t="s">
        <v>774</v>
      </c>
    </row>
    <row r="10" spans="1:7" x14ac:dyDescent="0.2">
      <c r="A10" t="b">
        <v>1</v>
      </c>
      <c r="B10" t="s">
        <v>115</v>
      </c>
      <c r="C10" t="s">
        <v>743</v>
      </c>
      <c r="E10" t="s">
        <v>793</v>
      </c>
      <c r="F10" t="s">
        <v>783</v>
      </c>
      <c r="G10" t="s">
        <v>782</v>
      </c>
    </row>
    <row r="11" spans="1:7" x14ac:dyDescent="0.2">
      <c r="A11" t="b">
        <v>1</v>
      </c>
      <c r="B11" t="s">
        <v>115</v>
      </c>
      <c r="C11" t="s">
        <v>744</v>
      </c>
      <c r="E11" t="s">
        <v>794</v>
      </c>
      <c r="F11" t="s">
        <v>785</v>
      </c>
      <c r="G11" t="s">
        <v>784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783</v>
      </c>
      <c r="G12" t="s">
        <v>786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787</v>
      </c>
      <c r="G13" t="s">
        <v>788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793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795</v>
      </c>
      <c r="F21" t="s">
        <v>804</v>
      </c>
      <c r="G21" t="s">
        <v>803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796</v>
      </c>
      <c r="F24" t="s">
        <v>802</v>
      </c>
      <c r="G24" t="s">
        <v>801</v>
      </c>
    </row>
    <row r="26" spans="1:7" x14ac:dyDescent="0.2">
      <c r="A26" t="b">
        <v>1</v>
      </c>
      <c r="B26" t="s">
        <v>147</v>
      </c>
      <c r="C26" t="s">
        <v>749</v>
      </c>
      <c r="E26" t="s">
        <v>797</v>
      </c>
      <c r="F26" t="s">
        <v>806</v>
      </c>
      <c r="G26" t="s">
        <v>805</v>
      </c>
    </row>
    <row r="27" spans="1:7" x14ac:dyDescent="0.2">
      <c r="A27" t="b">
        <v>1</v>
      </c>
      <c r="B27" t="s">
        <v>147</v>
      </c>
      <c r="C27" t="s">
        <v>742</v>
      </c>
      <c r="E27" t="s">
        <v>791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794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793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793</v>
      </c>
    </row>
    <row r="41" spans="1:7" x14ac:dyDescent="0.2">
      <c r="A41" t="b">
        <v>1</v>
      </c>
      <c r="B41" t="s">
        <v>77</v>
      </c>
      <c r="C41" t="s">
        <v>745</v>
      </c>
      <c r="E41" t="s">
        <v>792</v>
      </c>
      <c r="F41" t="s">
        <v>781</v>
      </c>
      <c r="G41" t="s">
        <v>780</v>
      </c>
    </row>
    <row r="42" spans="1:7" x14ac:dyDescent="0.2">
      <c r="A42" t="b">
        <v>1</v>
      </c>
      <c r="B42" t="s">
        <v>77</v>
      </c>
      <c r="C42" t="s">
        <v>747</v>
      </c>
      <c r="E42" t="s">
        <v>798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maps</vt:lpstr>
      <vt:lpstr>wide</vt:lpstr>
      <vt:lpstr>wide_qualityReports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2024-06-10T23:10:51Z</dcterms:modified>
</cp:coreProperties>
</file>
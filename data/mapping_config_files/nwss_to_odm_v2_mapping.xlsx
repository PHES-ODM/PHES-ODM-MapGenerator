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martinwellman/Documents/Health/Wastewater/PHES-ODM-MapGenerator/PHES-ODM-MapGenerator/data/mapping_config_files/"/>
    </mc:Choice>
  </mc:AlternateContent>
  <xr:revisionPtr revIDLastSave="0" documentId="13_ncr:1_{38902763-A490-C344-9B72-443A878B1074}" xr6:coauthVersionLast="47" xr6:coauthVersionMax="47" xr10:uidLastSave="{00000000-0000-0000-0000-000000000000}"/>
  <bookViews>
    <workbookView xWindow="0" yWindow="500" windowWidth="40960" windowHeight="20860" xr2:uid="{77810E24-F86B-BC44-A0D5-8790E6EC60B4}"/>
  </bookViews>
  <sheets>
    <sheet name="maps" sheetId="1" r:id="rId1"/>
    <sheet name="wide_measures" sheetId="2" r:id="rId2"/>
    <sheet name="wide_qualityReports" sheetId="7" r:id="rId3"/>
    <sheet name="wide_protocolSteps" sheetId="8" r:id="rId4"/>
    <sheet name="wide_protocolRelationships" sheetId="9" r:id="rId5"/>
    <sheet name="enums" sheetId="3" r:id="rId6"/>
    <sheet name="id_gen" sheetId="4" r:id="rId7"/>
    <sheet name="maps original" sheetId="6" r:id="rId8"/>
  </sheets>
  <externalReferences>
    <externalReference r:id="rId9"/>
  </externalReferences>
  <definedNames>
    <definedName name="_xlnm._FilterDatabase" localSheetId="5" hidden="1">enums!$A$1:$J$41</definedName>
    <definedName name="_xlnm._FilterDatabase" localSheetId="0" hidden="1">maps!$A$1:$K$58</definedName>
    <definedName name="_xlnm._FilterDatabase" localSheetId="7" hidden="1">'maps original'!$A$1:$L$87</definedName>
    <definedName name="_xlnm._FilterDatabase" localSheetId="1" hidden="1">wide_measures!$A$1:$S$26</definedName>
    <definedName name="partID">[1]parts!$A:$A</definedName>
    <definedName name="partLabel">[1]parts!$B:$B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2" l="1"/>
  <c r="F13" i="2"/>
</calcChain>
</file>

<file path=xl/sharedStrings.xml><?xml version="1.0" encoding="utf-8"?>
<sst xmlns="http://schemas.openxmlformats.org/spreadsheetml/2006/main" count="3278" uniqueCount="986">
  <si>
    <t>Reporter</t>
  </si>
  <si>
    <t>Collection Site</t>
  </si>
  <si>
    <t>WWTP</t>
  </si>
  <si>
    <t>Collection Method</t>
  </si>
  <si>
    <t>Sample</t>
  </si>
  <si>
    <t>SARSCoV2 Quantification Results</t>
  </si>
  <si>
    <t>NWSS_table</t>
  </si>
  <si>
    <t>reporting_jurisdiction</t>
  </si>
  <si>
    <t>site_id</t>
  </si>
  <si>
    <t>county_names</t>
  </si>
  <si>
    <t>zipcode</t>
  </si>
  <si>
    <t>population_served</t>
  </si>
  <si>
    <t>sewage_travel_time</t>
  </si>
  <si>
    <t>sample_location</t>
  </si>
  <si>
    <t>sample_location_specify</t>
  </si>
  <si>
    <t>institution_type</t>
  </si>
  <si>
    <t>epaid</t>
  </si>
  <si>
    <t>epa_registry_id</t>
  </si>
  <si>
    <t>wwtp_name</t>
  </si>
  <si>
    <t>wwtp_jurisdiction</t>
  </si>
  <si>
    <t>capacity_mgd</t>
  </si>
  <si>
    <t>industrial_input</t>
  </si>
  <si>
    <t>influent_equilibrated</t>
  </si>
  <si>
    <t>composite_freq</t>
  </si>
  <si>
    <t>sample_matrix</t>
  </si>
  <si>
    <t>collection_storage_time</t>
  </si>
  <si>
    <t>collection_storage_temp</t>
  </si>
  <si>
    <t>pretreatment</t>
  </si>
  <si>
    <t>solids_separation</t>
  </si>
  <si>
    <t>concentration_method</t>
  </si>
  <si>
    <t>extraction_method</t>
  </si>
  <si>
    <t>pre_conc_storage_time</t>
  </si>
  <si>
    <t>pre_conc_storage_temp</t>
  </si>
  <si>
    <t>pre_ext_storage_time</t>
  </si>
  <si>
    <t>pre_ext_storage_temp</t>
  </si>
  <si>
    <t>tot_conc_vol</t>
  </si>
  <si>
    <t>ext_blank</t>
  </si>
  <si>
    <t>rec_eff_target_name</t>
  </si>
  <si>
    <t>rec_eff_spike_matrix</t>
  </si>
  <si>
    <t>rec_eff_spike_conc</t>
  </si>
  <si>
    <t>pasteurized</t>
  </si>
  <si>
    <t>pcr_type</t>
  </si>
  <si>
    <t>quant_stan_type</t>
  </si>
  <si>
    <t>num_no_target_control</t>
  </si>
  <si>
    <t>sample_collect_date</t>
  </si>
  <si>
    <t>sample_collect_time</t>
  </si>
  <si>
    <t>time_zone</t>
  </si>
  <si>
    <t>flow_rate</t>
  </si>
  <si>
    <t>ph</t>
  </si>
  <si>
    <t>conductivity</t>
  </si>
  <si>
    <t>tss</t>
  </si>
  <si>
    <t>collection_water_temp</t>
  </si>
  <si>
    <t>equiv_sewage_amt</t>
  </si>
  <si>
    <t>sample_id</t>
  </si>
  <si>
    <t>lab_id</t>
  </si>
  <si>
    <t>qc_ignore</t>
  </si>
  <si>
    <t>dashboard_ignore</t>
  </si>
  <si>
    <t>analysis_ignore</t>
  </si>
  <si>
    <t>test_result_date</t>
  </si>
  <si>
    <t>pcr_target_avg_conc</t>
  </si>
  <si>
    <t>pcr_target_std_error</t>
  </si>
  <si>
    <t>pcr_target_cl_95_lo</t>
  </si>
  <si>
    <t>pcr_target_cl_95_up</t>
  </si>
  <si>
    <t>pcr_target_below_lod</t>
  </si>
  <si>
    <t>lod_sewage</t>
  </si>
  <si>
    <t>ntc_amplify</t>
  </si>
  <si>
    <t>rec_eff_percent</t>
  </si>
  <si>
    <t>inhibition_detect</t>
  </si>
  <si>
    <t>inhibition_adjust</t>
  </si>
  <si>
    <t>hum_frac_mic_conc</t>
  </si>
  <si>
    <t>hum_frac_chem_conc</t>
  </si>
  <si>
    <t>other_norm_conc</t>
  </si>
  <si>
    <t>quality_flag</t>
  </si>
  <si>
    <t>major_lab_method</t>
  </si>
  <si>
    <t>major_lab_method_desc</t>
  </si>
  <si>
    <t>NA</t>
  </si>
  <si>
    <t>sites</t>
  </si>
  <si>
    <t>siteID</t>
  </si>
  <si>
    <t>addresses</t>
  </si>
  <si>
    <t>pCode</t>
  </si>
  <si>
    <t>popServ</t>
  </si>
  <si>
    <t>wwtp</t>
  </si>
  <si>
    <t>upstream</t>
  </si>
  <si>
    <t>siteType</t>
  </si>
  <si>
    <t>not institution specific</t>
  </si>
  <si>
    <t>correctional</t>
  </si>
  <si>
    <t>long term care - nursing home</t>
  </si>
  <si>
    <t>long term care - assisted living</t>
  </si>
  <si>
    <t>other long term care</t>
  </si>
  <si>
    <t>short stay acute care hospital</t>
  </si>
  <si>
    <t>long term acute care hospital</t>
  </si>
  <si>
    <t>child day care</t>
  </si>
  <si>
    <t>k12</t>
  </si>
  <si>
    <t>higher ed dorm</t>
  </si>
  <si>
    <t>higher ed other</t>
  </si>
  <si>
    <t>social services shelter</t>
  </si>
  <si>
    <t>other residential building</t>
  </si>
  <si>
    <t>ship</t>
  </si>
  <si>
    <t>airplane</t>
  </si>
  <si>
    <t>other worksite</t>
  </si>
  <si>
    <t>sampleShed</t>
  </si>
  <si>
    <t>corFcil</t>
  </si>
  <si>
    <t>ltcf</t>
  </si>
  <si>
    <t>ltcfAl</t>
  </si>
  <si>
    <t>ltcfO</t>
  </si>
  <si>
    <t>sss</t>
  </si>
  <si>
    <t>uCampus</t>
  </si>
  <si>
    <t>dorm</t>
  </si>
  <si>
    <t>school</t>
  </si>
  <si>
    <t>cdc</t>
  </si>
  <si>
    <t>orb</t>
  </si>
  <si>
    <t>airpln</t>
  </si>
  <si>
    <t>ccc</t>
  </si>
  <si>
    <t>hosptl</t>
  </si>
  <si>
    <t>measures</t>
  </si>
  <si>
    <t>name</t>
  </si>
  <si>
    <t>map to notes?</t>
  </si>
  <si>
    <t>samples</t>
  </si>
  <si>
    <t>collType</t>
  </si>
  <si>
    <t>collNum</t>
  </si>
  <si>
    <t>notes</t>
  </si>
  <si>
    <t>raw wastewater</t>
  </si>
  <si>
    <t>post grit removal</t>
  </si>
  <si>
    <t>primary sludge</t>
  </si>
  <si>
    <t xml:space="preserve">primary effluent </t>
  </si>
  <si>
    <t>secondary sludge</t>
  </si>
  <si>
    <t>secondary effluent</t>
  </si>
  <si>
    <t>septage</t>
  </si>
  <si>
    <t>holding tank</t>
  </si>
  <si>
    <t>saMaterial</t>
  </si>
  <si>
    <t>pSludge</t>
  </si>
  <si>
    <t>pEfflu</t>
  </si>
  <si>
    <t>sSludge</t>
  </si>
  <si>
    <t>sEfflu</t>
  </si>
  <si>
    <t>pstGrit</t>
  </si>
  <si>
    <t>htSam</t>
  </si>
  <si>
    <t>rawWW</t>
  </si>
  <si>
    <t>collDT</t>
  </si>
  <si>
    <t>All this information (date, time, and timezone, should be in the datetime variable reported here. There three fields in NWSS collapse into 1 in ODM)</t>
  </si>
  <si>
    <t>sampleID</t>
  </si>
  <si>
    <t>yes</t>
  </si>
  <si>
    <t>no</t>
  </si>
  <si>
    <t>[empty]</t>
  </si>
  <si>
    <t>organizationID</t>
  </si>
  <si>
    <t>reportable</t>
  </si>
  <si>
    <t>Notice that dashboard_ignore and analysis_ignore are collapsed into a single variable in ODM. A "yes" in either or both  fields will be taken as a "FALSE" for "reportable".</t>
  </si>
  <si>
    <t>qualityReports</t>
  </si>
  <si>
    <t>qualityFlag</t>
  </si>
  <si>
    <t>qf1</t>
  </si>
  <si>
    <t>noConcern</t>
  </si>
  <si>
    <t>this will need a qualityReports_qualityID that links back to a given samples table entry</t>
  </si>
  <si>
    <t>protocolSteps</t>
  </si>
  <si>
    <t>this will need a qualityReports_qualityID that links back to a given measures table entry</t>
  </si>
  <si>
    <t>mL</t>
  </si>
  <si>
    <t>sin</t>
  </si>
  <si>
    <t>si</t>
  </si>
  <si>
    <t>aDateEnd</t>
  </si>
  <si>
    <t>hours</t>
  </si>
  <si>
    <t>me</t>
  </si>
  <si>
    <t>sewTrTi</t>
  </si>
  <si>
    <t>wwtpCap</t>
  </si>
  <si>
    <t>mgd</t>
  </si>
  <si>
    <t>indusIn</t>
  </si>
  <si>
    <t>perc</t>
  </si>
  <si>
    <t>sa</t>
  </si>
  <si>
    <t>influEqui</t>
  </si>
  <si>
    <t>stoTim</t>
  </si>
  <si>
    <t>sTemp</t>
  </si>
  <si>
    <t>cel</t>
  </si>
  <si>
    <t>pretreat</t>
  </si>
  <si>
    <t>floRate</t>
  </si>
  <si>
    <t>unitless</t>
  </si>
  <si>
    <t>cond</t>
  </si>
  <si>
    <t>uSCm</t>
  </si>
  <si>
    <t>mgL</t>
  </si>
  <si>
    <t>temp</t>
  </si>
  <si>
    <t>sewEq</t>
  </si>
  <si>
    <t>filtration</t>
  </si>
  <si>
    <t>centrifugation</t>
  </si>
  <si>
    <t>gravity settling</t>
  </si>
  <si>
    <t>none</t>
  </si>
  <si>
    <t>membrane filtration with addition of mgcl2</t>
  </si>
  <si>
    <t>membrane filtration with sample acidification</t>
  </si>
  <si>
    <t>membrane filtration with acidification and mgcl2</t>
  </si>
  <si>
    <t>membrane filtration with no amendment</t>
  </si>
  <si>
    <t>membrane filtration with addition of mgcl2, membrane recombined with separated solids</t>
  </si>
  <si>
    <t>membrane filtration with sample acidification, membrane recombined with separated solids</t>
  </si>
  <si>
    <t>membrane filtration with acidification and mgcl2, membrane recombined with separated solids</t>
  </si>
  <si>
    <t>membrane filtration with no amendment, membrane recombined with separated solids</t>
  </si>
  <si>
    <t>peg precipitation</t>
  </si>
  <si>
    <t>aloh3 precipitation</t>
  </si>
  <si>
    <t>ultracentrifugation</t>
  </si>
  <si>
    <t>skimmed milk flocculation</t>
  </si>
  <si>
    <t>beef extract flocculation</t>
  </si>
  <si>
    <t>promega wastewater large volume tna capture kit</t>
  </si>
  <si>
    <t>centricon ultrafiltration</t>
  </si>
  <si>
    <t>amicon ultrafiltration</t>
  </si>
  <si>
    <t>hollow fiber dead end ultrafiltration</t>
  </si>
  <si>
    <t>innovaprep ultrafiltration</t>
  </si>
  <si>
    <t>no liquid concentration, liquid recombined with separated solids</t>
  </si>
  <si>
    <t>ceres nanotrap</t>
  </si>
  <si>
    <t>zymo environ water rna kit/ zymo environ water rna kit (cat. r2042)</t>
  </si>
  <si>
    <t>membrane filtration with addition of mgcl3</t>
  </si>
  <si>
    <t>water concentrating buffer (R2042-1)</t>
  </si>
  <si>
    <t>qiagen allprep powerviral dna/rna kit</t>
  </si>
  <si>
    <t>qiagen allprep powerfecal dna/rna kit</t>
  </si>
  <si>
    <t>qiagen allprep dna/rna kit</t>
  </si>
  <si>
    <t>qiagen rneasy powermicrobiome kit</t>
  </si>
  <si>
    <t>qiagen powerwater kit</t>
  </si>
  <si>
    <t>qiagen rneasy kit</t>
  </si>
  <si>
    <t>qiagen ez1 virus mini kit v2.0</t>
  </si>
  <si>
    <t>promega ht tna kit</t>
  </si>
  <si>
    <t>promega automated tna kit</t>
  </si>
  <si>
    <t>promega manual tna kit</t>
  </si>
  <si>
    <t>nuclisens automated magnetic bead extraction kit</t>
  </si>
  <si>
    <t>nuclisens manual magnetic bead extraction kit</t>
  </si>
  <si>
    <t>phenol chloroform</t>
  </si>
  <si>
    <t>chemagic viral dna/rna 300 kit</t>
  </si>
  <si>
    <t>trizol, zymo mag beads w/ zymo clean and concentrator</t>
  </si>
  <si>
    <t>4s method (https://www.protocols.io/view/v-4-direct-wastewater-rna-capture-and-purification-bpdfmi3n)</t>
  </si>
  <si>
    <t>qiagen qiaamp buffers with epoch columns</t>
  </si>
  <si>
    <t>zymo quick-rna fungal/bacterial miniprep #r2014</t>
  </si>
  <si>
    <t>thermo magmax microbiome ultra nucleic acid isolation kit</t>
  </si>
  <si>
    <t>luminultra wastewater extraction kit</t>
  </si>
  <si>
    <t>qiaamp viral rna kit</t>
  </si>
  <si>
    <t>trizol and RNA purification kit</t>
  </si>
  <si>
    <t>trizol, garnet bead beating, alcohol precipitation</t>
  </si>
  <si>
    <t>zymo quick-rna viral 96 kit #r1041</t>
  </si>
  <si>
    <t>zymo quick-rna viral kit #r1035</t>
  </si>
  <si>
    <t>qiagen qiaamp dsp viral rna mini kit</t>
  </si>
  <si>
    <t>monarch total RNA miniprep kit (new england biolabs) + onestep PCR inhibitor removal kit (zymo)</t>
  </si>
  <si>
    <t>exclusions based sample preparation (ESP)</t>
  </si>
  <si>
    <t>sciencell viral rna isolation kit</t>
  </si>
  <si>
    <t>thermo magmax viral/pathogen nucleic acid isolation kit</t>
  </si>
  <si>
    <t>nucleomag (ref. 744220.4) using kingfisher automated instrument</t>
  </si>
  <si>
    <t>bcov vaccine</t>
  </si>
  <si>
    <t>bcov culture</t>
  </si>
  <si>
    <t>brsv vaccine</t>
  </si>
  <si>
    <t>brsv culture</t>
  </si>
  <si>
    <t>murine coronavirus</t>
  </si>
  <si>
    <t>oc43</t>
  </si>
  <si>
    <t>phi6</t>
  </si>
  <si>
    <t>puro</t>
  </si>
  <si>
    <t>ms2 coliphage</t>
  </si>
  <si>
    <t>hep g armored rna</t>
  </si>
  <si>
    <t>heat inactivated sars-cov-2 virus</t>
  </si>
  <si>
    <t xml:space="preserve">murine hepatitis virus </t>
  </si>
  <si>
    <t>MHV (PREvalence)</t>
  </si>
  <si>
    <t>BCoV (GT-Digital)</t>
  </si>
  <si>
    <t>parapoxvirus</t>
  </si>
  <si>
    <t>raw sample</t>
  </si>
  <si>
    <t>raw sample post pasteurization</t>
  </si>
  <si>
    <t>clarified sample</t>
  </si>
  <si>
    <t>sample concentrate</t>
  </si>
  <si>
    <t>lysis buffer</t>
  </si>
  <si>
    <t>dewatered solids</t>
  </si>
  <si>
    <t>sars-cov-2</t>
  </si>
  <si>
    <t>delta</t>
  </si>
  <si>
    <t>omicron</t>
  </si>
  <si>
    <t>hMPXV</t>
  </si>
  <si>
    <t>hMPXV Clade I</t>
  </si>
  <si>
    <t>hMPXV Clade II</t>
  </si>
  <si>
    <t>caur</t>
  </si>
  <si>
    <t>NoV GI</t>
  </si>
  <si>
    <t>NoV GII</t>
  </si>
  <si>
    <t>FLUAV</t>
  </si>
  <si>
    <t>FLUBV</t>
  </si>
  <si>
    <t>NVO</t>
  </si>
  <si>
    <t>Cjejuni</t>
  </si>
  <si>
    <t>HAdV-F</t>
  </si>
  <si>
    <t>Col</t>
  </si>
  <si>
    <t>Gly</t>
  </si>
  <si>
    <t>Bla</t>
  </si>
  <si>
    <t>Integrase</t>
  </si>
  <si>
    <t>Tet</t>
  </si>
  <si>
    <t>RSV</t>
  </si>
  <si>
    <t>n1</t>
  </si>
  <si>
    <t>n2</t>
  </si>
  <si>
    <t>n3</t>
  </si>
  <si>
    <t>e_sarbeco</t>
  </si>
  <si>
    <t>n_sarbeco</t>
  </si>
  <si>
    <t>rdrp_sarsr</t>
  </si>
  <si>
    <t>niid_2019-ncov_n</t>
  </si>
  <si>
    <t>rdrp gene / ncov_ip2</t>
  </si>
  <si>
    <t>rdrp gene / ncov_ip4</t>
  </si>
  <si>
    <t>taqpath n</t>
  </si>
  <si>
    <t>taqpath s</t>
  </si>
  <si>
    <t>orf1b</t>
  </si>
  <si>
    <t>orf1ab</t>
  </si>
  <si>
    <t>n1 and n2 combined</t>
  </si>
  <si>
    <t>n</t>
  </si>
  <si>
    <t>s</t>
  </si>
  <si>
    <t>orf1a</t>
  </si>
  <si>
    <t>ddcov_n </t>
  </si>
  <si>
    <t>ddcov_e</t>
  </si>
  <si>
    <t>ip2 and ip4 combined</t>
  </si>
  <si>
    <t>CDC N1 (GT-Digital)</t>
  </si>
  <si>
    <t>CDC N2 (GT-Digital)</t>
  </si>
  <si>
    <t>N2 (PREvalence)</t>
  </si>
  <si>
    <t>E (PREvalence)</t>
  </si>
  <si>
    <t>a1306s</t>
  </si>
  <si>
    <t>p2046l</t>
  </si>
  <si>
    <t>p2287s</t>
  </si>
  <si>
    <t>t3646a</t>
  </si>
  <si>
    <t>v2930l</t>
  </si>
  <si>
    <t>g662s</t>
  </si>
  <si>
    <t>p100l</t>
  </si>
  <si>
    <t>a1918v</t>
  </si>
  <si>
    <t>t19r</t>
  </si>
  <si>
    <t>e156g</t>
  </si>
  <si>
    <t>del 157/158</t>
  </si>
  <si>
    <t>l452r</t>
  </si>
  <si>
    <t>p681r</t>
  </si>
  <si>
    <t>d950n</t>
  </si>
  <si>
    <t>i82t</t>
  </si>
  <si>
    <t>d63g</t>
  </si>
  <si>
    <t>r203m</t>
  </si>
  <si>
    <t>g215c</t>
  </si>
  <si>
    <t>d377y</t>
  </si>
  <si>
    <t>wt214</t>
  </si>
  <si>
    <t>del156-157</t>
  </si>
  <si>
    <t>k856r </t>
  </si>
  <si>
    <t>s2083i </t>
  </si>
  <si>
    <t>del2084/2084 </t>
  </si>
  <si>
    <t>a2710t </t>
  </si>
  <si>
    <t>p3395h </t>
  </si>
  <si>
    <t>del3674/3676 </t>
  </si>
  <si>
    <t>i3758v </t>
  </si>
  <si>
    <t>i1566v </t>
  </si>
  <si>
    <t>a67v </t>
  </si>
  <si>
    <t>del69/70 </t>
  </si>
  <si>
    <t>a67v/del69/del70</t>
  </si>
  <si>
    <t>del143/145 </t>
  </si>
  <si>
    <t>n211i </t>
  </si>
  <si>
    <t>del212/212 </t>
  </si>
  <si>
    <t>g339d </t>
  </si>
  <si>
    <t>s371l </t>
  </si>
  <si>
    <t>s373p </t>
  </si>
  <si>
    <t>s375f </t>
  </si>
  <si>
    <t>s477n </t>
  </si>
  <si>
    <t>e484a </t>
  </si>
  <si>
    <t>q493r </t>
  </si>
  <si>
    <t>g496s </t>
  </si>
  <si>
    <t>q498r </t>
  </si>
  <si>
    <t>y505h </t>
  </si>
  <si>
    <t>t547k </t>
  </si>
  <si>
    <t>n679k </t>
  </si>
  <si>
    <t>d796y </t>
  </si>
  <si>
    <t>n856k </t>
  </si>
  <si>
    <t>q954h </t>
  </si>
  <si>
    <t>n969k </t>
  </si>
  <si>
    <t>l981f </t>
  </si>
  <si>
    <t>t9i </t>
  </si>
  <si>
    <t>d3g </t>
  </si>
  <si>
    <t>q19e </t>
  </si>
  <si>
    <t>a63t </t>
  </si>
  <si>
    <t>ins214epe</t>
  </si>
  <si>
    <t>del142-144</t>
  </si>
  <si>
    <t>del31-33</t>
  </si>
  <si>
    <t>l24s</t>
  </si>
  <si>
    <t>lppa24s</t>
  </si>
  <si>
    <t>p13L</t>
  </si>
  <si>
    <t>E9L​-NVAR</t>
  </si>
  <si>
    <t>G2R_G​</t>
  </si>
  <si>
    <t>G2R_WA​</t>
  </si>
  <si>
    <t>C3L​</t>
  </si>
  <si>
    <t>E9L-OPX​3</t>
  </si>
  <si>
    <t>B6R</t>
  </si>
  <si>
    <t>gtmol_hMPXV</t>
  </si>
  <si>
    <t>MCR-1.1</t>
  </si>
  <si>
    <t>VanA-A</t>
  </si>
  <si>
    <t>blaNDM</t>
  </si>
  <si>
    <t>blaKPC</t>
  </si>
  <si>
    <t>blaOXA-48</t>
  </si>
  <si>
    <t>blaVIM</t>
  </si>
  <si>
    <t>blaCTX-M-1</t>
  </si>
  <si>
    <t>blaCMY</t>
  </si>
  <si>
    <t>blaTEM</t>
  </si>
  <si>
    <t>Class I Integrase</t>
  </si>
  <si>
    <t>blaSHV</t>
  </si>
  <si>
    <t>TetW</t>
  </si>
  <si>
    <t>blaIMP</t>
  </si>
  <si>
    <t>InfA1</t>
  </si>
  <si>
    <t>InfA2</t>
  </si>
  <si>
    <t>InfA1 and InfA2 combined</t>
  </si>
  <si>
    <t>InfB</t>
  </si>
  <si>
    <t>RSV-A and RSV-B combined</t>
  </si>
  <si>
    <t>qpcr</t>
  </si>
  <si>
    <t>ddpcr</t>
  </si>
  <si>
    <t>qiagen dpcr</t>
  </si>
  <si>
    <t>fluidigm dpcr</t>
  </si>
  <si>
    <t>life technologies dpcr</t>
  </si>
  <si>
    <t>raindance dpcr</t>
  </si>
  <si>
    <t>dpcr</t>
  </si>
  <si>
    <t>pepper mild mottle virus</t>
  </si>
  <si>
    <t>crassphage</t>
  </si>
  <si>
    <t>hf183</t>
  </si>
  <si>
    <t>f+ rna coliphage</t>
  </si>
  <si>
    <t>f+ dna coliphage</t>
  </si>
  <si>
    <t>PMMoV (GT-Digital)</t>
  </si>
  <si>
    <t xml:space="preserve">caffeine </t>
  </si>
  <si>
    <t>creatinine</t>
  </si>
  <si>
    <t>sucralose</t>
  </si>
  <si>
    <t>ibuprofen</t>
  </si>
  <si>
    <t>caffeine</t>
  </si>
  <si>
    <t>rnase p</t>
  </si>
  <si>
    <t>dna</t>
  </si>
  <si>
    <t>rna</t>
  </si>
  <si>
    <t>copies/L wastewater</t>
  </si>
  <si>
    <t>log10 copies/L wastewater</t>
  </si>
  <si>
    <t>copies/g wet sludge</t>
  </si>
  <si>
    <t>log10 copies/g wet sludge</t>
  </si>
  <si>
    <t>copies/g dry sludge</t>
  </si>
  <si>
    <t>log10 copies/g dry sludge</t>
  </si>
  <si>
    <t>micrograms/L wastewater</t>
  </si>
  <si>
    <t>log10 micrograms/L wastewater</t>
  </si>
  <si>
    <t>micrograms/g wet sludge</t>
  </si>
  <si>
    <t>log10 micrograms/g wet sludge</t>
  </si>
  <si>
    <t>micrograms/g dry sludge</t>
  </si>
  <si>
    <t>log10 micrograms/g dry sludge</t>
  </si>
  <si>
    <t>solidSep</t>
  </si>
  <si>
    <t>filt</t>
  </si>
  <si>
    <t>cent</t>
  </si>
  <si>
    <t>graSet</t>
  </si>
  <si>
    <t>noSep</t>
  </si>
  <si>
    <t>methodConc</t>
  </si>
  <si>
    <t>mfSampleAcid</t>
  </si>
  <si>
    <t>mfMgcl2</t>
  </si>
  <si>
    <t>mfAcidmgcl2</t>
  </si>
  <si>
    <t>mfNoAmend</t>
  </si>
  <si>
    <t>mfAcidmgcl2SS</t>
  </si>
  <si>
    <t>mfSampleAcidSS</t>
  </si>
  <si>
    <t>mfNoAmendSS</t>
  </si>
  <si>
    <t>peg</t>
  </si>
  <si>
    <t>aloh3</t>
  </si>
  <si>
    <t>skimMilkFloc</t>
  </si>
  <si>
    <t>untracent</t>
  </si>
  <si>
    <t>beeExtractFloc</t>
  </si>
  <si>
    <t>centriconUf</t>
  </si>
  <si>
    <t>amiconUf</t>
  </si>
  <si>
    <t>hollowFiberUF</t>
  </si>
  <si>
    <t>innovaprepUF</t>
  </si>
  <si>
    <t>ceres</t>
  </si>
  <si>
    <t>noliquid</t>
  </si>
  <si>
    <t>extraction</t>
  </si>
  <si>
    <t>extract4s</t>
  </si>
  <si>
    <t>chemVir</t>
  </si>
  <si>
    <t>nucAuto</t>
  </si>
  <si>
    <t>nucManu</t>
  </si>
  <si>
    <t>phenCl</t>
  </si>
  <si>
    <t>promAuto</t>
  </si>
  <si>
    <t>promHt</t>
  </si>
  <si>
    <t>promManu</t>
  </si>
  <si>
    <t>promWW</t>
  </si>
  <si>
    <t>qgDNARNA</t>
  </si>
  <si>
    <t>qgEz1</t>
  </si>
  <si>
    <t>qgPwrFecal</t>
  </si>
  <si>
    <t>qgPwrViral</t>
  </si>
  <si>
    <t>qgPwrWtr</t>
  </si>
  <si>
    <t>qgQiAmp</t>
  </si>
  <si>
    <t>qgRneasy</t>
  </si>
  <si>
    <t>qgRneasyPwr</t>
  </si>
  <si>
    <t>thermMag</t>
  </si>
  <si>
    <t>trizol</t>
  </si>
  <si>
    <t>zymoEnv</t>
  </si>
  <si>
    <t>zymoQuick</t>
  </si>
  <si>
    <t>pcrmeth</t>
  </si>
  <si>
    <t>fluiDpcr</t>
  </si>
  <si>
    <t>ltDpcr</t>
  </si>
  <si>
    <t>rainDpcr</t>
  </si>
  <si>
    <t>qgDpcr</t>
  </si>
  <si>
    <t>protocolID</t>
  </si>
  <si>
    <t>measures; protocols</t>
  </si>
  <si>
    <t>summary</t>
  </si>
  <si>
    <t>protocols</t>
  </si>
  <si>
    <t>perhaps better linked as a contactID?</t>
  </si>
  <si>
    <t>preConcTime</t>
  </si>
  <si>
    <t>preConcTemp</t>
  </si>
  <si>
    <t>preExtractTime</t>
  </si>
  <si>
    <t>preExtractTemp</t>
  </si>
  <si>
    <t>concVol</t>
  </si>
  <si>
    <t>extBlank</t>
  </si>
  <si>
    <t>spikeTarget</t>
  </si>
  <si>
    <t>spikeMat</t>
  </si>
  <si>
    <t>bcovCul</t>
  </si>
  <si>
    <t>bcovVac</t>
  </si>
  <si>
    <t>brsvCul</t>
  </si>
  <si>
    <t>brsvVac</t>
  </si>
  <si>
    <t>heatInacSARS</t>
  </si>
  <si>
    <t>hepGRnaMat</t>
  </si>
  <si>
    <t>ms2ColMat</t>
  </si>
  <si>
    <t>muCoMat</t>
  </si>
  <si>
    <t>oc43Mat</t>
  </si>
  <si>
    <t>phi6Mat</t>
  </si>
  <si>
    <t>puroMat</t>
  </si>
  <si>
    <t>clari</t>
  </si>
  <si>
    <t>conc</t>
  </si>
  <si>
    <t>deso</t>
  </si>
  <si>
    <t>lysi</t>
  </si>
  <si>
    <t>raws</t>
  </si>
  <si>
    <t>rppw</t>
  </si>
  <si>
    <t>pasteur</t>
  </si>
  <si>
    <t>ppmv</t>
  </si>
  <si>
    <t>cra</t>
  </si>
  <si>
    <t>tempType</t>
  </si>
  <si>
    <t>covN1</t>
  </si>
  <si>
    <t>covN2</t>
  </si>
  <si>
    <t>covN3</t>
  </si>
  <si>
    <t>nSarbec</t>
  </si>
  <si>
    <t>eSarbec</t>
  </si>
  <si>
    <t>rdrpIP2</t>
  </si>
  <si>
    <t>rdrpIP4</t>
  </si>
  <si>
    <t>covRdrp</t>
  </si>
  <si>
    <t>niid19</t>
  </si>
  <si>
    <t>taqpatN</t>
  </si>
  <si>
    <t>taqpatS</t>
  </si>
  <si>
    <t>n1n2</t>
  </si>
  <si>
    <t>sGene</t>
  </si>
  <si>
    <t>ddcovN</t>
  </si>
  <si>
    <t>ddcovE</t>
  </si>
  <si>
    <t>ip2ip4</t>
  </si>
  <si>
    <t>a2710t</t>
  </si>
  <si>
    <t>a63t</t>
  </si>
  <si>
    <t>a67v</t>
  </si>
  <si>
    <t>del157</t>
  </si>
  <si>
    <t>del143</t>
  </si>
  <si>
    <t>del2084</t>
  </si>
  <si>
    <t>del212</t>
  </si>
  <si>
    <t>del3674</t>
  </si>
  <si>
    <t>del6970</t>
  </si>
  <si>
    <t>commFacOth</t>
  </si>
  <si>
    <t>sarsCov2</t>
  </si>
  <si>
    <t>rsvGrp</t>
  </si>
  <si>
    <t>fluAGrp</t>
  </si>
  <si>
    <t>fluBGrp</t>
  </si>
  <si>
    <t>adenovirusGrp</t>
  </si>
  <si>
    <t>deltaGrp</t>
  </si>
  <si>
    <t>omicronGrp</t>
  </si>
  <si>
    <t>mpoxGrp</t>
  </si>
  <si>
    <t>mpxCldIGrp</t>
  </si>
  <si>
    <t>mpxCldIIGrp</t>
  </si>
  <si>
    <t>cAurisGrp</t>
  </si>
  <si>
    <t>noroGIGrp</t>
  </si>
  <si>
    <t>noroGIIGrp</t>
  </si>
  <si>
    <t>campGrp</t>
  </si>
  <si>
    <t>colAMRGrp</t>
  </si>
  <si>
    <t>vanAMRGrp</t>
  </si>
  <si>
    <t>bLacAMRGrp</t>
  </si>
  <si>
    <t>intAMRGrp</t>
  </si>
  <si>
    <t>tetAMRGrp</t>
  </si>
  <si>
    <t>orthoGrp</t>
  </si>
  <si>
    <t>del142144</t>
  </si>
  <si>
    <t>del156157</t>
  </si>
  <si>
    <t>del3133</t>
  </si>
  <si>
    <t>e9lNVAR</t>
  </si>
  <si>
    <t>g2rG</t>
  </si>
  <si>
    <t>g2rWA</t>
  </si>
  <si>
    <t>c3l</t>
  </si>
  <si>
    <t>e9lOPX3</t>
  </si>
  <si>
    <t>b6r</t>
  </si>
  <si>
    <t>gtmolMPox</t>
  </si>
  <si>
    <t>mcr11</t>
  </si>
  <si>
    <t>vanAA</t>
  </si>
  <si>
    <t>blaCTXM1</t>
  </si>
  <si>
    <t>blaOXA48</t>
  </si>
  <si>
    <t>tetW</t>
  </si>
  <si>
    <t>integraseCl1</t>
  </si>
  <si>
    <t>cAuris</t>
  </si>
  <si>
    <t>noroG1</t>
  </si>
  <si>
    <t>noroG2</t>
  </si>
  <si>
    <t>fluA1</t>
  </si>
  <si>
    <t>fluA2</t>
  </si>
  <si>
    <t>fluB</t>
  </si>
  <si>
    <t>fluA1A2c</t>
  </si>
  <si>
    <t>a67vDel69Del70</t>
  </si>
  <si>
    <t>rsvAB</t>
  </si>
  <si>
    <t>cJejuni</t>
  </si>
  <si>
    <t>advF41Fibre</t>
  </si>
  <si>
    <t>spikeConc</t>
  </si>
  <si>
    <t>log10cpml</t>
  </si>
  <si>
    <t>numNTC</t>
  </si>
  <si>
    <t>gcL</t>
  </si>
  <si>
    <t>gCGS</t>
  </si>
  <si>
    <t>ugL</t>
  </si>
  <si>
    <t>ugG</t>
  </si>
  <si>
    <t>log10cpL</t>
  </si>
  <si>
    <t>log10cpG</t>
  </si>
  <si>
    <t>log10ugL</t>
  </si>
  <si>
    <t>log10ugG</t>
  </si>
  <si>
    <t>se</t>
  </si>
  <si>
    <t>lowerCI95</t>
  </si>
  <si>
    <t>upperCI95</t>
  </si>
  <si>
    <t>beLOD</t>
  </si>
  <si>
    <t>**needs to have the qualityReports table measureRepID field match the measureRepID for pcr_target_avg_conc</t>
  </si>
  <si>
    <t>ignore</t>
  </si>
  <si>
    <t>lodSewa</t>
  </si>
  <si>
    <t>percRec</t>
  </si>
  <si>
    <t>ntcAmp</t>
  </si>
  <si>
    <t>not tested</t>
  </si>
  <si>
    <t>flagAI</t>
  </si>
  <si>
    <t>flagFI</t>
  </si>
  <si>
    <t>Notice that inhibition_detect and inhibition_adjust are collapsed into a single variable in ODM. A "yes" in both  fields will be taken as a "flagAI" for "qualityFlag". A "Yes" in inhibition_detect and "No" in inhibition_adjust give a "flagFI" value for "qualityFlag". "Not Tested should be ignored. ALSO - needs to have the qualityReports table measureRepID field match the measureRepID for pcr_target_avg_conc</t>
  </si>
  <si>
    <t>fRNA</t>
  </si>
  <si>
    <t>fDNA</t>
  </si>
  <si>
    <t>caff</t>
  </si>
  <si>
    <t>crea</t>
  </si>
  <si>
    <t>suc</t>
  </si>
  <si>
    <t>ibu</t>
  </si>
  <si>
    <t>rnaseP</t>
  </si>
  <si>
    <t>map to notees, match with site_id</t>
  </si>
  <si>
    <t>promegaLVTNA</t>
  </si>
  <si>
    <t>zymoWatRNA</t>
  </si>
  <si>
    <t>memMgCl3</t>
  </si>
  <si>
    <t>watConcBuff</t>
  </si>
  <si>
    <t>esp</t>
  </si>
  <si>
    <t>luminWWExtract</t>
  </si>
  <si>
    <t>monarchRNA</t>
  </si>
  <si>
    <t>nucKingfish</t>
  </si>
  <si>
    <t>qiAllprep</t>
  </si>
  <si>
    <t>qiampDSP</t>
  </si>
  <si>
    <t>sciencellRNA</t>
  </si>
  <si>
    <t>thermMagmax</t>
  </si>
  <si>
    <t>trizolRNA</t>
  </si>
  <si>
    <t>trizolEtOH</t>
  </si>
  <si>
    <t>zymo1041</t>
  </si>
  <si>
    <t>zymo1035</t>
  </si>
  <si>
    <t>bcovGen</t>
  </si>
  <si>
    <t>mhvSpike</t>
  </si>
  <si>
    <t>parapoxSpike</t>
  </si>
  <si>
    <t>sourceClass</t>
  </si>
  <si>
    <t>nwss</t>
  </si>
  <si>
    <t>sourceSlot</t>
  </si>
  <si>
    <t>sourceValue</t>
  </si>
  <si>
    <t>targetClass</t>
  </si>
  <si>
    <t>targetSlot</t>
  </si>
  <si>
    <t>targetValue</t>
  </si>
  <si>
    <t>{{pretreatment}}</t>
  </si>
  <si>
    <t>{{pcr_gene_target}}</t>
  </si>
  <si>
    <t>{{hum_frac_target_mic}}</t>
  </si>
  <si>
    <t>{{hum_frac_target_chem}}</t>
  </si>
  <si>
    <t>{{other_norm_name}}</t>
  </si>
  <si>
    <t>{{pcr_target_units}}</t>
  </si>
  <si>
    <t>{{hum_frac_mic_unit}}</t>
  </si>
  <si>
    <t>{{hum_frac_chem_unit}}</t>
  </si>
  <si>
    <t>{{other_norm_unit}}</t>
  </si>
  <si>
    <t/>
  </si>
  <si>
    <t>{{influent_equilibrated}}</t>
  </si>
  <si>
    <t>{{collection_storage_time}}</t>
  </si>
  <si>
    <t>{{collection_storage_temp}}</t>
  </si>
  <si>
    <t>{{pre_conc_storage_time}}</t>
  </si>
  <si>
    <t>{{pre_conc_storage_temp}}</t>
  </si>
  <si>
    <t>{{pre_ext_storage_time}}</t>
  </si>
  <si>
    <t>{{pre_ext_storage_temp}}</t>
  </si>
  <si>
    <t>{{tot_conc_vol}}</t>
  </si>
  <si>
    <t>{{ext_blank}}</t>
  </si>
  <si>
    <t>{{rec_eff_spike_conc}}</t>
  </si>
  <si>
    <t>{{pasteurized}}</t>
  </si>
  <si>
    <t>{{ph}}</t>
  </si>
  <si>
    <t>{{conductivity}}</t>
  </si>
  <si>
    <t>{{tss}}</t>
  </si>
  <si>
    <t>{{collection_water_temp}}</t>
  </si>
  <si>
    <t>{{equiv_sewage_amt}}</t>
  </si>
  <si>
    <t>{{lod_sewage}}</t>
  </si>
  <si>
    <t>{{hum_frac_mic_conc}}</t>
  </si>
  <si>
    <t>{{hum_frac_chem_conc}}</t>
  </si>
  <si>
    <t>{{other_norm_conc}}</t>
  </si>
  <si>
    <t>Complete</t>
  </si>
  <si>
    <t>exprValue</t>
  </si>
  <si>
    <t>customData</t>
  </si>
  <si>
    <t>collPer</t>
  </si>
  <si>
    <t>{{solids_separation}}</t>
  </si>
  <si>
    <t>{{concentration_method}}</t>
  </si>
  <si>
    <t>{{extraction_method}}</t>
  </si>
  <si>
    <t>{{rec_eff_target_name}}</t>
  </si>
  <si>
    <t>{{rec_eff_spike_matrix}}</t>
  </si>
  <si>
    <t>{{pcr_type}}</t>
  </si>
  <si>
    <t>{{quant_stan_type}}</t>
  </si>
  <si>
    <t>{{num_no_target_control}}</t>
  </si>
  <si>
    <t>(str(dashboard_ignore) == 'yes') + (str(analysis_ignore) == 'yes') == 0</t>
  </si>
  <si>
    <t>Same targets: qc_ignore, pcr_target_below_lod, ntc_amplify, inhibition_detect, inhibition_adjust, quality_flag</t>
  </si>
  <si>
    <t>sourceEnum</t>
  </si>
  <si>
    <t>targetEnum</t>
  </si>
  <si>
    <t>wideOtherSlots</t>
  </si>
  <si>
    <t>vs_pcr_gene_target</t>
  </si>
  <si>
    <t>vs_pcr_target</t>
  </si>
  <si>
    <t>vs_hum_frac_target_mic</t>
  </si>
  <si>
    <t>vs_hum_frac_target_chem</t>
  </si>
  <si>
    <t>vs_other_norm_name</t>
  </si>
  <si>
    <t>vs_mic_chem_units</t>
  </si>
  <si>
    <t>vs_mic_chem_units_e</t>
  </si>
  <si>
    <t>Applies to slots hum_frac_mic_unit, hum_frac_chem_unit, other_norm_unit</t>
  </si>
  <si>
    <t>def get_collPer(sample_type: str) -&gt; str:
    # Example sample_type: "24-hr flow-weighted composite"
    hours = sample_type.split(" ", maxsplit=1)[0]
    hours = hours.split("-hr")
    if len(hours) == 2:
        hours = hours[0]
        return hours
    return ""
target = get_collPer(src.sample_type)</t>
  </si>
  <si>
    <t>def get_collType(sample_type: str) -&gt; str:
    # Example sample_type: "24-hr flow-weighted composite"
    if sample_type == "grab":
        return "grb"
    elif sample_type.endswith("flow-weighted composite"):
        return "flowPr"
    elif sample_type.endswith("time-weighted composite"):
        return "timePr"
    elif sample_type.endswith("manual composite"):
        return "manComp"
    elif sample_type.endswith("passive sample"):
        return "passiveGen"
    return ""
target = get_collType(src.sample_type)</t>
  </si>
  <si>
    <t>{{reporting_jurisdiction}}</t>
  </si>
  <si>
    <t>{{site_id}}</t>
  </si>
  <si>
    <t>{{zipcode}}</t>
  </si>
  <si>
    <t>{{population_served}}</t>
  </si>
  <si>
    <t>{{wwtp_name}}</t>
  </si>
  <si>
    <t>{{wwtp_jurisdiction}}</t>
  </si>
  <si>
    <t>{{composite_freq}}</t>
  </si>
  <si>
    <t>{{sample_id}}</t>
  </si>
  <si>
    <t>{{lab_id}}</t>
  </si>
  <si>
    <t>{{test_result_date}}</t>
  </si>
  <si>
    <t>{{major_lab_method}}</t>
  </si>
  <si>
    <t>{{major_lab_method_desc}}</t>
  </si>
  <si>
    <t>For source slot pcr_target</t>
  </si>
  <si>
    <t>For source slot pcr_gene_target</t>
  </si>
  <si>
    <t>For source slot hum_frac_target_chem</t>
  </si>
  <si>
    <t>For source slot other_norm_name</t>
  </si>
  <si>
    <t>For source slot pcr_target_units</t>
  </si>
  <si>
    <t>{{epaid}}</t>
  </si>
  <si>
    <t>{{epa_registry_id}}</t>
  </si>
  <si>
    <t>repOrg1</t>
  </si>
  <si>
    <t>contactID</t>
  </si>
  <si>
    <t>{{sample_location_specify}}</t>
  </si>
  <si>
    <t>Good! Same targetSlot as sample_location. Map to notes</t>
  </si>
  <si>
    <t>Notice that inhibition_detect and inhibition_adjust are collapsed into a single variable in ODM. A "yes" in both  fields will be taken as a "flagAI" for "qualityFlag". A "Yes" in inhibition_detect and "No" in inhibition_adjust give a "flagFI" value for "qualityFlag". "Not Tested" should be ignored. ALSO - needs to have the qualityReports table measureRepID field match the measureRepID for pcr_target_avg_conc</t>
  </si>
  <si>
    <t>Good! Same targets: Concatenate: "EPA_id: value, EPA_registry_id: epaid_registry_id"</t>
  </si>
  <si>
    <t>def get_qualityFlag(inhibition_detect: str, inhibition_adjust: str) -&gt; str:
    if inhibition_detect == "yes" and inhibition_adjust == "yes":
        return "flagAI"
    elif inhibition_detect == "yes" and inhibition_adjust == "no":
        return "flagFI"
    return ""
target = get_qualityFlag(src.inhibition_detect, src.inhibition_adjust)</t>
  </si>
  <si>
    <t>Good! What about for other combinations of inhibition_adjust and inhibition_detect? All other cases: empty</t>
  </si>
  <si>
    <t>NA is not a permissible value of shedSet</t>
  </si>
  <si>
    <t>commFacOth is not a permissible value of shedSet</t>
  </si>
  <si>
    <t>"County_names=" + county_names + "; EPA_id=" + epaid + "; EPA_registry_id=" + epa_registry_id + "; sample_location_specify=" + sample_location_specify</t>
  </si>
  <si>
    <t>organizations</t>
  </si>
  <si>
    <t>measureRepID</t>
  </si>
  <si>
    <t>datasetID</t>
  </si>
  <si>
    <t>measureSetRepID</t>
  </si>
  <si>
    <t>polygonID</t>
  </si>
  <si>
    <t>parSiteID</t>
  </si>
  <si>
    <t>addressID</t>
  </si>
  <si>
    <t>repOrg2</t>
  </si>
  <si>
    <t>qualityReportID</t>
  </si>
  <si>
    <t>sourceProtocol</t>
  </si>
  <si>
    <t>(Refers to protocolID)</t>
  </si>
  <si>
    <t>stepID</t>
  </si>
  <si>
    <t>instrumentID</t>
  </si>
  <si>
    <t>protocolRelationships</t>
  </si>
  <si>
    <t>measureSets</t>
  </si>
  <si>
    <t>datasets</t>
  </si>
  <si>
    <t>contacts</t>
  </si>
  <si>
    <t>instruments</t>
  </si>
  <si>
    <t>polygons</t>
  </si>
  <si>
    <t>languages</t>
  </si>
  <si>
    <t>translations</t>
  </si>
  <si>
    <t>sampleRelationships</t>
  </si>
  <si>
    <t>countries</t>
  </si>
  <si>
    <t>zones</t>
  </si>
  <si>
    <t>Generated?</t>
  </si>
  <si>
    <t>parDatasetID</t>
  </si>
  <si>
    <t>funderID</t>
  </si>
  <si>
    <t>custodyID</t>
  </si>
  <si>
    <t>funderCont</t>
  </si>
  <si>
    <t>custodyCont</t>
  </si>
  <si>
    <t>id</t>
  </si>
  <si>
    <t>sampleID + part ID of measure + row number</t>
  </si>
  <si>
    <t>siteID + collDT/collDTEnd (not including time) + index (if applicable)</t>
  </si>
  <si>
    <t>country code (ISO) + province code (ISO) + first 2-3 letters of municipality + 3 first letters of site name</t>
  </si>
  <si>
    <t>first 5 letters of name + protocolVersion</t>
  </si>
  <si>
    <t>pmmov1</t>
  </si>
  <si>
    <t>caOnOttOtt20200802Covn1002</t>
  </si>
  <si>
    <t>caOnOttOtt20200801</t>
  </si>
  <si>
    <t>caOnOttOtt</t>
  </si>
  <si>
    <t>orgID + siteID</t>
  </si>
  <si>
    <t>caOnOtt002UniCaOnOttOtt</t>
  </si>
  <si>
    <t>datasetID = orgID</t>
  </si>
  <si>
    <t>caOnOtt002Uni</t>
  </si>
  <si>
    <t>Report ID of first measure in the set + # measures in the set</t>
  </si>
  <si>
    <t>caOnOttOtt20200801Covn1002003</t>
  </si>
  <si>
    <t>caOnOtt002UniRes</t>
  </si>
  <si>
    <t>orgID + first 3 letters of role</t>
  </si>
  <si>
    <t>id:measureRepID</t>
  </si>
  <si>
    <t>id:polygonID</t>
  </si>
  <si>
    <t>id:datasetID</t>
  </si>
  <si>
    <t>id:measureSetRepID</t>
  </si>
  <si>
    <t>id:stepID</t>
  </si>
  <si>
    <t>id:instrumentID</t>
  </si>
  <si>
    <t>id:qualityReportID</t>
  </si>
  <si>
    <t>id:addressID</t>
  </si>
  <si>
    <t>country code + province code + 2-3 letters of municipality + row</t>
  </si>
  <si>
    <t>caOnOtt002</t>
  </si>
  <si>
    <t>first 3 letters of manufacturer + first 3 letters of name + first 3 letters of model + index</t>
  </si>
  <si>
    <t>fisHanHan</t>
  </si>
  <si>
    <t xml:space="preserve">orgID + last 3 letters of part ID of method/measure	</t>
  </si>
  <si>
    <t>caOnOtt002UniIon</t>
  </si>
  <si>
    <t>quality flag part ID + either the measure report ID, the sample ID, or measure set report ID that the quality report is for</t>
  </si>
  <si>
    <t>flagJcaOnOttOttawasite1202008021000covN1002</t>
  </si>
  <si>
    <t>{{qc_ignore}}</t>
  </si>
  <si>
    <t>{{id:qualityReportID1}}</t>
  </si>
  <si>
    <t>{{id:qualityReportID2}}</t>
  </si>
  <si>
    <t>{{pcr_target_below_lod}}</t>
  </si>
  <si>
    <t>{{id:qualityReportID3}}</t>
  </si>
  <si>
    <t>{{ntc_amplify}}</t>
  </si>
  <si>
    <t>{{id:qualityReportID4}}</t>
  </si>
  <si>
    <t>{{id:qualityReportID5}}</t>
  </si>
  <si>
    <t>{{quality_flag}}</t>
  </si>
  <si>
    <t>&lt;empty&gt;</t>
  </si>
  <si>
    <t>qualityFlag_expr</t>
  </si>
  <si>
    <t>qualityReportID_value</t>
  </si>
  <si>
    <t>qualityFlag_value</t>
  </si>
  <si>
    <t>specimen_value</t>
  </si>
  <si>
    <t>measure_value</t>
  </si>
  <si>
    <t>method_value</t>
  </si>
  <si>
    <t>value_value</t>
  </si>
  <si>
    <t>unit_value</t>
  </si>
  <si>
    <t>aggregation_value</t>
  </si>
  <si>
    <t>targetExpr</t>
  </si>
  <si>
    <t>For source slot hum_frac_target_mic</t>
  </si>
  <si>
    <t>measureRepID_value</t>
  </si>
  <si>
    <t>{{id:measureRepID1}}</t>
  </si>
  <si>
    <t>{{id:measureRepID2}}</t>
  </si>
  <si>
    <t>{{id:measureRepID3}}</t>
  </si>
  <si>
    <t>{{id:measureRepID4}}</t>
  </si>
  <si>
    <t>{{id:measureRepID5}}</t>
  </si>
  <si>
    <t>{{id:measureRepID6}}</t>
  </si>
  <si>
    <t>{{id:measureRepID7}}</t>
  </si>
  <si>
    <t>{{id:measureRepID8}}</t>
  </si>
  <si>
    <t>{{id:measureRepID9}}</t>
  </si>
  <si>
    <t>{{id:measureRepID10}}</t>
  </si>
  <si>
    <t>{{id:measureRepID11}}</t>
  </si>
  <si>
    <t>{{id:measureRepID12}}</t>
  </si>
  <si>
    <t>{{id:measureRepID13}}</t>
  </si>
  <si>
    <t>{{id:measureRepID14}}</t>
  </si>
  <si>
    <t>{{id:measureRepID15}}</t>
  </si>
  <si>
    <t>{{id:measureRepID16}}</t>
  </si>
  <si>
    <t>{{id:measureRepID17}}</t>
  </si>
  <si>
    <t>{{id:measureRepID18}}</t>
  </si>
  <si>
    <t>{{id:measureRepID19}}</t>
  </si>
  <si>
    <t>{{id:measureRepID20}}</t>
  </si>
  <si>
    <t>{{id:measureRepID21}}</t>
  </si>
  <si>
    <t>{{id:measureRepID22}}</t>
  </si>
  <si>
    <t>&lt;ignore&gt;</t>
  </si>
  <si>
    <t>stepID_value</t>
  </si>
  <si>
    <t>{{id:stepID1}}</t>
  </si>
  <si>
    <t>{{id:stepID2}}</t>
  </si>
  <si>
    <t>{{id:stepID3}}</t>
  </si>
  <si>
    <t>{{id:stepID4}}</t>
  </si>
  <si>
    <t>{{id:stepID5}}</t>
  </si>
  <si>
    <t>{{id:stepID6}}</t>
  </si>
  <si>
    <t>{{id:stepID7}}</t>
  </si>
  <si>
    <t>{{id:stepID8}}</t>
  </si>
  <si>
    <t>{{id:stepID9}}</t>
  </si>
  <si>
    <t>{{id:stepID10}}</t>
  </si>
  <si>
    <t>{{id:stepID11}}</t>
  </si>
  <si>
    <t>{{id:stepID12}}</t>
  </si>
  <si>
    <t>{{id:stepID13}}</t>
  </si>
  <si>
    <t>{{id:stepID14}}</t>
  </si>
  <si>
    <t>{{id:stepID15}}</t>
  </si>
  <si>
    <t>value_expr</t>
  </si>
  <si>
    <t>notes_value</t>
  </si>
  <si>
    <t>"Inhibition_method=" + inhibition_method</t>
  </si>
  <si>
    <t>notes_expr</t>
  </si>
  <si>
    <t>{{id:measureRepID_pcr_target_avg_conc}}</t>
  </si>
  <si>
    <t>norm</t>
  </si>
  <si>
    <t>{{hum_frac_target_chem_ref}}</t>
  </si>
  <si>
    <t>{{hum_frac_target_mic_ref}}</t>
  </si>
  <si>
    <t>{{lod_ref}}</t>
  </si>
  <si>
    <t>{{other_norm_ref}}</t>
  </si>
  <si>
    <t>{{pcr_gene_target_ref}}</t>
  </si>
  <si>
    <t>group_value</t>
  </si>
  <si>
    <t>{{pcr_target}}</t>
  </si>
  <si>
    <t>{{pretreatment_specify}}</t>
  </si>
  <si>
    <t>{{stan_ref}}</t>
  </si>
  <si>
    <t>case(
    (sample_location == "wwtp",
        case((stormwater_input == "yes", "wwtpMuC"),
            (stormwater_input == "no", "wwtpMuS"),
            (stormwater_input == "", "wwtp"),
            (True, "")
        )
    ),
    (sample_location == "upstream",
        case((stormwater_input == "yes", "upstream"),
            (stormwater_input == "no", "upstream"),
            (stormwater_input == "", "upstream"),
            (True, "")
        )
    ),
    (True, "")
)</t>
  </si>
  <si>
    <t>case(
    ((inhibition_detect == "yes") * (inhibition_adjust == "yes"), "flagFI"),
    ((inhibition_detect == "yes") * (inhibition_adjust == "no"), "flagAI"),
    (True, "&lt;ignore&gt;")
)</t>
  </si>
  <si>
    <t>purpose_value</t>
  </si>
  <si>
    <t>refLink_value</t>
  </si>
  <si>
    <t>compartment</t>
  </si>
  <si>
    <t>"wat"</t>
  </si>
  <si>
    <t>summ</t>
  </si>
  <si>
    <t>mlORg</t>
  </si>
  <si>
    <t>descr</t>
  </si>
  <si>
    <t>orgType</t>
  </si>
  <si>
    <t>orgLevel</t>
  </si>
  <si>
    <t>orgSector</t>
  </si>
  <si>
    <t>lastEdited</t>
  </si>
  <si>
    <t>{{id:addressID}}</t>
  </si>
  <si>
    <t>{{id:measureSetRepID}}</t>
  </si>
  <si>
    <t>{{id:instrumentID}}</t>
  </si>
  <si>
    <t>firstName</t>
  </si>
  <si>
    <t>lastName</t>
  </si>
  <si>
    <t>email</t>
  </si>
  <si>
    <t>phone</t>
  </si>
  <si>
    <t>role</t>
  </si>
  <si>
    <t>nr</t>
  </si>
  <si>
    <t>case(((sewage_travel_time == "") + (sewage_travel_time == None), "nr"), (True, sewage_travel_time))</t>
  </si>
  <si>
    <t>case(((industrial_input == "") + (industrial_input == None), "nr"), (True, industrial_input))</t>
  </si>
  <si>
    <t>case(((flow_rate == "") + (flow_rate == None), "nr"), (True, flow_rate))</t>
  </si>
  <si>
    <t>case(((capacity_mgd == "") + (capacity_mgd == None), "nr"), (True, capacity_mgd))</t>
  </si>
  <si>
    <t>protocolRelationshipsID_value</t>
  </si>
  <si>
    <t>protocolIDContainer_value</t>
  </si>
  <si>
    <t>protocolIDObj_value</t>
  </si>
  <si>
    <t>stepIDObj_value</t>
  </si>
  <si>
    <t>relationshipID_value</t>
  </si>
  <si>
    <t>protocolIDSub_value</t>
  </si>
  <si>
    <t>stepIDSub_value</t>
  </si>
  <si>
    <t>before</t>
  </si>
  <si>
    <t>&lt;date of mapping&gt;</t>
  </si>
  <si>
    <t>specifies</t>
  </si>
  <si>
    <t>inhibition_method</t>
  </si>
  <si>
    <t>{{inhibition_method}}</t>
  </si>
  <si>
    <t>lastEditted_unused</t>
  </si>
  <si>
    <t>{{id:protocolRelationshipsID0}}</t>
  </si>
  <si>
    <t>{{id:protocolRelationshipsID1}}</t>
  </si>
  <si>
    <t>{{id:protocolRelationshipsID2}}</t>
  </si>
  <si>
    <t>{{id:protocolRelationshipsID3}}</t>
  </si>
  <si>
    <t>{{id:protocolRelationshipsID4}}</t>
  </si>
  <si>
    <t>{{id:protocolRelationshipsID5}}</t>
  </si>
  <si>
    <t>{{id:protocolRelationshipsID6}}</t>
  </si>
  <si>
    <t>{{id:protocolRelationshipsID7}}</t>
  </si>
  <si>
    <t>{{id:protocolRelationshipsID8}}</t>
  </si>
  <si>
    <t>{{id:protocolRelationshipsID9}}</t>
  </si>
  <si>
    <t>{{id:protocolRelationshipsID10}}</t>
  </si>
  <si>
    <t>{{id:protocolRelationshipsID11}}</t>
  </si>
  <si>
    <t>{{id:protocolRelationshipsID12}}</t>
  </si>
  <si>
    <t>{{id:protocolRelationshipsID13}}</t>
  </si>
  <si>
    <t>{{id:protocolRelationshipsID14}}</t>
  </si>
  <si>
    <t>case((rec_eff_percent == -1, "nr"), (True, rec_eff_percent))</t>
  </si>
  <si>
    <t>case((pcr_target_avg_conc == -1, "nr"), (True, pcr_target_avg_conc))</t>
  </si>
  <si>
    <t>case((pcr_target_std_error == -1, "na"), (True, pcr_target_std_error))</t>
  </si>
  <si>
    <t>case((pcr_target_cl_95_up == -1, "na"), (True, pcr_target_cl_95_up))</t>
  </si>
  <si>
    <t>case((pcr_target_cl_95_lo == -1, "na"), (True, pcr_target_cl_95_lo))</t>
  </si>
  <si>
    <t>case(((dashboard_ignore == 'yes') + (analysis_ignore == 'yes'), 'false'), (True, 'true'))</t>
  </si>
  <si>
    <t>Notes</t>
  </si>
  <si>
    <t>Does part ID of measure == measure?</t>
  </si>
  <si>
    <t>What is index?</t>
  </si>
  <si>
    <t>addressID + first 3 letters of name</t>
  </si>
  <si>
    <t>organizations:name is empty</t>
  </si>
  <si>
    <t>contacts:role is empty, contactID is {{reporting_jurisdiction}}</t>
  </si>
  <si>
    <t>Formula (Using Column Names)</t>
  </si>
  <si>
    <t>addresses:country and addresses:pCode are empty. Is municipality addresses:city?</t>
  </si>
  <si>
    <t>Link to addresses through sites:addressID. addresses:country, addresses:pCode, addresses:city, sites:name are empty</t>
  </si>
  <si>
    <t>protocols:name and protocols:protocolVersion are empty</t>
  </si>
  <si>
    <t>???</t>
  </si>
  <si>
    <t>Formula (From Documentation)</t>
  </si>
  <si>
    <t>ID Example (From Documentation)</t>
  </si>
  <si>
    <t>get("contacts.contactID", protocolSteps.contactID)</t>
  </si>
  <si>
    <t>Code</t>
  </si>
  <si>
    <t>addresses.country + addresses.pCode + addresses.city[:3] + rowNum</t>
  </si>
  <si>
    <t>measures.sampleID + measures.measure + rowNum</t>
  </si>
  <si>
    <t>(see datasets.datasetID)</t>
  </si>
  <si>
    <t>(see protocols.protocolID)</t>
  </si>
  <si>
    <t>(see samples.sampleID)</t>
  </si>
  <si>
    <t>(see polygons.polygonID)</t>
  </si>
  <si>
    <t>(see sites.siteID)</t>
  </si>
  <si>
    <t>(see organizations.organizationID)</t>
  </si>
  <si>
    <t>(see contacts.contactID)</t>
  </si>
  <si>
    <t>protocols.name + protocols.protocolVersion</t>
  </si>
  <si>
    <t>(see instruments.instrumentID)</t>
  </si>
  <si>
    <t>(see measures.measureRepID)</t>
  </si>
  <si>
    <t>(see measureSets.measuresSetRepID)</t>
  </si>
  <si>
    <t>samples.sampleID + samples.collDT/samples.collDTEnd + index</t>
  </si>
  <si>
    <t>(see addresses.addressID)</t>
  </si>
  <si>
    <t>organizations.organizationID + contacts.role</t>
  </si>
  <si>
    <t>addresses.addressID + organizations.name</t>
  </si>
  <si>
    <t>organizations.organizationID + sites.siteID</t>
  </si>
  <si>
    <t>addresses.country + addresses.pCode + addresses.city[:3] + sites.name[:3]</t>
  </si>
  <si>
    <t>instruments.manufacturer + instruments.name[:3] + instruments.model[:3] + index</t>
  </si>
  <si>
    <t>organizations.organizationID + protocolSteps.measure[-3:] or protocolSteps.method[-3:]</t>
  </si>
  <si>
    <t>makeid(addresses.country, addresses.pCode, addresses.city[:3], rowNum)</t>
  </si>
  <si>
    <t>datasets.datasetID</t>
  </si>
  <si>
    <t>makeid(measures.sampleID, measures.measure, rowNum)</t>
  </si>
  <si>
    <t>protocols.protocolID</t>
  </si>
  <si>
    <t>Link through samples.sampleID</t>
  </si>
  <si>
    <t>Link through protocols.protocolID</t>
  </si>
  <si>
    <t>…</t>
  </si>
  <si>
    <t>polygons.polygonID</t>
  </si>
  <si>
    <t>sites.siteID</t>
  </si>
  <si>
    <t>measureSets.measureSetRepID</t>
  </si>
  <si>
    <t>(see measureSets.measureSetRepID)</t>
  </si>
  <si>
    <t>organizations.organizationID</t>
  </si>
  <si>
    <t>contacts.contactID</t>
  </si>
  <si>
    <t>makeid(protocols.name, protocols.protocolVersion)</t>
  </si>
  <si>
    <t>makeid(organizations.organizationID, case((protocolSteps.measure, protocolSteps.measure[-3:]), (True, protocolSteps.method[-3:])))</t>
  </si>
  <si>
    <t>instruments.instrumentID</t>
  </si>
  <si>
    <t>measures.measureRepID</t>
  </si>
  <si>
    <t>samples.sampleID</t>
  </si>
  <si>
    <t>measureSets.measuresSetRepID</t>
  </si>
  <si>
    <t>makeid(addresses.country, addresses.pCode, addresses.city[:3], sites.name[:3])</t>
  </si>
  <si>
    <t>addresses.addressID</t>
  </si>
  <si>
    <t>makeid(addresses.addressID, organizations.name)</t>
  </si>
  <si>
    <t>makeid(instruments.manufacturer, instruments.name[:3], instruments.model[:3], rowNum)</t>
  </si>
  <si>
    <t>makeid(organizations.organizationID, sites.siteID)</t>
  </si>
  <si>
    <t>makeid(organizations.organizationID, contacts.role)</t>
  </si>
  <si>
    <t>makeid(measures.measureRepID, len(getallrows("measures", "__measureSetRepID", measureSets.__measureSetRepID))</t>
  </si>
  <si>
    <t>makeid(samples.siteID, case((samples.collDT, date(samples.collDT), (True, date(samples.collDTEnd)), rowNum)</t>
  </si>
  <si>
    <t>{{id:polygonID}}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</si>
</sst>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family val="2"/>
    </font>
    <font>
      <b/>
      <sz val="14"/>
      <color theme="1"/>
      <name val="Aptos Narrow"/>
      <scheme val="minor"/>
    </font>
    <font>
      <b/>
      <sz val="14"/>
      <color rgb="FF000000"/>
      <name val="Aptos Narrow"/>
      <scheme val="minor"/>
    </font>
    <font>
      <b/>
      <sz val="12"/>
      <color theme="1"/>
      <name val="Aptos Narrow"/>
      <scheme val="minor"/>
    </font>
    <font>
      <b/>
      <sz val="11"/>
      <name val="Aptos Narrow"/>
      <scheme val="minor"/>
    </font>
    <font>
      <b/>
      <sz val="12"/>
      <color rgb="FFFF0000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2"/>
      <color rgb="FFFF0000"/>
      <name val="Aptos Narrow"/>
      <scheme val="minor"/>
    </font>
    <font>
      <sz val="12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/>
    <xf numFmtId="0" fontId="0" fillId="3" borderId="0" xfId="0" applyFill="1"/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top"/>
    </xf>
    <xf numFmtId="0" fontId="1" fillId="3" borderId="0" xfId="0" applyFont="1" applyFill="1"/>
    <xf numFmtId="0" fontId="1" fillId="2" borderId="0" xfId="0" applyFont="1" applyFill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0" fillId="3" borderId="0" xfId="0" applyFill="1" applyAlignment="1">
      <alignment wrapText="1"/>
    </xf>
    <xf numFmtId="0" fontId="6" fillId="2" borderId="0" xfId="0" applyFont="1" applyFill="1"/>
    <xf numFmtId="0" fontId="6" fillId="4" borderId="0" xfId="0" applyFont="1" applyFill="1"/>
    <xf numFmtId="0" fontId="0" fillId="3" borderId="0" xfId="0" applyFill="1" applyAlignment="1">
      <alignment vertical="top" wrapText="1"/>
    </xf>
    <xf numFmtId="0" fontId="0" fillId="3" borderId="0" xfId="0" quotePrefix="1" applyFill="1"/>
    <xf numFmtId="0" fontId="6" fillId="5" borderId="0" xfId="0" applyFont="1" applyFill="1"/>
    <xf numFmtId="0" fontId="6" fillId="0" borderId="0" xfId="0" applyFont="1"/>
    <xf numFmtId="0" fontId="4" fillId="0" borderId="0" xfId="0" applyFont="1"/>
    <xf numFmtId="0" fontId="6" fillId="3" borderId="0" xfId="0" applyFont="1" applyFill="1"/>
    <xf numFmtId="0" fontId="7" fillId="3" borderId="0" xfId="0" applyFont="1" applyFill="1" applyAlignment="1">
      <alignment horizontal="left" vertical="top"/>
    </xf>
    <xf numFmtId="0" fontId="7" fillId="3" borderId="0" xfId="0" applyFont="1" applyFill="1" applyAlignment="1">
      <alignment horizontal="left"/>
    </xf>
    <xf numFmtId="0" fontId="8" fillId="3" borderId="0" xfId="0" applyFont="1" applyFill="1"/>
    <xf numFmtId="0" fontId="0" fillId="6" borderId="0" xfId="0" applyFill="1"/>
    <xf numFmtId="0" fontId="9" fillId="0" borderId="0" xfId="0" applyFont="1"/>
    <xf numFmtId="0" fontId="10" fillId="0" borderId="0" xfId="0" applyFont="1"/>
    <xf numFmtId="0" fontId="6" fillId="0" borderId="0" xfId="0" quotePrefix="1" applyFont="1"/>
    <xf numFmtId="0" fontId="6" fillId="0" borderId="0" xfId="0" applyFont="1" applyAlignment="1">
      <alignment wrapText="1"/>
    </xf>
    <xf numFmtId="0" fontId="11" fillId="0" borderId="0" xfId="0" applyFont="1"/>
    <xf numFmtId="0" fontId="12" fillId="0" borderId="0" xfId="0" applyFont="1"/>
    <xf numFmtId="0" fontId="10" fillId="0" borderId="0" xfId="0" quotePrefix="1" applyFont="1"/>
    <xf numFmtId="0" fontId="10" fillId="0" borderId="0" xfId="0" applyFont="1" applyAlignment="1">
      <alignment vertical="top" wrapText="1"/>
    </xf>
    <xf numFmtId="0" fontId="13" fillId="0" borderId="0" xfId="0" applyFont="1" applyAlignment="1">
      <alignment horizontal="left"/>
    </xf>
    <xf numFmtId="0" fontId="13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0" fillId="0" borderId="0" xfId="0" applyAlignment="1">
      <alignment wrapText="1"/>
    </xf>
    <xf numFmtId="0" fontId="10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0" fillId="0" borderId="0" xfId="0" quotePrefix="1"/>
    <xf numFmtId="0" fontId="4" fillId="0" borderId="4" xfId="0" applyFont="1" applyBorder="1"/>
    <xf numFmtId="0" fontId="5" fillId="0" borderId="4" xfId="0" applyFont="1" applyBorder="1"/>
    <xf numFmtId="0" fontId="13" fillId="0" borderId="0" xfId="0" applyFont="1"/>
    <xf numFmtId="0" fontId="10" fillId="0" borderId="0" xfId="0" applyFont="1" applyAlignment="1">
      <alignment wrapText="1"/>
    </xf>
    <xf numFmtId="0" fontId="6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athewthomson/Downloads/RC-V2.2.0-PHES-ODM.xlsx" TargetMode="External"/><Relationship Id="rId1" Type="http://schemas.openxmlformats.org/officeDocument/2006/relationships/externalLinkPath" Target="/Users/mathewthomson/Downloads/RC-V2.2.0-PHES-OD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ts"/>
      <sheetName val="sets"/>
      <sheetName val="wideNames"/>
      <sheetName val="languages"/>
      <sheetName val="translations"/>
      <sheetName val="countries"/>
      <sheetName val="zones"/>
      <sheetName val="airportLists"/>
      <sheetName val="airportTemplate"/>
      <sheetName val="lists"/>
      <sheetName val="measures"/>
      <sheetName val="measureSets"/>
      <sheetName val="samples"/>
      <sheetName val="sampleRelationships"/>
      <sheetName val="qualityReports"/>
      <sheetName val="protocols"/>
      <sheetName val="protocolRelationships"/>
      <sheetName val="protocolSteps"/>
      <sheetName val="contacts"/>
      <sheetName val="sites"/>
      <sheetName val="addresses"/>
      <sheetName val="polygons"/>
      <sheetName val="datasets"/>
      <sheetName val="organizations"/>
      <sheetName val="instruments"/>
    </sheetNames>
    <sheetDataSet>
      <sheetData sheetId="0">
        <row r="1">
          <cell r="A1" t="str">
            <v>partID</v>
          </cell>
          <cell r="B1" t="str">
            <v>partLabel</v>
          </cell>
        </row>
        <row r="2">
          <cell r="A2" t="str">
            <v>absHum</v>
          </cell>
          <cell r="B2" t="str">
            <v>Absolute humidity</v>
          </cell>
        </row>
        <row r="3">
          <cell r="A3" t="str">
            <v>absHumidUnitSet</v>
          </cell>
          <cell r="B3" t="str">
            <v>Absolute humidity unit set</v>
          </cell>
        </row>
        <row r="4">
          <cell r="A4" t="str">
            <v>sin</v>
          </cell>
          <cell r="B4" t="str">
            <v>Single</v>
          </cell>
        </row>
        <row r="5">
          <cell r="A5" t="str">
            <v>afu</v>
          </cell>
          <cell r="B5" t="str">
            <v>Air filter</v>
          </cell>
        </row>
        <row r="6">
          <cell r="A6" t="str">
            <v>menr</v>
          </cell>
          <cell r="B6" t="str">
            <v>Normalized arithmetic mean</v>
          </cell>
        </row>
        <row r="7">
          <cell r="A7" t="str">
            <v>aloh3</v>
          </cell>
          <cell r="B7" t="str">
            <v>Aloh3 precipitation</v>
          </cell>
        </row>
        <row r="8">
          <cell r="A8" t="str">
            <v>amiconUf</v>
          </cell>
          <cell r="B8" t="str">
            <v>Amicon ultrafiltration</v>
          </cell>
        </row>
        <row r="9">
          <cell r="A9" t="str">
            <v>amiMP96</v>
          </cell>
          <cell r="B9" t="str">
            <v>Amicon filter, extract with MP96</v>
          </cell>
        </row>
        <row r="10">
          <cell r="A10" t="str">
            <v>arTemp</v>
          </cell>
          <cell r="B10" t="str">
            <v>Arrival temperature</v>
          </cell>
        </row>
        <row r="11">
          <cell r="A11" t="str">
            <v>bacteria</v>
          </cell>
          <cell r="B11" t="str">
            <v>Bacteria Class</v>
          </cell>
        </row>
        <row r="12">
          <cell r="A12" t="str">
            <v>bbMP96</v>
          </cell>
          <cell r="B12" t="str">
            <v>Bead beating, extract with MP96</v>
          </cell>
        </row>
        <row r="13">
          <cell r="A13" t="str">
            <v>beeExtractFloc</v>
          </cell>
          <cell r="B13" t="str">
            <v>Beef extract flocculation</v>
          </cell>
        </row>
        <row r="14">
          <cell r="A14" t="str">
            <v>boc</v>
          </cell>
          <cell r="B14" t="str">
            <v>Breadth of coverage (&gt;=5x depth)</v>
          </cell>
        </row>
        <row r="15">
          <cell r="A15" t="str">
            <v>ngmn</v>
          </cell>
          <cell r="B15" t="str">
            <v>Normalized geometric mean</v>
          </cell>
        </row>
        <row r="16">
          <cell r="A16" t="str">
            <v>sdn</v>
          </cell>
          <cell r="B16" t="str">
            <v>Normalized standard deviation</v>
          </cell>
        </row>
        <row r="17">
          <cell r="A17" t="str">
            <v>booleanSet</v>
          </cell>
          <cell r="B17" t="str">
            <v>Boolean value set</v>
          </cell>
        </row>
        <row r="18">
          <cell r="A18" t="str">
            <v>camp</v>
          </cell>
          <cell r="B18" t="str">
            <v>Campylobacter</v>
          </cell>
        </row>
        <row r="19">
          <cell r="A19" t="str">
            <v>capacity</v>
          </cell>
          <cell r="B19" t="str">
            <v>Capacity class</v>
          </cell>
        </row>
        <row r="20">
          <cell r="A20" t="str">
            <v>gmn</v>
          </cell>
          <cell r="B20" t="str">
            <v>Geometric mean</v>
          </cell>
        </row>
        <row r="21">
          <cell r="A21" t="str">
            <v>centriconUf</v>
          </cell>
          <cell r="B21" t="str">
            <v>Centricon ultrafiltration</v>
          </cell>
        </row>
        <row r="22">
          <cell r="A22" t="str">
            <v>ceres</v>
          </cell>
          <cell r="B22" t="str">
            <v>Ceres nanotrap</v>
          </cell>
        </row>
        <row r="23">
          <cell r="A23" t="str">
            <v>cfu</v>
          </cell>
          <cell r="B23" t="str">
            <v>CFU per 100 ml</v>
          </cell>
        </row>
        <row r="24">
          <cell r="A24" t="str">
            <v>co2</v>
          </cell>
          <cell r="B24" t="str">
            <v xml:space="preserve">Carbon Dioxide </v>
          </cell>
        </row>
        <row r="25">
          <cell r="A25" t="str">
            <v>maxVal</v>
          </cell>
          <cell r="B25" t="str">
            <v>Maximum value</v>
          </cell>
        </row>
        <row r="26">
          <cell r="A26" t="str">
            <v>colis</v>
          </cell>
          <cell r="B26" t="str">
            <v>Colistin resistance</v>
          </cell>
        </row>
        <row r="27">
          <cell r="A27" t="str">
            <v>caseRepDate</v>
          </cell>
          <cell r="B27" t="str">
            <v xml:space="preserve">Report date of confirmed cases </v>
          </cell>
        </row>
        <row r="28">
          <cell r="A28" t="str">
            <v>me</v>
          </cell>
          <cell r="B28" t="str">
            <v>Arithmetic mean</v>
          </cell>
        </row>
        <row r="29">
          <cell r="A29" t="str">
            <v>conductivity</v>
          </cell>
          <cell r="B29" t="str">
            <v>Conductivity class</v>
          </cell>
        </row>
        <row r="30">
          <cell r="A30" t="str">
            <v>med</v>
          </cell>
          <cell r="B30" t="str">
            <v>Median</v>
          </cell>
        </row>
        <row r="31">
          <cell r="A31" t="str">
            <v>caseEpDate</v>
          </cell>
          <cell r="B31" t="str">
            <v xml:space="preserve">Episode date of confirmed cases </v>
          </cell>
        </row>
        <row r="32">
          <cell r="A32" t="str">
            <v>caseOnDate</v>
          </cell>
          <cell r="B32" t="str">
            <v xml:space="preserve">Onset date of confirmed cases </v>
          </cell>
        </row>
        <row r="33">
          <cell r="A33" t="str">
            <v>caseTestDate</v>
          </cell>
          <cell r="B33" t="str">
            <v xml:space="preserve">Test date of confirmed cases </v>
          </cell>
        </row>
        <row r="34">
          <cell r="A34" t="str">
            <v>cov</v>
          </cell>
          <cell r="B34" t="str">
            <v>Covid-19</v>
          </cell>
        </row>
        <row r="35">
          <cell r="A35" t="str">
            <v>cov2Me</v>
          </cell>
          <cell r="B35" t="str">
            <v>SARS-CoV-2 measure</v>
          </cell>
        </row>
        <row r="36">
          <cell r="A36" t="str">
            <v>death</v>
          </cell>
          <cell r="B36" t="str">
            <v>Deaths</v>
          </cell>
        </row>
        <row r="37">
          <cell r="A37" t="str">
            <v>dilFact</v>
          </cell>
          <cell r="B37" t="str">
            <v>Dilution factor</v>
          </cell>
        </row>
        <row r="38">
          <cell r="A38" t="str">
            <v>dilution</v>
          </cell>
          <cell r="B38" t="str">
            <v>Dilution Class</v>
          </cell>
        </row>
        <row r="39">
          <cell r="A39" t="str">
            <v>disease</v>
          </cell>
          <cell r="B39" t="str">
            <v>Diseases (human) class</v>
          </cell>
        </row>
        <row r="40">
          <cell r="A40" t="str">
            <v>doc</v>
          </cell>
          <cell r="B40" t="str">
            <v>Depth of coverage</v>
          </cell>
        </row>
        <row r="41">
          <cell r="A41" t="str">
            <v>ecoli</v>
          </cell>
          <cell r="B41" t="str">
            <v>Escherichia coli</v>
          </cell>
        </row>
        <row r="42">
          <cell r="A42" t="str">
            <v>envRnF</v>
          </cell>
          <cell r="B42" t="str">
            <v>Rainfall</v>
          </cell>
        </row>
        <row r="43">
          <cell r="A43" t="str">
            <v>envSnwD</v>
          </cell>
          <cell r="B43" t="str">
            <v>Ground snow depth</v>
          </cell>
        </row>
        <row r="44">
          <cell r="A44" t="str">
            <v>minVal</v>
          </cell>
          <cell r="B44" t="str">
            <v>Minimum value</v>
          </cell>
        </row>
        <row r="45">
          <cell r="A45" t="str">
            <v>extraction</v>
          </cell>
          <cell r="B45" t="str">
            <v>Nucleic acid extraction method</v>
          </cell>
        </row>
        <row r="46">
          <cell r="A46" t="str">
            <v>exvol</v>
          </cell>
          <cell r="B46" t="str">
            <v>Extraction volume of sample</v>
          </cell>
        </row>
        <row r="47">
          <cell r="A47" t="str">
            <v>otherDep</v>
          </cell>
          <cell r="B47" t="str">
            <v>Other aggregation depricated</v>
          </cell>
        </row>
        <row r="48">
          <cell r="A48" t="str">
            <v>flow</v>
          </cell>
          <cell r="B48" t="str">
            <v>Flow class</v>
          </cell>
        </row>
        <row r="49">
          <cell r="A49" t="str">
            <v>flowVol</v>
          </cell>
          <cell r="B49" t="str">
            <v>Flow volume</v>
          </cell>
        </row>
        <row r="50">
          <cell r="A50" t="str">
            <v>flu</v>
          </cell>
          <cell r="B50" t="str">
            <v>Influenza virus measure</v>
          </cell>
        </row>
        <row r="51">
          <cell r="A51" t="str">
            <v>fluA1</v>
          </cell>
          <cell r="B51" t="str">
            <v>Influenza virus A1</v>
          </cell>
        </row>
        <row r="52">
          <cell r="A52" t="str">
            <v>fluA2</v>
          </cell>
          <cell r="B52" t="str">
            <v>influenza virus A2</v>
          </cell>
        </row>
        <row r="53">
          <cell r="A53" t="str">
            <v>fluB</v>
          </cell>
          <cell r="B53" t="str">
            <v>Influenza virus B</v>
          </cell>
        </row>
        <row r="54">
          <cell r="A54" t="str">
            <v>frna</v>
          </cell>
          <cell r="B54" t="str">
            <v>F-Specific RNA bacteriophages</v>
          </cell>
        </row>
        <row r="55">
          <cell r="A55" t="str">
            <v>frnaG2</v>
          </cell>
          <cell r="B55" t="str">
            <v>F-Specific RNA bacteriophages, G2</v>
          </cell>
        </row>
        <row r="56">
          <cell r="A56" t="str">
            <v>inhibMe</v>
          </cell>
          <cell r="B56" t="str">
            <v>Inhibition measure</v>
          </cell>
        </row>
        <row r="57">
          <cell r="A57" t="str">
            <v>gas</v>
          </cell>
          <cell r="B57" t="str">
            <v>Gas class</v>
          </cell>
        </row>
        <row r="58">
          <cell r="A58" t="str">
            <v>gcD100</v>
          </cell>
          <cell r="B58" t="str">
            <v>gene copies per day per 100,000</v>
          </cell>
        </row>
        <row r="59">
          <cell r="A59" t="str">
            <v>lod</v>
          </cell>
          <cell r="B59" t="str">
            <v>Limit of detection (LOD)</v>
          </cell>
        </row>
        <row r="60">
          <cell r="A60" t="str">
            <v>gm3</v>
          </cell>
          <cell r="B60" t="str">
            <v>Gram per cubic metre</v>
          </cell>
        </row>
        <row r="61">
          <cell r="A61" t="str">
            <v>grams</v>
          </cell>
          <cell r="B61" t="str">
            <v>Grams</v>
          </cell>
        </row>
        <row r="62">
          <cell r="A62" t="str">
            <v>hepGRna</v>
          </cell>
          <cell r="B62" t="str">
            <v>hep g armored rna</v>
          </cell>
        </row>
        <row r="63">
          <cell r="A63" t="str">
            <v>hollowFiberUF</v>
          </cell>
          <cell r="B63" t="str">
            <v>Hollow fiber dead end ultrafiltration</v>
          </cell>
        </row>
        <row r="64">
          <cell r="A64" t="str">
            <v>sd</v>
          </cell>
          <cell r="B64" t="str">
            <v>Standard deviation</v>
          </cell>
        </row>
        <row r="65">
          <cell r="A65" t="str">
            <v>moorSw</v>
          </cell>
          <cell r="B65" t="str">
            <v>Moore swab passive sample</v>
          </cell>
        </row>
        <row r="66">
          <cell r="A66" t="str">
            <v>humid</v>
          </cell>
          <cell r="B66" t="str">
            <v>Humidity class</v>
          </cell>
        </row>
        <row r="67">
          <cell r="A67" t="str">
            <v>icu</v>
          </cell>
          <cell r="B67" t="str">
            <v>Intensive care unit patients</v>
          </cell>
        </row>
        <row r="68">
          <cell r="A68" t="str">
            <v>unitSet</v>
          </cell>
          <cell r="B68" t="str">
            <v>Unit set</v>
          </cell>
        </row>
        <row r="69">
          <cell r="A69" t="str">
            <v>methodConc</v>
          </cell>
          <cell r="B69" t="str">
            <v>Concentration method</v>
          </cell>
        </row>
        <row r="70">
          <cell r="A70" t="str">
            <v>innovaprepUF</v>
          </cell>
          <cell r="B70" t="str">
            <v>Innovaprep ultrafiltration</v>
          </cell>
        </row>
        <row r="71">
          <cell r="A71" t="str">
            <v>kgS</v>
          </cell>
          <cell r="B71" t="str">
            <v>Kilogram per second</v>
          </cell>
        </row>
        <row r="72">
          <cell r="A72" t="str">
            <v>kl</v>
          </cell>
          <cell r="B72" t="str">
            <v>Kilolitres</v>
          </cell>
        </row>
        <row r="73">
          <cell r="A73" t="str">
            <v>l</v>
          </cell>
          <cell r="B73" t="str">
            <v>Litres</v>
          </cell>
        </row>
        <row r="74">
          <cell r="A74" t="str">
            <v>weath</v>
          </cell>
          <cell r="B74" t="str">
            <v>Weather</v>
          </cell>
        </row>
        <row r="75">
          <cell r="A75" t="str">
            <v>lodSewa</v>
          </cell>
          <cell r="B75" t="str">
            <v>Limit of detection (LOD) - sewage</v>
          </cell>
        </row>
        <row r="76">
          <cell r="A76" t="str">
            <v>oColDep</v>
          </cell>
          <cell r="B76" t="str">
            <v>Other Collection depreciated</v>
          </cell>
        </row>
        <row r="77">
          <cell r="A77" t="str">
            <v>aliasIDDep</v>
          </cell>
          <cell r="B77" t="str">
            <v>Alias ID depreciated</v>
          </cell>
        </row>
        <row r="78">
          <cell r="A78" t="str">
            <v>mhv</v>
          </cell>
          <cell r="B78" t="str">
            <v>Murine Hepatitis Virus</v>
          </cell>
        </row>
        <row r="79">
          <cell r="A79" t="str">
            <v>ms2Col</v>
          </cell>
          <cell r="B79" t="str">
            <v>ms2 coliphage</v>
          </cell>
        </row>
        <row r="80">
          <cell r="A80" t="str">
            <v>mu</v>
          </cell>
          <cell r="B80" t="str">
            <v>Mu</v>
          </cell>
        </row>
        <row r="81">
          <cell r="A81" t="str">
            <v>muCo</v>
          </cell>
          <cell r="B81" t="str">
            <v>murine coronavirus</v>
          </cell>
        </row>
        <row r="82">
          <cell r="A82" t="str">
            <v>n</v>
          </cell>
          <cell r="B82" t="str">
            <v>N sars-cov-2 gene target</v>
          </cell>
        </row>
        <row r="83">
          <cell r="A83" t="str">
            <v>n1n2</v>
          </cell>
          <cell r="B83" t="str">
            <v>Combined N1 and N2 sars-cov-2 gene target</v>
          </cell>
        </row>
        <row r="84">
          <cell r="A84" t="str">
            <v>n211i </v>
          </cell>
          <cell r="B84" t="str">
            <v>n211i omicron-variant gene target</v>
          </cell>
        </row>
        <row r="85">
          <cell r="A85" t="str">
            <v>n679k </v>
          </cell>
          <cell r="B85" t="str">
            <v>n679k omicron-variant gene target</v>
          </cell>
        </row>
        <row r="86">
          <cell r="A86" t="str">
            <v>n856k </v>
          </cell>
          <cell r="B86" t="str">
            <v>n856k omicron-variant gene target</v>
          </cell>
        </row>
        <row r="87">
          <cell r="A87" t="str">
            <v>n969k </v>
          </cell>
          <cell r="B87" t="str">
            <v>n969k omicron-variant gene target</v>
          </cell>
        </row>
        <row r="88">
          <cell r="A88" t="str">
            <v>naUnit</v>
          </cell>
          <cell r="B88" t="str">
            <v>Unit not applicable</v>
          </cell>
        </row>
        <row r="89">
          <cell r="A89" t="str">
            <v>comp3</v>
          </cell>
          <cell r="B89" t="str">
            <v>Composite grab sample of 3</v>
          </cell>
        </row>
        <row r="90">
          <cell r="A90" t="str">
            <v>niid19</v>
          </cell>
          <cell r="B90" t="str">
            <v>niid_2019-ncov_n sars-cov-2 gene target</v>
          </cell>
        </row>
        <row r="91">
          <cell r="A91" t="str">
            <v>date</v>
          </cell>
          <cell r="B91" t="str">
            <v>Date</v>
          </cell>
        </row>
        <row r="92">
          <cell r="A92" t="str">
            <v>nSarbec</v>
          </cell>
          <cell r="B92" t="str">
            <v>Sarbecovirus-specific N sars-cov-2 gene target</v>
          </cell>
        </row>
        <row r="93">
          <cell r="A93" t="str">
            <v>oc43</v>
          </cell>
          <cell r="B93" t="str">
            <v>coronavirus OC43</v>
          </cell>
        </row>
        <row r="94">
          <cell r="A94" t="str">
            <v>comp3h</v>
          </cell>
          <cell r="B94" t="str">
            <v>Composite 3hr grab sample</v>
          </cell>
        </row>
        <row r="95">
          <cell r="A95" t="str">
            <v>orf1a</v>
          </cell>
          <cell r="B95" t="str">
            <v>ORF1a sars-cov-2 gene target</v>
          </cell>
        </row>
        <row r="96">
          <cell r="A96" t="str">
            <v>orf1ab</v>
          </cell>
          <cell r="B96" t="str">
            <v>ORF1ab sars-cov-2 gene target</v>
          </cell>
        </row>
        <row r="97">
          <cell r="A97" t="str">
            <v>orf1b</v>
          </cell>
          <cell r="B97" t="str">
            <v>ORF1b sars-cov-2 gene target</v>
          </cell>
        </row>
        <row r="98">
          <cell r="A98" t="str">
            <v>method</v>
          </cell>
          <cell r="B98" t="str">
            <v>Method</v>
          </cell>
        </row>
        <row r="99">
          <cell r="A99" t="str">
            <v>comp8hDep</v>
          </cell>
          <cell r="B99" t="str">
            <v>Composite 8hr grab sample deprecated</v>
          </cell>
        </row>
        <row r="100">
          <cell r="A100" t="str">
            <v>outb</v>
          </cell>
          <cell r="B100" t="str">
            <v>Outbreak</v>
          </cell>
        </row>
        <row r="101">
          <cell r="A101" t="str">
            <v>outbreak</v>
          </cell>
          <cell r="B101" t="str">
            <v>Outbreak class</v>
          </cell>
        </row>
        <row r="102">
          <cell r="A102" t="str">
            <v>p100l</v>
          </cell>
          <cell r="B102" t="str">
            <v>p100l delta-variant gene target</v>
          </cell>
        </row>
        <row r="103">
          <cell r="A103" t="str">
            <v>p2046l</v>
          </cell>
          <cell r="B103" t="str">
            <v>p2046l delta-variant gene target</v>
          </cell>
        </row>
        <row r="104">
          <cell r="A104" t="str">
            <v>p2287s</v>
          </cell>
          <cell r="B104" t="str">
            <v>p2287s delta-variant gene target</v>
          </cell>
        </row>
        <row r="105">
          <cell r="A105" t="str">
            <v>p3395h </v>
          </cell>
          <cell r="B105" t="str">
            <v>p3395h omicron-variant gene target</v>
          </cell>
        </row>
        <row r="106">
          <cell r="A106" t="str">
            <v>p681r</v>
          </cell>
          <cell r="B106" t="str">
            <v>p681r delta-variant gene target</v>
          </cell>
        </row>
        <row r="107">
          <cell r="A107" t="str">
            <v>peg</v>
          </cell>
          <cell r="B107" t="str">
            <v>Polyethyleneglycol (PEG) precipitation</v>
          </cell>
        </row>
        <row r="108">
          <cell r="A108" t="str">
            <v>perc</v>
          </cell>
          <cell r="B108" t="str">
            <v>Percent</v>
          </cell>
        </row>
        <row r="109">
          <cell r="A109" t="str">
            <v>flowPr</v>
          </cell>
          <cell r="B109" t="str">
            <v>Flow proportional sample</v>
          </cell>
        </row>
        <row r="110">
          <cell r="A110" t="str">
            <v>pHClass</v>
          </cell>
          <cell r="B110" t="str">
            <v>pH class</v>
          </cell>
        </row>
        <row r="111">
          <cell r="A111" t="str">
            <v>phi6</v>
          </cell>
          <cell r="B111" t="str">
            <v>Pseudomonas virus phi6</v>
          </cell>
        </row>
        <row r="112">
          <cell r="A112" t="str">
            <v>grb</v>
          </cell>
          <cell r="B112" t="str">
            <v>Grab sample</v>
          </cell>
        </row>
        <row r="113">
          <cell r="A113" t="str">
            <v>timePr</v>
          </cell>
          <cell r="B113" t="str">
            <v>Time proportional sample</v>
          </cell>
        </row>
        <row r="114">
          <cell r="A114" t="str">
            <v>physical</v>
          </cell>
          <cell r="B114" t="str">
            <v>Physical class</v>
          </cell>
        </row>
        <row r="115">
          <cell r="A115" t="str">
            <v>protocolID</v>
          </cell>
          <cell r="B115" t="str">
            <v>Protocol ID</v>
          </cell>
        </row>
        <row r="116">
          <cell r="A116" t="str">
            <v>popEq</v>
          </cell>
          <cell r="B116" t="str">
            <v>Population equivalents</v>
          </cell>
        </row>
        <row r="117">
          <cell r="A117" t="str">
            <v>ppm</v>
          </cell>
          <cell r="B117" t="str">
            <v>parts per million</v>
          </cell>
        </row>
        <row r="118">
          <cell r="A118" t="str">
            <v>caRepDate</v>
          </cell>
          <cell r="B118" t="str">
            <v>Case report date</v>
          </cell>
        </row>
        <row r="119">
          <cell r="A119" t="str">
            <v>epiDate</v>
          </cell>
          <cell r="B119" t="str">
            <v>Episode date</v>
          </cell>
        </row>
        <row r="120">
          <cell r="A120" t="str">
            <v>onsDate</v>
          </cell>
          <cell r="B120" t="str">
            <v>Onset date</v>
          </cell>
        </row>
        <row r="121">
          <cell r="A121" t="str">
            <v>precipation</v>
          </cell>
          <cell r="B121" t="str">
            <v>Precipitation class</v>
          </cell>
        </row>
        <row r="122">
          <cell r="A122" t="str">
            <v>percRec</v>
          </cell>
          <cell r="B122" t="str">
            <v>Percent recovery</v>
          </cell>
        </row>
        <row r="123">
          <cell r="A123" t="str">
            <v>prop</v>
          </cell>
          <cell r="B123" t="str">
            <v>Proportion of total</v>
          </cell>
        </row>
        <row r="124">
          <cell r="A124" t="str">
            <v>tesDate</v>
          </cell>
          <cell r="B124" t="str">
            <v>Test date</v>
          </cell>
        </row>
        <row r="125">
          <cell r="A125" t="str">
            <v>puro</v>
          </cell>
          <cell r="B125" t="str">
            <v>Puro virus</v>
          </cell>
        </row>
        <row r="126">
          <cell r="A126" t="str">
            <v>stepVer</v>
          </cell>
          <cell r="B126" t="str">
            <v>Protocol step version</v>
          </cell>
        </row>
        <row r="127">
          <cell r="A127" t="str">
            <v>ratio</v>
          </cell>
          <cell r="B127" t="str">
            <v>Ratio</v>
          </cell>
        </row>
        <row r="128">
          <cell r="A128" t="str">
            <v>recov</v>
          </cell>
          <cell r="B128" t="str">
            <v>Recovered patients</v>
          </cell>
        </row>
        <row r="129">
          <cell r="A129" t="str">
            <v>relHum</v>
          </cell>
          <cell r="B129" t="str">
            <v>Relative humidity</v>
          </cell>
        </row>
        <row r="130">
          <cell r="A130" t="str">
            <v>resCosca</v>
          </cell>
          <cell r="B130" t="str">
            <v>Resuspend COSCa filter collection</v>
          </cell>
        </row>
        <row r="131">
          <cell r="A131" t="str">
            <v>rsvGrp</v>
          </cell>
          <cell r="B131" t="str">
            <v>Respiratory syncytial virus (RSV) Group</v>
          </cell>
        </row>
        <row r="132">
          <cell r="A132" t="str">
            <v>settsol</v>
          </cell>
          <cell r="B132" t="str">
            <v>Settled solids</v>
          </cell>
        </row>
        <row r="133">
          <cell r="A133" t="str">
            <v>summ</v>
          </cell>
          <cell r="B133" t="str">
            <v>Summary</v>
          </cell>
        </row>
        <row r="134">
          <cell r="A134" t="str">
            <v>skimMilkFloc</v>
          </cell>
          <cell r="B134" t="str">
            <v>Skimmed milk flocculation</v>
          </cell>
        </row>
        <row r="135">
          <cell r="A135" t="str">
            <v>solidSep</v>
          </cell>
          <cell r="B135" t="str">
            <v>Solid seperation</v>
          </cell>
        </row>
        <row r="136">
          <cell r="A136" t="str">
            <v>specHum</v>
          </cell>
          <cell r="B136" t="str">
            <v>Specific humidity</v>
          </cell>
        </row>
        <row r="137">
          <cell r="A137" t="str">
            <v>speed</v>
          </cell>
          <cell r="B137" t="str">
            <v>Speed class</v>
          </cell>
        </row>
        <row r="138">
          <cell r="A138" t="str">
            <v>standardConc</v>
          </cell>
          <cell r="B138" t="str">
            <v>Standard concentrations class</v>
          </cell>
        </row>
        <row r="139">
          <cell r="A139" t="str">
            <v>stec</v>
          </cell>
          <cell r="B139" t="str">
            <v>Shiga-toxin-producing Escheria coli (STEC)</v>
          </cell>
        </row>
        <row r="140">
          <cell r="A140" t="str">
            <v>qaqc</v>
          </cell>
          <cell r="B140" t="str">
            <v>Quaility assurance method</v>
          </cell>
        </row>
        <row r="141">
          <cell r="A141" t="str">
            <v>liq</v>
          </cell>
          <cell r="B141" t="str">
            <v>Liquid fraction</v>
          </cell>
        </row>
        <row r="142">
          <cell r="A142" t="str">
            <v>temperature</v>
          </cell>
          <cell r="B142" t="str">
            <v>Temperature class</v>
          </cell>
        </row>
        <row r="143">
          <cell r="A143" t="str">
            <v>tempVol</v>
          </cell>
          <cell r="B143" t="str">
            <v>Nucleic acid template volume</v>
          </cell>
        </row>
        <row r="144">
          <cell r="A144" t="str">
            <v>mix</v>
          </cell>
          <cell r="B144" t="str">
            <v>Mixed/homogenized sample</v>
          </cell>
        </row>
        <row r="145">
          <cell r="A145" t="str">
            <v>time</v>
          </cell>
          <cell r="B145" t="str">
            <v>Time class</v>
          </cell>
        </row>
        <row r="146">
          <cell r="A146" t="str">
            <v>tkn</v>
          </cell>
          <cell r="B146" t="str">
            <v>Total Kjeldahl Nitrogen</v>
          </cell>
        </row>
        <row r="147">
          <cell r="A147" t="str">
            <v>sol</v>
          </cell>
          <cell r="B147" t="str">
            <v>Solid fraction</v>
          </cell>
        </row>
        <row r="148">
          <cell r="A148" t="str">
            <v>covE</v>
          </cell>
          <cell r="B148" t="str">
            <v>SARS-CoV-2-E</v>
          </cell>
        </row>
        <row r="149">
          <cell r="A149" t="str">
            <v>mspsDep</v>
          </cell>
          <cell r="B149" t="str">
            <v>Moore swab passive sample depreciated</v>
          </cell>
        </row>
        <row r="150">
          <cell r="A150" t="str">
            <v>otco</v>
          </cell>
          <cell r="B150" t="str">
            <v>Other Collection depreciated</v>
          </cell>
        </row>
        <row r="151">
          <cell r="A151" t="str">
            <v>comp3dep</v>
          </cell>
          <cell r="B151" t="str">
            <v>Composite grab sample of 3 depreciate</v>
          </cell>
        </row>
        <row r="152">
          <cell r="A152" t="str">
            <v>turbidity</v>
          </cell>
          <cell r="B152" t="str">
            <v>Turburdity class</v>
          </cell>
        </row>
        <row r="153">
          <cell r="A153" t="str">
            <v>tWeighE</v>
          </cell>
          <cell r="B153" t="str">
            <v>Tube weight empty</v>
          </cell>
        </row>
        <row r="154">
          <cell r="A154" t="str">
            <v>tWeighF</v>
          </cell>
          <cell r="B154" t="str">
            <v>Tube weight full</v>
          </cell>
        </row>
        <row r="155">
          <cell r="A155" t="str">
            <v>unitless</v>
          </cell>
          <cell r="B155" t="str">
            <v>Unitless measure</v>
          </cell>
        </row>
        <row r="156">
          <cell r="A156" t="str">
            <v>untracent</v>
          </cell>
          <cell r="B156" t="str">
            <v>Ultracentrifugation</v>
          </cell>
        </row>
        <row r="157">
          <cell r="A157" t="str">
            <v>upstream</v>
          </cell>
          <cell r="B157" t="str">
            <v>Upstream sites</v>
          </cell>
        </row>
        <row r="158">
          <cell r="A158" t="str">
            <v>vanc</v>
          </cell>
          <cell r="B158" t="str">
            <v>Vancomycin resistance</v>
          </cell>
        </row>
        <row r="159">
          <cell r="A159" t="str">
            <v>variant</v>
          </cell>
          <cell r="B159" t="str">
            <v>Variants class</v>
          </cell>
        </row>
        <row r="160">
          <cell r="A160" t="str">
            <v>vax1plus</v>
          </cell>
          <cell r="B160" t="str">
            <v>Population with 1+ dose(s) of vaccine</v>
          </cell>
        </row>
        <row r="161">
          <cell r="A161" t="str">
            <v>vax2plus</v>
          </cell>
          <cell r="B161" t="str">
            <v>Population with 2+ or more doses of vaccine</v>
          </cell>
        </row>
        <row r="162">
          <cell r="A162" t="str">
            <v>virusMisc</v>
          </cell>
          <cell r="B162" t="str">
            <v>Miscellaneous viruses group</v>
          </cell>
        </row>
        <row r="163">
          <cell r="A163" t="str">
            <v>volPr</v>
          </cell>
          <cell r="B163" t="str">
            <v>Volume proportional sample</v>
          </cell>
        </row>
        <row r="164">
          <cell r="A164" t="str">
            <v>volumeUnitSet</v>
          </cell>
          <cell r="B164" t="str">
            <v>Volume unit set</v>
          </cell>
        </row>
        <row r="165">
          <cell r="A165" t="str">
            <v>comp3hdep</v>
          </cell>
          <cell r="B165" t="str">
            <v>Composite 3hr grab sample depreciate</v>
          </cell>
        </row>
        <row r="166">
          <cell r="A166" t="str">
            <v>vssIg</v>
          </cell>
          <cell r="B166" t="str">
            <v>Volatile suspended solids - ignition</v>
          </cell>
        </row>
        <row r="167">
          <cell r="A167" t="str">
            <v>waterCompartmentSet</v>
          </cell>
          <cell r="B167" t="str">
            <v>Water compartment set</v>
          </cell>
        </row>
        <row r="168">
          <cell r="A168" t="str">
            <v>watTemp</v>
          </cell>
          <cell r="B168" t="str">
            <v>Wastewater temperature</v>
          </cell>
        </row>
        <row r="169">
          <cell r="A169" t="str">
            <v>inhibMeth</v>
          </cell>
          <cell r="B169" t="str">
            <v>Inhibition method</v>
          </cell>
        </row>
        <row r="170">
          <cell r="A170" t="str">
            <v>weather</v>
          </cell>
          <cell r="B170" t="str">
            <v>Weather class</v>
          </cell>
        </row>
        <row r="171">
          <cell r="A171" t="str">
            <v>comp8h</v>
          </cell>
          <cell r="B171" t="str">
            <v>Composite 8hr grab sample depreciated</v>
          </cell>
        </row>
        <row r="172">
          <cell r="A172" t="str">
            <v>wwtpBack</v>
          </cell>
          <cell r="B172" t="str">
            <v>Back-up wastewater treatment site</v>
          </cell>
        </row>
        <row r="173">
          <cell r="A173" t="str">
            <v>flow24hDep</v>
          </cell>
          <cell r="B173" t="str">
            <v>Flow proportional 24hr sample depreciated</v>
          </cell>
        </row>
        <row r="174">
          <cell r="A174" t="str">
            <v>repGrab</v>
          </cell>
          <cell r="B174" t="str">
            <v>Representative grab sample</v>
          </cell>
        </row>
        <row r="175">
          <cell r="A175" t="str">
            <v>slod</v>
          </cell>
          <cell r="B175" t="str">
            <v>Sample Limit of Detection (LOD)</v>
          </cell>
        </row>
        <row r="176">
          <cell r="A176" t="str">
            <v>alod</v>
          </cell>
          <cell r="B176" t="str">
            <v>Assay Limit of Detection (LOD)</v>
          </cell>
        </row>
        <row r="177">
          <cell r="A177" t="str">
            <v>mlod</v>
          </cell>
          <cell r="B177" t="str">
            <v>Method Limit of Detection (LOD)</v>
          </cell>
        </row>
        <row r="178">
          <cell r="A178" t="str">
            <v>rsvMe</v>
          </cell>
          <cell r="B178" t="str">
            <v>Respiratory syncytial virus</v>
          </cell>
        </row>
        <row r="179">
          <cell r="A179" t="str">
            <v>allele</v>
          </cell>
          <cell r="B179" t="str">
            <v>Alleles class</v>
          </cell>
        </row>
        <row r="180">
          <cell r="A180" t="str">
            <v>tp24s</v>
          </cell>
          <cell r="B180" t="str">
            <v>Time Proportional 24hr sample</v>
          </cell>
        </row>
        <row r="181">
          <cell r="A181" t="str">
            <v>measQualitySet</v>
          </cell>
          <cell r="B181" t="str">
            <v>Measures quality set</v>
          </cell>
        </row>
        <row r="182">
          <cell r="A182" t="str">
            <v>mutation</v>
          </cell>
          <cell r="B182" t="str">
            <v>Mutations class</v>
          </cell>
        </row>
        <row r="183">
          <cell r="A183" t="str">
            <v>pcr</v>
          </cell>
          <cell r="B183" t="str">
            <v>qPCR Class</v>
          </cell>
        </row>
        <row r="184">
          <cell r="A184" t="str">
            <v>protein</v>
          </cell>
          <cell r="B184" t="str">
            <v>Proteins class</v>
          </cell>
        </row>
        <row r="185">
          <cell r="A185" t="str">
            <v>sequence</v>
          </cell>
          <cell r="B185" t="str">
            <v>Genetic sequences class</v>
          </cell>
        </row>
        <row r="186">
          <cell r="A186" t="str">
            <v>otsisaDep</v>
          </cell>
          <cell r="B186" t="str">
            <v xml:space="preserve">Other Site - sample depreciated </v>
          </cell>
        </row>
        <row r="187">
          <cell r="A187" t="str">
            <v>academ</v>
          </cell>
          <cell r="B187" t="str">
            <v>Academic institution</v>
          </cell>
        </row>
        <row r="188">
          <cell r="A188" t="str">
            <v>active</v>
          </cell>
          <cell r="B188" t="str">
            <v>Active</v>
          </cell>
        </row>
        <row r="189">
          <cell r="A189" t="str">
            <v>pcrmeth</v>
          </cell>
          <cell r="B189" t="str">
            <v>PCR method</v>
          </cell>
        </row>
        <row r="190">
          <cell r="A190" t="str">
            <v>addressID</v>
          </cell>
          <cell r="B190" t="str">
            <v>Address ID</v>
          </cell>
        </row>
        <row r="191">
          <cell r="A191" t="str">
            <v>name</v>
          </cell>
          <cell r="B191" t="str">
            <v>Name</v>
          </cell>
        </row>
        <row r="192">
          <cell r="A192" t="str">
            <v>custodyID</v>
          </cell>
          <cell r="B192" t="str">
            <v>Data custodian ID</v>
          </cell>
        </row>
        <row r="193">
          <cell r="A193" t="str">
            <v>refLink</v>
          </cell>
          <cell r="B193" t="str">
            <v>Reference link</v>
          </cell>
        </row>
        <row r="194">
          <cell r="A194" t="str">
            <v>funderID</v>
          </cell>
          <cell r="B194" t="str">
            <v>Funding agency ID</v>
          </cell>
        </row>
        <row r="195">
          <cell r="A195" t="str">
            <v>instrumentID</v>
          </cell>
          <cell r="B195" t="str">
            <v>Instrument ID</v>
          </cell>
        </row>
        <row r="196">
          <cell r="A196" t="str">
            <v>admRegLevel</v>
          </cell>
          <cell r="B196" t="str">
            <v>Administrative regions</v>
          </cell>
        </row>
        <row r="197">
          <cell r="A197" t="str">
            <v>partType</v>
          </cell>
          <cell r="B197" t="str">
            <v>Part types</v>
          </cell>
        </row>
        <row r="198">
          <cell r="A198" t="str">
            <v>lastEdited</v>
          </cell>
          <cell r="B198" t="str">
            <v>Last edited</v>
          </cell>
        </row>
        <row r="199">
          <cell r="A199" t="str">
            <v>aggregations</v>
          </cell>
          <cell r="B199" t="str">
            <v>Aggregations</v>
          </cell>
        </row>
        <row r="200">
          <cell r="A200" t="str">
            <v>aggregationScales</v>
          </cell>
          <cell r="B200" t="str">
            <v>Aggregation scales</v>
          </cell>
        </row>
        <row r="201">
          <cell r="A201" t="str">
            <v>shortName</v>
          </cell>
          <cell r="B201" t="str">
            <v>Short names</v>
          </cell>
        </row>
        <row r="202">
          <cell r="A202" t="str">
            <v>aggregationSets</v>
          </cell>
          <cell r="B202" t="str">
            <v>Aggregation sets</v>
          </cell>
        </row>
        <row r="203">
          <cell r="A203" t="str">
            <v>air</v>
          </cell>
          <cell r="B203" t="str">
            <v>Air compartment</v>
          </cell>
        </row>
        <row r="204">
          <cell r="A204" t="str">
            <v>airCompartmentSet</v>
          </cell>
          <cell r="B204" t="str">
            <v>Air compartment set</v>
          </cell>
        </row>
        <row r="205">
          <cell r="A205" t="str">
            <v>pceDep</v>
          </cell>
          <cell r="B205" t="str">
            <v>Primary Clarifier Effluent depreciated</v>
          </cell>
        </row>
        <row r="206">
          <cell r="A206" t="str">
            <v>airport</v>
          </cell>
          <cell r="B206" t="str">
            <v>Airport</v>
          </cell>
        </row>
        <row r="207">
          <cell r="A207" t="str">
            <v>airportLists</v>
          </cell>
          <cell r="B207" t="str">
            <v>Airport lists worksheet</v>
          </cell>
        </row>
        <row r="208">
          <cell r="A208" t="str">
            <v>airSurfaceCompartmentSet</v>
          </cell>
          <cell r="B208" t="str">
            <v>Air and surface compartment set</v>
          </cell>
        </row>
        <row r="209">
          <cell r="A209" t="str">
            <v>airWaterCompartmentSet</v>
          </cell>
          <cell r="B209" t="str">
            <v>Air and water compartment set</v>
          </cell>
        </row>
        <row r="210">
          <cell r="A210" t="str">
            <v>cphDate</v>
          </cell>
          <cell r="B210" t="str">
            <v>Covid-19 population measurement date</v>
          </cell>
        </row>
        <row r="211">
          <cell r="A211" t="str">
            <v>popDateTypeDep</v>
          </cell>
          <cell r="B211" t="str">
            <v>Type of date for case reporting depreciated</v>
          </cell>
        </row>
        <row r="212">
          <cell r="A212" t="str">
            <v>allDo</v>
          </cell>
          <cell r="B212" t="str">
            <v>All domains</v>
          </cell>
        </row>
        <row r="213">
          <cell r="A213" t="str">
            <v>alleleUnitSet</v>
          </cell>
          <cell r="B213" t="str">
            <v>Allele unit set</v>
          </cell>
        </row>
        <row r="214">
          <cell r="A214" t="str">
            <v>cphid</v>
          </cell>
          <cell r="B214" t="str">
            <v>Cphd ID</v>
          </cell>
        </row>
        <row r="215">
          <cell r="A215" t="str">
            <v>polygonID</v>
          </cell>
          <cell r="B215" t="str">
            <v>Polygon ID</v>
          </cell>
        </row>
        <row r="216">
          <cell r="A216" t="str">
            <v>amp</v>
          </cell>
          <cell r="B216" t="str">
            <v>Amplicon sequencing</v>
          </cell>
        </row>
        <row r="217">
          <cell r="A217" t="str">
            <v>amrGrp</v>
          </cell>
          <cell r="B217" t="str">
            <v>Anti-microbial resistance</v>
          </cell>
        </row>
        <row r="218">
          <cell r="A218" t="str">
            <v>andBoo</v>
          </cell>
          <cell r="B218" t="str">
            <v>AND Boolean aggregation</v>
          </cell>
        </row>
        <row r="219">
          <cell r="A219" t="str">
            <v>anyCompartmentSet</v>
          </cell>
          <cell r="B219" t="str">
            <v>Any compartment set</v>
          </cell>
        </row>
        <row r="220">
          <cell r="A220" t="str">
            <v>anySpecimenSet</v>
          </cell>
          <cell r="B220" t="str">
            <v>Any specimen set</v>
          </cell>
        </row>
        <row r="221">
          <cell r="A221" t="str">
            <v>areaPr</v>
          </cell>
          <cell r="B221" t="str">
            <v>Area proportional sample</v>
          </cell>
        </row>
        <row r="222">
          <cell r="A222" t="str">
            <v>articV3</v>
          </cell>
          <cell r="B222" t="str">
            <v>Use of the articV3 primer</v>
          </cell>
        </row>
        <row r="223">
          <cell r="A223" t="str">
            <v>articV4</v>
          </cell>
          <cell r="B223" t="str">
            <v>Use of the articV4 primer</v>
          </cell>
        </row>
        <row r="224">
          <cell r="A224" t="str">
            <v>notes</v>
          </cell>
          <cell r="B224" t="str">
            <v>Notes</v>
          </cell>
        </row>
        <row r="225">
          <cell r="A225" t="str">
            <v>attributes</v>
          </cell>
          <cell r="B225" t="str">
            <v>Attributes</v>
          </cell>
        </row>
        <row r="226">
          <cell r="A226" t="str">
            <v>bacteriaUnitSet</v>
          </cell>
          <cell r="B226" t="str">
            <v>Bacteria unit set</v>
          </cell>
        </row>
        <row r="227">
          <cell r="A227" t="str">
            <v>bactMisc</v>
          </cell>
          <cell r="B227" t="str">
            <v>Miscellaneous bacteria group</v>
          </cell>
        </row>
        <row r="228">
          <cell r="A228" t="str">
            <v>bcovCul</v>
          </cell>
          <cell r="B228" t="str">
            <v>bcov culture spike target</v>
          </cell>
        </row>
        <row r="229">
          <cell r="A229" t="str">
            <v>bcovVac</v>
          </cell>
          <cell r="B229" t="str">
            <v>bcov vaccine spike target</v>
          </cell>
        </row>
        <row r="230">
          <cell r="A230" t="str">
            <v>before</v>
          </cell>
          <cell r="B230" t="str">
            <v xml:space="preserve">Is Before </v>
          </cell>
        </row>
        <row r="231">
          <cell r="A231" t="str">
            <v>bio</v>
          </cell>
          <cell r="B231" t="str">
            <v>Biologic</v>
          </cell>
        </row>
        <row r="232">
          <cell r="A232" t="str">
            <v>blob</v>
          </cell>
          <cell r="B232" t="str">
            <v>Binary Large Object (BLOB) data type</v>
          </cell>
        </row>
        <row r="233">
          <cell r="A233" t="str">
            <v>boolean</v>
          </cell>
          <cell r="B233" t="str">
            <v>Boolean data type</v>
          </cell>
        </row>
        <row r="234">
          <cell r="A234" t="str">
            <v>booleanAggrSet</v>
          </cell>
          <cell r="B234" t="str">
            <v>Boolean aggregation set</v>
          </cell>
        </row>
        <row r="235">
          <cell r="A235" t="str">
            <v>brsvCul</v>
          </cell>
          <cell r="B235" t="str">
            <v>brsv culture spike target</v>
          </cell>
        </row>
        <row r="236">
          <cell r="A236" t="str">
            <v>brsvVac</v>
          </cell>
          <cell r="B236" t="str">
            <v>brsv vaccine spike target</v>
          </cell>
        </row>
        <row r="237">
          <cell r="A237" t="str">
            <v>bSwrPpl</v>
          </cell>
          <cell r="B237" t="str">
            <v>Branch sewer pipleline</v>
          </cell>
        </row>
        <row r="238">
          <cell r="A238" t="str">
            <v>buildCO</v>
          </cell>
          <cell r="B238" t="str">
            <v>Building cleanout</v>
          </cell>
        </row>
        <row r="239">
          <cell r="A239" t="str">
            <v>capacityUnitSet</v>
          </cell>
          <cell r="B239" t="str">
            <v>Capacity unit set</v>
          </cell>
        </row>
        <row r="240">
          <cell r="A240" t="str">
            <v>capitalEndonym</v>
          </cell>
          <cell r="B240" t="str">
            <v>Capital city endonym</v>
          </cell>
        </row>
        <row r="241">
          <cell r="A241" t="str">
            <v>capitalExonym</v>
          </cell>
          <cell r="B241" t="str">
            <v>Capital city exonym</v>
          </cell>
        </row>
        <row r="242">
          <cell r="A242" t="str">
            <v>pcs</v>
          </cell>
          <cell r="B242" t="str">
            <v>Primary Clarifier Sludge depreciated</v>
          </cell>
        </row>
        <row r="243">
          <cell r="A243" t="str">
            <v>categorical</v>
          </cell>
          <cell r="B243" t="str">
            <v>Categorical data type</v>
          </cell>
        </row>
        <row r="244">
          <cell r="A244" t="str">
            <v>categories</v>
          </cell>
          <cell r="B244" t="str">
            <v>Categories</v>
          </cell>
        </row>
        <row r="245">
          <cell r="A245" t="str">
            <v>ccc</v>
          </cell>
          <cell r="B245" t="str">
            <v>Long-term acute care hospital</v>
          </cell>
        </row>
        <row r="246">
          <cell r="A246" t="str">
            <v>cdc</v>
          </cell>
          <cell r="B246" t="str">
            <v>Child day care</v>
          </cell>
        </row>
        <row r="247">
          <cell r="A247" t="str">
            <v>cent</v>
          </cell>
          <cell r="B247" t="str">
            <v>Centrifugation</v>
          </cell>
        </row>
        <row r="248">
          <cell r="A248" t="str">
            <v>contactID</v>
          </cell>
          <cell r="B248" t="str">
            <v>Contact ID</v>
          </cell>
        </row>
        <row r="249">
          <cell r="A249" t="str">
            <v>che</v>
          </cell>
          <cell r="B249" t="str">
            <v>Chemical</v>
          </cell>
        </row>
        <row r="250">
          <cell r="A250" t="str">
            <v>chemVir</v>
          </cell>
          <cell r="B250" t="str">
            <v>Chemagic viral dna/rna 300 kit</v>
          </cell>
        </row>
        <row r="251">
          <cell r="A251" t="str">
            <v>value</v>
          </cell>
          <cell r="B251" t="str">
            <v>Value</v>
          </cell>
        </row>
        <row r="252">
          <cell r="A252" t="str">
            <v>addL1</v>
          </cell>
          <cell r="B252" t="str">
            <v>Address Line 1</v>
          </cell>
        </row>
        <row r="253">
          <cell r="A253" t="str">
            <v>classes</v>
          </cell>
          <cell r="B253" t="str">
            <v>Classes</v>
          </cell>
        </row>
        <row r="254">
          <cell r="A254" t="str">
            <v>cloudy</v>
          </cell>
          <cell r="B254" t="str">
            <v>Cloudy</v>
          </cell>
        </row>
        <row r="255">
          <cell r="A255" t="str">
            <v>cm</v>
          </cell>
          <cell r="B255" t="str">
            <v>Centimetres</v>
          </cell>
        </row>
        <row r="256">
          <cell r="A256" t="str">
            <v>colGrp</v>
          </cell>
          <cell r="B256" t="str">
            <v>Collection group</v>
          </cell>
        </row>
        <row r="257">
          <cell r="A257" t="str">
            <v>measureRepID</v>
          </cell>
          <cell r="B257" t="str">
            <v>Report ID</v>
          </cell>
        </row>
        <row r="258">
          <cell r="A258" t="str">
            <v>parDatasetID</v>
          </cell>
          <cell r="B258" t="str">
            <v>Parent dataset ID</v>
          </cell>
        </row>
        <row r="259">
          <cell r="A259" t="str">
            <v>purpose</v>
          </cell>
          <cell r="B259" t="str">
            <v>Purpose</v>
          </cell>
        </row>
        <row r="260">
          <cell r="A260" t="str">
            <v>collectSet</v>
          </cell>
          <cell r="B260" t="str">
            <v>Sample collection set</v>
          </cell>
        </row>
        <row r="261">
          <cell r="A261" t="str">
            <v>measure</v>
          </cell>
          <cell r="B261" t="str">
            <v>Measure</v>
          </cell>
        </row>
        <row r="262">
          <cell r="A262" t="str">
            <v>reportDate</v>
          </cell>
          <cell r="B262" t="str">
            <v>Report date</v>
          </cell>
        </row>
        <row r="263">
          <cell r="A263" t="str">
            <v>datasetID</v>
          </cell>
          <cell r="B263" t="str">
            <v>Dataset ID</v>
          </cell>
        </row>
        <row r="264">
          <cell r="A264" t="str">
            <v>origin</v>
          </cell>
          <cell r="B264" t="str">
            <v>Sample origin</v>
          </cell>
        </row>
        <row r="265">
          <cell r="A265" t="str">
            <v>colocated</v>
          </cell>
          <cell r="B265" t="str">
            <v>Co-located sample</v>
          </cell>
        </row>
        <row r="266">
          <cell r="A266" t="str">
            <v>aliasDep</v>
          </cell>
          <cell r="B266" t="str">
            <v>Alias depreciated</v>
          </cell>
        </row>
        <row r="267">
          <cell r="A267" t="str">
            <v>compartments</v>
          </cell>
          <cell r="B267" t="str">
            <v>Compartments</v>
          </cell>
        </row>
        <row r="268">
          <cell r="A268" t="str">
            <v>compartmentSets</v>
          </cell>
          <cell r="B268" t="str">
            <v>Compartment sets</v>
          </cell>
        </row>
        <row r="269">
          <cell r="A269" t="str">
            <v>conc</v>
          </cell>
          <cell r="B269" t="str">
            <v>Sample concentrate</v>
          </cell>
        </row>
        <row r="270">
          <cell r="A270" t="str">
            <v>concurrent</v>
          </cell>
          <cell r="B270" t="str">
            <v>Is concurrent to</v>
          </cell>
        </row>
        <row r="271">
          <cell r="A271" t="str">
            <v>conductivityUnitSet</v>
          </cell>
          <cell r="B271" t="str">
            <v>Conductivity unit set</v>
          </cell>
        </row>
        <row r="272">
          <cell r="A272" t="str">
            <v>model</v>
          </cell>
          <cell r="B272" t="str">
            <v>Model</v>
          </cell>
        </row>
        <row r="273">
          <cell r="A273" t="str">
            <v>parSiteID</v>
          </cell>
          <cell r="B273" t="str">
            <v>Parent Site ID</v>
          </cell>
        </row>
        <row r="274">
          <cell r="A274" t="str">
            <v>domain</v>
          </cell>
          <cell r="B274" t="str">
            <v>Domain</v>
          </cell>
        </row>
        <row r="275">
          <cell r="A275" t="str">
            <v>contactTableSet</v>
          </cell>
          <cell r="B275" t="str">
            <v>Contact table set</v>
          </cell>
        </row>
        <row r="276">
          <cell r="A276" t="str">
            <v>pogr</v>
          </cell>
          <cell r="B276" t="str">
            <v>Post-Grit depreciated</v>
          </cell>
        </row>
        <row r="277">
          <cell r="A277" t="str">
            <v>cosca</v>
          </cell>
          <cell r="B277" t="str">
            <v>COSCa ball</v>
          </cell>
        </row>
        <row r="278">
          <cell r="A278" t="str">
            <v>partID</v>
          </cell>
          <cell r="B278" t="str">
            <v>Part identifier</v>
          </cell>
        </row>
        <row r="279">
          <cell r="A279" t="str">
            <v>repType</v>
          </cell>
          <cell r="B279" t="str">
            <v>Replicate Type</v>
          </cell>
        </row>
        <row r="280">
          <cell r="A280" t="str">
            <v>specimenSets</v>
          </cell>
          <cell r="B280" t="str">
            <v>Specimen sets</v>
          </cell>
        </row>
        <row r="281">
          <cell r="A281" t="str">
            <v>addL2</v>
          </cell>
          <cell r="B281" t="str">
            <v>Address Line 2</v>
          </cell>
        </row>
        <row r="282">
          <cell r="A282" t="str">
            <v>countryEndonym</v>
          </cell>
          <cell r="B282" t="str">
            <v>Country endonym</v>
          </cell>
        </row>
        <row r="283">
          <cell r="A283" t="str">
            <v>countryExonym</v>
          </cell>
          <cell r="B283" t="str">
            <v>Country exonym</v>
          </cell>
        </row>
        <row r="284">
          <cell r="A284" t="str">
            <v>countryLevel</v>
          </cell>
          <cell r="B284" t="str">
            <v>Countries or sovereign states</v>
          </cell>
        </row>
        <row r="285">
          <cell r="A285" t="str">
            <v>countyLevel</v>
          </cell>
          <cell r="B285" t="str">
            <v>Districts, counties, regions</v>
          </cell>
        </row>
        <row r="286">
          <cell r="A286" t="str">
            <v>insType</v>
          </cell>
          <cell r="B286" t="str">
            <v>Instrument Type</v>
          </cell>
        </row>
        <row r="287">
          <cell r="A287" t="str">
            <v>insTypeOth</v>
          </cell>
          <cell r="B287" t="str">
            <v>Describe other instrument type, if applicable</v>
          </cell>
        </row>
        <row r="288">
          <cell r="A288" t="str">
            <v>crosswalkTableSet</v>
          </cell>
          <cell r="B288" t="str">
            <v>Crosswalk table set</v>
          </cell>
        </row>
        <row r="289">
          <cell r="A289" t="str">
            <v>cuCo</v>
          </cell>
          <cell r="B289" t="str">
            <v>Cumulative count</v>
          </cell>
        </row>
        <row r="290">
          <cell r="A290" t="str">
            <v>datasetDate</v>
          </cell>
          <cell r="B290" t="str">
            <v>Dataset creation date</v>
          </cell>
        </row>
        <row r="291">
          <cell r="A291" t="str">
            <v>measureSetRepID</v>
          </cell>
          <cell r="B291" t="str">
            <v>Measure set report set ID</v>
          </cell>
        </row>
        <row r="292">
          <cell r="A292" t="str">
            <v>daiCo</v>
          </cell>
          <cell r="B292" t="str">
            <v>Daily count</v>
          </cell>
        </row>
        <row r="293">
          <cell r="A293" t="str">
            <v>license</v>
          </cell>
          <cell r="B293" t="str">
            <v>License</v>
          </cell>
        </row>
        <row r="294">
          <cell r="A294" t="str">
            <v>amDefDep</v>
          </cell>
          <cell r="B294" t="str">
            <v>Assay method id default depreciated</v>
          </cell>
        </row>
        <row r="295">
          <cell r="A295" t="str">
            <v>descr</v>
          </cell>
          <cell r="B295" t="str">
            <v>Description</v>
          </cell>
        </row>
        <row r="296">
          <cell r="A296" t="str">
            <v>contactName</v>
          </cell>
          <cell r="B296" t="str">
            <v>Contact name</v>
          </cell>
        </row>
        <row r="297">
          <cell r="A297" t="str">
            <v>email</v>
          </cell>
          <cell r="B297" t="str">
            <v>Contact email</v>
          </cell>
        </row>
        <row r="298">
          <cell r="A298" t="str">
            <v>ontologyRef</v>
          </cell>
          <cell r="B298" t="str">
            <v>Ontology reference</v>
          </cell>
        </row>
        <row r="299">
          <cell r="A299" t="str">
            <v>labID</v>
          </cell>
          <cell r="B299" t="str">
            <v>Lab ID</v>
          </cell>
        </row>
        <row r="300">
          <cell r="A300" t="str">
            <v>datetime</v>
          </cell>
          <cell r="B300" t="str">
            <v>Datetime data type</v>
          </cell>
        </row>
        <row r="301">
          <cell r="A301" t="str">
            <v>days</v>
          </cell>
          <cell r="B301" t="str">
            <v>Days</v>
          </cell>
        </row>
        <row r="302">
          <cell r="A302" t="str">
            <v>depreciated</v>
          </cell>
          <cell r="B302" t="str">
            <v>Depreciated</v>
          </cell>
        </row>
        <row r="303">
          <cell r="A303" t="str">
            <v>derived</v>
          </cell>
          <cell r="B303" t="str">
            <v>Derived sample</v>
          </cell>
        </row>
        <row r="304">
          <cell r="A304" t="str">
            <v>compartment</v>
          </cell>
          <cell r="B304" t="str">
            <v>Compartment</v>
          </cell>
        </row>
        <row r="305">
          <cell r="A305" t="str">
            <v>descrChange</v>
          </cell>
          <cell r="B305" t="str">
            <v>Description of change</v>
          </cell>
        </row>
        <row r="306">
          <cell r="A306" t="str">
            <v>desk</v>
          </cell>
          <cell r="B306" t="str">
            <v>Desk or counter</v>
          </cell>
        </row>
        <row r="307">
          <cell r="A307" t="str">
            <v>deso</v>
          </cell>
          <cell r="B307" t="str">
            <v>Dewatered solids</v>
          </cell>
        </row>
        <row r="308">
          <cell r="A308" t="str">
            <v>phone</v>
          </cell>
          <cell r="B308" t="str">
            <v>Contact phone</v>
          </cell>
        </row>
        <row r="309">
          <cell r="A309" t="str">
            <v>development</v>
          </cell>
          <cell r="B309" t="str">
            <v>Development</v>
          </cell>
        </row>
        <row r="310">
          <cell r="A310" t="str">
            <v>dictionaryRefTableSet</v>
          </cell>
          <cell r="B310" t="str">
            <v>Dictionary reference table set</v>
          </cell>
        </row>
        <row r="311">
          <cell r="A311" t="str">
            <v>dictionarySupport</v>
          </cell>
          <cell r="B311" t="str">
            <v>Additional dictionary sheets</v>
          </cell>
        </row>
        <row r="312">
          <cell r="A312" t="str">
            <v>dictSet</v>
          </cell>
          <cell r="B312" t="str">
            <v>Dictionary set type</v>
          </cell>
        </row>
        <row r="313">
          <cell r="A313" t="str">
            <v>dissGasUnitSet</v>
          </cell>
          <cell r="B313" t="str">
            <v>Dissolved gas concentration unit set</v>
          </cell>
        </row>
        <row r="314">
          <cell r="A314" t="str">
            <v>latExp</v>
          </cell>
          <cell r="B314" t="str">
            <v>LaTeX expression</v>
          </cell>
        </row>
        <row r="315">
          <cell r="A315" t="str">
            <v>domains</v>
          </cell>
          <cell r="B315" t="str">
            <v>Domains</v>
          </cell>
        </row>
        <row r="316">
          <cell r="A316" t="str">
            <v>dorm</v>
          </cell>
          <cell r="B316" t="str">
            <v>Higher education domitory or residential building</v>
          </cell>
        </row>
        <row r="317">
          <cell r="A317" t="str">
            <v>education</v>
          </cell>
          <cell r="B317" t="str">
            <v>Education</v>
          </cell>
        </row>
        <row r="318">
          <cell r="A318" t="str">
            <v>firstName</v>
          </cell>
          <cell r="B318" t="str">
            <v>First name of contact</v>
          </cell>
        </row>
        <row r="319">
          <cell r="A319" t="str">
            <v>ena</v>
          </cell>
          <cell r="B319" t="str">
            <v>European Nucleotide Association</v>
          </cell>
        </row>
        <row r="320">
          <cell r="A320" t="str">
            <v>enaNotes</v>
          </cell>
          <cell r="B320" t="str">
            <v>European Nucleotide Association (ENA) - notes</v>
          </cell>
        </row>
        <row r="321">
          <cell r="A321" t="str">
            <v>sce</v>
          </cell>
          <cell r="B321" t="str">
            <v>Secondary clarifier effluent depreciated</v>
          </cell>
        </row>
        <row r="322">
          <cell r="A322" t="str">
            <v>erdTableSet</v>
          </cell>
          <cell r="B322" t="str">
            <v>ERD table set</v>
          </cell>
        </row>
        <row r="323">
          <cell r="A323" t="str">
            <v>scsDep</v>
          </cell>
          <cell r="B323" t="str">
            <v>Secondary clarifier sludge depreciated</v>
          </cell>
        </row>
        <row r="324">
          <cell r="A324" t="str">
            <v>extract4s</v>
          </cell>
          <cell r="B324" t="str">
            <v>4s method</v>
          </cell>
        </row>
        <row r="325">
          <cell r="A325" t="str">
            <v>extractSet</v>
          </cell>
          <cell r="B325" t="str">
            <v>Nucleic Acid Extraction set</v>
          </cell>
        </row>
        <row r="326">
          <cell r="A326" t="str">
            <v>seseDep</v>
          </cell>
          <cell r="B326" t="str">
            <v>Sewer Sediments Depcreciated</v>
          </cell>
        </row>
        <row r="327">
          <cell r="A327" t="str">
            <v>false</v>
          </cell>
          <cell r="B327" t="b">
            <v>0</v>
          </cell>
        </row>
        <row r="328">
          <cell r="A328" t="str">
            <v>field</v>
          </cell>
          <cell r="B328" t="str">
            <v>Field sample</v>
          </cell>
        </row>
        <row r="329">
          <cell r="A329" t="str">
            <v>fieldReplicate</v>
          </cell>
          <cell r="B329" t="str">
            <v>Field sample replicate</v>
          </cell>
        </row>
        <row r="330">
          <cell r="A330" t="str">
            <v>specimen</v>
          </cell>
          <cell r="B330" t="str">
            <v>Specimen</v>
          </cell>
        </row>
        <row r="331">
          <cell r="A331" t="str">
            <v>filt</v>
          </cell>
          <cell r="B331" t="str">
            <v>Filtration</v>
          </cell>
        </row>
        <row r="332">
          <cell r="A332" t="str">
            <v>fiNa</v>
          </cell>
          <cell r="B332" t="str">
            <v>First Nation</v>
          </cell>
        </row>
        <row r="333">
          <cell r="A333" t="str">
            <v>organizationID</v>
          </cell>
          <cell r="B333" t="str">
            <v>Organization ID</v>
          </cell>
        </row>
        <row r="334">
          <cell r="A334" t="str">
            <v>mmaSet</v>
          </cell>
          <cell r="B334" t="str">
            <v>Measure, method, or attribute</v>
          </cell>
        </row>
        <row r="335">
          <cell r="A335" t="str">
            <v>fK</v>
          </cell>
          <cell r="B335" t="str">
            <v>Foreign key</v>
          </cell>
        </row>
        <row r="336">
          <cell r="A336" t="str">
            <v>flagND</v>
          </cell>
          <cell r="B336" t="str">
            <v>ND - Non-detect</v>
          </cell>
        </row>
        <row r="337">
          <cell r="A337" t="str">
            <v>float</v>
          </cell>
          <cell r="B337" t="str">
            <v>Float data type</v>
          </cell>
        </row>
        <row r="338">
          <cell r="A338" t="str">
            <v>floor</v>
          </cell>
          <cell r="B338" t="str">
            <v>Floor</v>
          </cell>
        </row>
        <row r="339">
          <cell r="A339" t="str">
            <v>flowUnitSet</v>
          </cell>
          <cell r="B339" t="str">
            <v>Volume flow rate unit set</v>
          </cell>
        </row>
        <row r="340">
          <cell r="A340" t="str">
            <v>foggy</v>
          </cell>
          <cell r="B340" t="str">
            <v>Foggy</v>
          </cell>
        </row>
        <row r="341">
          <cell r="A341" t="str">
            <v>columnNameDep</v>
          </cell>
          <cell r="B341" t="str">
            <v>Column name depreciiated</v>
          </cell>
        </row>
        <row r="342">
          <cell r="A342" t="str">
            <v>fractionSet</v>
          </cell>
          <cell r="B342" t="str">
            <v>Sample fraction set</v>
          </cell>
        </row>
        <row r="343">
          <cell r="A343" t="str">
            <v>freyja</v>
          </cell>
          <cell r="B343" t="str">
            <v>Freyja Script</v>
          </cell>
        </row>
        <row r="344">
          <cell r="A344" t="str">
            <v>fullDictionarySheetSet</v>
          </cell>
          <cell r="B344" t="str">
            <v>Full dictionary sheets set</v>
          </cell>
        </row>
        <row r="345">
          <cell r="A345" t="str">
            <v>geoType</v>
          </cell>
          <cell r="B345" t="str">
            <v>Type of geography</v>
          </cell>
        </row>
        <row r="346">
          <cell r="A346" t="str">
            <v>group</v>
          </cell>
          <cell r="B346" t="str">
            <v>Group</v>
          </cell>
        </row>
        <row r="347">
          <cell r="A347" t="str">
            <v>geneticUnitSet</v>
          </cell>
          <cell r="B347" t="str">
            <v>Genetics unit set</v>
          </cell>
        </row>
        <row r="348">
          <cell r="A348" t="str">
            <v>genMissingnessSet</v>
          </cell>
          <cell r="B348" t="str">
            <v>General missingness set</v>
          </cell>
        </row>
        <row r="349">
          <cell r="A349" t="str">
            <v>class</v>
          </cell>
          <cell r="B349" t="str">
            <v>Class</v>
          </cell>
        </row>
        <row r="350">
          <cell r="A350" t="str">
            <v>lang</v>
          </cell>
          <cell r="B350" t="str">
            <v>Language ID</v>
          </cell>
        </row>
        <row r="351">
          <cell r="A351" t="str">
            <v>city</v>
          </cell>
          <cell r="B351" t="str">
            <v>City</v>
          </cell>
        </row>
        <row r="352">
          <cell r="A352" t="str">
            <v>manufacturer</v>
          </cell>
          <cell r="B352" t="str">
            <v>Manufacturer</v>
          </cell>
        </row>
        <row r="353">
          <cell r="A353" t="str">
            <v>geoTypeSet</v>
          </cell>
          <cell r="B353" t="str">
            <v>Geographic set</v>
          </cell>
        </row>
        <row r="354">
          <cell r="A354" t="str">
            <v>polyPop</v>
          </cell>
          <cell r="B354" t="str">
            <v>Polygon Population</v>
          </cell>
        </row>
        <row r="355">
          <cell r="A355" t="str">
            <v>water</v>
          </cell>
          <cell r="B355" t="str">
            <v>Water depreciated</v>
          </cell>
        </row>
        <row r="356">
          <cell r="A356" t="str">
            <v>govt</v>
          </cell>
          <cell r="B356" t="str">
            <v>Government agency</v>
          </cell>
        </row>
        <row r="357">
          <cell r="A357" t="str">
            <v>graSet</v>
          </cell>
          <cell r="B357" t="str">
            <v>Gravity settling</v>
          </cell>
        </row>
        <row r="358">
          <cell r="A358" t="str">
            <v>gromstole</v>
          </cell>
          <cell r="B358" t="str">
            <v>Gromstole 1.0 Script</v>
          </cell>
        </row>
        <row r="359">
          <cell r="A359" t="str">
            <v>li</v>
          </cell>
          <cell r="B359" t="str">
            <v>Link</v>
          </cell>
        </row>
        <row r="360">
          <cell r="A360" t="str">
            <v>groups</v>
          </cell>
          <cell r="B360" t="str">
            <v>Groups</v>
          </cell>
        </row>
        <row r="361">
          <cell r="A361" t="str">
            <v>header</v>
          </cell>
          <cell r="B361" t="str">
            <v>Header</v>
          </cell>
        </row>
        <row r="362">
          <cell r="A362" t="str">
            <v>healthAdm</v>
          </cell>
          <cell r="B362" t="str">
            <v>Health administration or planning agency</v>
          </cell>
        </row>
        <row r="363">
          <cell r="A363" t="str">
            <v>heatInacSARS</v>
          </cell>
          <cell r="B363" t="str">
            <v>Heat inactivated sars-cov-2 virus spike target</v>
          </cell>
        </row>
        <row r="364">
          <cell r="A364" t="str">
            <v>hepGRnaMat</v>
          </cell>
          <cell r="B364" t="str">
            <v>hep g armored rna spike target</v>
          </cell>
        </row>
        <row r="365">
          <cell r="A365" t="str">
            <v>high</v>
          </cell>
          <cell r="B365" t="str">
            <v>High severity</v>
          </cell>
        </row>
        <row r="366">
          <cell r="A366" t="str">
            <v>acti</v>
          </cell>
          <cell r="B366" t="str">
            <v>Number of active cases</v>
          </cell>
        </row>
        <row r="367">
          <cell r="A367" t="str">
            <v>conf</v>
          </cell>
          <cell r="B367" t="str">
            <v>Number of confirmed cases</v>
          </cell>
        </row>
        <row r="368">
          <cell r="A368" t="str">
            <v>hosa</v>
          </cell>
          <cell r="B368" t="str">
            <v>General Hospital Admissions</v>
          </cell>
        </row>
        <row r="369">
          <cell r="A369" t="str">
            <v>hosc</v>
          </cell>
          <cell r="B369" t="str">
            <v>Hospital Census</v>
          </cell>
        </row>
        <row r="370">
          <cell r="A370" t="str">
            <v>hours</v>
          </cell>
          <cell r="B370" t="str">
            <v>Hours</v>
          </cell>
        </row>
        <row r="371">
          <cell r="A371" t="str">
            <v>htSam</v>
          </cell>
          <cell r="B371" t="str">
            <v>Holding tank wastewater</v>
          </cell>
        </row>
        <row r="372">
          <cell r="A372" t="str">
            <v>pprt</v>
          </cell>
          <cell r="B372" t="str">
            <v>Percent positivity rate</v>
          </cell>
        </row>
        <row r="373">
          <cell r="A373" t="str">
            <v>hum</v>
          </cell>
          <cell r="B373" t="str">
            <v>Human compartment</v>
          </cell>
        </row>
        <row r="374">
          <cell r="A374" t="str">
            <v>humanCompartmentSet</v>
          </cell>
          <cell r="B374" t="str">
            <v>Human compartment set</v>
          </cell>
        </row>
        <row r="375">
          <cell r="A375" t="str">
            <v>icd</v>
          </cell>
          <cell r="B375" t="str">
            <v>International Classification of Diseases</v>
          </cell>
        </row>
        <row r="376">
          <cell r="A376" t="str">
            <v>inhibitionSet</v>
          </cell>
          <cell r="B376" t="str">
            <v>Inhibition set</v>
          </cell>
        </row>
        <row r="377">
          <cell r="A377" t="str">
            <v>input</v>
          </cell>
          <cell r="B377" t="str">
            <v>Input</v>
          </cell>
        </row>
        <row r="378">
          <cell r="A378" t="str">
            <v>protocolRelationshipsID</v>
          </cell>
          <cell r="B378" t="str">
            <v>Synthetic ID for the protocolRelationships table</v>
          </cell>
        </row>
        <row r="379">
          <cell r="A379" t="str">
            <v>aggragationScale</v>
          </cell>
          <cell r="B379" t="str">
            <v>Aggregation scale</v>
          </cell>
        </row>
        <row r="380">
          <cell r="A380" t="str">
            <v>aggregationSet</v>
          </cell>
          <cell r="B380" t="str">
            <v>Aggregation set</v>
          </cell>
        </row>
        <row r="381">
          <cell r="A381" t="str">
            <v>qualityReportID</v>
          </cell>
          <cell r="B381" t="str">
            <v>Quality report ID</v>
          </cell>
        </row>
        <row r="382">
          <cell r="A382" t="str">
            <v>ptot</v>
          </cell>
          <cell r="B382" t="str">
            <v>Number of positive tests</v>
          </cell>
        </row>
        <row r="383">
          <cell r="A383" t="str">
            <v>geoWKT</v>
          </cell>
          <cell r="B383" t="str">
            <v>Well-known text</v>
          </cell>
        </row>
        <row r="384">
          <cell r="A384" t="str">
            <v>po</v>
          </cell>
          <cell r="B384" t="str">
            <v>Population</v>
          </cell>
        </row>
        <row r="385">
          <cell r="A385" t="str">
            <v>insTypeSet</v>
          </cell>
          <cell r="B385" t="str">
            <v>Instrument set</v>
          </cell>
        </row>
        <row r="386">
          <cell r="A386" t="str">
            <v>integer</v>
          </cell>
          <cell r="B386" t="str">
            <v>Integer data type</v>
          </cell>
        </row>
        <row r="387">
          <cell r="A387" t="str">
            <v>langFam</v>
          </cell>
          <cell r="B387" t="str">
            <v>Language family</v>
          </cell>
        </row>
        <row r="388">
          <cell r="A388" t="str">
            <v>langName</v>
          </cell>
          <cell r="B388" t="str">
            <v>Language name</v>
          </cell>
        </row>
        <row r="389">
          <cell r="A389" t="str">
            <v>natName</v>
          </cell>
          <cell r="B389" t="str">
            <v>Native Name</v>
          </cell>
        </row>
        <row r="390">
          <cell r="A390" t="str">
            <v>iso6391</v>
          </cell>
          <cell r="B390" t="str">
            <v>ISO639-1</v>
          </cell>
        </row>
        <row r="391">
          <cell r="A391" t="str">
            <v>iso6392B</v>
          </cell>
          <cell r="B391" t="str">
            <v>ISO639-2B</v>
          </cell>
        </row>
        <row r="392">
          <cell r="A392" t="str">
            <v>stateProvReg</v>
          </cell>
          <cell r="B392" t="str">
            <v>State, Province, or Region</v>
          </cell>
        </row>
        <row r="393">
          <cell r="A393" t="str">
            <v>isoCodeX</v>
          </cell>
          <cell r="B393" t="str">
            <v>ISO 3166-1 alpha-3 country code</v>
          </cell>
        </row>
        <row r="394">
          <cell r="A394" t="str">
            <v>pCode</v>
          </cell>
          <cell r="B394" t="str">
            <v>Postal or Zip Code</v>
          </cell>
        </row>
        <row r="395">
          <cell r="A395" t="str">
            <v>lab</v>
          </cell>
          <cell r="B395" t="str">
            <v>Laboratory</v>
          </cell>
        </row>
        <row r="396">
          <cell r="A396" t="str">
            <v>fileLocation</v>
          </cell>
          <cell r="B396" t="str">
            <v>File location of polygon</v>
          </cell>
        </row>
        <row r="397">
          <cell r="A397" t="str">
            <v>labDuplicate</v>
          </cell>
          <cell r="B397" t="str">
            <v xml:space="preserve">Laboratory duplicate </v>
          </cell>
        </row>
        <row r="398">
          <cell r="A398" t="str">
            <v>labDefDep</v>
          </cell>
          <cell r="B398" t="str">
            <v>Lab ID default depricated</v>
          </cell>
        </row>
        <row r="399">
          <cell r="A399" t="str">
            <v>test</v>
          </cell>
          <cell r="B399" t="str">
            <v>Number of tests performed</v>
          </cell>
        </row>
        <row r="400">
          <cell r="A400" t="str">
            <v>aas</v>
          </cell>
          <cell r="B400" t="str">
            <v>Atline Analyzer</v>
          </cell>
        </row>
        <row r="401">
          <cell r="A401" t="str">
            <v>partDesc</v>
          </cell>
          <cell r="B401" t="str">
            <v>Part description</v>
          </cell>
        </row>
        <row r="402">
          <cell r="A402" t="str">
            <v>iso6392T</v>
          </cell>
          <cell r="B402" t="str">
            <v>ISO639-2T</v>
          </cell>
        </row>
        <row r="403">
          <cell r="A403" t="str">
            <v>iso6393</v>
          </cell>
          <cell r="B403" t="str">
            <v>ISO639-3</v>
          </cell>
        </row>
        <row r="404">
          <cell r="A404" t="str">
            <v>langScript</v>
          </cell>
          <cell r="B404" t="str">
            <v>National language script</v>
          </cell>
        </row>
        <row r="405">
          <cell r="A405" t="str">
            <v>missingnessSets</v>
          </cell>
          <cell r="B405" t="str">
            <v>Missingness sets</v>
          </cell>
        </row>
        <row r="406">
          <cell r="A406" t="str">
            <v>setType</v>
          </cell>
          <cell r="B406" t="str">
            <v>Set type</v>
          </cell>
        </row>
        <row r="407">
          <cell r="A407" t="str">
            <v>setValue</v>
          </cell>
          <cell r="B407" t="str">
            <v>Set Value</v>
          </cell>
        </row>
        <row r="408">
          <cell r="A408" t="str">
            <v>reporterIDDep</v>
          </cell>
          <cell r="B408" t="str">
            <v>Reporter ID depreciated</v>
          </cell>
        </row>
        <row r="409">
          <cell r="A409" t="str">
            <v>lastName</v>
          </cell>
          <cell r="B409" t="str">
            <v>Last name of contact</v>
          </cell>
        </row>
        <row r="410">
          <cell r="A410" t="str">
            <v>label</v>
          </cell>
          <cell r="B410" t="str">
            <v>Label</v>
          </cell>
        </row>
        <row r="411">
          <cell r="A411" t="str">
            <v>partInstr</v>
          </cell>
          <cell r="B411" t="str">
            <v>Part instruction</v>
          </cell>
        </row>
        <row r="412">
          <cell r="A412" t="str">
            <v>lBC</v>
          </cell>
          <cell r="B412" t="str">
            <v>Low breadth of coverage</v>
          </cell>
        </row>
        <row r="413">
          <cell r="A413" t="str">
            <v>lcsd</v>
          </cell>
          <cell r="B413" t="str">
            <v>Laboratory control sample duplicate</v>
          </cell>
        </row>
        <row r="414">
          <cell r="A414" t="str">
            <v>lDC</v>
          </cell>
          <cell r="B414" t="str">
            <v>Low depth of coverage</v>
          </cell>
        </row>
        <row r="415">
          <cell r="A415" t="str">
            <v>leaked</v>
          </cell>
          <cell r="B415" t="str">
            <v>Leaked sample</v>
          </cell>
        </row>
        <row r="416">
          <cell r="A416" t="str">
            <v>siteDef</v>
          </cell>
          <cell r="B416" t="str">
            <v>Site ID default</v>
          </cell>
        </row>
        <row r="417">
          <cell r="A417" t="str">
            <v>funderCont</v>
          </cell>
          <cell r="B417" t="str">
            <v>Funder contact ID</v>
          </cell>
        </row>
        <row r="418">
          <cell r="A418" t="str">
            <v>linearAggrSet</v>
          </cell>
          <cell r="B418" t="str">
            <v>Linear scale aggregation set</v>
          </cell>
        </row>
        <row r="419">
          <cell r="A419" t="str">
            <v>hma</v>
          </cell>
          <cell r="B419" t="str">
            <v>Hand Measurement</v>
          </cell>
        </row>
        <row r="420">
          <cell r="A420" t="str">
            <v>lists</v>
          </cell>
          <cell r="B420" t="str">
            <v>List worksheet</v>
          </cell>
        </row>
        <row r="421">
          <cell r="A421" t="str">
            <v>listSet</v>
          </cell>
          <cell r="B421" t="str">
            <v>List set</v>
          </cell>
        </row>
        <row r="422">
          <cell r="A422" t="str">
            <v>fst</v>
          </cell>
          <cell r="B422" t="str">
            <v>Field sample temperature</v>
          </cell>
        </row>
        <row r="423">
          <cell r="A423" t="str">
            <v>logAggrSet</v>
          </cell>
          <cell r="B423" t="str">
            <v>Logarithmic scale aggregation set</v>
          </cell>
        </row>
        <row r="424">
          <cell r="A424" t="str">
            <v>lookup</v>
          </cell>
          <cell r="B424" t="str">
            <v>Dictionary tables</v>
          </cell>
        </row>
        <row r="425">
          <cell r="A425" t="str">
            <v>low</v>
          </cell>
          <cell r="B425" t="str">
            <v>Low severity</v>
          </cell>
        </row>
        <row r="426">
          <cell r="A426" t="str">
            <v>lowerCI95</v>
          </cell>
          <cell r="B426" t="str">
            <v>Lower limit of a 95% confidence interval</v>
          </cell>
        </row>
        <row r="427">
          <cell r="A427" t="str">
            <v>lowVol</v>
          </cell>
          <cell r="B427" t="str">
            <v>Low-volume sample</v>
          </cell>
        </row>
        <row r="428">
          <cell r="A428" t="str">
            <v>instrumentTypeOther</v>
          </cell>
          <cell r="B428" t="str">
            <v>Other instrument</v>
          </cell>
        </row>
        <row r="429">
          <cell r="A429" t="str">
            <v>ltcfAl</v>
          </cell>
          <cell r="B429" t="str">
            <v>Long-term care - assisted living or retirement home</v>
          </cell>
        </row>
        <row r="430">
          <cell r="A430" t="str">
            <v>ltcfO</v>
          </cell>
          <cell r="B430" t="str">
            <v>Other long-term care</v>
          </cell>
        </row>
        <row r="431">
          <cell r="A431" t="str">
            <v>ltDpcr</v>
          </cell>
          <cell r="B431" t="str">
            <v>Life technologies digital PCR</v>
          </cell>
        </row>
        <row r="432">
          <cell r="A432" t="str">
            <v>lysi</v>
          </cell>
          <cell r="B432" t="str">
            <v>Lysis buffer</v>
          </cell>
        </row>
        <row r="433">
          <cell r="A433" t="str">
            <v>ola</v>
          </cell>
          <cell r="B433" t="str">
            <v>Lab Analysis</v>
          </cell>
        </row>
        <row r="434">
          <cell r="A434" t="str">
            <v>onse</v>
          </cell>
          <cell r="B434" t="str">
            <v>Online Sensor</v>
          </cell>
        </row>
        <row r="435">
          <cell r="A435" t="str">
            <v>hlthReg</v>
          </cell>
          <cell r="B435" t="str">
            <v>Sewer Network Health Region</v>
          </cell>
        </row>
        <row r="436">
          <cell r="A436" t="str">
            <v>geoEPSG</v>
          </cell>
          <cell r="B436" t="str">
            <v>European Petroleum Survey Group Coordinates</v>
          </cell>
        </row>
        <row r="437">
          <cell r="A437" t="str">
            <v>mateLay</v>
          </cell>
          <cell r="B437" t="str">
            <v>Mate pair layout</v>
          </cell>
        </row>
        <row r="438">
          <cell r="A438" t="str">
            <v>countries</v>
          </cell>
          <cell r="B438" t="str">
            <v>Countries look-up tables</v>
          </cell>
        </row>
        <row r="439">
          <cell r="A439" t="str">
            <v>swrSet</v>
          </cell>
          <cell r="B439" t="str">
            <v>Sewer catchment area</v>
          </cell>
        </row>
        <row r="440">
          <cell r="A440" t="str">
            <v>protocolRelationshipsRequired</v>
          </cell>
          <cell r="B440" t="str">
            <v>Protocol Relationship table required headers</v>
          </cell>
        </row>
        <row r="441">
          <cell r="A441" t="str">
            <v>hoTaWa</v>
          </cell>
          <cell r="B441" t="str">
            <v>Holding tank wastewater depreciated</v>
          </cell>
        </row>
        <row r="442">
          <cell r="A442" t="str">
            <v>measGrp</v>
          </cell>
          <cell r="B442" t="str">
            <v>Measurement group</v>
          </cell>
        </row>
        <row r="443">
          <cell r="A443" t="str">
            <v>genQualitySet</v>
          </cell>
          <cell r="B443" t="str">
            <v>Generic quality flag set</v>
          </cell>
        </row>
        <row r="444">
          <cell r="A444" t="str">
            <v>protocolStepsRequired</v>
          </cell>
          <cell r="B444" t="str">
            <v>Protocol steps table required headers</v>
          </cell>
        </row>
        <row r="445">
          <cell r="A445" t="str">
            <v>measurements</v>
          </cell>
          <cell r="B445" t="str">
            <v>Measures</v>
          </cell>
        </row>
        <row r="446">
          <cell r="A446" t="str">
            <v>noConcern</v>
          </cell>
          <cell r="B446" t="str">
            <v>No quality concerns</v>
          </cell>
        </row>
        <row r="447">
          <cell r="A447" t="str">
            <v>protocolStepsOrder</v>
          </cell>
          <cell r="B447" t="str">
            <v>Protocol steps table column order</v>
          </cell>
        </row>
        <row r="448">
          <cell r="A448" t="str">
            <v>languages</v>
          </cell>
          <cell r="B448" t="str">
            <v>Language Look-up table</v>
          </cell>
        </row>
        <row r="449">
          <cell r="A449" t="str">
            <v>protocolRelationshipsOrder</v>
          </cell>
          <cell r="B449" t="str">
            <v>Protocol relationships table column order</v>
          </cell>
        </row>
        <row r="450">
          <cell r="A450" t="str">
            <v>parts</v>
          </cell>
          <cell r="B450" t="str">
            <v>Parts Look-up table</v>
          </cell>
        </row>
        <row r="451">
          <cell r="A451" t="str">
            <v>measuresRequired</v>
          </cell>
          <cell r="B451" t="str">
            <v>Measures table required headers</v>
          </cell>
        </row>
        <row r="452">
          <cell r="A452" t="str">
            <v>measuresOrder</v>
          </cell>
          <cell r="B452" t="str">
            <v>Measures table column order</v>
          </cell>
        </row>
        <row r="453">
          <cell r="A453" t="str">
            <v>sets</v>
          </cell>
          <cell r="B453" t="str">
            <v>Sets look-up table</v>
          </cell>
        </row>
        <row r="454">
          <cell r="A454" t="str">
            <v>nww</v>
          </cell>
          <cell r="B454" t="str">
            <v>Water</v>
          </cell>
        </row>
        <row r="455">
          <cell r="A455" t="str">
            <v>pEfflu</v>
          </cell>
          <cell r="B455" t="str">
            <v>Primary clarifier effluent</v>
          </cell>
        </row>
        <row r="456">
          <cell r="A456" t="str">
            <v>sampleID</v>
          </cell>
          <cell r="B456" t="str">
            <v>Sample ID</v>
          </cell>
        </row>
        <row r="457">
          <cell r="A457" t="str">
            <v>measureSetsOrder</v>
          </cell>
          <cell r="B457" t="str">
            <v>Measure sets table column order</v>
          </cell>
        </row>
        <row r="458">
          <cell r="A458" t="str">
            <v>qualitySetID</v>
          </cell>
          <cell r="B458" t="str">
            <v>Quality set</v>
          </cell>
        </row>
        <row r="459">
          <cell r="A459" t="str">
            <v>methodConcSet</v>
          </cell>
          <cell r="B459" t="str">
            <v>Concentration method set</v>
          </cell>
        </row>
        <row r="460">
          <cell r="A460" t="str">
            <v>methods</v>
          </cell>
          <cell r="B460" t="str">
            <v>Methods</v>
          </cell>
        </row>
        <row r="461">
          <cell r="A461" t="str">
            <v>mfAcidmgcl2</v>
          </cell>
          <cell r="B461" t="str">
            <v>Membrane filtration with acidification and mgcl2</v>
          </cell>
        </row>
        <row r="462">
          <cell r="A462" t="str">
            <v>mfAcidmgcl2SS</v>
          </cell>
          <cell r="B462" t="str">
            <v>Membrane filtration with acidification and mgcl2, membrane recombined with separated solids</v>
          </cell>
        </row>
        <row r="463">
          <cell r="A463" t="str">
            <v>mfMgcl2</v>
          </cell>
          <cell r="B463" t="str">
            <v>Membrane filtration with addition of mgcl2</v>
          </cell>
        </row>
        <row r="464">
          <cell r="A464" t="str">
            <v>mfMgcl2SS</v>
          </cell>
          <cell r="B464" t="str">
            <v>Membrane filtration with  mgcl2 and separated solids</v>
          </cell>
        </row>
        <row r="465">
          <cell r="A465" t="str">
            <v>mfNoAmend</v>
          </cell>
          <cell r="B465" t="str">
            <v>Membrane filtration with no amendment</v>
          </cell>
        </row>
        <row r="466">
          <cell r="A466" t="str">
            <v>mfNoAmendSS</v>
          </cell>
          <cell r="B466" t="str">
            <v>Membrane filtration with no amendment, membrane recombined with separated solids</v>
          </cell>
        </row>
        <row r="467">
          <cell r="A467" t="str">
            <v>mfSampleAcid</v>
          </cell>
          <cell r="B467" t="str">
            <v>Membrane filtration with sample acidification</v>
          </cell>
        </row>
        <row r="468">
          <cell r="A468" t="str">
            <v>mfSampleAcidSS</v>
          </cell>
          <cell r="B468" t="str">
            <v>Membrane filtration with sample acidification, membrane recombined with separated solids</v>
          </cell>
        </row>
        <row r="469">
          <cell r="A469" t="str">
            <v>mgd</v>
          </cell>
          <cell r="B469" t="str">
            <v>Millions of gallons per day (MG/D)</v>
          </cell>
        </row>
        <row r="470">
          <cell r="A470" t="str">
            <v>pSludge</v>
          </cell>
          <cell r="B470" t="str">
            <v>Primary clarifier sludge</v>
          </cell>
        </row>
        <row r="471">
          <cell r="A471" t="str">
            <v>mI</v>
          </cell>
          <cell r="B471" t="str">
            <v>Multiple issues</v>
          </cell>
        </row>
        <row r="472">
          <cell r="A472" t="str">
            <v>mid</v>
          </cell>
          <cell r="B472" t="str">
            <v>Mid-level severity</v>
          </cell>
        </row>
        <row r="473">
          <cell r="A473" t="str">
            <v>measureSetsRequired</v>
          </cell>
          <cell r="B473" t="str">
            <v>Measure Set table required headers</v>
          </cell>
        </row>
        <row r="474">
          <cell r="A474" t="str">
            <v>minutes</v>
          </cell>
          <cell r="B474" t="str">
            <v>Minutes</v>
          </cell>
        </row>
        <row r="475">
          <cell r="A475" t="str">
            <v>pstGrit</v>
          </cell>
          <cell r="B475" t="str">
            <v>Post-grit</v>
          </cell>
        </row>
        <row r="476">
          <cell r="A476" t="str">
            <v>translations</v>
          </cell>
          <cell r="B476" t="str">
            <v>Translation look-up table</v>
          </cell>
        </row>
        <row r="477">
          <cell r="A477" t="str">
            <v>miscAttr</v>
          </cell>
          <cell r="B477" t="str">
            <v>Miscellaneous attribute group</v>
          </cell>
        </row>
        <row r="478">
          <cell r="A478" t="str">
            <v>miscMeas</v>
          </cell>
          <cell r="B478" t="str">
            <v>Miscellaneous measure group</v>
          </cell>
        </row>
        <row r="479">
          <cell r="A479" t="str">
            <v>missingness</v>
          </cell>
          <cell r="B479" t="str">
            <v>Missingness</v>
          </cell>
        </row>
        <row r="480">
          <cell r="A480" t="str">
            <v>datasetsRequired</v>
          </cell>
          <cell r="B480" t="str">
            <v>Dataset table required headers</v>
          </cell>
        </row>
        <row r="481">
          <cell r="A481" t="str">
            <v>rawWW</v>
          </cell>
          <cell r="B481" t="str">
            <v>Raw sewage at site</v>
          </cell>
        </row>
        <row r="482">
          <cell r="A482" t="str">
            <v>ml</v>
          </cell>
          <cell r="B482" t="str">
            <v>Millilitres</v>
          </cell>
        </row>
        <row r="483">
          <cell r="A483" t="str">
            <v>mld</v>
          </cell>
          <cell r="B483" t="str">
            <v>Megalitres per day (ML/d)</v>
          </cell>
        </row>
        <row r="484">
          <cell r="A484" t="str">
            <v>mm</v>
          </cell>
          <cell r="B484" t="str">
            <v>Millimetres</v>
          </cell>
        </row>
        <row r="485">
          <cell r="A485" t="str">
            <v>datasetsOrder</v>
          </cell>
          <cell r="B485" t="str">
            <v>Datasets table column order</v>
          </cell>
        </row>
        <row r="486">
          <cell r="A486" t="str">
            <v>mmaSets</v>
          </cell>
          <cell r="B486" t="str">
            <v>Measure, method, or attribute sets</v>
          </cell>
        </row>
        <row r="487">
          <cell r="A487" t="str">
            <v>pretreat</v>
          </cell>
          <cell r="B487" t="str">
            <v>Pretreatment</v>
          </cell>
        </row>
        <row r="488">
          <cell r="A488" t="str">
            <v>months</v>
          </cell>
          <cell r="B488" t="str">
            <v>Months</v>
          </cell>
        </row>
        <row r="489">
          <cell r="A489" t="str">
            <v>sEfflu</v>
          </cell>
          <cell r="B489" t="str">
            <v>Secondary clarifier effluent</v>
          </cell>
        </row>
        <row r="490">
          <cell r="A490" t="str">
            <v>ms</v>
          </cell>
          <cell r="B490" t="str">
            <v>Metres per second</v>
          </cell>
        </row>
        <row r="491">
          <cell r="A491" t="str">
            <v>ms2ColMat</v>
          </cell>
          <cell r="B491" t="str">
            <v>ms2 coliphage spike target</v>
          </cell>
        </row>
        <row r="492">
          <cell r="A492" t="str">
            <v>msd</v>
          </cell>
          <cell r="B492" t="str">
            <v>Matrix spike duplicate</v>
          </cell>
        </row>
        <row r="493">
          <cell r="A493" t="str">
            <v>sSludge</v>
          </cell>
          <cell r="B493" t="str">
            <v>Secondary clarifier sludge</v>
          </cell>
        </row>
        <row r="494">
          <cell r="A494" t="str">
            <v>swrSed</v>
          </cell>
          <cell r="B494" t="str">
            <v>Sewer sediment</v>
          </cell>
        </row>
        <row r="495">
          <cell r="A495" t="str">
            <v>muCoMat</v>
          </cell>
          <cell r="B495" t="str">
            <v>murine coronavirus spike target</v>
          </cell>
        </row>
        <row r="496">
          <cell r="A496" t="str">
            <v>mul</v>
          </cell>
          <cell r="B496" t="str">
            <v>Multiple fraction</v>
          </cell>
        </row>
        <row r="497">
          <cell r="A497" t="str">
            <v>multiple</v>
          </cell>
          <cell r="B497" t="str">
            <v>Multiple Purpose</v>
          </cell>
        </row>
        <row r="498">
          <cell r="A498" t="str">
            <v>municipalLevel</v>
          </cell>
          <cell r="B498" t="str">
            <v>Municipalities or communes</v>
          </cell>
        </row>
        <row r="499">
          <cell r="A499" t="str">
            <v>municp</v>
          </cell>
          <cell r="B499" t="str">
            <v>Municipality</v>
          </cell>
        </row>
        <row r="500">
          <cell r="A500" t="str">
            <v>NA</v>
          </cell>
          <cell r="B500" t="str">
            <v>Not applicable</v>
          </cell>
        </row>
        <row r="501">
          <cell r="A501" t="str">
            <v>naAggr</v>
          </cell>
          <cell r="B501" t="str">
            <v>Aggregation not applicable</v>
          </cell>
        </row>
        <row r="502">
          <cell r="A502" t="str">
            <v>naAggrScale</v>
          </cell>
          <cell r="B502" t="str">
            <v>Aggregation scale not applicable</v>
          </cell>
        </row>
        <row r="503">
          <cell r="A503" t="str">
            <v>naAggrSet</v>
          </cell>
          <cell r="B503" t="str">
            <v>Aggregation set not applicable</v>
          </cell>
        </row>
        <row r="504">
          <cell r="A504" t="str">
            <v>naClass</v>
          </cell>
          <cell r="B504" t="str">
            <v>Class not applicable</v>
          </cell>
        </row>
        <row r="505">
          <cell r="A505" t="str">
            <v>naCompartment</v>
          </cell>
          <cell r="B505" t="str">
            <v>Compartment not applicable</v>
          </cell>
        </row>
        <row r="506">
          <cell r="A506" t="str">
            <v>naCompartmentSet</v>
          </cell>
          <cell r="B506" t="str">
            <v>Compartment set not applicable</v>
          </cell>
        </row>
        <row r="507">
          <cell r="A507" t="str">
            <v>naDomain</v>
          </cell>
          <cell r="B507" t="str">
            <v>Domain not applicable</v>
          </cell>
        </row>
        <row r="508">
          <cell r="A508" t="str">
            <v>naGroup</v>
          </cell>
          <cell r="B508" t="str">
            <v>Group not applicable</v>
          </cell>
        </row>
        <row r="509">
          <cell r="A509" t="str">
            <v>qf1</v>
          </cell>
          <cell r="B509" t="str">
            <v>Quality concerns</v>
          </cell>
        </row>
        <row r="510">
          <cell r="A510" t="str">
            <v>nameEngl</v>
          </cell>
          <cell r="B510" t="str">
            <v>English name for countries</v>
          </cell>
        </row>
        <row r="511">
          <cell r="A511" t="str">
            <v>nameOfficial</v>
          </cell>
          <cell r="B511" t="str">
            <v>Official state name</v>
          </cell>
        </row>
        <row r="512">
          <cell r="A512" t="str">
            <v>nan</v>
          </cell>
          <cell r="B512" t="str">
            <v>Not a number</v>
          </cell>
        </row>
        <row r="513">
          <cell r="A513" t="str">
            <v>naNomenclature</v>
          </cell>
          <cell r="B513" t="str">
            <v>Nomenclature not applicable</v>
          </cell>
        </row>
        <row r="514">
          <cell r="A514" t="str">
            <v>naSpecimen</v>
          </cell>
          <cell r="B514" t="str">
            <v>Specimen not applicable</v>
          </cell>
        </row>
        <row r="515">
          <cell r="A515" t="str">
            <v>naSpecimenSet</v>
          </cell>
          <cell r="B515" t="str">
            <v>Specimen set not applicable</v>
          </cell>
        </row>
        <row r="516">
          <cell r="A516" t="str">
            <v>iso6396</v>
          </cell>
          <cell r="B516" t="str">
            <v>ISO639-6</v>
          </cell>
        </row>
        <row r="517">
          <cell r="A517" t="str">
            <v>naUnitSet</v>
          </cell>
          <cell r="B517" t="str">
            <v>Unit set not applicable</v>
          </cell>
        </row>
        <row r="518">
          <cell r="A518" t="str">
            <v>ncbi</v>
          </cell>
          <cell r="B518" t="str">
            <v>National Center for Biotechnology Information</v>
          </cell>
        </row>
        <row r="519">
          <cell r="A519" t="str">
            <v>ncbiNotes</v>
          </cell>
          <cell r="B519" t="str">
            <v>NCBI - notes</v>
          </cell>
        </row>
        <row r="520">
          <cell r="A520" t="str">
            <v>neigh</v>
          </cell>
          <cell r="B520" t="str">
            <v>Neighbourhood</v>
          </cell>
        </row>
        <row r="521">
          <cell r="A521" t="str">
            <v>neighborLevel</v>
          </cell>
          <cell r="B521" t="str">
            <v>Local administrative units or neighborhoods</v>
          </cell>
        </row>
        <row r="522">
          <cell r="A522" t="str">
            <v>newVax</v>
          </cell>
          <cell r="B522" t="str">
            <v>Population of newly vaccinated persons</v>
          </cell>
        </row>
        <row r="523">
          <cell r="A523" t="str">
            <v>nextclade</v>
          </cell>
          <cell r="B523" t="str">
            <v>NextClade nomenclature</v>
          </cell>
        </row>
        <row r="524">
          <cell r="A524" t="str">
            <v>wwtpMuS</v>
          </cell>
          <cell r="B524" t="str">
            <v>Municipal wastewater treatment plant for sanitary sewage only</v>
          </cell>
        </row>
        <row r="525">
          <cell r="A525" t="str">
            <v>noLabel</v>
          </cell>
          <cell r="B525" t="str">
            <v>Sample not labelled</v>
          </cell>
        </row>
        <row r="526">
          <cell r="A526" t="str">
            <v>noliquid</v>
          </cell>
          <cell r="B526" t="str">
            <v>No liquid concentration, liquid recombined with separated solids</v>
          </cell>
        </row>
        <row r="527">
          <cell r="A527" t="str">
            <v>nomenclature</v>
          </cell>
          <cell r="B527" t="str">
            <v>Nomenclature</v>
          </cell>
        </row>
        <row r="528">
          <cell r="A528" t="str">
            <v>nomenclatures</v>
          </cell>
          <cell r="B528" t="str">
            <v>Nomenclatures</v>
          </cell>
        </row>
        <row r="529">
          <cell r="A529" t="str">
            <v>norman</v>
          </cell>
          <cell r="B529" t="str">
            <v>NORMAN</v>
          </cell>
        </row>
        <row r="530">
          <cell r="A530" t="str">
            <v>normanNote</v>
          </cell>
          <cell r="B530" t="str">
            <v>NORMAN - notes</v>
          </cell>
        </row>
        <row r="531">
          <cell r="A531" t="str">
            <v>custodyCont</v>
          </cell>
          <cell r="B531" t="str">
            <v>Custody Contact ID</v>
          </cell>
        </row>
        <row r="532">
          <cell r="A532" t="str">
            <v>noTime</v>
          </cell>
          <cell r="B532" t="str">
            <v>Sample missing time stamp</v>
          </cell>
        </row>
        <row r="533">
          <cell r="A533" t="str">
            <v>nr</v>
          </cell>
          <cell r="B533" t="str">
            <v>Not reported</v>
          </cell>
        </row>
        <row r="534">
          <cell r="A534" t="str">
            <v>nrNAMissingnessSet</v>
          </cell>
          <cell r="B534" t="str">
            <v>Not reported, Not applicable missing set</v>
          </cell>
        </row>
        <row r="535">
          <cell r="A535" t="str">
            <v>ntu</v>
          </cell>
          <cell r="B535" t="str">
            <v>Nephelometric turbidity unit</v>
          </cell>
        </row>
        <row r="536">
          <cell r="A536" t="str">
            <v>nucAuto</v>
          </cell>
          <cell r="B536" t="str">
            <v>Nuclisens automated magnetic bead extraction kit</v>
          </cell>
        </row>
        <row r="537">
          <cell r="A537" t="str">
            <v>nucManu</v>
          </cell>
          <cell r="B537" t="str">
            <v>Nuclisens manual magnetic bead extraction kit</v>
          </cell>
        </row>
        <row r="538">
          <cell r="A538" t="str">
            <v>null</v>
          </cell>
          <cell r="B538" t="str">
            <v>Null</v>
          </cell>
        </row>
        <row r="539">
          <cell r="A539" t="str">
            <v>numCode</v>
          </cell>
          <cell r="B539" t="str">
            <v>ISO 3166-1 numeric country code</v>
          </cell>
        </row>
        <row r="540">
          <cell r="A540" t="str">
            <v>nwss</v>
          </cell>
          <cell r="B540" t="str">
            <v>National Wastewater Surveillance System</v>
          </cell>
        </row>
        <row r="541">
          <cell r="A541" t="str">
            <v>nwssNotes</v>
          </cell>
          <cell r="B541" t="str">
            <v>NWSS - notes</v>
          </cell>
        </row>
        <row r="542">
          <cell r="A542" t="str">
            <v>nwssProcess</v>
          </cell>
          <cell r="B542" t="str">
            <v>NWSS - process</v>
          </cell>
        </row>
        <row r="543">
          <cell r="A543" t="str">
            <v>airpln</v>
          </cell>
          <cell r="B543" t="str">
            <v>Airplane</v>
          </cell>
        </row>
        <row r="544">
          <cell r="A544" t="str">
            <v>oc43Mat</v>
          </cell>
          <cell r="B544" t="str">
            <v>oc43 spike target</v>
          </cell>
        </row>
        <row r="545">
          <cell r="A545" t="str">
            <v>corFcil</v>
          </cell>
          <cell r="B545" t="str">
            <v>Correctional facility</v>
          </cell>
        </row>
        <row r="546">
          <cell r="A546" t="str">
            <v>estuary</v>
          </cell>
          <cell r="B546" t="str">
            <v>Estuary, natural water body</v>
          </cell>
        </row>
        <row r="547">
          <cell r="A547" t="str">
            <v>faeces</v>
          </cell>
          <cell r="B547" t="str">
            <v>Fecal matter</v>
          </cell>
        </row>
        <row r="548">
          <cell r="A548" t="str">
            <v>hosptl</v>
          </cell>
          <cell r="B548" t="str">
            <v>Hospital</v>
          </cell>
        </row>
        <row r="549">
          <cell r="A549" t="str">
            <v>htSite</v>
          </cell>
          <cell r="B549" t="str">
            <v>Holding tank</v>
          </cell>
        </row>
        <row r="550">
          <cell r="A550" t="str">
            <v>wideNames</v>
          </cell>
          <cell r="B550" t="str">
            <v>Wide name table</v>
          </cell>
        </row>
        <row r="551">
          <cell r="A551" t="str">
            <v>orb</v>
          </cell>
          <cell r="B551" t="str">
            <v>Other residential building</v>
          </cell>
        </row>
        <row r="552">
          <cell r="A552" t="str">
            <v>orBoo</v>
          </cell>
          <cell r="B552" t="str">
            <v>OR Boolean aggregation</v>
          </cell>
        </row>
        <row r="553">
          <cell r="A553" t="str">
            <v>sitesRequired</v>
          </cell>
          <cell r="B553" t="str">
            <v>Sites table required headers</v>
          </cell>
        </row>
        <row r="554">
          <cell r="A554" t="str">
            <v>sitesOrder</v>
          </cell>
          <cell r="B554" t="str">
            <v>Sites table column order</v>
          </cell>
        </row>
        <row r="555">
          <cell r="A555" t="str">
            <v>zones</v>
          </cell>
          <cell r="B555" t="str">
            <v>Zones look-up table</v>
          </cell>
        </row>
        <row r="556">
          <cell r="A556" t="str">
            <v>samplesRequired</v>
          </cell>
          <cell r="B556" t="str">
            <v>Sample table required headers</v>
          </cell>
        </row>
        <row r="557">
          <cell r="A557" t="str">
            <v>country</v>
          </cell>
          <cell r="B557" t="str">
            <v>Country</v>
          </cell>
        </row>
        <row r="558">
          <cell r="A558" t="str">
            <v>orgLevelSet</v>
          </cell>
          <cell r="B558" t="str">
            <v>Organization level set</v>
          </cell>
        </row>
        <row r="559">
          <cell r="A559" t="str">
            <v>orgType</v>
          </cell>
          <cell r="B559" t="str">
            <v>Organization Type</v>
          </cell>
        </row>
        <row r="560">
          <cell r="A560" t="str">
            <v>orgSectorSet</v>
          </cell>
          <cell r="B560" t="str">
            <v>Organization sector set</v>
          </cell>
        </row>
        <row r="561">
          <cell r="A561" t="str">
            <v>orgLevel</v>
          </cell>
          <cell r="B561" t="str">
            <v>Organization level</v>
          </cell>
        </row>
        <row r="562">
          <cell r="A562" t="str">
            <v>orgTypeSet</v>
          </cell>
          <cell r="B562" t="str">
            <v>Organization type set</v>
          </cell>
        </row>
        <row r="563">
          <cell r="A563" t="str">
            <v>originSet</v>
          </cell>
          <cell r="B563" t="str">
            <v>Sample Origin set</v>
          </cell>
        </row>
        <row r="564">
          <cell r="A564" t="str">
            <v>lagoon</v>
          </cell>
          <cell r="B564" t="str">
            <v>Lagoon system</v>
          </cell>
        </row>
        <row r="565">
          <cell r="A565" t="str">
            <v>othAgg</v>
          </cell>
          <cell r="B565" t="str">
            <v>Other aggregation scale</v>
          </cell>
        </row>
        <row r="566">
          <cell r="A566" t="str">
            <v>lake</v>
          </cell>
          <cell r="B566" t="str">
            <v>Lake,  natural water body</v>
          </cell>
        </row>
        <row r="567">
          <cell r="A567" t="str">
            <v>otherAggrSet</v>
          </cell>
          <cell r="B567" t="str">
            <v>Other aggregation set</v>
          </cell>
        </row>
        <row r="568">
          <cell r="A568" t="str">
            <v>ltcf</v>
          </cell>
          <cell r="B568" t="str">
            <v>Long-term care facility</v>
          </cell>
        </row>
        <row r="569">
          <cell r="A569" t="str">
            <v>shipOnIce</v>
          </cell>
          <cell r="B569" t="str">
            <v>Shipped on ice</v>
          </cell>
        </row>
        <row r="570">
          <cell r="A570" t="str">
            <v>otherReportTableSet</v>
          </cell>
          <cell r="B570" t="str">
            <v>Other report table set</v>
          </cell>
        </row>
        <row r="571">
          <cell r="A571" t="str">
            <v>mSwrPpl</v>
          </cell>
          <cell r="B571" t="str">
            <v>Major sewer pipeline</v>
          </cell>
        </row>
        <row r="572">
          <cell r="A572" t="str">
            <v>ocean</v>
          </cell>
          <cell r="B572" t="str">
            <v>Ocean, natural water body</v>
          </cell>
        </row>
        <row r="573">
          <cell r="A573" t="str">
            <v>outbEnd</v>
          </cell>
          <cell r="B573" t="str">
            <v>Outbreak End</v>
          </cell>
        </row>
        <row r="574">
          <cell r="A574" t="str">
            <v>outbOngoing</v>
          </cell>
          <cell r="B574" t="str">
            <v>Outbreak - on-going</v>
          </cell>
        </row>
        <row r="575">
          <cell r="A575" t="str">
            <v>outbreakSet</v>
          </cell>
          <cell r="B575" t="str">
            <v>Outbreak set</v>
          </cell>
        </row>
        <row r="576">
          <cell r="A576" t="str">
            <v>outbStart</v>
          </cell>
          <cell r="B576" t="str">
            <v>Outbreak start</v>
          </cell>
        </row>
        <row r="577">
          <cell r="A577" t="str">
            <v>pairLay</v>
          </cell>
          <cell r="B577" t="str">
            <v>Paired Layout</v>
          </cell>
        </row>
        <row r="578">
          <cell r="A578" t="str">
            <v>pangolin</v>
          </cell>
          <cell r="B578" t="str">
            <v>Pangolin nomenclature</v>
          </cell>
        </row>
        <row r="579">
          <cell r="A579" t="str">
            <v>sampleRelationshipsID</v>
          </cell>
          <cell r="B579" t="str">
            <v>Synthetic ID for the sampleRelationships table</v>
          </cell>
        </row>
        <row r="580">
          <cell r="A580" t="str">
            <v>sTemp</v>
          </cell>
          <cell r="B580" t="str">
            <v>Storage temp</v>
          </cell>
        </row>
        <row r="581">
          <cell r="A581" t="str">
            <v>child</v>
          </cell>
          <cell r="B581" t="str">
            <v>Child relationship</v>
          </cell>
        </row>
        <row r="582">
          <cell r="A582" t="str">
            <v>samplesOrder</v>
          </cell>
          <cell r="B582" t="str">
            <v>Samples table column order</v>
          </cell>
        </row>
        <row r="583">
          <cell r="A583" t="str">
            <v>reportersDep</v>
          </cell>
          <cell r="B583" t="str">
            <v>Reporter table depreciated</v>
          </cell>
        </row>
        <row r="584">
          <cell r="A584" t="str">
            <v>addressesRequired</v>
          </cell>
          <cell r="B584" t="str">
            <v>Address table required headers</v>
          </cell>
        </row>
        <row r="585">
          <cell r="A585" t="str">
            <v>addressesOrder</v>
          </cell>
          <cell r="B585" t="str">
            <v>Addresses table column order</v>
          </cell>
        </row>
        <row r="586">
          <cell r="A586" t="str">
            <v>addresses</v>
          </cell>
          <cell r="B586" t="str">
            <v>Address table</v>
          </cell>
        </row>
        <row r="587">
          <cell r="A587" t="str">
            <v>contactsRequired</v>
          </cell>
          <cell r="B587" t="str">
            <v>Contact table required headers</v>
          </cell>
        </row>
        <row r="588">
          <cell r="A588" t="str">
            <v>contactsOrder</v>
          </cell>
          <cell r="B588" t="str">
            <v>Contacts table column order</v>
          </cell>
        </row>
        <row r="589">
          <cell r="A589" t="str">
            <v>contacts</v>
          </cell>
          <cell r="B589" t="str">
            <v>Contact table</v>
          </cell>
        </row>
        <row r="590">
          <cell r="A590" t="str">
            <v>otsisiDep</v>
          </cell>
          <cell r="B590" t="str">
            <v>Other Site - Site depreciated</v>
          </cell>
        </row>
        <row r="591">
          <cell r="A591" t="str">
            <v>saMaterial</v>
          </cell>
          <cell r="B591" t="str">
            <v>Sample material</v>
          </cell>
        </row>
        <row r="592">
          <cell r="A592" t="str">
            <v>pcrSeq</v>
          </cell>
          <cell r="B592" t="str">
            <v>PCR sequencingsSelection method</v>
          </cell>
        </row>
        <row r="593">
          <cell r="A593" t="str">
            <v>pcrSet</v>
          </cell>
          <cell r="B593" t="str">
            <v>PCR Method set</v>
          </cell>
        </row>
        <row r="594">
          <cell r="A594" t="str">
            <v>pStat</v>
          </cell>
          <cell r="B594" t="str">
            <v>Pumping station</v>
          </cell>
        </row>
        <row r="595">
          <cell r="A595" t="str">
            <v>retPond</v>
          </cell>
          <cell r="B595" t="str">
            <v>Retention pond</v>
          </cell>
        </row>
        <row r="596">
          <cell r="A596" t="str">
            <v>parent</v>
          </cell>
          <cell r="B596" t="str">
            <v>Parent sample ID</v>
          </cell>
        </row>
        <row r="597">
          <cell r="A597" t="str">
            <v>ptDescDep</v>
          </cell>
          <cell r="B597" t="str">
            <v>Pretreatment description -  depreciated</v>
          </cell>
        </row>
        <row r="598">
          <cell r="A598" t="str">
            <v>phage</v>
          </cell>
          <cell r="B598" t="str">
            <v>PHAGE</v>
          </cell>
        </row>
        <row r="599">
          <cell r="A599" t="str">
            <v>phageNotes</v>
          </cell>
          <cell r="B599" t="str">
            <v>PHAGE - notes</v>
          </cell>
        </row>
        <row r="600">
          <cell r="A600" t="str">
            <v>phenCl</v>
          </cell>
          <cell r="B600" t="str">
            <v>Phenol chloroform</v>
          </cell>
        </row>
        <row r="601">
          <cell r="A601" t="str">
            <v>phi6Mat</v>
          </cell>
          <cell r="B601" t="str">
            <v>phi6 spike target</v>
          </cell>
        </row>
        <row r="602">
          <cell r="A602" t="str">
            <v>collType</v>
          </cell>
          <cell r="B602" t="str">
            <v>Sample collection type</v>
          </cell>
        </row>
        <row r="603">
          <cell r="A603" t="str">
            <v>phone</v>
          </cell>
          <cell r="B603" t="str">
            <v>Country national phone prefix</v>
          </cell>
        </row>
        <row r="604">
          <cell r="A604" t="str">
            <v>phy</v>
          </cell>
          <cell r="B604" t="str">
            <v>Physical property</v>
          </cell>
        </row>
        <row r="605">
          <cell r="A605" t="str">
            <v>pK</v>
          </cell>
          <cell r="B605" t="str">
            <v>Primary key</v>
          </cell>
        </row>
        <row r="606">
          <cell r="A606" t="str">
            <v>pooled</v>
          </cell>
          <cell r="B606" t="str">
            <v>Pooled</v>
          </cell>
        </row>
        <row r="607">
          <cell r="A607" t="str">
            <v>river</v>
          </cell>
          <cell r="B607" t="str">
            <v>River, natural water body</v>
          </cell>
        </row>
        <row r="608">
          <cell r="A608" t="str">
            <v>healthRegion</v>
          </cell>
          <cell r="B608" t="str">
            <v>Health Region for a Site</v>
          </cell>
        </row>
        <row r="609">
          <cell r="A609" t="str">
            <v>organizationsRequired</v>
          </cell>
          <cell r="B609" t="str">
            <v>Organziation table required headers</v>
          </cell>
        </row>
        <row r="610">
          <cell r="A610" t="str">
            <v>organizationsOrder</v>
          </cell>
          <cell r="B610" t="str">
            <v>Organizations table column order</v>
          </cell>
        </row>
        <row r="611">
          <cell r="A611" t="str">
            <v>datasets</v>
          </cell>
          <cell r="B611" t="str">
            <v>Dataset table</v>
          </cell>
        </row>
        <row r="612">
          <cell r="A612" t="str">
            <v>collDT</v>
          </cell>
          <cell r="B612" t="str">
            <v>Collection date time</v>
          </cell>
        </row>
        <row r="613">
          <cell r="A613" t="str">
            <v>collDTStart</v>
          </cell>
          <cell r="B613" t="str">
            <v>Collection date time start</v>
          </cell>
        </row>
        <row r="614">
          <cell r="A614" t="str">
            <v>popDateTypeSet</v>
          </cell>
          <cell r="B614" t="str">
            <v>Case reporting date set</v>
          </cell>
        </row>
        <row r="615">
          <cell r="A615" t="str">
            <v>popGrp</v>
          </cell>
          <cell r="B615" t="str">
            <v>Population group</v>
          </cell>
        </row>
        <row r="616">
          <cell r="A616" t="str">
            <v>popServ</v>
          </cell>
          <cell r="B616" t="str">
            <v>Population Served</v>
          </cell>
        </row>
        <row r="617">
          <cell r="A617" t="str">
            <v>populationUnitSet</v>
          </cell>
          <cell r="B617" t="str">
            <v>Population unit set</v>
          </cell>
        </row>
        <row r="618">
          <cell r="A618" t="str">
            <v>poSaSpecimenSet</v>
          </cell>
          <cell r="B618" t="str">
            <v>Population or sample set</v>
          </cell>
        </row>
        <row r="619">
          <cell r="A619" t="str">
            <v>poSiSpecimenSet</v>
          </cell>
          <cell r="B619" t="str">
            <v>Population or site set</v>
          </cell>
        </row>
        <row r="620">
          <cell r="A620" t="str">
            <v>poSpecimenSet</v>
          </cell>
          <cell r="B620" t="str">
            <v>Population specimen set</v>
          </cell>
        </row>
        <row r="621">
          <cell r="A621" t="str">
            <v>precipitationUnitSet</v>
          </cell>
          <cell r="B621" t="str">
            <v>Precipitation unit set</v>
          </cell>
        </row>
        <row r="622">
          <cell r="A622" t="str">
            <v>primerSet</v>
          </cell>
          <cell r="B622" t="str">
            <v>Genetic primer set</v>
          </cell>
        </row>
        <row r="623">
          <cell r="A623" t="str">
            <v>priv</v>
          </cell>
          <cell r="B623" t="str">
            <v>Private sector</v>
          </cell>
        </row>
        <row r="624">
          <cell r="A624" t="str">
            <v>procGrp</v>
          </cell>
          <cell r="B624" t="str">
            <v>Processing group</v>
          </cell>
        </row>
        <row r="625">
          <cell r="A625" t="str">
            <v>programDescr</v>
          </cell>
          <cell r="B625" t="str">
            <v>Program decription tables</v>
          </cell>
        </row>
        <row r="626">
          <cell r="A626" t="str">
            <v>promAuto</v>
          </cell>
          <cell r="B626" t="str">
            <v>promega automated tna kit</v>
          </cell>
        </row>
        <row r="627">
          <cell r="A627" t="str">
            <v>promHt</v>
          </cell>
          <cell r="B627" t="str">
            <v>promega ht tna kit</v>
          </cell>
        </row>
        <row r="628">
          <cell r="A628" t="str">
            <v>promManu</v>
          </cell>
          <cell r="B628" t="str">
            <v>promega manual tna kit</v>
          </cell>
        </row>
        <row r="629">
          <cell r="A629" t="str">
            <v>promWW</v>
          </cell>
          <cell r="B629" t="str">
            <v>promega wastewater large volume tna capture kit</v>
          </cell>
        </row>
        <row r="630">
          <cell r="A630" t="str">
            <v>sampleTypeOther</v>
          </cell>
          <cell r="B630" t="str">
            <v>Collection other depreciated</v>
          </cell>
        </row>
        <row r="631">
          <cell r="A631" t="str">
            <v>measureLic</v>
          </cell>
          <cell r="B631" t="str">
            <v>Measure license</v>
          </cell>
        </row>
        <row r="632">
          <cell r="A632" t="str">
            <v>protocolIDContainer</v>
          </cell>
          <cell r="B632" t="str">
            <v>Protocol ID container</v>
          </cell>
        </row>
        <row r="633">
          <cell r="A633" t="str">
            <v>protocolIDObj</v>
          </cell>
          <cell r="B633" t="str">
            <v>Protocol ID object</v>
          </cell>
        </row>
        <row r="634">
          <cell r="A634" t="str">
            <v>instrumentsRequired</v>
          </cell>
          <cell r="B634" t="str">
            <v>Instrutment table required headers</v>
          </cell>
        </row>
        <row r="635">
          <cell r="A635" t="str">
            <v>instrumentsOrder</v>
          </cell>
          <cell r="B635" t="str">
            <v>Instruments table column order</v>
          </cell>
        </row>
        <row r="636">
          <cell r="A636" t="str">
            <v>instruments</v>
          </cell>
          <cell r="B636" t="str">
            <v>Instrument table</v>
          </cell>
        </row>
        <row r="637">
          <cell r="A637" t="str">
            <v>protocolRelSet</v>
          </cell>
          <cell r="B637" t="str">
            <v>Protocol Relationships set</v>
          </cell>
        </row>
        <row r="638">
          <cell r="A638" t="str">
            <v>polygonsRequired</v>
          </cell>
          <cell r="B638" t="str">
            <v>Polygon table required headers</v>
          </cell>
        </row>
        <row r="639">
          <cell r="A639" t="str">
            <v>polygonsOrder</v>
          </cell>
          <cell r="B639" t="str">
            <v>Polygons table column order</v>
          </cell>
        </row>
        <row r="640">
          <cell r="A640" t="str">
            <v>organizations</v>
          </cell>
          <cell r="B640" t="str">
            <v>Organization table</v>
          </cell>
        </row>
        <row r="641">
          <cell r="A641" t="str">
            <v>languagesRequired</v>
          </cell>
          <cell r="B641" t="str">
            <v>Language table required headers</v>
          </cell>
        </row>
        <row r="642">
          <cell r="A642" t="str">
            <v>languagesOrder</v>
          </cell>
          <cell r="B642" t="str">
            <v>Language table column order</v>
          </cell>
        </row>
        <row r="643">
          <cell r="A643" t="str">
            <v>polygons</v>
          </cell>
          <cell r="B643" t="str">
            <v>Polygon table</v>
          </cell>
        </row>
        <row r="644">
          <cell r="A644" t="str">
            <v>protocolTableSet</v>
          </cell>
          <cell r="B644" t="str">
            <v>Protocol table set</v>
          </cell>
        </row>
        <row r="645">
          <cell r="A645" t="str">
            <v>protocolVersion</v>
          </cell>
          <cell r="B645" t="str">
            <v>Protocol version</v>
          </cell>
        </row>
        <row r="646">
          <cell r="A646" t="str">
            <v>collDTEnd</v>
          </cell>
          <cell r="B646" t="str">
            <v>Collection date time end</v>
          </cell>
        </row>
        <row r="647">
          <cell r="A647" t="str">
            <v>provisional</v>
          </cell>
          <cell r="B647" t="str">
            <v>Provisional report</v>
          </cell>
        </row>
        <row r="648">
          <cell r="A648" t="str">
            <v>school</v>
          </cell>
          <cell r="B648" t="str">
            <v>School</v>
          </cell>
        </row>
        <row r="649">
          <cell r="A649" t="str">
            <v>sea</v>
          </cell>
          <cell r="B649" t="str">
            <v>Sea, natural water body</v>
          </cell>
        </row>
        <row r="650">
          <cell r="A650" t="str">
            <v>septTnk</v>
          </cell>
          <cell r="B650" t="str">
            <v>Septic tank</v>
          </cell>
        </row>
        <row r="651">
          <cell r="A651" t="str">
            <v>septage</v>
          </cell>
          <cell r="B651" t="str">
            <v>Septic tank wastewater</v>
          </cell>
        </row>
        <row r="652">
          <cell r="A652" t="str">
            <v>pubHealth</v>
          </cell>
          <cell r="B652" t="str">
            <v>Public health agency</v>
          </cell>
        </row>
        <row r="653">
          <cell r="A653" t="str">
            <v>tyOtDep</v>
          </cell>
          <cell r="B653" t="str">
            <v>Type other depreciate</v>
          </cell>
        </row>
        <row r="654">
          <cell r="A654" t="str">
            <v>puroMat</v>
          </cell>
          <cell r="B654" t="str">
            <v>Puro virus spike target</v>
          </cell>
        </row>
        <row r="655">
          <cell r="A655" t="str">
            <v>vol</v>
          </cell>
          <cell r="B655" t="str">
            <v>Size in volume</v>
          </cell>
        </row>
        <row r="656">
          <cell r="A656" t="str">
            <v>purposeSet</v>
          </cell>
          <cell r="B656" t="str">
            <v>Purpose set</v>
          </cell>
        </row>
        <row r="657">
          <cell r="A657" t="str">
            <v>qgDNARNA</v>
          </cell>
          <cell r="B657" t="str">
            <v>qiagen allprep dna/rna kit</v>
          </cell>
        </row>
        <row r="658">
          <cell r="A658" t="str">
            <v>qgEz1</v>
          </cell>
          <cell r="B658" t="str">
            <v>qiagen ez1 virus mini kit v2.0</v>
          </cell>
        </row>
        <row r="659">
          <cell r="A659" t="str">
            <v>qgPwrFecal</v>
          </cell>
          <cell r="B659" t="str">
            <v>qiagen allprep powerfecal dna/rna kit</v>
          </cell>
        </row>
        <row r="660">
          <cell r="A660" t="str">
            <v>qgPwrViral</v>
          </cell>
          <cell r="B660" t="str">
            <v>qiagen allprep powerviral dna/rna kit</v>
          </cell>
        </row>
        <row r="661">
          <cell r="A661" t="str">
            <v>qgPwrWtr</v>
          </cell>
          <cell r="B661" t="str">
            <v>qiagen powerwater kit</v>
          </cell>
        </row>
        <row r="662">
          <cell r="A662" t="str">
            <v>qgQiAmp</v>
          </cell>
          <cell r="B662" t="str">
            <v>qiagen qiaamp buffers with epoch columns</v>
          </cell>
        </row>
        <row r="663">
          <cell r="A663" t="str">
            <v>qgRneasy</v>
          </cell>
          <cell r="B663" t="str">
            <v>qiagen rneasy kit</v>
          </cell>
        </row>
        <row r="664">
          <cell r="A664" t="str">
            <v>qgRneasyPwr</v>
          </cell>
          <cell r="B664" t="str">
            <v>qiagen rneasy powermicrobiome kit</v>
          </cell>
        </row>
        <row r="665">
          <cell r="A665" t="str">
            <v>qpcr</v>
          </cell>
          <cell r="B665" t="str">
            <v>Quantitative PCR</v>
          </cell>
        </row>
        <row r="666">
          <cell r="A666" t="str">
            <v>qualAggScale</v>
          </cell>
          <cell r="B666" t="str">
            <v>Qualitative</v>
          </cell>
        </row>
        <row r="667">
          <cell r="A667" t="str">
            <v>qualityControl</v>
          </cell>
          <cell r="B667" t="str">
            <v>Quality control</v>
          </cell>
        </row>
        <row r="668">
          <cell r="A668" t="str">
            <v>sampleIDSubject</v>
          </cell>
          <cell r="B668" t="str">
            <v>Sample ID subject</v>
          </cell>
        </row>
        <row r="669">
          <cell r="A669" t="str">
            <v>setID</v>
          </cell>
          <cell r="B669" t="str">
            <v>Set ID</v>
          </cell>
        </row>
        <row r="670">
          <cell r="A670" t="str">
            <v>qualityIndicators</v>
          </cell>
          <cell r="B670" t="str">
            <v>Quality indicators</v>
          </cell>
        </row>
        <row r="671">
          <cell r="A671" t="str">
            <v>qualityIndSets</v>
          </cell>
          <cell r="B671" t="str">
            <v>Quality indicator sets</v>
          </cell>
        </row>
        <row r="672">
          <cell r="A672" t="str">
            <v>protocolRelationships</v>
          </cell>
          <cell r="B672" t="str">
            <v>Protocol relationships table</v>
          </cell>
        </row>
        <row r="673">
          <cell r="A673" t="str">
            <v>translationsRequired</v>
          </cell>
          <cell r="B673" t="str">
            <v>Translation table required headers</v>
          </cell>
        </row>
        <row r="674">
          <cell r="A674" t="str">
            <v>partsOrder</v>
          </cell>
          <cell r="B674" t="str">
            <v>Parts table column order</v>
          </cell>
        </row>
        <row r="675">
          <cell r="A675" t="str">
            <v>translationsOrder</v>
          </cell>
          <cell r="B675" t="str">
            <v>Translation table column order</v>
          </cell>
        </row>
        <row r="676">
          <cell r="A676" t="str">
            <v>quantAggScale</v>
          </cell>
          <cell r="B676" t="str">
            <v>Quantitative</v>
          </cell>
        </row>
        <row r="677">
          <cell r="A677" t="str">
            <v>rainy</v>
          </cell>
          <cell r="B677" t="str">
            <v>Rainy</v>
          </cell>
        </row>
        <row r="678">
          <cell r="A678" t="str">
            <v>ranSeq</v>
          </cell>
          <cell r="B678" t="str">
            <v>Random sequencing selection method</v>
          </cell>
        </row>
        <row r="679">
          <cell r="A679" t="str">
            <v>raws</v>
          </cell>
          <cell r="B679" t="str">
            <v>Raw wastewater</v>
          </cell>
        </row>
        <row r="680">
          <cell r="A680" t="str">
            <v>swgTrck</v>
          </cell>
          <cell r="B680" t="str">
            <v>Sewage truck</v>
          </cell>
        </row>
        <row r="681">
          <cell r="A681" t="str">
            <v>rawWWdown</v>
          </cell>
          <cell r="B681" t="str">
            <v>Raw sewage downstream from a site</v>
          </cell>
        </row>
        <row r="682">
          <cell r="A682" t="str">
            <v>rawWWup</v>
          </cell>
          <cell r="B682" t="str">
            <v>Raw sewage upstream from a site</v>
          </cell>
        </row>
        <row r="683">
          <cell r="A683" t="str">
            <v>collPer</v>
          </cell>
          <cell r="B683" t="str">
            <v>Collection period</v>
          </cell>
        </row>
        <row r="684">
          <cell r="A684" t="str">
            <v>partsRequired</v>
          </cell>
          <cell r="B684" t="str">
            <v>Parts table required headers</v>
          </cell>
        </row>
        <row r="685">
          <cell r="A685" t="str">
            <v>regular</v>
          </cell>
          <cell r="B685" t="str">
            <v>Regular</v>
          </cell>
        </row>
        <row r="686">
          <cell r="A686" t="str">
            <v>regularReportTableSet</v>
          </cell>
          <cell r="B686" t="str">
            <v>Regular reports table set</v>
          </cell>
        </row>
        <row r="687">
          <cell r="A687" t="str">
            <v>relHumidUnitSet</v>
          </cell>
          <cell r="B687" t="str">
            <v>Relative humidity unit set</v>
          </cell>
        </row>
        <row r="688">
          <cell r="A688" t="str">
            <v>replicateSet</v>
          </cell>
          <cell r="B688" t="str">
            <v>Replicate Type set</v>
          </cell>
        </row>
        <row r="689">
          <cell r="A689" t="str">
            <v>siteID</v>
          </cell>
          <cell r="B689" t="str">
            <v>Site ID</v>
          </cell>
        </row>
        <row r="690">
          <cell r="A690" t="str">
            <v>qualityFlag</v>
          </cell>
          <cell r="B690" t="str">
            <v>Quality flag</v>
          </cell>
        </row>
        <row r="691">
          <cell r="A691" t="str">
            <v>charLength</v>
          </cell>
          <cell r="B691" t="str">
            <v>character length</v>
          </cell>
        </row>
        <row r="692">
          <cell r="A692" t="str">
            <v>protocols</v>
          </cell>
          <cell r="B692" t="str">
            <v>Protocols table</v>
          </cell>
        </row>
        <row r="693">
          <cell r="A693" t="str">
            <v>siteType</v>
          </cell>
          <cell r="B693" t="str">
            <v>Site Type</v>
          </cell>
        </row>
        <row r="694">
          <cell r="A694" t="str">
            <v>protocolSteps</v>
          </cell>
          <cell r="B694" t="str">
            <v>Protocol steps table</v>
          </cell>
        </row>
        <row r="695">
          <cell r="A695" t="str">
            <v>collNum</v>
          </cell>
          <cell r="B695" t="str">
            <v>Collection number</v>
          </cell>
        </row>
        <row r="696">
          <cell r="A696" t="str">
            <v>results</v>
          </cell>
          <cell r="B696" t="str">
            <v>Results tables</v>
          </cell>
        </row>
        <row r="697">
          <cell r="A697" t="str">
            <v>uCampus</v>
          </cell>
          <cell r="B697" t="str">
            <v>University campus</v>
          </cell>
        </row>
        <row r="698">
          <cell r="A698" t="str">
            <v>wwtpInd</v>
          </cell>
          <cell r="B698" t="str">
            <v>Industrial wastewater treatment plant</v>
          </cell>
        </row>
        <row r="699">
          <cell r="A699" t="str">
            <v>role</v>
          </cell>
          <cell r="B699" t="str">
            <v>Role of contact</v>
          </cell>
        </row>
        <row r="700">
          <cell r="A700" t="str">
            <v>rP100</v>
          </cell>
          <cell r="B700" t="str">
            <v>Rate per 100,000</v>
          </cell>
        </row>
        <row r="701">
          <cell r="A701" t="str">
            <v>rppw</v>
          </cell>
          <cell r="B701" t="str">
            <v>Raw post-pasteurized wastewater</v>
          </cell>
        </row>
        <row r="702">
          <cell r="A702" t="str">
            <v>sa</v>
          </cell>
          <cell r="B702" t="str">
            <v>Sample</v>
          </cell>
        </row>
        <row r="703">
          <cell r="A703" t="str">
            <v>repOrg1</v>
          </cell>
          <cell r="B703" t="str">
            <v>Primary reporting authority ID</v>
          </cell>
        </row>
        <row r="704">
          <cell r="A704" t="str">
            <v>repOrg2</v>
          </cell>
          <cell r="B704" t="str">
            <v>Secondary reporting authority ID</v>
          </cell>
        </row>
        <row r="705">
          <cell r="A705" t="str">
            <v>relationshipID</v>
          </cell>
          <cell r="B705" t="str">
            <v>Relationship between entities</v>
          </cell>
        </row>
        <row r="706">
          <cell r="A706" t="str">
            <v>geoLat</v>
          </cell>
          <cell r="B706" t="str">
            <v>Latitude</v>
          </cell>
        </row>
        <row r="707">
          <cell r="A707" t="str">
            <v>sampleMatSet</v>
          </cell>
          <cell r="B707" t="str">
            <v>Sample material set</v>
          </cell>
        </row>
        <row r="708">
          <cell r="A708" t="str">
            <v>setsOrder</v>
          </cell>
          <cell r="B708" t="str">
            <v>Sets table column order</v>
          </cell>
        </row>
        <row r="709">
          <cell r="A709" t="str">
            <v>setsRequired</v>
          </cell>
          <cell r="B709" t="str">
            <v>Sets table required headers</v>
          </cell>
        </row>
        <row r="710">
          <cell r="A710" t="str">
            <v>sites</v>
          </cell>
          <cell r="B710" t="str">
            <v>Sites table</v>
          </cell>
        </row>
        <row r="711">
          <cell r="A711" t="str">
            <v>stepIDObj</v>
          </cell>
          <cell r="B711" t="str">
            <v>Step ID Object</v>
          </cell>
        </row>
        <row r="712">
          <cell r="A712" t="str">
            <v>sampleRelSet</v>
          </cell>
          <cell r="B712" t="str">
            <v>Sample relationships set</v>
          </cell>
        </row>
        <row r="713">
          <cell r="A713" t="str">
            <v>qualityReportsRequired</v>
          </cell>
          <cell r="B713" t="str">
            <v>Quality report table required headers</v>
          </cell>
        </row>
        <row r="714">
          <cell r="A714" t="str">
            <v>geoLong</v>
          </cell>
          <cell r="B714" t="str">
            <v>Longitude</v>
          </cell>
        </row>
        <row r="715">
          <cell r="A715" t="str">
            <v>qualityReportsOrder</v>
          </cell>
          <cell r="B715" t="str">
            <v>Quality rerpots table column order</v>
          </cell>
        </row>
        <row r="716">
          <cell r="A716" t="str">
            <v>measures</v>
          </cell>
          <cell r="B716" t="str">
            <v>Measure report table</v>
          </cell>
        </row>
        <row r="717">
          <cell r="A717" t="str">
            <v>sewerNetworkFileBLOB</v>
          </cell>
          <cell r="B717" t="str">
            <v>Sewer network file link depreciated</v>
          </cell>
        </row>
        <row r="718">
          <cell r="A718" t="str">
            <v>sarsCov2</v>
          </cell>
          <cell r="B718" t="str">
            <v>SARS-CoV-2</v>
          </cell>
        </row>
        <row r="719">
          <cell r="A719" t="str">
            <v>saSpecimenSet</v>
          </cell>
          <cell r="B719" t="str">
            <v>Sample specimen set</v>
          </cell>
        </row>
        <row r="720">
          <cell r="A720" t="str">
            <v>wwtpMuC</v>
          </cell>
          <cell r="B720" t="str">
            <v>Municipal wastewater treatment plant for combined sewage</v>
          </cell>
        </row>
        <row r="721">
          <cell r="A721" t="str">
            <v>airTemp</v>
          </cell>
          <cell r="B721" t="str">
            <v>Environmental temperature</v>
          </cell>
        </row>
        <row r="722">
          <cell r="A722" t="str">
            <v>scriptSet</v>
          </cell>
          <cell r="B722" t="str">
            <v>Sequencing script version set</v>
          </cell>
        </row>
        <row r="723">
          <cell r="A723" t="str">
            <v>bod5c</v>
          </cell>
          <cell r="B723" t="str">
            <v>5-Day carbonaceous biochemical oxygen demand</v>
          </cell>
        </row>
        <row r="724">
          <cell r="A724" t="str">
            <v>bod5t</v>
          </cell>
          <cell r="B724" t="str">
            <v>5-day total biochemical oxygen demand</v>
          </cell>
        </row>
        <row r="725">
          <cell r="A725" t="str">
            <v>envSnwF</v>
          </cell>
          <cell r="B725" t="str">
            <v>Snowfall</v>
          </cell>
        </row>
        <row r="726">
          <cell r="A726" t="str">
            <v>floRate</v>
          </cell>
          <cell r="B726" t="str">
            <v>Flow rate</v>
          </cell>
        </row>
        <row r="727">
          <cell r="A727" t="str">
            <v>seeUnitAggScale</v>
          </cell>
          <cell r="B727" t="str">
            <v>See unit (aggregation scales)</v>
          </cell>
        </row>
        <row r="728">
          <cell r="A728" t="str">
            <v>seeUnitData</v>
          </cell>
          <cell r="B728" t="str">
            <v>See unit (data type)</v>
          </cell>
        </row>
        <row r="729">
          <cell r="A729" t="str">
            <v>seeUnitVal</v>
          </cell>
          <cell r="B729" t="str">
            <v>See unit (value)</v>
          </cell>
        </row>
        <row r="730">
          <cell r="A730" t="str">
            <v>loq</v>
          </cell>
          <cell r="B730" t="str">
            <v>Limit of quantification (LOQ)</v>
          </cell>
        </row>
        <row r="731">
          <cell r="A731" t="str">
            <v>snfl</v>
          </cell>
          <cell r="B731" t="str">
            <v>Sewer network file link depreciated 2</v>
          </cell>
        </row>
        <row r="732">
          <cell r="A732" t="str">
            <v>storTempDef</v>
          </cell>
          <cell r="B732" t="str">
            <v>Sewer network file blob</v>
          </cell>
        </row>
        <row r="733">
          <cell r="A733" t="str">
            <v>tyOtDep2</v>
          </cell>
          <cell r="B733" t="str">
            <v>Type other depreciate2</v>
          </cell>
        </row>
        <row r="734">
          <cell r="A734" t="str">
            <v>phos</v>
          </cell>
          <cell r="B734" t="str">
            <v>Total phosphorous</v>
          </cell>
        </row>
        <row r="735">
          <cell r="A735" t="str">
            <v>seqLaySet</v>
          </cell>
          <cell r="B735" t="str">
            <v>Sequencing Layout set</v>
          </cell>
        </row>
        <row r="736">
          <cell r="A736" t="str">
            <v>seqSelSet</v>
          </cell>
          <cell r="B736" t="str">
            <v>Sequencing selection method set</v>
          </cell>
        </row>
        <row r="737">
          <cell r="A737" t="str">
            <v>seqStratSet</v>
          </cell>
          <cell r="B737" t="str">
            <v>Sequencing Strategy set</v>
          </cell>
        </row>
        <row r="738">
          <cell r="A738" t="str">
            <v>serialDilution</v>
          </cell>
          <cell r="B738" t="str">
            <v>Serial dilution</v>
          </cell>
        </row>
        <row r="739">
          <cell r="A739" t="str">
            <v>phostot</v>
          </cell>
          <cell r="B739" t="str">
            <v>Total Phosphates</v>
          </cell>
        </row>
        <row r="740">
          <cell r="A740" t="str">
            <v>status</v>
          </cell>
          <cell r="B740" t="str">
            <v>Status</v>
          </cell>
        </row>
        <row r="741">
          <cell r="A741" t="str">
            <v>sampleRelationshipsRequired</v>
          </cell>
          <cell r="B741" t="str">
            <v>Sample relationships table required headers</v>
          </cell>
        </row>
        <row r="742">
          <cell r="A742" t="str">
            <v>sampleRelationshipsOrder</v>
          </cell>
          <cell r="B742" t="str">
            <v>Sample relationships table column order</v>
          </cell>
        </row>
        <row r="743">
          <cell r="A743" t="str">
            <v>measureSets</v>
          </cell>
          <cell r="B743" t="str">
            <v>Measure set report table</v>
          </cell>
        </row>
        <row r="744">
          <cell r="A744" t="str">
            <v>firstReleased</v>
          </cell>
          <cell r="B744" t="str">
            <v>First released version</v>
          </cell>
        </row>
        <row r="745">
          <cell r="A745" t="str">
            <v>lastUpdated</v>
          </cell>
          <cell r="B745" t="str">
            <v>Last updated version</v>
          </cell>
        </row>
        <row r="746">
          <cell r="A746" t="str">
            <v>aDateStart</v>
          </cell>
          <cell r="B746" t="str">
            <v>Analysis date start</v>
          </cell>
        </row>
        <row r="747">
          <cell r="A747" t="str">
            <v>sevSet</v>
          </cell>
          <cell r="B747" t="str">
            <v>Severity set</v>
          </cell>
        </row>
        <row r="748">
          <cell r="A748" t="str">
            <v>siteMeasureID</v>
          </cell>
          <cell r="B748" t="str">
            <v>Site measure ID</v>
          </cell>
        </row>
        <row r="749">
          <cell r="A749" t="str">
            <v>shedSet</v>
          </cell>
          <cell r="B749" t="str">
            <v>Sampleshed set</v>
          </cell>
        </row>
        <row r="750">
          <cell r="A750" t="str">
            <v>ship</v>
          </cell>
          <cell r="B750" t="str">
            <v>Ship</v>
          </cell>
        </row>
        <row r="751">
          <cell r="A751" t="str">
            <v>protocolsRequired</v>
          </cell>
          <cell r="B751" t="str">
            <v>Protocols table required headers</v>
          </cell>
        </row>
        <row r="752">
          <cell r="A752" t="str">
            <v>si</v>
          </cell>
          <cell r="B752" t="str">
            <v>Site</v>
          </cell>
        </row>
        <row r="753">
          <cell r="A753" t="str">
            <v>tssConc</v>
          </cell>
          <cell r="B753" t="str">
            <v>Concentration of total suspended solids</v>
          </cell>
        </row>
        <row r="754">
          <cell r="A754" t="str">
            <v>sinLay</v>
          </cell>
          <cell r="B754" t="str">
            <v>Single Layout</v>
          </cell>
        </row>
        <row r="755">
          <cell r="A755" t="str">
            <v>siSaSpecimenSet</v>
          </cell>
          <cell r="B755" t="str">
            <v>Site or sample specimen set</v>
          </cell>
        </row>
        <row r="756">
          <cell r="A756" t="str">
            <v>siSpecimenSet</v>
          </cell>
          <cell r="B756" t="str">
            <v>Site specimen set</v>
          </cell>
        </row>
        <row r="757">
          <cell r="A757" t="str">
            <v>uSiteMeasureID</v>
          </cell>
          <cell r="B757" t="str">
            <v>U site measure ID</v>
          </cell>
        </row>
        <row r="758">
          <cell r="A758" t="str">
            <v>siteFeat</v>
          </cell>
          <cell r="B758" t="str">
            <v>Site features group</v>
          </cell>
        </row>
        <row r="759">
          <cell r="A759" t="str">
            <v>aDate</v>
          </cell>
          <cell r="B759" t="str">
            <v>Analysis date</v>
          </cell>
        </row>
        <row r="760">
          <cell r="A760" t="str">
            <v>asID</v>
          </cell>
          <cell r="B760" t="str">
            <v>Assay ID</v>
          </cell>
        </row>
        <row r="761">
          <cell r="A761" t="str">
            <v>protocolsOrder</v>
          </cell>
          <cell r="B761" t="str">
            <v>Protocols table column order</v>
          </cell>
        </row>
        <row r="762">
          <cell r="A762" t="str">
            <v>qualityReports</v>
          </cell>
          <cell r="B762" t="str">
            <v>Quality reports table</v>
          </cell>
        </row>
        <row r="763">
          <cell r="A763" t="str">
            <v>countriesRequired</v>
          </cell>
          <cell r="B763" t="str">
            <v>Counries table required headers</v>
          </cell>
        </row>
        <row r="764">
          <cell r="A764" t="str">
            <v>aDateEnd</v>
          </cell>
          <cell r="B764" t="str">
            <v>Analysis date end</v>
          </cell>
        </row>
        <row r="765">
          <cell r="A765" t="str">
            <v>siteTypeSet</v>
          </cell>
          <cell r="B765" t="str">
            <v>Site set</v>
          </cell>
        </row>
        <row r="766">
          <cell r="A766" t="str">
            <v>fraction</v>
          </cell>
          <cell r="B766" t="str">
            <v>Fraction analyzed</v>
          </cell>
        </row>
        <row r="767">
          <cell r="A767" t="str">
            <v>snowy</v>
          </cell>
          <cell r="B767" t="str">
            <v>Snowy</v>
          </cell>
        </row>
        <row r="768">
          <cell r="A768" t="str">
            <v>turb</v>
          </cell>
          <cell r="B768" t="str">
            <v>Turbidity</v>
          </cell>
        </row>
        <row r="769">
          <cell r="A769" t="str">
            <v>solidSeparationSet</v>
          </cell>
          <cell r="B769" t="str">
            <v>Solid separation set</v>
          </cell>
        </row>
        <row r="770">
          <cell r="A770" t="str">
            <v>sourceProtocol</v>
          </cell>
          <cell r="B770" t="str">
            <v>Source Protocol ID</v>
          </cell>
        </row>
        <row r="771">
          <cell r="A771" t="str">
            <v>sourceStep</v>
          </cell>
          <cell r="B771" t="str">
            <v>Protocol step source ID</v>
          </cell>
        </row>
        <row r="772">
          <cell r="A772" t="str">
            <v>sovereignty</v>
          </cell>
          <cell r="B772" t="str">
            <v>Sovereign status of a country</v>
          </cell>
        </row>
        <row r="773">
          <cell r="A773" t="str">
            <v>specHumidUnitSet</v>
          </cell>
          <cell r="B773" t="str">
            <v>Specific humidity unit set</v>
          </cell>
        </row>
        <row r="774">
          <cell r="A774" t="str">
            <v>specifies</v>
          </cell>
          <cell r="B774" t="str">
            <v>Specifies</v>
          </cell>
        </row>
        <row r="775">
          <cell r="A775" t="str">
            <v>sentDate</v>
          </cell>
          <cell r="B775" t="str">
            <v>Date sample was sent</v>
          </cell>
        </row>
        <row r="776">
          <cell r="A776" t="str">
            <v>specimens</v>
          </cell>
          <cell r="B776" t="str">
            <v>Specimens</v>
          </cell>
        </row>
        <row r="777">
          <cell r="A777" t="str">
            <v>countriesOrder</v>
          </cell>
          <cell r="B777" t="str">
            <v>Countries table column order</v>
          </cell>
        </row>
        <row r="778">
          <cell r="A778" t="str">
            <v>spike</v>
          </cell>
          <cell r="B778" t="str">
            <v>Spike matrix and recovery</v>
          </cell>
        </row>
        <row r="779">
          <cell r="A779" t="str">
            <v>spikeMatSet</v>
          </cell>
          <cell r="B779" t="str">
            <v>Spike material set</v>
          </cell>
        </row>
        <row r="780">
          <cell r="A780" t="str">
            <v>spikeTargetSet</v>
          </cell>
          <cell r="B780" t="str">
            <v>Recovery efficiency spike target set</v>
          </cell>
        </row>
        <row r="781">
          <cell r="A781" t="str">
            <v>wind</v>
          </cell>
          <cell r="B781" t="str">
            <v>Wind Speed</v>
          </cell>
        </row>
        <row r="782">
          <cell r="A782" t="str">
            <v>sss</v>
          </cell>
          <cell r="B782" t="str">
            <v>Social services shelter</v>
          </cell>
        </row>
        <row r="783">
          <cell r="A783" t="str">
            <v>stabPnd</v>
          </cell>
          <cell r="B783" t="str">
            <v>Stabilization pond</v>
          </cell>
        </row>
        <row r="784">
          <cell r="A784" t="str">
            <v>stateProvLevel</v>
          </cell>
          <cell r="B784" t="str">
            <v>Departments, states, or provinces</v>
          </cell>
        </row>
        <row r="785">
          <cell r="A785" t="str">
            <v>stepID</v>
          </cell>
          <cell r="B785" t="str">
            <v>Protocol Step ID</v>
          </cell>
        </row>
        <row r="786">
          <cell r="A786" t="str">
            <v>sampleRelationships</v>
          </cell>
          <cell r="B786" t="str">
            <v>Sample relationships table</v>
          </cell>
        </row>
        <row r="787">
          <cell r="A787" t="str">
            <v>statusSet</v>
          </cell>
          <cell r="B787" t="str">
            <v>Status set</v>
          </cell>
        </row>
        <row r="788">
          <cell r="A788" t="str">
            <v>stdConcentrationUnitSet</v>
          </cell>
          <cell r="B788" t="str">
            <v>Standard concentration unit set</v>
          </cell>
        </row>
        <row r="789">
          <cell r="A789" t="str">
            <v>recDate</v>
          </cell>
          <cell r="B789" t="str">
            <v>Date sample recieved</v>
          </cell>
        </row>
        <row r="790">
          <cell r="A790" t="str">
            <v>translationID</v>
          </cell>
          <cell r="B790" t="str">
            <v>Synthetic ID for the translations table</v>
          </cell>
        </row>
        <row r="791">
          <cell r="A791" t="str">
            <v>protocolIDSub</v>
          </cell>
          <cell r="B791" t="str">
            <v>Protocol ID subject</v>
          </cell>
        </row>
        <row r="792">
          <cell r="A792" t="str">
            <v>stepProvenanceID</v>
          </cell>
          <cell r="B792" t="str">
            <v>Method step parent ID</v>
          </cell>
        </row>
        <row r="793">
          <cell r="A793" t="str">
            <v>measOth</v>
          </cell>
          <cell r="B793" t="str">
            <v>Other Measure</v>
          </cell>
        </row>
        <row r="794">
          <cell r="A794" t="str">
            <v>meOthDe</v>
          </cell>
          <cell r="B794" t="str">
            <v>Other Measure Description</v>
          </cell>
        </row>
        <row r="795">
          <cell r="A795" t="str">
            <v>index</v>
          </cell>
          <cell r="B795" t="str">
            <v>Index</v>
          </cell>
        </row>
        <row r="796">
          <cell r="A796" t="str">
            <v>summary</v>
          </cell>
          <cell r="B796" t="str">
            <v>Summary worksheet</v>
          </cell>
        </row>
        <row r="797">
          <cell r="A797" t="str">
            <v>sunny</v>
          </cell>
          <cell r="B797" t="str">
            <v>Sunny</v>
          </cell>
        </row>
        <row r="798">
          <cell r="A798" t="str">
            <v>surf</v>
          </cell>
          <cell r="B798" t="str">
            <v>Surface compartment</v>
          </cell>
        </row>
        <row r="799">
          <cell r="A799" t="str">
            <v>surface</v>
          </cell>
          <cell r="B799" t="str">
            <v>Other surface</v>
          </cell>
        </row>
        <row r="800">
          <cell r="A800" t="str">
            <v>surfaceCompartmentSet</v>
          </cell>
          <cell r="B800" t="str">
            <v>Surface compartment set</v>
          </cell>
        </row>
        <row r="801">
          <cell r="A801" t="str">
            <v>surfaceWaterCompartmentSet</v>
          </cell>
          <cell r="B801" t="str">
            <v>Surface and water compartment set</v>
          </cell>
        </row>
        <row r="802">
          <cell r="A802" t="str">
            <v>surfSw</v>
          </cell>
          <cell r="B802" t="str">
            <v>Surface swab</v>
          </cell>
        </row>
        <row r="803">
          <cell r="A803" t="str">
            <v>wwtpCap</v>
          </cell>
          <cell r="B803" t="str">
            <v>Wastewater treatment plant designed capacity</v>
          </cell>
        </row>
        <row r="804">
          <cell r="A804" t="str">
            <v>covN1</v>
          </cell>
          <cell r="B804" t="str">
            <v>SARS-CoV-2-N1</v>
          </cell>
        </row>
        <row r="805">
          <cell r="A805" t="str">
            <v>covN2</v>
          </cell>
          <cell r="B805" t="str">
            <v>SARS-CoV-2-N2</v>
          </cell>
        </row>
        <row r="806">
          <cell r="A806" t="str">
            <v>synthetic</v>
          </cell>
          <cell r="B806" t="str">
            <v>Synthetic sample</v>
          </cell>
        </row>
        <row r="807">
          <cell r="A807" t="str">
            <v>tables</v>
          </cell>
          <cell r="B807" t="str">
            <v>Tables</v>
          </cell>
        </row>
        <row r="808">
          <cell r="A808" t="str">
            <v>tableSet</v>
          </cell>
          <cell r="B808" t="str">
            <v>Table column set</v>
          </cell>
        </row>
        <row r="809">
          <cell r="A809" t="str">
            <v>temperatureUnitSet</v>
          </cell>
          <cell r="B809" t="str">
            <v>Temperature unit set</v>
          </cell>
        </row>
        <row r="810">
          <cell r="A810" t="str">
            <v>terminal</v>
          </cell>
          <cell r="B810" t="str">
            <v>Airport terminal</v>
          </cell>
        </row>
        <row r="811">
          <cell r="A811" t="str">
            <v>covN3</v>
          </cell>
          <cell r="B811" t="str">
            <v>SARS-CoV-2-N3</v>
          </cell>
        </row>
        <row r="812">
          <cell r="A812" t="str">
            <v>testing</v>
          </cell>
          <cell r="B812" t="str">
            <v>Testing</v>
          </cell>
        </row>
        <row r="813">
          <cell r="A813" t="str">
            <v>thermMag</v>
          </cell>
          <cell r="B813" t="str">
            <v>thermo magmax microbiome ultra nucleic acid isolation kit</v>
          </cell>
        </row>
        <row r="814">
          <cell r="A814" t="str">
            <v>timeUnitSet</v>
          </cell>
          <cell r="B814" t="str">
            <v>Time unit set</v>
          </cell>
        </row>
        <row r="815">
          <cell r="A815" t="str">
            <v>tld</v>
          </cell>
          <cell r="B815" t="str">
            <v>Country code top-level domain</v>
          </cell>
        </row>
        <row r="816">
          <cell r="A816" t="str">
            <v>zonesRequired</v>
          </cell>
          <cell r="B816" t="str">
            <v>Zones table required headers</v>
          </cell>
        </row>
        <row r="817">
          <cell r="A817" t="str">
            <v>wideName</v>
          </cell>
          <cell r="B817" t="str">
            <v>Wide Name</v>
          </cell>
        </row>
        <row r="818">
          <cell r="A818" t="str">
            <v>zonesOrder</v>
          </cell>
          <cell r="B818" t="str">
            <v>Zones table column order</v>
          </cell>
        </row>
        <row r="819">
          <cell r="A819" t="str">
            <v>trizol</v>
          </cell>
          <cell r="B819" t="str">
            <v>trizol, zymo mag beads w/ zymo clean and concentrator</v>
          </cell>
        </row>
        <row r="820">
          <cell r="A820" t="str">
            <v>true</v>
          </cell>
          <cell r="B820" t="b">
            <v>1</v>
          </cell>
        </row>
        <row r="821">
          <cell r="A821" t="str">
            <v>turbidityUnitSet</v>
          </cell>
          <cell r="B821" t="str">
            <v>Turbidity unit set</v>
          </cell>
        </row>
        <row r="822">
          <cell r="A822" t="str">
            <v>wideMeasure</v>
          </cell>
          <cell r="B822" t="str">
            <v>Measure identification (wide table)</v>
          </cell>
        </row>
        <row r="823">
          <cell r="A823" t="str">
            <v>allOrgs</v>
          </cell>
          <cell r="B823" t="str">
            <v>Access to all org</v>
          </cell>
        </row>
        <row r="824">
          <cell r="A824" t="str">
            <v>covRdrp</v>
          </cell>
          <cell r="B824" t="str">
            <v>SARS-CoV-2-RdRp</v>
          </cell>
        </row>
        <row r="825">
          <cell r="A825" t="str">
            <v>undisc</v>
          </cell>
          <cell r="B825" t="str">
            <v>Undisclosed</v>
          </cell>
        </row>
        <row r="826">
          <cell r="A826" t="str">
            <v>unique</v>
          </cell>
          <cell r="B826" t="str">
            <v>Unique sample</v>
          </cell>
        </row>
        <row r="827">
          <cell r="A827" t="str">
            <v>wideNamesRequired</v>
          </cell>
          <cell r="B827" t="str">
            <v>Wide name table required</v>
          </cell>
        </row>
        <row r="828">
          <cell r="A828" t="str">
            <v>unitlessUnitSet</v>
          </cell>
          <cell r="B828" t="str">
            <v>Unitless unit set</v>
          </cell>
        </row>
        <row r="829">
          <cell r="A829" t="str">
            <v>units</v>
          </cell>
          <cell r="B829" t="str">
            <v>Units</v>
          </cell>
        </row>
        <row r="830">
          <cell r="A830" t="str">
            <v>wideNamesOrder</v>
          </cell>
          <cell r="B830" t="str">
            <v>Wide name table order</v>
          </cell>
        </row>
        <row r="831">
          <cell r="A831" t="str">
            <v>unitSets</v>
          </cell>
          <cell r="B831" t="str">
            <v>Unit sets</v>
          </cell>
        </row>
        <row r="832">
          <cell r="A832" t="str">
            <v>upperCI95</v>
          </cell>
          <cell r="B832" t="str">
            <v>Upper limit of a 95% confidence interval</v>
          </cell>
        </row>
        <row r="833">
          <cell r="A833" t="str">
            <v>uSCm</v>
          </cell>
          <cell r="B833" t="str">
            <v>Micro-Siemens per centimetre</v>
          </cell>
        </row>
        <row r="834">
          <cell r="A834" t="str">
            <v>utc</v>
          </cell>
          <cell r="B834" t="str">
            <v>Coordinated universal time (UTC) zone</v>
          </cell>
        </row>
        <row r="835">
          <cell r="A835" t="str">
            <v>utcDST</v>
          </cell>
          <cell r="B835" t="str">
            <v>Coordinated universal time (UTC) zone in daylight savings</v>
          </cell>
        </row>
        <row r="836">
          <cell r="A836" t="str">
            <v>validationStudy</v>
          </cell>
          <cell r="B836" t="str">
            <v>Validation study</v>
          </cell>
        </row>
        <row r="837">
          <cell r="A837" t="str">
            <v>sampleIDObject</v>
          </cell>
          <cell r="B837" t="str">
            <v>Sample ID object</v>
          </cell>
        </row>
        <row r="838">
          <cell r="A838" t="str">
            <v>vax3plus</v>
          </cell>
          <cell r="B838" t="str">
            <v>Population with 3+ or more doses of vaccine</v>
          </cell>
        </row>
        <row r="839">
          <cell r="A839" t="str">
            <v>version1Category</v>
          </cell>
          <cell r="B839" t="str">
            <v>ODM V1 category</v>
          </cell>
        </row>
        <row r="840">
          <cell r="A840" t="str">
            <v>version1Location</v>
          </cell>
          <cell r="B840" t="str">
            <v>ODM V1 location</v>
          </cell>
        </row>
        <row r="841">
          <cell r="A841" t="str">
            <v>version1Table</v>
          </cell>
          <cell r="B841" t="str">
            <v>ODM V1 table</v>
          </cell>
        </row>
        <row r="842">
          <cell r="A842" t="str">
            <v>version1to2Changes</v>
          </cell>
          <cell r="B842" t="str">
            <v>ODM version 1 to 2 changes</v>
          </cell>
        </row>
        <row r="843">
          <cell r="A843" t="str">
            <v>version1Variable</v>
          </cell>
          <cell r="B843" t="str">
            <v>ODM V1 variable</v>
          </cell>
        </row>
        <row r="844">
          <cell r="A844" t="str">
            <v>wat</v>
          </cell>
          <cell r="B844" t="str">
            <v>Water compartment</v>
          </cell>
        </row>
        <row r="845">
          <cell r="A845" t="str">
            <v>brsvN</v>
          </cell>
          <cell r="B845" t="str">
            <v>BRSV-N</v>
          </cell>
        </row>
        <row r="846">
          <cell r="A846" t="str">
            <v>weathSet</v>
          </cell>
          <cell r="B846" t="str">
            <v>Weather set</v>
          </cell>
        </row>
        <row r="847">
          <cell r="A847" t="str">
            <v>wgs</v>
          </cell>
          <cell r="B847" t="str">
            <v>Whole genome sequencing</v>
          </cell>
        </row>
        <row r="848">
          <cell r="A848" t="str">
            <v>wI</v>
          </cell>
          <cell r="B848" t="str">
            <v>Wide 95% interval</v>
          </cell>
        </row>
        <row r="849">
          <cell r="A849" t="str">
            <v>samples</v>
          </cell>
          <cell r="B849" t="str">
            <v>Sample report table</v>
          </cell>
        </row>
        <row r="850">
          <cell r="A850" t="str">
            <v>windSpeedUnitSet</v>
          </cell>
          <cell r="B850" t="str">
            <v>Wind speed unit set</v>
          </cell>
        </row>
        <row r="851">
          <cell r="A851" t="str">
            <v>orgSector</v>
          </cell>
          <cell r="B851" t="str">
            <v>Organization sector</v>
          </cell>
        </row>
        <row r="852">
          <cell r="A852" t="str">
            <v>wrongStorage</v>
          </cell>
          <cell r="B852" t="str">
            <v>Sample stored incorrectly</v>
          </cell>
        </row>
        <row r="853">
          <cell r="A853" t="str">
            <v>wrongTemp</v>
          </cell>
          <cell r="B853" t="str">
            <v>Sample stored at wrong temperature</v>
          </cell>
        </row>
        <row r="854">
          <cell r="A854" t="str">
            <v>wSphere</v>
          </cell>
          <cell r="B854" t="str">
            <v>World Sphere (W-SPHERE)</v>
          </cell>
        </row>
        <row r="855">
          <cell r="A855" t="str">
            <v>wSphereNotes</v>
          </cell>
          <cell r="B855" t="str">
            <v>World Sphere (W-SPHERE) notes</v>
          </cell>
        </row>
        <row r="856">
          <cell r="A856" t="str">
            <v>wwtp</v>
          </cell>
          <cell r="B856" t="str">
            <v>Wastewater treatment plant</v>
          </cell>
        </row>
        <row r="857">
          <cell r="A857" t="str">
            <v>cra</v>
          </cell>
          <cell r="B857" t="str">
            <v>crAssphage-N</v>
          </cell>
        </row>
        <row r="858">
          <cell r="A858" t="str">
            <v>ppmv</v>
          </cell>
          <cell r="B858" t="str">
            <v>PMMoV-CP</v>
          </cell>
        </row>
        <row r="859">
          <cell r="A859" t="str">
            <v>years</v>
          </cell>
          <cell r="B859" t="str">
            <v>Years</v>
          </cell>
        </row>
        <row r="860">
          <cell r="A860" t="str">
            <v>zoneName</v>
          </cell>
          <cell r="B860" t="str">
            <v>English name of country sub-domains</v>
          </cell>
        </row>
        <row r="861">
          <cell r="A861" t="str">
            <v>dataTypes</v>
          </cell>
          <cell r="B861" t="str">
            <v>Data types</v>
          </cell>
        </row>
        <row r="862">
          <cell r="A862" t="str">
            <v>minValue</v>
          </cell>
          <cell r="B862" t="str">
            <v>Minimum value part support</v>
          </cell>
        </row>
        <row r="863">
          <cell r="A863" t="str">
            <v>maxValue</v>
          </cell>
          <cell r="B863" t="str">
            <v>Maximum value part support</v>
          </cell>
        </row>
        <row r="864">
          <cell r="A864" t="str">
            <v>vax4plus</v>
          </cell>
          <cell r="B864" t="str">
            <v>Population with 4+ or more doses of vaccine</v>
          </cell>
        </row>
        <row r="865">
          <cell r="A865" t="str">
            <v>vax1p</v>
          </cell>
          <cell r="B865" t="str">
            <v>Proportion of population with 1+ vaccine dose(s)</v>
          </cell>
        </row>
        <row r="866">
          <cell r="A866" t="str">
            <v>vax2p</v>
          </cell>
          <cell r="B866" t="str">
            <v>Proportion of population with 2+ vaccine doses</v>
          </cell>
        </row>
        <row r="867">
          <cell r="A867" t="str">
            <v>vax3p</v>
          </cell>
          <cell r="B867" t="str">
            <v>Proportion of population with 3+ vaccine doses</v>
          </cell>
        </row>
        <row r="868">
          <cell r="A868" t="str">
            <v>vax4p</v>
          </cell>
          <cell r="B868" t="str">
            <v>Proportion of population with 4+ vaccine doses</v>
          </cell>
        </row>
        <row r="869">
          <cell r="A869" t="str">
            <v>airportTemplate</v>
          </cell>
          <cell r="B869" t="str">
            <v>Airport Surveillance Template</v>
          </cell>
        </row>
        <row r="870">
          <cell r="A870" t="str">
            <v>airportSheetSet</v>
          </cell>
          <cell r="B870" t="str">
            <v>Airport Sheets Set</v>
          </cell>
        </row>
        <row r="871">
          <cell r="A871" t="str">
            <v>stepIDSub</v>
          </cell>
          <cell r="B871" t="str">
            <v>Step ID Subject</v>
          </cell>
        </row>
        <row r="872">
          <cell r="A872" t="str">
            <v>hCo</v>
          </cell>
          <cell r="B872" t="str">
            <v xml:space="preserve">See Header for Compartment </v>
          </cell>
        </row>
        <row r="873">
          <cell r="A873" t="str">
            <v>hSp</v>
          </cell>
          <cell r="B873" t="str">
            <v>See Header for Specimen</v>
          </cell>
        </row>
        <row r="874">
          <cell r="A874" t="str">
            <v>hFr</v>
          </cell>
          <cell r="B874" t="str">
            <v>See Header for Fraction Analyzed</v>
          </cell>
        </row>
        <row r="875">
          <cell r="A875" t="str">
            <v>wideSpecimenSet</v>
          </cell>
          <cell r="B875" t="str">
            <v>Speciment set for wide names</v>
          </cell>
        </row>
        <row r="876">
          <cell r="A876" t="str">
            <v>wideFractionSet</v>
          </cell>
          <cell r="B876" t="str">
            <v>Fraction set for wide names</v>
          </cell>
        </row>
        <row r="877">
          <cell r="A877" t="str">
            <v>wideCompartmentSet</v>
          </cell>
          <cell r="B877" t="str">
            <v>Compartment set for wide names</v>
          </cell>
        </row>
        <row r="878">
          <cell r="A878" t="str">
            <v>hMe</v>
          </cell>
          <cell r="B878" t="str">
            <v>See Header for Measure</v>
          </cell>
        </row>
        <row r="879">
          <cell r="A879" t="str">
            <v>hUn</v>
          </cell>
          <cell r="B879" t="str">
            <v>See Header for Unit</v>
          </cell>
        </row>
        <row r="880">
          <cell r="A880" t="str">
            <v>hAg</v>
          </cell>
          <cell r="B880" t="str">
            <v>See Header for Aggregation</v>
          </cell>
        </row>
        <row r="881">
          <cell r="A881" t="str">
            <v>vsv</v>
          </cell>
          <cell r="B881" t="str">
            <v>Vesicular stomatitis virus (VSV) target</v>
          </cell>
        </row>
        <row r="882">
          <cell r="A882" t="str">
            <v>oor</v>
          </cell>
          <cell r="B882" t="str">
            <v>Value out of range</v>
          </cell>
        </row>
        <row r="883">
          <cell r="A883" t="str">
            <v>out</v>
          </cell>
          <cell r="B883" t="str">
            <v>Value is an outlier</v>
          </cell>
        </row>
        <row r="884">
          <cell r="A884" t="str">
            <v>dna</v>
          </cell>
          <cell r="B884" t="str">
            <v>DNA Template</v>
          </cell>
        </row>
        <row r="885">
          <cell r="A885" t="str">
            <v>rna</v>
          </cell>
          <cell r="B885" t="str">
            <v>RNA Template</v>
          </cell>
        </row>
        <row r="886">
          <cell r="A886" t="str">
            <v>tempSet</v>
          </cell>
          <cell r="B886" t="str">
            <v>Template Set</v>
          </cell>
        </row>
        <row r="887">
          <cell r="A887" t="str">
            <v>samVol</v>
          </cell>
          <cell r="B887" t="str">
            <v>Sample volume</v>
          </cell>
        </row>
        <row r="888">
          <cell r="A888" t="str">
            <v>source</v>
          </cell>
          <cell r="B888" t="str">
            <v>Wide name source</v>
          </cell>
        </row>
        <row r="889">
          <cell r="A889" t="str">
            <v>wideProtocol</v>
          </cell>
          <cell r="B889" t="str">
            <v>Specified protocol (wide table)</v>
          </cell>
        </row>
        <row r="890">
          <cell r="A890" t="str">
            <v>wideAttribute</v>
          </cell>
          <cell r="B890" t="str">
            <v>Specified attribute (wide table)</v>
          </cell>
        </row>
        <row r="891">
          <cell r="A891" t="str">
            <v>wideNameType</v>
          </cell>
          <cell r="B891" t="str">
            <v>Wide name type</v>
          </cell>
        </row>
        <row r="892">
          <cell r="A892" t="str">
            <v>reportTableName</v>
          </cell>
          <cell r="B892" t="str">
            <v>Report table name (wide table)</v>
          </cell>
        </row>
        <row r="893">
          <cell r="A893" t="str">
            <v>reportTableInput</v>
          </cell>
          <cell r="B893" t="str">
            <v>Report table input (wide table)</v>
          </cell>
        </row>
        <row r="894">
          <cell r="A894" t="str">
            <v>partTypeName</v>
          </cell>
          <cell r="B894" t="str">
            <v>Part type name (wide table)</v>
          </cell>
        </row>
        <row r="895">
          <cell r="A895" t="str">
            <v>partTypeInput</v>
          </cell>
          <cell r="B895" t="str">
            <v>Part type input (wide table)</v>
          </cell>
        </row>
        <row r="896">
          <cell r="A896" t="str">
            <v>compartmentName</v>
          </cell>
          <cell r="B896" t="str">
            <v>Compartment name (wide table)</v>
          </cell>
        </row>
        <row r="897">
          <cell r="A897" t="str">
            <v>compartmentInput</v>
          </cell>
          <cell r="B897" t="str">
            <v>Compartment input (wide table)</v>
          </cell>
        </row>
        <row r="898">
          <cell r="A898" t="str">
            <v>specimenName</v>
          </cell>
          <cell r="B898" t="str">
            <v>Specimen name (wide table)</v>
          </cell>
        </row>
        <row r="899">
          <cell r="A899" t="str">
            <v>specimenInput</v>
          </cell>
          <cell r="B899" t="str">
            <v>Specimen input (wide table)</v>
          </cell>
        </row>
        <row r="900">
          <cell r="A900" t="str">
            <v>fractionName</v>
          </cell>
          <cell r="B900" t="str">
            <v>Fraction name (wide table)</v>
          </cell>
        </row>
        <row r="901">
          <cell r="A901" t="str">
            <v>fractionInput</v>
          </cell>
          <cell r="B901" t="str">
            <v>Fraction input (wide table)</v>
          </cell>
        </row>
        <row r="902">
          <cell r="A902" t="str">
            <v>measureName</v>
          </cell>
          <cell r="B902" t="str">
            <v>Measure name (wide table)</v>
          </cell>
        </row>
        <row r="903">
          <cell r="A903" t="str">
            <v>measureInput</v>
          </cell>
          <cell r="B903" t="str">
            <v>Measure input (wide table)</v>
          </cell>
        </row>
        <row r="904">
          <cell r="A904" t="str">
            <v>methodName</v>
          </cell>
          <cell r="B904" t="str">
            <v>Method name (wide table)</v>
          </cell>
        </row>
        <row r="905">
          <cell r="A905" t="str">
            <v>methodInput</v>
          </cell>
          <cell r="B905" t="str">
            <v>Method input (wide table)</v>
          </cell>
        </row>
        <row r="906">
          <cell r="A906" t="str">
            <v>unitName</v>
          </cell>
          <cell r="B906" t="str">
            <v>Unit name (wide table)</v>
          </cell>
        </row>
        <row r="907">
          <cell r="A907" t="str">
            <v>unitInput</v>
          </cell>
          <cell r="B907" t="str">
            <v>Unit input (wide table)</v>
          </cell>
        </row>
        <row r="908">
          <cell r="A908" t="str">
            <v>aggregationName</v>
          </cell>
          <cell r="B908" t="str">
            <v>Aggregation name (wide table)</v>
          </cell>
        </row>
        <row r="909">
          <cell r="A909" t="str">
            <v>aggregationInput</v>
          </cell>
          <cell r="B909" t="str">
            <v>Aggregation input (wide table)</v>
          </cell>
        </row>
        <row r="910">
          <cell r="A910" t="str">
            <v>reportable</v>
          </cell>
          <cell r="B910" t="str">
            <v>Reportable</v>
          </cell>
        </row>
        <row r="911">
          <cell r="A911" t="str">
            <v>attributeName</v>
          </cell>
          <cell r="B911" t="str">
            <v>Attribute name (wide table)</v>
          </cell>
        </row>
        <row r="912">
          <cell r="A912" t="str">
            <v>attributeInput</v>
          </cell>
          <cell r="B912" t="str">
            <v>Attribute input (wide table)</v>
          </cell>
        </row>
        <row r="913">
          <cell r="A913" t="str">
            <v>minLength</v>
          </cell>
          <cell r="B913" t="str">
            <v>Minimum length</v>
          </cell>
        </row>
        <row r="914">
          <cell r="A914" t="str">
            <v>maxLength</v>
          </cell>
          <cell r="B914" t="str">
            <v>Maximum length</v>
          </cell>
        </row>
        <row r="915">
          <cell r="A915" t="str">
            <v>severity</v>
          </cell>
          <cell r="B915" t="str">
            <v>Severity indicator</v>
          </cell>
        </row>
        <row r="916">
          <cell r="A916" t="str">
            <v>detailsDep</v>
          </cell>
          <cell r="B916" t="str">
            <v>Access to details deprecated</v>
          </cell>
        </row>
        <row r="917">
          <cell r="A917" t="str">
            <v>isoCode</v>
          </cell>
          <cell r="B917" t="str">
            <v>ISO 3166-1 alpha-2 country code</v>
          </cell>
        </row>
        <row r="918">
          <cell r="A918" t="str">
            <v>changes</v>
          </cell>
          <cell r="B918" t="str">
            <v>Changes column</v>
          </cell>
        </row>
        <row r="919">
          <cell r="A919" t="str">
            <v>isoZone</v>
          </cell>
          <cell r="B919" t="str">
            <v>ISO 3166-2 code for country sub-domain</v>
          </cell>
        </row>
        <row r="920">
          <cell r="A920" t="str">
            <v>enumeration</v>
          </cell>
          <cell r="B920" t="str">
            <v>Enumeration for set values</v>
          </cell>
        </row>
        <row r="921">
          <cell r="A921" t="str">
            <v>utilities</v>
          </cell>
          <cell r="B921" t="str">
            <v>Utilities sector or organization</v>
          </cell>
        </row>
        <row r="922">
          <cell r="A922" t="str">
            <v>dataColl</v>
          </cell>
          <cell r="B922" t="str">
            <v>Data collection sector or organization</v>
          </cell>
        </row>
        <row r="923">
          <cell r="A923" t="str">
            <v>research</v>
          </cell>
          <cell r="B923" t="str">
            <v>Research sector or organization</v>
          </cell>
        </row>
        <row r="924">
          <cell r="A924" t="str">
            <v>policy</v>
          </cell>
          <cell r="B924" t="str">
            <v>Policy and political sector or organization</v>
          </cell>
        </row>
        <row r="925">
          <cell r="A925" t="str">
            <v>pcrActSet</v>
          </cell>
          <cell r="B925" t="str">
            <v>PCR action/activity set</v>
          </cell>
        </row>
        <row r="926">
          <cell r="A926" t="str">
            <v>stdCurveSet</v>
          </cell>
          <cell r="B926" t="str">
            <v>Standard Curve Calculation Set</v>
          </cell>
        </row>
        <row r="927">
          <cell r="A927" t="str">
            <v>localHA</v>
          </cell>
          <cell r="B927" t="str">
            <v>Access to local ha</v>
          </cell>
        </row>
        <row r="928">
          <cell r="A928" t="str">
            <v>a1306s</v>
          </cell>
          <cell r="B928" t="str">
            <v>a1306s delta-variant gene target</v>
          </cell>
        </row>
        <row r="929">
          <cell r="A929" t="str">
            <v>a1918v</v>
          </cell>
          <cell r="B929" t="str">
            <v>a1918v delta-variant gene target</v>
          </cell>
        </row>
        <row r="930">
          <cell r="A930" t="str">
            <v>a2710t</v>
          </cell>
          <cell r="B930" t="str">
            <v>a2710t omicron-variant gene target</v>
          </cell>
        </row>
        <row r="931">
          <cell r="A931" t="str">
            <v>a63t</v>
          </cell>
          <cell r="B931" t="str">
            <v>a63t omicron-variant gene target</v>
          </cell>
        </row>
        <row r="932">
          <cell r="A932" t="str">
            <v>a67v</v>
          </cell>
          <cell r="B932" t="str">
            <v>a67v omicron-variant gene target</v>
          </cell>
        </row>
        <row r="933">
          <cell r="A933" t="str">
            <v>adv40</v>
          </cell>
          <cell r="B933" t="str">
            <v>Adenovirus 40</v>
          </cell>
        </row>
        <row r="934">
          <cell r="A934" t="str">
            <v>adv41</v>
          </cell>
          <cell r="B934" t="str">
            <v>Adenovirus 41</v>
          </cell>
        </row>
        <row r="935">
          <cell r="A935" t="str">
            <v>bcov</v>
          </cell>
          <cell r="B935" t="str">
            <v>bcov</v>
          </cell>
        </row>
        <row r="936">
          <cell r="A936" t="str">
            <v>ddpcr</v>
          </cell>
          <cell r="B936" t="str">
            <v>Digital droplet emulsification PCR</v>
          </cell>
        </row>
        <row r="937">
          <cell r="A937" t="str">
            <v>brsv</v>
          </cell>
          <cell r="B937" t="str">
            <v>Bovine respiratory syncytial virus group</v>
          </cell>
        </row>
        <row r="938">
          <cell r="A938" t="str">
            <v>other</v>
          </cell>
          <cell r="B938" t="str">
            <v>Other</v>
          </cell>
        </row>
        <row r="939">
          <cell r="A939" t="str">
            <v>cAuris</v>
          </cell>
          <cell r="B939" t="str">
            <v>Candida auris</v>
          </cell>
        </row>
        <row r="940">
          <cell r="A940" t="str">
            <v>cbp</v>
          </cell>
          <cell r="B940" t="str">
            <v>Carbapenemase-encoding genes</v>
          </cell>
        </row>
        <row r="941">
          <cell r="A941" t="str">
            <v>covB117</v>
          </cell>
          <cell r="B941" t="str">
            <v>SARS-CoV-2-B.1.1.7</v>
          </cell>
        </row>
        <row r="942">
          <cell r="A942" t="str">
            <v>covB135</v>
          </cell>
          <cell r="B942" t="str">
            <v>SARS-CoV-2-B.1.351</v>
          </cell>
        </row>
        <row r="943">
          <cell r="A943" t="str">
            <v>covP1</v>
          </cell>
          <cell r="B943" t="str">
            <v>SARS-CoV-2-P.1</v>
          </cell>
        </row>
        <row r="944">
          <cell r="A944" t="str">
            <v>cod</v>
          </cell>
          <cell r="B944" t="str">
            <v>Chemical Oxygen Demand</v>
          </cell>
        </row>
        <row r="945">
          <cell r="A945" t="str">
            <v>cond</v>
          </cell>
          <cell r="B945" t="str">
            <v>Water conductivity</v>
          </cell>
        </row>
        <row r="946">
          <cell r="A946" t="str">
            <v>nH4N</v>
          </cell>
          <cell r="B946" t="str">
            <v>Ammonium Nitrogen</v>
          </cell>
        </row>
        <row r="947">
          <cell r="A947" t="str">
            <v>d377y</v>
          </cell>
          <cell r="B947" t="str">
            <v>d377y delta-variant gene target</v>
          </cell>
        </row>
        <row r="948">
          <cell r="A948" t="str">
            <v>d3g </v>
          </cell>
          <cell r="B948" t="str">
            <v>d3g omicron-variant gene target</v>
          </cell>
        </row>
        <row r="949">
          <cell r="A949" t="str">
            <v>d63g</v>
          </cell>
          <cell r="B949" t="str">
            <v>d63g delta-variant gene target</v>
          </cell>
        </row>
        <row r="950">
          <cell r="A950" t="str">
            <v>d796y </v>
          </cell>
          <cell r="B950" t="str">
            <v>d796y omicron-variant gene target</v>
          </cell>
        </row>
        <row r="951">
          <cell r="A951" t="str">
            <v>d950n</v>
          </cell>
          <cell r="B951" t="str">
            <v>d950n delta-variant gene target</v>
          </cell>
        </row>
        <row r="952">
          <cell r="A952" t="str">
            <v>ddcovE</v>
          </cell>
          <cell r="B952" t="str">
            <v>ddcov_e sars-cov-2 gene target</v>
          </cell>
        </row>
        <row r="953">
          <cell r="A953" t="str">
            <v>ddcovN </v>
          </cell>
          <cell r="B953" t="str">
            <v>ddcov_n sars-cov-2 gene target</v>
          </cell>
        </row>
        <row r="954">
          <cell r="A954" t="str">
            <v>del143</v>
          </cell>
          <cell r="B954" t="str">
            <v>del143/145 </v>
          </cell>
        </row>
        <row r="955">
          <cell r="A955" t="str">
            <v>del157</v>
          </cell>
          <cell r="B955" t="str">
            <v>del 157/158</v>
          </cell>
        </row>
        <row r="956">
          <cell r="A956" t="str">
            <v>del2084</v>
          </cell>
          <cell r="B956" t="str">
            <v>del2084/2084 </v>
          </cell>
        </row>
        <row r="957">
          <cell r="A957" t="str">
            <v>del212</v>
          </cell>
          <cell r="B957" t="str">
            <v>del212/212 </v>
          </cell>
        </row>
        <row r="958">
          <cell r="A958" t="str">
            <v>del3674</v>
          </cell>
          <cell r="B958" t="str">
            <v>del3674/3676 </v>
          </cell>
        </row>
        <row r="959">
          <cell r="A959" t="str">
            <v>del6970</v>
          </cell>
          <cell r="B959" t="str">
            <v>del69/70</v>
          </cell>
        </row>
        <row r="960">
          <cell r="A960" t="str">
            <v>dillute</v>
          </cell>
          <cell r="B960" t="str">
            <v>Point dillutions</v>
          </cell>
        </row>
        <row r="961">
          <cell r="A961" t="str">
            <v>e156g</v>
          </cell>
          <cell r="B961" t="str">
            <v>e156g delta-variant gene target</v>
          </cell>
        </row>
        <row r="962">
          <cell r="A962" t="str">
            <v>e484a </v>
          </cell>
          <cell r="B962" t="str">
            <v>e484a omicron-variant gene target</v>
          </cell>
        </row>
        <row r="963">
          <cell r="A963" t="str">
            <v>efficient</v>
          </cell>
          <cell r="B963" t="str">
            <v>Efficiency</v>
          </cell>
        </row>
        <row r="964">
          <cell r="A964" t="str">
            <v>eSarbec</v>
          </cell>
          <cell r="B964" t="str">
            <v>Sarbecovirus-specific E sars-cov-2 gene target</v>
          </cell>
        </row>
        <row r="965">
          <cell r="A965" t="str">
            <v>esbl</v>
          </cell>
          <cell r="B965" t="str">
            <v>ESBL-encoding genes</v>
          </cell>
        </row>
        <row r="966">
          <cell r="A966" t="str">
            <v>expFail</v>
          </cell>
          <cell r="B966" t="str">
            <v>Experiment Failed</v>
          </cell>
        </row>
        <row r="967">
          <cell r="A967" t="str">
            <v>flagAI</v>
          </cell>
          <cell r="B967" t="str">
            <v>AI - Inhibition present but addressed</v>
          </cell>
        </row>
        <row r="968">
          <cell r="A968" t="str">
            <v>flagB</v>
          </cell>
          <cell r="B968" t="str">
            <v>B - Trace levels of contamination</v>
          </cell>
        </row>
        <row r="969">
          <cell r="A969" t="str">
            <v>flagFI</v>
          </cell>
          <cell r="B969" t="str">
            <v>FI - Inhibition present and unaddressed</v>
          </cell>
        </row>
        <row r="970">
          <cell r="A970" t="str">
            <v>flagJ</v>
          </cell>
          <cell r="B970" t="str">
            <v>J - Weak signal extrapolation</v>
          </cell>
        </row>
        <row r="971">
          <cell r="A971" t="str">
            <v>flagUJ</v>
          </cell>
          <cell r="B971" t="str">
            <v>UJ - Trace signal extrapolation</v>
          </cell>
        </row>
        <row r="972">
          <cell r="A972" t="str">
            <v>flagUQ</v>
          </cell>
          <cell r="B972" t="str">
            <v>UQ - Unquantifiable</v>
          </cell>
        </row>
        <row r="973">
          <cell r="A973" t="str">
            <v>floMean</v>
          </cell>
          <cell r="B973" t="str">
            <v>Flow-normalized mean</v>
          </cell>
        </row>
        <row r="974">
          <cell r="A974" t="str">
            <v>fluA</v>
          </cell>
          <cell r="B974" t="str">
            <v>Influenza A virus</v>
          </cell>
        </row>
        <row r="975">
          <cell r="A975" t="str">
            <v>fluiDpcr</v>
          </cell>
          <cell r="B975" t="str">
            <v>Fluidigm digital PCR</v>
          </cell>
        </row>
        <row r="976">
          <cell r="A976" t="str">
            <v>g215c</v>
          </cell>
          <cell r="B976" t="str">
            <v>g215c delta-variant gene target</v>
          </cell>
        </row>
        <row r="977">
          <cell r="A977" t="str">
            <v>g339d </v>
          </cell>
          <cell r="B977" t="str">
            <v>g339d omicron-variant gene target</v>
          </cell>
        </row>
        <row r="978">
          <cell r="A978" t="str">
            <v>g496s </v>
          </cell>
          <cell r="B978" t="str">
            <v>g496s omicron-variant gene target</v>
          </cell>
        </row>
        <row r="979">
          <cell r="A979" t="str">
            <v>g662s</v>
          </cell>
          <cell r="B979" t="str">
            <v>g662s delta-variant gene target</v>
          </cell>
        </row>
        <row r="980">
          <cell r="A980" t="str">
            <v>ph</v>
          </cell>
          <cell r="B980" t="str">
            <v>pH</v>
          </cell>
        </row>
        <row r="981">
          <cell r="A981" t="str">
            <v>temp</v>
          </cell>
          <cell r="B981" t="str">
            <v>Sample temperature</v>
          </cell>
        </row>
        <row r="982">
          <cell r="A982" t="str">
            <v>tn</v>
          </cell>
          <cell r="B982" t="str">
            <v>Total Nitrogen</v>
          </cell>
        </row>
        <row r="983">
          <cell r="A983" t="str">
            <v>ts</v>
          </cell>
          <cell r="B983" t="str">
            <v>Total solids concentration</v>
          </cell>
        </row>
        <row r="984">
          <cell r="A984" t="str">
            <v>tss</v>
          </cell>
          <cell r="B984" t="str">
            <v>Total suspended solids</v>
          </cell>
        </row>
        <row r="985">
          <cell r="A985" t="str">
            <v>i1566v </v>
          </cell>
          <cell r="B985" t="str">
            <v>i1566v omicron-variant gene target</v>
          </cell>
        </row>
        <row r="986">
          <cell r="A986" t="str">
            <v>i3758v </v>
          </cell>
          <cell r="B986" t="str">
            <v>i3758v omicron-variant gene target</v>
          </cell>
        </row>
        <row r="987">
          <cell r="A987" t="str">
            <v>i82t</v>
          </cell>
          <cell r="B987" t="str">
            <v>i82t delta-variant gene target</v>
          </cell>
        </row>
        <row r="988">
          <cell r="A988" t="str">
            <v>aggregation</v>
          </cell>
          <cell r="B988" t="str">
            <v>Aggregation</v>
          </cell>
        </row>
        <row r="989">
          <cell r="A989" t="str">
            <v>inter</v>
          </cell>
          <cell r="B989" t="str">
            <v>Intercept</v>
          </cell>
        </row>
        <row r="990">
          <cell r="A990" t="str">
            <v>ip2ip4</v>
          </cell>
          <cell r="B990" t="str">
            <v>Combined ip2 and ip4 sars-cov-2 gene target</v>
          </cell>
        </row>
        <row r="991">
          <cell r="A991" t="str">
            <v>k856r </v>
          </cell>
          <cell r="B991" t="str">
            <v>k856r omicron-variant gene target</v>
          </cell>
        </row>
        <row r="992">
          <cell r="A992" t="str">
            <v>l452r</v>
          </cell>
          <cell r="B992" t="str">
            <v>l452r delta-variant gene target</v>
          </cell>
        </row>
        <row r="993">
          <cell r="A993" t="str">
            <v>l981f </v>
          </cell>
          <cell r="B993" t="str">
            <v>l981f omicron-variant gene target</v>
          </cell>
        </row>
        <row r="994">
          <cell r="A994" t="str">
            <v>Maybe not something we're even reporting, so.. no include?</v>
          </cell>
          <cell r="B994" t="str">
            <v>Control-plate Flag - NTCs</v>
          </cell>
        </row>
        <row r="995">
          <cell r="A995" t="str">
            <v>mpox</v>
          </cell>
          <cell r="B995" t="str">
            <v>Mpox</v>
          </cell>
        </row>
        <row r="996">
          <cell r="A996" t="str">
            <v>noro</v>
          </cell>
          <cell r="B996" t="str">
            <v>Norovirus</v>
          </cell>
        </row>
        <row r="997">
          <cell r="A997" t="str">
            <v>noroG1</v>
          </cell>
          <cell r="B997" t="str">
            <v>Norovirus G1</v>
          </cell>
        </row>
        <row r="998">
          <cell r="A998" t="str">
            <v>noroG2</v>
          </cell>
          <cell r="B998" t="str">
            <v>Norovirus G2</v>
          </cell>
        </row>
        <row r="999">
          <cell r="A999" t="str">
            <v>otherProvDep</v>
          </cell>
          <cell r="B999" t="str">
            <v>Access to other prov depricated</v>
          </cell>
        </row>
        <row r="1000">
          <cell r="A1000" t="str">
            <v>pcrQualitySet</v>
          </cell>
          <cell r="B1000" t="str">
            <v>PCR quality set</v>
          </cell>
        </row>
        <row r="1001">
          <cell r="A1001" t="str">
            <v>pmFloMean</v>
          </cell>
          <cell r="B1001" t="str">
            <v>PMMoV- and flow-normalized mean</v>
          </cell>
        </row>
        <row r="1002">
          <cell r="A1002" t="str">
            <v>pmmovNorm</v>
          </cell>
          <cell r="B1002" t="str">
            <v>PMMoV-normalized mean</v>
          </cell>
        </row>
        <row r="1003">
          <cell r="A1003" t="str">
            <v>vss</v>
          </cell>
          <cell r="B1003" t="str">
            <v>Volatile suspended solids</v>
          </cell>
        </row>
        <row r="1004">
          <cell r="A1004" t="str">
            <v>ophos</v>
          </cell>
          <cell r="B1004" t="str">
            <v>Orthophosphates</v>
          </cell>
        </row>
        <row r="1005">
          <cell r="A1005" t="str">
            <v>q19e </v>
          </cell>
          <cell r="B1005" t="str">
            <v>q19e omicron-variant gene target</v>
          </cell>
        </row>
        <row r="1006">
          <cell r="A1006" t="str">
            <v>q493r </v>
          </cell>
          <cell r="B1006" t="str">
            <v>q493r omicron-variant gene target</v>
          </cell>
        </row>
        <row r="1007">
          <cell r="A1007" t="str">
            <v>q498r </v>
          </cell>
          <cell r="B1007" t="str">
            <v>q498r omicron-variant gene target</v>
          </cell>
        </row>
        <row r="1008">
          <cell r="A1008" t="str">
            <v>q954h </v>
          </cell>
          <cell r="B1008" t="str">
            <v>q954h omicron-variant gene target</v>
          </cell>
        </row>
        <row r="1009">
          <cell r="A1009" t="str">
            <v>qgDpcr</v>
          </cell>
          <cell r="B1009" t="str">
            <v>qiagen digital PCR</v>
          </cell>
        </row>
        <row r="1010">
          <cell r="A1010" t="str">
            <v>r2</v>
          </cell>
          <cell r="B1010" t="str">
            <v>R squared</v>
          </cell>
        </row>
        <row r="1011">
          <cell r="A1011" t="str">
            <v>r203m</v>
          </cell>
          <cell r="B1011" t="str">
            <v>r203m delta-variant gene target</v>
          </cell>
        </row>
        <row r="1012">
          <cell r="A1012" t="str">
            <v>rainDpcr</v>
          </cell>
          <cell r="B1012" t="str">
            <v>Raindance digital PCR</v>
          </cell>
        </row>
        <row r="1013">
          <cell r="A1013" t="str">
            <v>rdrpIP2</v>
          </cell>
          <cell r="B1013" t="str">
            <v>IP2 rdrp sars-cov-2 gene target</v>
          </cell>
        </row>
        <row r="1014">
          <cell r="A1014" t="str">
            <v>rdrpIP4</v>
          </cell>
          <cell r="B1014" t="str">
            <v>IP4 rdrp sars-cov-2 gene target</v>
          </cell>
        </row>
        <row r="1015">
          <cell r="A1015" t="str">
            <v>repNum</v>
          </cell>
          <cell r="B1015" t="str">
            <v>replicate number</v>
          </cell>
        </row>
        <row r="1016">
          <cell r="A1016" t="str">
            <v>rsvAMe</v>
          </cell>
          <cell r="B1016" t="str">
            <v>Respiratory syncytial virus A</v>
          </cell>
        </row>
        <row r="1017">
          <cell r="A1017" t="str">
            <v>rsvB</v>
          </cell>
          <cell r="B1017" t="str">
            <v>Respiratory syncytial virus B</v>
          </cell>
        </row>
        <row r="1018">
          <cell r="A1018" t="str">
            <v>s2083i </v>
          </cell>
          <cell r="B1018" t="str">
            <v>s2083i omicron-variant gene target</v>
          </cell>
        </row>
        <row r="1019">
          <cell r="A1019" t="str">
            <v>s371l </v>
          </cell>
          <cell r="B1019" t="str">
            <v>s371l omicron-variant gene target</v>
          </cell>
        </row>
        <row r="1020">
          <cell r="A1020" t="str">
            <v>s373p </v>
          </cell>
          <cell r="B1020" t="str">
            <v>s373p omicron-variant gene target</v>
          </cell>
        </row>
        <row r="1021">
          <cell r="A1021" t="str">
            <v>s375f </v>
          </cell>
          <cell r="B1021" t="str">
            <v>s375f omicron-variant gene target</v>
          </cell>
        </row>
        <row r="1022">
          <cell r="A1022" t="str">
            <v>s477n </v>
          </cell>
          <cell r="B1022" t="str">
            <v>s477n omicron-variant gene target</v>
          </cell>
        </row>
        <row r="1023">
          <cell r="A1023" t="str">
            <v>scf</v>
          </cell>
          <cell r="B1023" t="str">
            <v>Standard curve frequency</v>
          </cell>
        </row>
        <row r="1024">
          <cell r="A1024" t="str">
            <v>sGene</v>
          </cell>
          <cell r="B1024" t="str">
            <v>S sars-cov-2 gene target</v>
          </cell>
        </row>
        <row r="1025">
          <cell r="A1025" t="str">
            <v>slope</v>
          </cell>
          <cell r="B1025" t="str">
            <v>slope</v>
          </cell>
        </row>
        <row r="1026">
          <cell r="A1026" t="str">
            <v>spikeMat</v>
          </cell>
          <cell r="B1026" t="str">
            <v>Spike material</v>
          </cell>
        </row>
        <row r="1027">
          <cell r="A1027" t="str">
            <v>spikeTarget</v>
          </cell>
          <cell r="B1027" t="str">
            <v>Recovery efficiency spike target</v>
          </cell>
        </row>
        <row r="1028">
          <cell r="A1028" t="str">
            <v>stoTim</v>
          </cell>
          <cell r="B1028" t="str">
            <v>Storage time</v>
          </cell>
        </row>
        <row r="1029">
          <cell r="A1029" t="str">
            <v>t19r</v>
          </cell>
          <cell r="B1029" t="str">
            <v>t19r delta-variant gene target</v>
          </cell>
        </row>
        <row r="1030">
          <cell r="A1030" t="str">
            <v>t3646a</v>
          </cell>
          <cell r="B1030" t="str">
            <v>t3646a delta-variant gene target</v>
          </cell>
        </row>
        <row r="1031">
          <cell r="A1031" t="str">
            <v>t547k </v>
          </cell>
          <cell r="B1031" t="str">
            <v>t547k omicron-variant gene target</v>
          </cell>
        </row>
        <row r="1032">
          <cell r="A1032" t="str">
            <v>t9i </v>
          </cell>
          <cell r="B1032" t="str">
            <v>t9i omicron-variant gene target</v>
          </cell>
        </row>
        <row r="1033">
          <cell r="A1033" t="str">
            <v>taqpatN</v>
          </cell>
          <cell r="B1033" t="str">
            <v>TaqPath N sars-cov-2 gene target</v>
          </cell>
        </row>
        <row r="1034">
          <cell r="A1034" t="str">
            <v>taqpatS</v>
          </cell>
          <cell r="B1034" t="str">
            <v>TaqPath S sars-cov-2 gene target</v>
          </cell>
        </row>
        <row r="1035">
          <cell r="A1035" t="str">
            <v>phac</v>
          </cell>
          <cell r="B1035" t="str">
            <v>Access to phac</v>
          </cell>
        </row>
        <row r="1036">
          <cell r="A1036" t="str">
            <v>v2930l</v>
          </cell>
          <cell r="B1036" t="str">
            <v>v2930l delta-variant gene target</v>
          </cell>
        </row>
        <row r="1037">
          <cell r="A1037" t="str">
            <v>varchar</v>
          </cell>
          <cell r="B1037" t="str">
            <v>Variable character data type</v>
          </cell>
        </row>
        <row r="1038">
          <cell r="A1038" t="str">
            <v>y505h </v>
          </cell>
          <cell r="B1038" t="str">
            <v>y505h omicron-variant gene target</v>
          </cell>
        </row>
        <row r="1039">
          <cell r="A1039" t="str">
            <v>zymoEnv</v>
          </cell>
          <cell r="B1039" t="str">
            <v>zymo environ water rna kit/ zymo environ water rna kit (cat. r2042)</v>
          </cell>
        </row>
        <row r="1040">
          <cell r="A1040" t="str">
            <v>zymoQuick</v>
          </cell>
          <cell r="B1040" t="str">
            <v>zymo quick-rna fungal/bacterial miniprep #r2014</v>
          </cell>
        </row>
        <row r="1041">
          <cell r="A1041" t="str">
            <v>covN200</v>
          </cell>
          <cell r="B1041" t="str">
            <v>SARS-CoV-2-N200</v>
          </cell>
        </row>
        <row r="1042">
          <cell r="A1042" t="str">
            <v>gc</v>
          </cell>
          <cell r="B1042" t="str">
            <v>Gene copies</v>
          </cell>
        </row>
        <row r="1043">
          <cell r="A1043" t="str">
            <v>rsvN</v>
          </cell>
          <cell r="B1043" t="str">
            <v>RSV N-gene</v>
          </cell>
        </row>
        <row r="1044">
          <cell r="A1044" t="str">
            <v>pcrAct</v>
          </cell>
          <cell r="B1044" t="str">
            <v>PCR Action/Activity</v>
          </cell>
        </row>
        <row r="1045">
          <cell r="A1045" t="str">
            <v>rt</v>
          </cell>
          <cell r="B1045" t="str">
            <v>reverse transcription</v>
          </cell>
        </row>
        <row r="1046">
          <cell r="A1046" t="str">
            <v>pa</v>
          </cell>
          <cell r="B1046" t="str">
            <v>polymerase activation</v>
          </cell>
        </row>
        <row r="1047">
          <cell r="A1047" t="str">
            <v>denat</v>
          </cell>
          <cell r="B1047" t="str">
            <v>denaturation</v>
          </cell>
        </row>
        <row r="1048">
          <cell r="A1048" t="str">
            <v>anneal</v>
          </cell>
          <cell r="B1048" t="str">
            <v>annealing/extension</v>
          </cell>
        </row>
        <row r="1049">
          <cell r="A1049" t="str">
            <v>serDil</v>
          </cell>
          <cell r="B1049" t="str">
            <v>serial dillution</v>
          </cell>
        </row>
        <row r="1050">
          <cell r="A1050" t="str">
            <v>stdCurveMet</v>
          </cell>
          <cell r="B1050" t="str">
            <v>Standard Curve Calculation Method</v>
          </cell>
        </row>
        <row r="1051">
          <cell r="A1051" t="str">
            <v>provHA</v>
          </cell>
          <cell r="B1051" t="str">
            <v>Access to prov ha</v>
          </cell>
        </row>
        <row r="1052">
          <cell r="A1052" t="str">
            <v>clari</v>
          </cell>
          <cell r="B1052" t="str">
            <v>Clarified sample</v>
          </cell>
        </row>
        <row r="1053">
          <cell r="A1053" t="str">
            <v>comp</v>
          </cell>
          <cell r="B1053" t="str">
            <v>Composite sample - archival</v>
          </cell>
        </row>
        <row r="1054">
          <cell r="A1054" t="str">
            <v>gcPpmov</v>
          </cell>
          <cell r="B1054" t="str">
            <v>Gene copies per PMMoV copy</v>
          </cell>
        </row>
        <row r="1055">
          <cell r="A1055" t="str">
            <v>cel</v>
          </cell>
          <cell r="B1055" t="str">
            <v>Degrees Celcius</v>
          </cell>
        </row>
        <row r="1056">
          <cell r="A1056" t="str">
            <v>m3D</v>
          </cell>
          <cell r="B1056" t="str">
            <v>Cubic metres per day</v>
          </cell>
        </row>
        <row r="1057">
          <cell r="A1057" t="str">
            <v>m3H</v>
          </cell>
          <cell r="B1057" t="str">
            <v>Cubic metres per hour</v>
          </cell>
        </row>
        <row r="1058">
          <cell r="A1058" t="str">
            <v>m3S</v>
          </cell>
          <cell r="B1058" t="str">
            <v>Cubic metres per second</v>
          </cell>
        </row>
        <row r="1059">
          <cell r="A1059" t="str">
            <v>ct</v>
          </cell>
          <cell r="B1059" t="str">
            <v>Cycle threshold or quantification cycle (Ct or Cq)</v>
          </cell>
        </row>
        <row r="1060">
          <cell r="A1060" t="str">
            <v>sampleShed</v>
          </cell>
          <cell r="B1060" t="str">
            <v>Sample shed</v>
          </cell>
        </row>
        <row r="1061">
          <cell r="A1061" t="str">
            <v>public</v>
          </cell>
          <cell r="B1061" t="str">
            <v>Access to public</v>
          </cell>
        </row>
        <row r="1062">
          <cell r="A1062" t="str">
            <v>collNumPer</v>
          </cell>
          <cell r="B1062" t="str">
            <v xml:space="preserve">Collection period and number </v>
          </cell>
        </row>
        <row r="1063">
          <cell r="A1063" t="str">
            <v>det</v>
          </cell>
          <cell r="B1063" t="str">
            <v>Detected</v>
          </cell>
        </row>
        <row r="1064">
          <cell r="A1064" t="str">
            <v>gcCrA</v>
          </cell>
          <cell r="B1064" t="str">
            <v>Gene copies per copy of crAssphage</v>
          </cell>
        </row>
        <row r="1065">
          <cell r="A1065" t="str">
            <v>frozen</v>
          </cell>
          <cell r="B1065" t="str">
            <v>Sample frozen</v>
          </cell>
        </row>
        <row r="1066">
          <cell r="A1066" t="str">
            <v>gCGS</v>
          </cell>
          <cell r="B1066" t="str">
            <v>Gene copies per gram solids</v>
          </cell>
        </row>
        <row r="1067">
          <cell r="A1067" t="str">
            <v>gcL</v>
          </cell>
          <cell r="B1067" t="str">
            <v>Gene copies per L</v>
          </cell>
        </row>
        <row r="1068">
          <cell r="A1068" t="str">
            <v>sampleQualitySet</v>
          </cell>
          <cell r="B1068" t="str">
            <v>Sample quality set</v>
          </cell>
        </row>
        <row r="1069">
          <cell r="A1069" t="str">
            <v>spill</v>
          </cell>
          <cell r="B1069" t="str">
            <v>Sample spilled</v>
          </cell>
        </row>
        <row r="1070">
          <cell r="A1070" t="str">
            <v>gcMl</v>
          </cell>
          <cell r="B1070" t="str">
            <v>Gene copies per mL</v>
          </cell>
        </row>
        <row r="1071">
          <cell r="A1071" t="str">
            <v>mgL</v>
          </cell>
          <cell r="B1071" t="str">
            <v>Milligrams per litre</v>
          </cell>
        </row>
        <row r="1072">
          <cell r="A1072" t="str">
            <v>self</v>
          </cell>
          <cell r="B1072" t="str">
            <v>Access to self</v>
          </cell>
        </row>
        <row r="1073">
          <cell r="A1073" t="str">
            <v>unit</v>
          </cell>
          <cell r="B1073" t="str">
            <v>Unit</v>
          </cell>
        </row>
        <row r="1074">
          <cell r="A1074" t="str">
            <v>beta</v>
          </cell>
          <cell r="B1074" t="str">
            <v>Beta</v>
          </cell>
        </row>
        <row r="1075">
          <cell r="A1075" t="str">
            <v>otunDep</v>
          </cell>
          <cell r="B1075" t="str">
            <v>Other Unit depricated</v>
          </cell>
        </row>
        <row r="1076">
          <cell r="A1076" t="str">
            <v>pp</v>
          </cell>
          <cell r="B1076" t="str">
            <v>Percent positive</v>
          </cell>
        </row>
        <row r="1077">
          <cell r="A1077" t="str">
            <v>pps</v>
          </cell>
          <cell r="B1077" t="str">
            <v>Percent primary sludge</v>
          </cell>
        </row>
        <row r="1078">
          <cell r="A1078" t="str">
            <v>propV</v>
          </cell>
          <cell r="B1078" t="str">
            <v>Proportion of variant in sample</v>
          </cell>
        </row>
        <row r="1079">
          <cell r="A1079" t="str">
            <v>delta</v>
          </cell>
          <cell r="B1079" t="str">
            <v>Delta</v>
          </cell>
        </row>
        <row r="1080">
          <cell r="A1080" t="str">
            <v>estFreqReads</v>
          </cell>
          <cell r="B1080" t="str">
            <v>Estimated frequency of reads</v>
          </cell>
        </row>
        <row r="1081">
          <cell r="A1081" t="str">
            <v>gam</v>
          </cell>
          <cell r="B1081" t="str">
            <v>Gamma</v>
          </cell>
        </row>
        <row r="1082">
          <cell r="A1082" t="str">
            <v>lamba</v>
          </cell>
          <cell r="B1082" t="str">
            <v>Lambda</v>
          </cell>
        </row>
        <row r="1083">
          <cell r="A1083" t="str">
            <v>mutationPanel</v>
          </cell>
          <cell r="B1083" t="str">
            <v>Mutation panels class</v>
          </cell>
        </row>
        <row r="1084">
          <cell r="A1084" t="str">
            <v>omicr1</v>
          </cell>
          <cell r="B1084" t="str">
            <v>Omicron BA.1</v>
          </cell>
        </row>
        <row r="1085">
          <cell r="A1085" t="str">
            <v>omicr2</v>
          </cell>
          <cell r="B1085" t="str">
            <v>Omicron BA.2</v>
          </cell>
        </row>
        <row r="1086">
          <cell r="A1086" t="str">
            <v>omicr275</v>
          </cell>
          <cell r="B1086" t="str">
            <v>Omicron BA.2.75</v>
          </cell>
        </row>
        <row r="1087">
          <cell r="A1087" t="str">
            <v>omicr4</v>
          </cell>
          <cell r="B1087" t="str">
            <v>Omicron BA.4</v>
          </cell>
        </row>
        <row r="1088">
          <cell r="A1088" t="str">
            <v>omicr5</v>
          </cell>
          <cell r="B1088" t="str">
            <v>Omicron BA.5</v>
          </cell>
        </row>
        <row r="1089">
          <cell r="A1089" t="str">
            <v>otherV</v>
          </cell>
          <cell r="B1089" t="str">
            <v>Variants Other</v>
          </cell>
        </row>
        <row r="1090">
          <cell r="A1090" t="str">
            <v>phred</v>
          </cell>
          <cell r="B1090" t="str">
            <v>PHRED quality score</v>
          </cell>
        </row>
        <row r="1091">
          <cell r="A1091" t="str">
            <v>primer</v>
          </cell>
          <cell r="B1091" t="str">
            <v>Genetic primer</v>
          </cell>
        </row>
        <row r="1092">
          <cell r="A1092" t="str">
            <v>sC</v>
          </cell>
          <cell r="B1092" t="str">
            <v>Sparse coverage</v>
          </cell>
        </row>
        <row r="1093">
          <cell r="A1093" t="str">
            <v>scriptVersion</v>
          </cell>
          <cell r="B1093" t="str">
            <v>Genetic sequencing script version</v>
          </cell>
        </row>
        <row r="1094">
          <cell r="A1094" t="str">
            <v>seqLay</v>
          </cell>
          <cell r="B1094" t="str">
            <v>Sequencing Layout</v>
          </cell>
        </row>
        <row r="1095">
          <cell r="A1095" t="str">
            <v>seqQualitySet</v>
          </cell>
          <cell r="B1095" t="str">
            <v>Sequencing quality set</v>
          </cell>
        </row>
        <row r="1096">
          <cell r="A1096" t="str">
            <v>seqSel</v>
          </cell>
          <cell r="B1096" t="str">
            <v>Sequencing selection method</v>
          </cell>
        </row>
        <row r="1097">
          <cell r="A1097" t="str">
            <v>seqStrat</v>
          </cell>
          <cell r="B1097" t="str">
            <v>Sequencing Strategy</v>
          </cell>
        </row>
        <row r="1098">
          <cell r="A1098" t="str">
            <v>standardCurve</v>
          </cell>
          <cell r="B1098" t="str">
            <v>Standard curve class</v>
          </cell>
        </row>
        <row r="1099">
          <cell r="A1099" t="str">
            <v>subVar</v>
          </cell>
          <cell r="B1099" t="str">
            <v>Sub-variant or lineage</v>
          </cell>
        </row>
        <row r="1100">
          <cell r="A1100" t="str">
            <v>varFreq</v>
          </cell>
          <cell r="B1100" t="str">
            <v>Frequency of variants detected</v>
          </cell>
        </row>
        <row r="1101">
          <cell r="A1101" t="str">
            <v>who</v>
          </cell>
          <cell r="B1101" t="str">
            <v>WHO nomenclature</v>
          </cell>
        </row>
        <row r="1102">
          <cell r="A1102" t="str">
            <v xml:space="preserve">Calprotectin </v>
          </cell>
          <cell r="B1102" t="str">
            <v xml:space="preserve">Calprotectin </v>
          </cell>
        </row>
        <row r="1103">
          <cell r="A1103" t="str">
            <v>organism</v>
          </cell>
          <cell r="B1103" t="str">
            <v>Organism</v>
          </cell>
        </row>
        <row r="1104">
          <cell r="A1104" t="str">
            <v>cVDPV2</v>
          </cell>
          <cell r="B1104" t="str">
            <v>Circulating vaccine-derived poliovirus type 2</v>
          </cell>
        </row>
        <row r="1105">
          <cell r="A1105" t="str">
            <v>pv2</v>
          </cell>
          <cell r="B1105" t="str">
            <v>Poliovirus type 2</v>
          </cell>
        </row>
        <row r="1106">
          <cell r="A1106" t="str">
            <v>centSpeed</v>
          </cell>
          <cell r="B1106" t="str">
            <v>Centrifugation speed</v>
          </cell>
        </row>
        <row r="1107">
          <cell r="A1107" t="str">
            <v>speedUnitSet</v>
          </cell>
          <cell r="B1107" t="str">
            <v>Speed Unit Set</v>
          </cell>
        </row>
        <row r="1108">
          <cell r="A1108" t="str">
            <v>xg</v>
          </cell>
          <cell r="B1108" t="str">
            <v>Relative Centrifugal Force (RCF) or x g units</v>
          </cell>
        </row>
        <row r="1109">
          <cell r="A1109" t="str">
            <v>rpm</v>
          </cell>
          <cell r="B1109" t="str">
            <v>Revolutions per minute (RPM)</v>
          </cell>
        </row>
        <row r="1110">
          <cell r="A1110" t="str">
            <v>shaker</v>
          </cell>
          <cell r="B1110" t="str">
            <v>Shaker aggitation speed</v>
          </cell>
        </row>
        <row r="1111">
          <cell r="A1111" t="str">
            <v>duration</v>
          </cell>
          <cell r="B1111" t="str">
            <v>Duration time of a method</v>
          </cell>
        </row>
        <row r="1112">
          <cell r="A1112" t="str">
            <v>conc</v>
          </cell>
          <cell r="B1112" t="str">
            <v>Concentration measure</v>
          </cell>
        </row>
        <row r="1113">
          <cell r="A1113" t="str">
            <v>uL</v>
          </cell>
          <cell r="B1113" t="str">
            <v>Micro-litres</v>
          </cell>
        </row>
        <row r="1114">
          <cell r="A1114" t="str">
            <v>nM</v>
          </cell>
          <cell r="B1114" t="str">
            <v>Nano-molar</v>
          </cell>
        </row>
        <row r="1115">
          <cell r="A1115" t="str">
            <v>finVol</v>
          </cell>
          <cell r="B1115" t="str">
            <v>Final volume</v>
          </cell>
        </row>
        <row r="1116">
          <cell r="A1116" t="str">
            <v>cyNum</v>
          </cell>
          <cell r="B1116" t="str">
            <v>Number of cycles</v>
          </cell>
        </row>
        <row r="1117">
          <cell r="A1117" t="str">
            <v>retainedElement</v>
          </cell>
          <cell r="B1117" t="str">
            <v>Retained Element</v>
          </cell>
        </row>
        <row r="1118">
          <cell r="A1118" t="str">
            <v>retElSet</v>
          </cell>
          <cell r="B1118" t="str">
            <v>Retained Element Set</v>
          </cell>
        </row>
        <row r="1119">
          <cell r="A1119" t="str">
            <v>solid</v>
          </cell>
          <cell r="B1119" t="str">
            <v>Solids/Pellet retained</v>
          </cell>
        </row>
        <row r="1120">
          <cell r="A1120" t="str">
            <v>liquid</v>
          </cell>
          <cell r="B1120" t="str">
            <v>Liquid/Supernatant retained</v>
          </cell>
        </row>
        <row r="1121">
          <cell r="A1121" t="str">
            <v>eluate</v>
          </cell>
          <cell r="B1121" t="str">
            <v>Eluate/Resuspended filter material retained</v>
          </cell>
        </row>
        <row r="1122">
          <cell r="A1122" t="str">
            <v>resuspension</v>
          </cell>
          <cell r="B1122" t="str">
            <v>Resuspension method</v>
          </cell>
        </row>
        <row r="1123">
          <cell r="A1123" t="str">
            <v>elutionBuff</v>
          </cell>
          <cell r="B1123" t="str">
            <v>Elution buffer</v>
          </cell>
        </row>
        <row r="1124">
          <cell r="A1124" t="str">
            <v>resusSet</v>
          </cell>
          <cell r="B1124" t="str">
            <v>Resuspension method set</v>
          </cell>
        </row>
        <row r="1125">
          <cell r="A1125" t="str">
            <v>seconds</v>
          </cell>
          <cell r="B1125" t="str">
            <v>Seconds</v>
          </cell>
        </row>
        <row r="1126">
          <cell r="A1126" t="str">
            <v>sinProbeOne</v>
          </cell>
          <cell r="B1126" t="str">
            <v>Singleplex, probe-based, one-step RT-qPCR</v>
          </cell>
        </row>
        <row r="1127">
          <cell r="A1127" t="str">
            <v>cdcCovN1IDTFor</v>
          </cell>
          <cell r="B1127" t="str">
            <v>2019-nCoV_N1 forward primer (IDT)</v>
          </cell>
        </row>
        <row r="1128">
          <cell r="A1128" t="str">
            <v>cdcCovN1IDTRev</v>
          </cell>
          <cell r="B1128" t="str">
            <v>2019-nCoV_N1 reverse primer (IDT)</v>
          </cell>
        </row>
        <row r="1129">
          <cell r="A1129" t="str">
            <v>cdcCovN1IDTProbe</v>
          </cell>
          <cell r="B1129" t="str">
            <v>2019-nCoV_N1 probe (IDT)</v>
          </cell>
        </row>
        <row r="1130">
          <cell r="A1130" t="str">
            <v>cdcCovN2IDTFor</v>
          </cell>
          <cell r="B1130" t="str">
            <v>2019-nCoV_N2 forward primer (IDT)</v>
          </cell>
        </row>
        <row r="1131">
          <cell r="A1131" t="str">
            <v>cdcCovN2IDTRev</v>
          </cell>
          <cell r="B1131" t="str">
            <v>2019-nCoV_N2 reverse primer (IDT)</v>
          </cell>
        </row>
        <row r="1132">
          <cell r="A1132" t="str">
            <v>cdcCovN2IDTProbe</v>
          </cell>
          <cell r="B1132" t="str">
            <v>2019-nCoV_N2 probe (IDT)</v>
          </cell>
        </row>
        <row r="1133">
          <cell r="A1133" t="str">
            <v>cdcCovN3IDTFor</v>
          </cell>
          <cell r="B1133" t="str">
            <v>2019-nCoV_N3 forward primer (IDT)</v>
          </cell>
        </row>
        <row r="1134">
          <cell r="A1134" t="str">
            <v>cdcCovN3IDTRev</v>
          </cell>
          <cell r="B1134" t="str">
            <v>2019-nCoV_N3 reverse primer (IDT)</v>
          </cell>
        </row>
        <row r="1135">
          <cell r="A1135" t="str">
            <v>cdcCovN3IDTProbe</v>
          </cell>
          <cell r="B1135" t="str">
            <v>2019-nCoV_N3 probe (IDT)</v>
          </cell>
        </row>
        <row r="1136">
          <cell r="A1136" t="str">
            <v>cdcCovEIDTFor</v>
          </cell>
          <cell r="B1136" t="str">
            <v>Sarbeco_E forward primer (IDT)</v>
          </cell>
        </row>
        <row r="1137">
          <cell r="A1137" t="str">
            <v>cdcCovEIDTRev</v>
          </cell>
          <cell r="B1137" t="str">
            <v>Sarbeco_E reverse primer (IDT)</v>
          </cell>
        </row>
        <row r="1138">
          <cell r="A1138" t="str">
            <v>cdcCovEIDTProbe</v>
          </cell>
          <cell r="B1138" t="str">
            <v>Sarbeco_E probe (IDT)</v>
          </cell>
        </row>
        <row r="1139">
          <cell r="A1139" t="str">
            <v>bact16sABIFor</v>
          </cell>
          <cell r="B1139" t="str">
            <v>Bacteroides 16S forward primer (HF183) (ABI)</v>
          </cell>
        </row>
        <row r="1140">
          <cell r="A1140" t="str">
            <v>bact16sABIRev</v>
          </cell>
          <cell r="B1140" t="str">
            <v>Bacteroides 16S reverse primer (BacR287) (ABI)</v>
          </cell>
        </row>
        <row r="1141">
          <cell r="A1141" t="str">
            <v>bact16sABIProbe</v>
          </cell>
          <cell r="B1141" t="str">
            <v>Bacteroides 16S probe (BacP234) (ABI)</v>
          </cell>
        </row>
        <row r="1142">
          <cell r="A1142" t="str">
            <v>pmmvABIFor</v>
          </cell>
          <cell r="B1142" t="str">
            <v>PMMV forward primer (ABI)</v>
          </cell>
        </row>
        <row r="1143">
          <cell r="A1143" t="str">
            <v>pmmvABIRev</v>
          </cell>
          <cell r="B1143" t="str">
            <v>PMMV reverse primer (ABI)</v>
          </cell>
        </row>
        <row r="1144">
          <cell r="A1144" t="str">
            <v>pmmvABIProbe</v>
          </cell>
          <cell r="B1144" t="str">
            <v>PMMV probe (ABI)</v>
          </cell>
        </row>
        <row r="1145">
          <cell r="A1145" t="str">
            <v>vsvABIFor</v>
          </cell>
          <cell r="B1145" t="str">
            <v>VSV forward primer (ABI)</v>
          </cell>
        </row>
        <row r="1146">
          <cell r="A1146" t="str">
            <v>vsvABIRev</v>
          </cell>
          <cell r="B1146" t="str">
            <v>VSV reverse primer (ABI)</v>
          </cell>
        </row>
        <row r="1147">
          <cell r="A1147" t="str">
            <v>vsvABIProbe</v>
          </cell>
          <cell r="B1147" t="str">
            <v>VSV probe (ABI)</v>
          </cell>
        </row>
        <row r="1148">
          <cell r="A1148" t="str">
            <v>confRep</v>
          </cell>
          <cell r="B1148" t="str">
            <v>Number of confirmed cases by report date</v>
          </cell>
        </row>
        <row r="1149">
          <cell r="A1149" t="str">
            <v>confEp</v>
          </cell>
          <cell r="B1149" t="str">
            <v>Number of confirmed cases by episode date</v>
          </cell>
        </row>
        <row r="1150">
          <cell r="A1150" t="str">
            <v>confOn</v>
          </cell>
          <cell r="B1150" t="str">
            <v>Number of confirmed Cases Onset date</v>
          </cell>
        </row>
        <row r="1151">
          <cell r="A1151" t="str">
            <v>confTest</v>
          </cell>
          <cell r="B1151" t="str">
            <v>Number of confirmed cases test date</v>
          </cell>
        </row>
        <row r="1152">
          <cell r="A1152" t="str">
            <v>sum14</v>
          </cell>
          <cell r="B1152" t="str">
            <v>Rolling sum of previous 14 days</v>
          </cell>
        </row>
        <row r="1153">
          <cell r="A1153" t="str">
            <v>total</v>
          </cell>
          <cell r="B1153" t="str">
            <v>Total amount or count - the sum</v>
          </cell>
        </row>
        <row r="1154">
          <cell r="A1154" t="str">
            <v>vax1</v>
          </cell>
          <cell r="B1154" t="str">
            <v>Population with 1 dose of vaccine</v>
          </cell>
        </row>
        <row r="1155">
          <cell r="A1155" t="str">
            <v>vax2</v>
          </cell>
          <cell r="B1155" t="str">
            <v>Population with 2 or more doses of vaccine</v>
          </cell>
        </row>
        <row r="1156">
          <cell r="A1156" t="str">
            <v>vax3</v>
          </cell>
          <cell r="B1156" t="str">
            <v>Population with 3 or more doses of vaccine</v>
          </cell>
        </row>
        <row r="1157">
          <cell r="A1157" t="str">
            <v>vax4</v>
          </cell>
          <cell r="B1157" t="str">
            <v>Population with 4 or more doses of vaccine</v>
          </cell>
        </row>
        <row r="1158">
          <cell r="A1158" t="str">
            <v>noRain</v>
          </cell>
          <cell r="B1158" t="str">
            <v>No rain</v>
          </cell>
        </row>
        <row r="1159">
          <cell r="A1159" t="str">
            <v>col2Frdg</v>
          </cell>
          <cell r="B1159" t="str">
            <v>Time from collection to storage</v>
          </cell>
        </row>
        <row r="1160">
          <cell r="A1160" t="str">
            <v>afl30</v>
          </cell>
          <cell r="B1160" t="str">
            <v>Academic Free License v3.0</v>
          </cell>
        </row>
        <row r="1161">
          <cell r="A1161" t="str">
            <v>apache20</v>
          </cell>
          <cell r="B1161" t="str">
            <v>Apache license 2.0</v>
          </cell>
        </row>
        <row r="1162">
          <cell r="A1162" t="str">
            <v>artistic20</v>
          </cell>
          <cell r="B1162" t="str">
            <v>Artistic license 2.0</v>
          </cell>
        </row>
        <row r="1163">
          <cell r="A1163" t="str">
            <v>bsl10</v>
          </cell>
          <cell r="B1163" t="str">
            <v>Boost Software License 1.0</v>
          </cell>
        </row>
        <row r="1164">
          <cell r="A1164" t="str">
            <v>bsd2Clause</v>
          </cell>
          <cell r="B1164" t="str">
            <v>BSD 2-clause "Simplified" license</v>
          </cell>
        </row>
        <row r="1165">
          <cell r="A1165" t="str">
            <v>bsd3Clause</v>
          </cell>
          <cell r="B1165" t="str">
            <v>BSD 3-clause "New" or "Revised" license</v>
          </cell>
        </row>
        <row r="1166">
          <cell r="A1166" t="str">
            <v>bsd3ClauseClear</v>
          </cell>
          <cell r="B1166" t="str">
            <v>BSD 3-clause Clear license</v>
          </cell>
        </row>
        <row r="1167">
          <cell r="A1167" t="str">
            <v>bsd4Clause</v>
          </cell>
          <cell r="B1167" t="str">
            <v>BSD 4-clause "Original" or "Old" license</v>
          </cell>
        </row>
        <row r="1168">
          <cell r="A1168" t="str">
            <v>bsd0</v>
          </cell>
          <cell r="B1168" t="str">
            <v>BSD Zero-Clause license</v>
          </cell>
        </row>
        <row r="1169">
          <cell r="A1169" t="str">
            <v>cecill21</v>
          </cell>
          <cell r="B1169" t="str">
            <v>CeCILL Free Software License Agreement v2.1</v>
          </cell>
        </row>
        <row r="1170">
          <cell r="A1170" t="str">
            <v>cc010</v>
          </cell>
          <cell r="B1170" t="str">
            <v>Creative Commons Zero v1.0 Universal</v>
          </cell>
        </row>
        <row r="1171">
          <cell r="A1171" t="str">
            <v>ccby40</v>
          </cell>
          <cell r="B1171" t="str">
            <v>Creative Commons Attribution 4.0</v>
          </cell>
        </row>
        <row r="1172">
          <cell r="A1172" t="str">
            <v>ccbysa40</v>
          </cell>
          <cell r="B1172" t="str">
            <v>Creative Commons Attribution ShareAlike 4.0</v>
          </cell>
        </row>
        <row r="1173">
          <cell r="A1173" t="str">
            <v>wtfpl</v>
          </cell>
          <cell r="B1173" t="str">
            <v>Do What The F*ck You Want To Public License</v>
          </cell>
        </row>
        <row r="1174">
          <cell r="A1174" t="str">
            <v>ecl20</v>
          </cell>
          <cell r="B1174" t="str">
            <v>Educational Community License v2.0</v>
          </cell>
        </row>
        <row r="1175">
          <cell r="A1175" t="str">
            <v>epl10</v>
          </cell>
          <cell r="B1175" t="str">
            <v>Eclipse Public License 1.0</v>
          </cell>
        </row>
        <row r="1176">
          <cell r="A1176" t="str">
            <v>epl20</v>
          </cell>
          <cell r="B1176" t="str">
            <v>Eclipse Public License 2.0</v>
          </cell>
        </row>
        <row r="1177">
          <cell r="A1177" t="str">
            <v>eupl11</v>
          </cell>
          <cell r="B1177" t="str">
            <v>European Union Public License 1.1</v>
          </cell>
        </row>
        <row r="1178">
          <cell r="A1178" t="str">
            <v>eupl12</v>
          </cell>
          <cell r="B1178" t="str">
            <v>European Union Public License 1.2</v>
          </cell>
        </row>
        <row r="1179">
          <cell r="A1179" t="str">
            <v>agpl30</v>
          </cell>
          <cell r="B1179" t="str">
            <v>GNU Affero General Public License v3.0</v>
          </cell>
        </row>
        <row r="1180">
          <cell r="A1180" t="str">
            <v>gfdl13</v>
          </cell>
          <cell r="B1180" t="str">
            <v>GNU Free Documentation License v1.3</v>
          </cell>
        </row>
        <row r="1181">
          <cell r="A1181" t="str">
            <v>gpl20</v>
          </cell>
          <cell r="B1181" t="str">
            <v>GNU General Public License v2.0</v>
          </cell>
        </row>
        <row r="1182">
          <cell r="A1182" t="str">
            <v>gpl30</v>
          </cell>
          <cell r="B1182" t="str">
            <v>GNU General Public License v3.0</v>
          </cell>
        </row>
        <row r="1183">
          <cell r="A1183" t="str">
            <v>mulanPSL20</v>
          </cell>
          <cell r="B1183" t="str">
            <v>Mulan Permissive Software License, Version 2</v>
          </cell>
        </row>
        <row r="1184">
          <cell r="A1184" t="str">
            <v>lgpl21</v>
          </cell>
          <cell r="B1184" t="str">
            <v>GNU Lesser General Public License v2.1</v>
          </cell>
        </row>
        <row r="1185">
          <cell r="A1185" t="str">
            <v>lgpl30</v>
          </cell>
          <cell r="B1185" t="str">
            <v>GNU Lesser General Public License v3.0</v>
          </cell>
        </row>
        <row r="1186">
          <cell r="A1186" t="str">
            <v>isc</v>
          </cell>
          <cell r="B1186" t="str">
            <v>ISC</v>
          </cell>
        </row>
        <row r="1187">
          <cell r="A1187" t="str">
            <v>lppl13c</v>
          </cell>
          <cell r="B1187" t="str">
            <v>LaTeX Project Public License v1.3c</v>
          </cell>
        </row>
        <row r="1188">
          <cell r="A1188" t="str">
            <v>mspl</v>
          </cell>
          <cell r="B1188" t="str">
            <v>Microsoft Public License</v>
          </cell>
        </row>
        <row r="1189">
          <cell r="A1189" t="str">
            <v>mit0</v>
          </cell>
          <cell r="B1189" t="str">
            <v>MIT No Attribution</v>
          </cell>
        </row>
        <row r="1190">
          <cell r="A1190" t="str">
            <v>mit</v>
          </cell>
          <cell r="B1190" t="str">
            <v>MIT</v>
          </cell>
        </row>
        <row r="1191">
          <cell r="A1191" t="str">
            <v>mpl20</v>
          </cell>
          <cell r="B1191" t="str">
            <v>Mozilla Public License 2.0</v>
          </cell>
        </row>
        <row r="1192">
          <cell r="A1192" t="str">
            <v>osl30</v>
          </cell>
          <cell r="B1192" t="str">
            <v>Open Software License 3.0</v>
          </cell>
        </row>
        <row r="1193">
          <cell r="A1193" t="str">
            <v>postgreSQL</v>
          </cell>
          <cell r="B1193" t="str">
            <v>PostgreSQL License</v>
          </cell>
        </row>
        <row r="1194">
          <cell r="A1194" t="str">
            <v>ofl11</v>
          </cell>
          <cell r="B1194" t="str">
            <v>SIL Open Font License 1.1</v>
          </cell>
        </row>
        <row r="1195">
          <cell r="A1195" t="str">
            <v>ncsa</v>
          </cell>
          <cell r="B1195" t="str">
            <v>University of Illinois/NCSA Open Source License</v>
          </cell>
        </row>
        <row r="1196">
          <cell r="A1196" t="str">
            <v>unlicense</v>
          </cell>
          <cell r="B1196" t="str">
            <v>The Unlicense</v>
          </cell>
        </row>
        <row r="1197">
          <cell r="A1197" t="str">
            <v>zlib</v>
          </cell>
          <cell r="B1197" t="str">
            <v>zLib License</v>
          </cell>
        </row>
        <row r="1198">
          <cell r="A1198" t="str">
            <v>licSet</v>
          </cell>
          <cell r="B1198" t="str">
            <v>Data license set</v>
          </cell>
        </row>
        <row r="1199">
          <cell r="A1199" t="str">
            <v>open</v>
          </cell>
          <cell r="B1199" t="str">
            <v>Open license not otherwise described</v>
          </cell>
        </row>
        <row r="1200">
          <cell r="A1200" t="str">
            <v>private</v>
          </cell>
          <cell r="B1200" t="str">
            <v>Private data - not for disemination</v>
          </cell>
        </row>
        <row r="1201">
          <cell r="A1201" t="str">
            <v>actiEp</v>
          </cell>
          <cell r="B1201" t="str">
            <v>Number of active cases by episode date</v>
          </cell>
        </row>
        <row r="1202">
          <cell r="A1202" t="str">
            <v>actiRep</v>
          </cell>
          <cell r="B1202" t="str">
            <v>Number of active cases by Report date</v>
          </cell>
        </row>
        <row r="1203">
          <cell r="A1203" t="str">
            <v>actiOn</v>
          </cell>
          <cell r="B1203" t="str">
            <v>Number of active cases by Onset date</v>
          </cell>
        </row>
        <row r="1204">
          <cell r="A1204" t="str">
            <v>actiTest</v>
          </cell>
          <cell r="B1204" t="str">
            <v>Number of active cases by test date</v>
          </cell>
        </row>
        <row r="1205">
          <cell r="A1205" t="str">
            <v>campGrp</v>
          </cell>
          <cell r="B1205" t="str">
            <v>Campylobacter Group</v>
          </cell>
        </row>
        <row r="1206">
          <cell r="A1206" t="str">
            <v>ecoliGrp</v>
          </cell>
          <cell r="B1206" t="str">
            <v>Escherichia coli group</v>
          </cell>
        </row>
        <row r="1207">
          <cell r="A1207" t="str">
            <v>fluGrp</v>
          </cell>
          <cell r="B1207" t="str">
            <v>Influenza Group</v>
          </cell>
        </row>
        <row r="1208">
          <cell r="A1208" t="str">
            <v>phageGrp</v>
          </cell>
          <cell r="B1208" t="str">
            <v>Bacteriophage Group</v>
          </cell>
        </row>
        <row r="1209">
          <cell r="A1209" t="str">
            <v>betaCoronaGrp</v>
          </cell>
          <cell r="B1209" t="str">
            <v>Beta Coronavirus Group</v>
          </cell>
        </row>
        <row r="1210">
          <cell r="A1210" t="str">
            <v>pmmovGrp</v>
          </cell>
          <cell r="B1210" t="str">
            <v>PMMoV Group</v>
          </cell>
        </row>
        <row r="1211">
          <cell r="A1211" t="str">
            <v>adenovirusGrp</v>
          </cell>
          <cell r="B1211" t="str">
            <v>Adenovirus Group</v>
          </cell>
        </row>
        <row r="1212">
          <cell r="A1212" t="str">
            <v>lentiGrp</v>
          </cell>
          <cell r="B1212" t="str">
            <v>Lentivirus Group</v>
          </cell>
        </row>
        <row r="1213">
          <cell r="A1213" t="str">
            <v>cAurisGrp</v>
          </cell>
          <cell r="B1213" t="str">
            <v>Candida auris Group</v>
          </cell>
        </row>
        <row r="1214">
          <cell r="A1214" t="str">
            <v>mpoxGrp</v>
          </cell>
          <cell r="B1214" t="str">
            <v>MPox Group</v>
          </cell>
        </row>
        <row r="1215">
          <cell r="A1215" t="str">
            <v>noroGrp</v>
          </cell>
          <cell r="B1215" t="str">
            <v>Norovirus Group</v>
          </cell>
        </row>
        <row r="1216">
          <cell r="A1216" t="str">
            <v>polioGrp</v>
          </cell>
          <cell r="B1216" t="str">
            <v>Poliovirus Group</v>
          </cell>
        </row>
        <row r="1217">
          <cell r="A1217" t="str">
            <v>hrv</v>
          </cell>
          <cell r="B1217" t="str">
            <v>Human Rhinovirus (HRV)</v>
          </cell>
        </row>
        <row r="1218">
          <cell r="A1218" t="str">
            <v>hrvA</v>
          </cell>
          <cell r="B1218" t="str">
            <v>Human Rhinovirus (HRV) A</v>
          </cell>
        </row>
        <row r="1219">
          <cell r="A1219" t="str">
            <v>hrvB</v>
          </cell>
          <cell r="B1219" t="str">
            <v>Human Rhinovirus (HRV) B</v>
          </cell>
        </row>
        <row r="1220">
          <cell r="A1220" t="str">
            <v>hrvC</v>
          </cell>
          <cell r="B1220" t="str">
            <v>Human Rhinovirus (HRV) C</v>
          </cell>
        </row>
        <row r="1221">
          <cell r="A1221" t="str">
            <v>hrvGrp</v>
          </cell>
          <cell r="B1221" t="str">
            <v>Rhinovirus Group</v>
          </cell>
        </row>
        <row r="1222">
          <cell r="A1222" t="str">
            <v>hmpv</v>
          </cell>
          <cell r="B1222" t="str">
            <v xml:space="preserve">Human Metapneumovirus (HMPV) </v>
          </cell>
        </row>
        <row r="1223">
          <cell r="A1223" t="str">
            <v>hpiv</v>
          </cell>
          <cell r="B1223" t="str">
            <v>Human Parainfluenza Virus (HPIV)</v>
          </cell>
        </row>
        <row r="1224">
          <cell r="A1224" t="str">
            <v>strepPneu</v>
          </cell>
          <cell r="B1224" t="str">
            <v>Streptococcus pneumoniae</v>
          </cell>
        </row>
        <row r="1225">
          <cell r="A1225" t="str">
            <v>strepGrp</v>
          </cell>
          <cell r="B1225" t="str">
            <v>Streptococcus Group</v>
          </cell>
        </row>
        <row r="1226">
          <cell r="A1226" t="str">
            <v>adenovirusF40</v>
          </cell>
          <cell r="B1226" t="str">
            <v>Adenovirus (F40/41)</v>
          </cell>
        </row>
        <row r="1227">
          <cell r="A1227" t="str">
            <v>salmonella</v>
          </cell>
          <cell r="B1227" t="str">
            <v>Salmonella</v>
          </cell>
        </row>
        <row r="1228">
          <cell r="A1228" t="str">
            <v>salmonellaGrp</v>
          </cell>
          <cell r="B1228" t="str">
            <v>Salmonella Group</v>
          </cell>
        </row>
        <row r="1229">
          <cell r="A1229" t="str">
            <v>shigella</v>
          </cell>
          <cell r="B1229" t="str">
            <v>Shigella</v>
          </cell>
        </row>
        <row r="1230">
          <cell r="A1230" t="str">
            <v>shigellaGroup</v>
          </cell>
          <cell r="B1230" t="str">
            <v>Shigella Group</v>
          </cell>
        </row>
        <row r="1231">
          <cell r="A1231" t="str">
            <v>vtec</v>
          </cell>
          <cell r="B1231" t="str">
            <v>Verotoxin-producing Escherichia coli (VTEC)</v>
          </cell>
        </row>
        <row r="1232">
          <cell r="A1232" t="str">
            <v>epec</v>
          </cell>
          <cell r="B1232" t="str">
            <v>Enteropathogenic Escherichia coli (EPEC)</v>
          </cell>
        </row>
        <row r="1233">
          <cell r="A1233" t="str">
            <v>eaec</v>
          </cell>
          <cell r="B1233" t="str">
            <v>Enteroaggregative Escherichia coli (EAEC)</v>
          </cell>
        </row>
        <row r="1234">
          <cell r="A1234" t="str">
            <v>eiec</v>
          </cell>
          <cell r="B1234" t="str">
            <v>Enteroinvasive Escherichia coli (EIEC)</v>
          </cell>
        </row>
        <row r="1235">
          <cell r="A1235" t="str">
            <v>etec</v>
          </cell>
          <cell r="B1235" t="str">
            <v>Enterotoxigenic Escherichia coli (ETEC)</v>
          </cell>
        </row>
        <row r="1236">
          <cell r="A1236" t="str">
            <v>ehec</v>
          </cell>
          <cell r="B1236" t="str">
            <v>Enterohemorrhagic Escherichia coli (EHEC)</v>
          </cell>
        </row>
        <row r="1237">
          <cell r="A1237" t="str">
            <v>expec</v>
          </cell>
          <cell r="B1237" t="str">
            <v>Extraintestinal pathogenic Escherichia coli (ExPEC)</v>
          </cell>
        </row>
        <row r="1238">
          <cell r="A1238" t="str">
            <v>klebsiellaPneu</v>
          </cell>
          <cell r="B1238" t="str">
            <v>Klebsiella pneumoniae</v>
          </cell>
        </row>
        <row r="1239">
          <cell r="A1239" t="str">
            <v>cPerfrigens</v>
          </cell>
          <cell r="B1239" t="str">
            <v>Clostridium perfringens</v>
          </cell>
        </row>
        <row r="1240">
          <cell r="A1240" t="str">
            <v>vibrio</v>
          </cell>
          <cell r="B1240" t="str">
            <v>Vibrio</v>
          </cell>
        </row>
        <row r="1241">
          <cell r="A1241" t="str">
            <v>brucella</v>
          </cell>
          <cell r="B1241" t="str">
            <v>Brucella</v>
          </cell>
        </row>
        <row r="1242">
          <cell r="A1242" t="str">
            <v>listeria</v>
          </cell>
          <cell r="B1242" t="str">
            <v>Listeria</v>
          </cell>
        </row>
        <row r="1243">
          <cell r="A1243" t="str">
            <v>enterovirus</v>
          </cell>
          <cell r="B1243" t="str">
            <v>Enterovirus</v>
          </cell>
        </row>
        <row r="1244">
          <cell r="A1244" t="str">
            <v>rotavirus</v>
          </cell>
          <cell r="B1244" t="str">
            <v>Rotavirus</v>
          </cell>
        </row>
        <row r="1245">
          <cell r="A1245" t="str">
            <v>astrovirus</v>
          </cell>
          <cell r="B1245" t="str">
            <v>Astrovirus</v>
          </cell>
        </row>
        <row r="1246">
          <cell r="A1246" t="str">
            <v>vibrioGrp</v>
          </cell>
          <cell r="B1246" t="str">
            <v>Vibrio Group</v>
          </cell>
        </row>
        <row r="1247">
          <cell r="A1247" t="str">
            <v>brucellaGrp</v>
          </cell>
          <cell r="B1247" t="str">
            <v>Brucella Group</v>
          </cell>
        </row>
        <row r="1248">
          <cell r="A1248" t="str">
            <v>listeriaGrp</v>
          </cell>
          <cell r="B1248" t="str">
            <v>Listeria Group</v>
          </cell>
        </row>
        <row r="1249">
          <cell r="A1249" t="str">
            <v>enterovirusGrp</v>
          </cell>
          <cell r="B1249" t="str">
            <v>Enterovirus Group</v>
          </cell>
        </row>
        <row r="1250">
          <cell r="A1250" t="str">
            <v>rotavirusGrp</v>
          </cell>
          <cell r="B1250" t="str">
            <v>Rotavirus Group</v>
          </cell>
        </row>
        <row r="1251">
          <cell r="A1251" t="str">
            <v>astrovirusGrp</v>
          </cell>
          <cell r="B1251" t="str">
            <v>Astrovirus Group</v>
          </cell>
        </row>
        <row r="1252">
          <cell r="A1252" t="str">
            <v>sapovirus</v>
          </cell>
          <cell r="B1252" t="str">
            <v>Sapovirus</v>
          </cell>
        </row>
        <row r="1253">
          <cell r="A1253" t="str">
            <v>sapovirusGrp</v>
          </cell>
          <cell r="B1253" t="str">
            <v>Sapovirus Group</v>
          </cell>
        </row>
        <row r="1254">
          <cell r="A1254" t="str">
            <v>chlamydia</v>
          </cell>
          <cell r="B1254" t="str">
            <v>Chlamydia</v>
          </cell>
        </row>
        <row r="1255">
          <cell r="A1255" t="str">
            <v>chalydiaGrp</v>
          </cell>
          <cell r="B1255" t="str">
            <v>Chlamydia Group</v>
          </cell>
        </row>
        <row r="1256">
          <cell r="A1256" t="str">
            <v>tVaginalis</v>
          </cell>
          <cell r="B1256" t="str">
            <v>Trichomonas vaginalis</v>
          </cell>
        </row>
        <row r="1257">
          <cell r="A1257" t="str">
            <v>nGonorrhoeae</v>
          </cell>
          <cell r="B1257" t="str">
            <v>Neisseria gonorrhoeae</v>
          </cell>
        </row>
        <row r="1258">
          <cell r="A1258" t="str">
            <v>tPallidum</v>
          </cell>
          <cell r="B1258" t="str">
            <v>Treponema pallidum</v>
          </cell>
        </row>
        <row r="1259">
          <cell r="A1259" t="str">
            <v>hiv</v>
          </cell>
          <cell r="B1259" t="str">
            <v>Human Immunodeficiency Virus (HIV)</v>
          </cell>
        </row>
        <row r="1260">
          <cell r="A1260" t="str">
            <v>hpv</v>
          </cell>
          <cell r="B1260" t="str">
            <v>Human Papiloma Virus (HPV)</v>
          </cell>
        </row>
        <row r="1261">
          <cell r="A1261" t="str">
            <v>mGenitalus</v>
          </cell>
          <cell r="B1261" t="str">
            <v>Mycoplasma genitalus</v>
          </cell>
        </row>
        <row r="1262">
          <cell r="A1262" t="str">
            <v>ebv</v>
          </cell>
          <cell r="B1262" t="str">
            <v>Epstein–Barr virus (EBV)</v>
          </cell>
        </row>
        <row r="1263">
          <cell r="A1263" t="str">
            <v>hsv</v>
          </cell>
          <cell r="B1263" t="str">
            <v>Herpes Simplex Virus</v>
          </cell>
        </row>
        <row r="1264">
          <cell r="A1264" t="str">
            <v>hDucreyi</v>
          </cell>
          <cell r="B1264" t="str">
            <v>Haemophilus ducreyi</v>
          </cell>
        </row>
        <row r="1265">
          <cell r="A1265" t="str">
            <v>ureaplasma</v>
          </cell>
          <cell r="B1265" t="str">
            <v>Ureaplasma</v>
          </cell>
        </row>
        <row r="1266">
          <cell r="A1266" t="str">
            <v>hepA</v>
          </cell>
          <cell r="B1266" t="str">
            <v>Hepatitis A</v>
          </cell>
        </row>
        <row r="1267">
          <cell r="A1267" t="str">
            <v>hepB</v>
          </cell>
          <cell r="B1267" t="str">
            <v>Hepatitis B</v>
          </cell>
        </row>
        <row r="1268">
          <cell r="A1268" t="str">
            <v>hepC</v>
          </cell>
          <cell r="B1268" t="str">
            <v>Hepatitis C</v>
          </cell>
        </row>
        <row r="1269">
          <cell r="A1269" t="str">
            <v>hepE</v>
          </cell>
          <cell r="B1269" t="str">
            <v>Hepatitis E</v>
          </cell>
        </row>
        <row r="1270">
          <cell r="A1270" t="str">
            <v>cDiff</v>
          </cell>
          <cell r="B1270" t="str">
            <v>Clostridium difficile</v>
          </cell>
        </row>
        <row r="1271">
          <cell r="A1271" t="str">
            <v>varicella</v>
          </cell>
          <cell r="B1271" t="str">
            <v>Varicella</v>
          </cell>
        </row>
        <row r="1272">
          <cell r="A1272" t="str">
            <v>measles</v>
          </cell>
          <cell r="B1272" t="str">
            <v>Measles</v>
          </cell>
        </row>
        <row r="1273">
          <cell r="A1273" t="str">
            <v>mumps</v>
          </cell>
          <cell r="B1273" t="str">
            <v>Mumps</v>
          </cell>
        </row>
        <row r="1274">
          <cell r="A1274" t="str">
            <v>rubella</v>
          </cell>
          <cell r="B1274" t="str">
            <v>Rubella</v>
          </cell>
        </row>
        <row r="1275">
          <cell r="A1275" t="str">
            <v>cDip</v>
          </cell>
          <cell r="B1275" t="str">
            <v>Corynebacterium diphtheriae</v>
          </cell>
        </row>
        <row r="1276">
          <cell r="A1276" t="str">
            <v>hInfluenzae</v>
          </cell>
          <cell r="B1276" t="str">
            <v>Haemophilus influenzae</v>
          </cell>
        </row>
        <row r="1277">
          <cell r="A1277" t="str">
            <v>acinetobacter</v>
          </cell>
          <cell r="B1277" t="str">
            <v>Acinetobacter</v>
          </cell>
        </row>
        <row r="1278">
          <cell r="A1278" t="str">
            <v>pseudomonas</v>
          </cell>
          <cell r="B1278" t="str">
            <v>Pseudomonas</v>
          </cell>
        </row>
        <row r="1279">
          <cell r="A1279" t="str">
            <v>legionella</v>
          </cell>
          <cell r="B1279" t="str">
            <v>Legionella</v>
          </cell>
        </row>
        <row r="1280">
          <cell r="A1280" t="str">
            <v>cryptosporidium</v>
          </cell>
          <cell r="B1280" t="str">
            <v>Cryptosporidium</v>
          </cell>
        </row>
        <row r="1281">
          <cell r="A1281" t="str">
            <v>mrsa</v>
          </cell>
          <cell r="B1281" t="str">
            <v>Methicillin-resistant Staphylococcus aureus (MRSA)</v>
          </cell>
        </row>
        <row r="1282">
          <cell r="A1282" t="str">
            <v>yEnterocolitica</v>
          </cell>
          <cell r="B1282" t="str">
            <v>Yersinia enterocolitica</v>
          </cell>
        </row>
        <row r="1283">
          <cell r="A1283" t="str">
            <v>mTuberculosis</v>
          </cell>
          <cell r="B1283" t="str">
            <v>Mycobacterium tuberculosis</v>
          </cell>
        </row>
        <row r="1284">
          <cell r="A1284" t="str">
            <v>bBurgdorferi</v>
          </cell>
          <cell r="B1284" t="str">
            <v>Borrelia burgdorferi</v>
          </cell>
        </row>
        <row r="1285">
          <cell r="A1285" t="str">
            <v>aPhagocytophilum</v>
          </cell>
          <cell r="B1285" t="str">
            <v>Anaplasma phagocytophilum</v>
          </cell>
        </row>
        <row r="1286">
          <cell r="A1286" t="str">
            <v>babesia</v>
          </cell>
          <cell r="B1286" t="str">
            <v>Babesia</v>
          </cell>
        </row>
        <row r="1287">
          <cell r="A1287" t="str">
            <v>plasmodium</v>
          </cell>
          <cell r="B1287" t="str">
            <v>Plasmodium</v>
          </cell>
        </row>
        <row r="1288">
          <cell r="A1288" t="str">
            <v>dengue</v>
          </cell>
          <cell r="B1288" t="str">
            <v>Dengue</v>
          </cell>
        </row>
        <row r="1289">
          <cell r="A1289" t="str">
            <v>westNile</v>
          </cell>
          <cell r="B1289" t="str">
            <v>West Nile</v>
          </cell>
        </row>
        <row r="1290">
          <cell r="A1290" t="str">
            <v>fTularensis</v>
          </cell>
          <cell r="B1290" t="str">
            <v>Francisella tularensis</v>
          </cell>
        </row>
        <row r="1291">
          <cell r="A1291" t="str">
            <v>chikv</v>
          </cell>
          <cell r="B1291" t="str">
            <v>Chikungunya virus (CHIKV)</v>
          </cell>
        </row>
        <row r="1292">
          <cell r="A1292" t="str">
            <v>rickettsia</v>
          </cell>
          <cell r="B1292" t="str">
            <v>Rickettsia</v>
          </cell>
        </row>
        <row r="1293">
          <cell r="A1293" t="str">
            <v>zika</v>
          </cell>
          <cell r="B1293" t="str">
            <v>Zika</v>
          </cell>
        </row>
        <row r="1294">
          <cell r="A1294" t="str">
            <v>hepGrp</v>
          </cell>
          <cell r="B1294" t="str">
            <v>Hepatitis Group</v>
          </cell>
        </row>
        <row r="1295">
          <cell r="A1295" t="str">
            <v>waterQualityGrp</v>
          </cell>
          <cell r="B1295" t="str">
            <v>Water Quality Group</v>
          </cell>
        </row>
        <row r="1296">
          <cell r="A1296" t="str">
            <v>mpvGrp</v>
          </cell>
          <cell r="B1296" t="str">
            <v>Metapneumovirus Group</v>
          </cell>
        </row>
        <row r="1297">
          <cell r="A1297" t="str">
            <v>parafluGrp</v>
          </cell>
          <cell r="B1297" t="str">
            <v>Parainfluenza Group</v>
          </cell>
        </row>
        <row r="1298">
          <cell r="A1298" t="str">
            <v>clostridiumGrp</v>
          </cell>
          <cell r="B1298" t="str">
            <v>Clostridium Group</v>
          </cell>
        </row>
        <row r="1299">
          <cell r="A1299" t="str">
            <v>gonococcusGrp</v>
          </cell>
          <cell r="B1299" t="str">
            <v>Gonococcus Group</v>
          </cell>
        </row>
        <row r="1300">
          <cell r="A1300" t="str">
            <v>treponemaGrp</v>
          </cell>
          <cell r="B1300" t="str">
            <v>Treponema Group</v>
          </cell>
        </row>
        <row r="1301">
          <cell r="A1301" t="str">
            <v>hivGrp</v>
          </cell>
          <cell r="B1301" t="str">
            <v>HIV Group</v>
          </cell>
        </row>
        <row r="1302">
          <cell r="A1302" t="str">
            <v>papilomavirusGrp</v>
          </cell>
          <cell r="B1302" t="str">
            <v>Papilomavirus Group</v>
          </cell>
        </row>
        <row r="1303">
          <cell r="A1303" t="str">
            <v>mycoplasmaGrp</v>
          </cell>
          <cell r="B1303" t="str">
            <v>Mycoplasma Group</v>
          </cell>
        </row>
        <row r="1304">
          <cell r="A1304" t="str">
            <v>herpesGrp</v>
          </cell>
          <cell r="B1304" t="str">
            <v>Herpes Virus Group</v>
          </cell>
        </row>
        <row r="1305">
          <cell r="A1305" t="str">
            <v>ureaplasmaGrp</v>
          </cell>
          <cell r="B1305" t="str">
            <v>Ureaplasma</v>
          </cell>
        </row>
        <row r="1306">
          <cell r="A1306" t="str">
            <v>klebsiellaGrp</v>
          </cell>
          <cell r="B1306" t="str">
            <v>Klebsiella Group</v>
          </cell>
        </row>
        <row r="1307">
          <cell r="A1307" t="str">
            <v>varicellaGrp</v>
          </cell>
          <cell r="B1307" t="str">
            <v>Varicella Group</v>
          </cell>
        </row>
        <row r="1308">
          <cell r="A1308" t="str">
            <v>measlesGrp</v>
          </cell>
          <cell r="B1308" t="str">
            <v>Measles Group</v>
          </cell>
        </row>
        <row r="1309">
          <cell r="A1309" t="str">
            <v>mumpsGrp</v>
          </cell>
          <cell r="B1309" t="str">
            <v>Mumps Group</v>
          </cell>
        </row>
        <row r="1310">
          <cell r="A1310" t="str">
            <v>rubellaGrp</v>
          </cell>
          <cell r="B1310" t="str">
            <v>Rubella Group</v>
          </cell>
        </row>
        <row r="1311">
          <cell r="A1311" t="str">
            <v>diptheriaGrp</v>
          </cell>
          <cell r="B1311" t="str">
            <v>Diphtheria Group</v>
          </cell>
        </row>
        <row r="1312">
          <cell r="A1312" t="str">
            <v>haemophilusGrp</v>
          </cell>
          <cell r="B1312" t="str">
            <v>Haemophilus Group</v>
          </cell>
        </row>
        <row r="1313">
          <cell r="A1313" t="str">
            <v>acinetobacterGrp</v>
          </cell>
          <cell r="B1313" t="str">
            <v>Acinetobacter Group</v>
          </cell>
        </row>
        <row r="1314">
          <cell r="A1314" t="str">
            <v>pseudomonasGrp</v>
          </cell>
          <cell r="B1314" t="str">
            <v>Pseudomonas Group</v>
          </cell>
        </row>
        <row r="1315">
          <cell r="A1315" t="str">
            <v>legionellaGrp</v>
          </cell>
          <cell r="B1315" t="str">
            <v>Legionella Group</v>
          </cell>
        </row>
        <row r="1316">
          <cell r="A1316" t="str">
            <v>cryptosporidiumGrp</v>
          </cell>
          <cell r="B1316" t="str">
            <v>Cryptosporidium Group</v>
          </cell>
        </row>
        <row r="1317">
          <cell r="A1317" t="str">
            <v>staphGrp</v>
          </cell>
          <cell r="B1317" t="str">
            <v>Staphylococcus Group</v>
          </cell>
        </row>
        <row r="1318">
          <cell r="A1318" t="str">
            <v>yersiniaGrp</v>
          </cell>
          <cell r="B1318" t="str">
            <v>Yersinia Group</v>
          </cell>
        </row>
        <row r="1319">
          <cell r="A1319" t="str">
            <v>tuberculosisGrp</v>
          </cell>
          <cell r="B1319" t="str">
            <v>Tuberculosis Group</v>
          </cell>
        </row>
        <row r="1320">
          <cell r="A1320" t="str">
            <v>borreliaGrp</v>
          </cell>
          <cell r="B1320" t="str">
            <v>Borrelia burgdorferi or Lyme Disease Group</v>
          </cell>
        </row>
        <row r="1321">
          <cell r="A1321" t="str">
            <v>anaplasmaGrp</v>
          </cell>
          <cell r="B1321" t="str">
            <v>Anaplasma Group</v>
          </cell>
        </row>
        <row r="1322">
          <cell r="A1322" t="str">
            <v>babesiaGrp</v>
          </cell>
          <cell r="B1322" t="str">
            <v>Babesia or Nuttallia Group</v>
          </cell>
        </row>
        <row r="1323">
          <cell r="A1323" t="str">
            <v>malariaGrp</v>
          </cell>
          <cell r="B1323" t="str">
            <v>Plasmodium or Malaria Group</v>
          </cell>
        </row>
        <row r="1324">
          <cell r="A1324" t="str">
            <v>tularemiaGrp</v>
          </cell>
          <cell r="B1324" t="str">
            <v>Francisella tularensis (tularemia) Group</v>
          </cell>
        </row>
        <row r="1325">
          <cell r="A1325" t="str">
            <v>chikungunyaGrp</v>
          </cell>
          <cell r="B1325" t="str">
            <v>Chikungunya Group</v>
          </cell>
        </row>
        <row r="1326">
          <cell r="A1326" t="str">
            <v>rickettsiaGrp</v>
          </cell>
          <cell r="B1326" t="str">
            <v>Rickettsia Group</v>
          </cell>
        </row>
        <row r="1327">
          <cell r="A1327" t="str">
            <v>flavivirusGrp</v>
          </cell>
          <cell r="B1327" t="str">
            <v>Flavivirus (West Nile, Dengue, Zika) Group</v>
          </cell>
        </row>
        <row r="1328">
          <cell r="A1328" t="str">
            <v>trichomonasGrp</v>
          </cell>
          <cell r="B1328" t="str">
            <v>Trichomonas Group</v>
          </cell>
        </row>
        <row r="1329">
          <cell r="A1329" t="str">
            <v>ugmg</v>
          </cell>
          <cell r="B1329" t="str">
            <v>Micrograms per milligram</v>
          </cell>
        </row>
        <row r="1330">
          <cell r="A1330" t="str">
            <v>metaboliteGrp</v>
          </cell>
          <cell r="B1330" t="str">
            <v>Metabolite Group</v>
          </cell>
        </row>
        <row r="1331">
          <cell r="A1331" t="str">
            <v>bacteroidesGrp</v>
          </cell>
          <cell r="B1331" t="str">
            <v>Bacteroides Group</v>
          </cell>
        </row>
        <row r="1332">
          <cell r="A1332" t="str">
            <v>vsvGrp</v>
          </cell>
          <cell r="B1332" t="str">
            <v>Vesicular Stomatitis Virus (VSV) Group</v>
          </cell>
        </row>
        <row r="1333">
          <cell r="A1333" t="str">
            <v>sewTrTi</v>
          </cell>
          <cell r="B1333" t="str">
            <v>Sewage travel time</v>
          </cell>
        </row>
        <row r="1334">
          <cell r="A1334" t="str">
            <v>indusIn</v>
          </cell>
          <cell r="B1334" t="str">
            <v>Industrial input</v>
          </cell>
        </row>
        <row r="1335">
          <cell r="A1335" t="str">
            <v>influEqui</v>
          </cell>
          <cell r="B1335" t="str">
            <v>Influent equilibration</v>
          </cell>
        </row>
        <row r="1336">
          <cell r="A1336" t="str">
            <v>sewEq</v>
          </cell>
          <cell r="B1336" t="str">
            <v>Sewage equivalent</v>
          </cell>
        </row>
        <row r="1337">
          <cell r="A1337" t="str">
            <v>noSep</v>
          </cell>
          <cell r="B1337" t="str">
            <v>No Seperation or Concentration</v>
          </cell>
        </row>
        <row r="1338">
          <cell r="A1338" t="str">
            <v>preConcTime</v>
          </cell>
          <cell r="B1338" t="str">
            <v>Storage time prior to concentration</v>
          </cell>
        </row>
        <row r="1339">
          <cell r="A1339" t="str">
            <v>preConcTemp</v>
          </cell>
          <cell r="B1339" t="str">
            <v>Storage temperature prior to concentration</v>
          </cell>
        </row>
        <row r="1340">
          <cell r="A1340" t="str">
            <v>preExtractTime</v>
          </cell>
          <cell r="B1340" t="str">
            <v>Storage time prior to extraction</v>
          </cell>
        </row>
        <row r="1341">
          <cell r="A1341" t="str">
            <v>preExtractTemp</v>
          </cell>
          <cell r="B1341" t="str">
            <v>Storage temperature prior to extraction</v>
          </cell>
        </row>
        <row r="1342">
          <cell r="A1342" t="str">
            <v>concVol</v>
          </cell>
          <cell r="B1342" t="str">
            <v>Sample volume after concentration</v>
          </cell>
        </row>
        <row r="1343">
          <cell r="A1343" t="str">
            <v>commFacOth</v>
          </cell>
          <cell r="B1343" t="str">
            <v>Commercial facility - not specified</v>
          </cell>
        </row>
        <row r="1344">
          <cell r="A1344" t="str">
            <v>extBlank</v>
          </cell>
          <cell r="B1344" t="str">
            <v>Extraction Blank - Control</v>
          </cell>
        </row>
        <row r="1345">
          <cell r="A1345" t="str">
            <v>pasteur</v>
          </cell>
          <cell r="B1345" t="str">
            <v>Pasteurized sample</v>
          </cell>
        </row>
        <row r="1346">
          <cell r="A1346" t="str">
            <v>tempType</v>
          </cell>
          <cell r="B1346" t="str">
            <v>Nucelic Acid Template Type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4BFCE-06D9-9649-B340-B23DCF20DD83}">
  <dimension ref="A1:K115"/>
  <sheetViews>
    <sheetView tabSelected="1" zoomScaleNormal="100" workbookViewId="0">
      <pane ySplit="1" topLeftCell="A17" activePane="bottomLeft" state="frozen"/>
      <selection pane="bottomLeft" activeCell="E33" sqref="E33"/>
    </sheetView>
  </sheetViews>
  <sheetFormatPr baseColWidth="10" defaultRowHeight="16" x14ac:dyDescent="0.2"/>
  <cols>
    <col min="2" max="2" width="13" bestFit="1" customWidth="1"/>
    <col min="3" max="3" width="21" bestFit="1" customWidth="1"/>
    <col min="4" max="4" width="25.5" bestFit="1" customWidth="1"/>
    <col min="5" max="5" width="13" bestFit="1" customWidth="1"/>
    <col min="6" max="6" width="15.83203125" bestFit="1" customWidth="1"/>
    <col min="7" max="7" width="23.1640625" bestFit="1" customWidth="1"/>
    <col min="8" max="9" width="20" customWidth="1"/>
    <col min="10" max="10" width="28.6640625" customWidth="1"/>
    <col min="11" max="11" width="47.6640625" customWidth="1"/>
  </cols>
  <sheetData>
    <row r="1" spans="1:10" s="39" customFormat="1" ht="19" x14ac:dyDescent="0.25">
      <c r="A1" s="39" t="s">
        <v>666</v>
      </c>
      <c r="B1" s="39" t="s">
        <v>629</v>
      </c>
      <c r="C1" s="39" t="s">
        <v>631</v>
      </c>
      <c r="D1" s="39" t="s">
        <v>632</v>
      </c>
      <c r="E1" s="39" t="s">
        <v>633</v>
      </c>
      <c r="F1" s="39" t="s">
        <v>634</v>
      </c>
      <c r="G1" s="39" t="s">
        <v>635</v>
      </c>
      <c r="H1" s="39" t="s">
        <v>805</v>
      </c>
      <c r="I1" s="39" t="s">
        <v>668</v>
      </c>
      <c r="J1" s="39" t="s">
        <v>120</v>
      </c>
    </row>
    <row r="2" spans="1:10" s="25" customFormat="1" x14ac:dyDescent="0.2">
      <c r="A2" s="25" t="b">
        <v>1</v>
      </c>
      <c r="B2" s="25" t="s">
        <v>630</v>
      </c>
      <c r="C2" s="25" t="s">
        <v>10</v>
      </c>
      <c r="E2" s="25" t="s">
        <v>78</v>
      </c>
      <c r="F2" s="25" t="s">
        <v>79</v>
      </c>
      <c r="G2" s="25" t="s">
        <v>695</v>
      </c>
    </row>
    <row r="3" spans="1:10" s="25" customFormat="1" x14ac:dyDescent="0.2">
      <c r="A3" s="25" t="b">
        <v>1</v>
      </c>
      <c r="B3" s="25" t="s">
        <v>630</v>
      </c>
      <c r="C3" s="25" t="s">
        <v>54</v>
      </c>
      <c r="E3" s="25" t="s">
        <v>78</v>
      </c>
      <c r="F3" s="25" t="s">
        <v>725</v>
      </c>
      <c r="G3" s="25" t="s">
        <v>701</v>
      </c>
    </row>
    <row r="4" spans="1:10" s="25" customFormat="1" x14ac:dyDescent="0.2">
      <c r="A4" s="25" t="b">
        <v>1</v>
      </c>
      <c r="B4" s="25" t="s">
        <v>630</v>
      </c>
      <c r="C4" s="25" t="s">
        <v>777</v>
      </c>
      <c r="E4" s="25" t="s">
        <v>78</v>
      </c>
      <c r="F4" s="25" t="s">
        <v>729</v>
      </c>
      <c r="G4" s="25" t="s">
        <v>875</v>
      </c>
    </row>
    <row r="5" spans="1:10" s="25" customFormat="1" x14ac:dyDescent="0.2"/>
    <row r="6" spans="1:10" s="25" customFormat="1" x14ac:dyDescent="0.2">
      <c r="A6" s="25" t="b">
        <v>1</v>
      </c>
      <c r="B6" s="25" t="s">
        <v>630</v>
      </c>
      <c r="C6" s="25" t="s">
        <v>7</v>
      </c>
      <c r="E6" s="25" t="s">
        <v>739</v>
      </c>
      <c r="F6" s="25" t="s">
        <v>713</v>
      </c>
      <c r="G6" s="25" t="s">
        <v>693</v>
      </c>
    </row>
    <row r="7" spans="1:10" s="25" customFormat="1" x14ac:dyDescent="0.2">
      <c r="A7" s="25" t="b">
        <v>1</v>
      </c>
      <c r="B7" s="25" t="s">
        <v>630</v>
      </c>
      <c r="C7" s="28" t="s">
        <v>54</v>
      </c>
      <c r="D7" s="28"/>
      <c r="E7" s="28" t="s">
        <v>739</v>
      </c>
      <c r="F7" s="28" t="s">
        <v>725</v>
      </c>
      <c r="G7" s="28" t="s">
        <v>701</v>
      </c>
    </row>
    <row r="8" spans="1:10" s="25" customFormat="1" x14ac:dyDescent="0.2">
      <c r="A8" s="25" t="b">
        <v>1</v>
      </c>
      <c r="B8" s="25" t="s">
        <v>630</v>
      </c>
      <c r="C8" s="25" t="s">
        <v>54</v>
      </c>
      <c r="E8" s="25" t="s">
        <v>739</v>
      </c>
      <c r="F8" s="25" t="s">
        <v>143</v>
      </c>
      <c r="G8" s="25" t="s">
        <v>701</v>
      </c>
    </row>
    <row r="9" spans="1:10" s="25" customFormat="1" x14ac:dyDescent="0.2">
      <c r="A9" s="25" t="b">
        <v>0</v>
      </c>
      <c r="B9" s="25" t="s">
        <v>630</v>
      </c>
      <c r="E9" s="25" t="s">
        <v>739</v>
      </c>
      <c r="F9" s="25" t="s">
        <v>878</v>
      </c>
    </row>
    <row r="10" spans="1:10" s="25" customFormat="1" x14ac:dyDescent="0.2">
      <c r="A10" s="25" t="b">
        <v>0</v>
      </c>
      <c r="B10" s="25" t="s">
        <v>630</v>
      </c>
      <c r="E10" s="25" t="s">
        <v>739</v>
      </c>
      <c r="F10" s="25" t="s">
        <v>879</v>
      </c>
    </row>
    <row r="11" spans="1:10" s="25" customFormat="1" x14ac:dyDescent="0.2">
      <c r="A11" s="25" t="b">
        <v>0</v>
      </c>
      <c r="B11" s="25" t="s">
        <v>630</v>
      </c>
      <c r="E11" s="25" t="s">
        <v>739</v>
      </c>
      <c r="F11" s="25" t="s">
        <v>880</v>
      </c>
    </row>
    <row r="12" spans="1:10" s="25" customFormat="1" x14ac:dyDescent="0.2">
      <c r="A12" s="25" t="b">
        <v>0</v>
      </c>
      <c r="B12" s="25" t="s">
        <v>630</v>
      </c>
      <c r="E12" s="25" t="s">
        <v>739</v>
      </c>
      <c r="F12" s="25" t="s">
        <v>881</v>
      </c>
    </row>
    <row r="13" spans="1:10" s="25" customFormat="1" x14ac:dyDescent="0.2">
      <c r="A13" s="25" t="b">
        <v>0</v>
      </c>
      <c r="B13" s="25" t="s">
        <v>630</v>
      </c>
      <c r="E13" s="25" t="s">
        <v>739</v>
      </c>
      <c r="F13" s="25" t="s">
        <v>882</v>
      </c>
    </row>
    <row r="14" spans="1:10" s="25" customFormat="1" x14ac:dyDescent="0.2">
      <c r="A14" s="25" t="b">
        <v>0</v>
      </c>
      <c r="B14" s="25" t="s">
        <v>630</v>
      </c>
      <c r="E14" s="25" t="s">
        <v>739</v>
      </c>
      <c r="F14" s="25" t="s">
        <v>874</v>
      </c>
    </row>
    <row r="15" spans="1:10" s="25" customFormat="1" x14ac:dyDescent="0.2">
      <c r="A15" s="25" t="b">
        <v>0</v>
      </c>
      <c r="B15" s="25" t="s">
        <v>630</v>
      </c>
      <c r="E15" s="25" t="s">
        <v>739</v>
      </c>
      <c r="F15" s="25" t="s">
        <v>120</v>
      </c>
    </row>
    <row r="16" spans="1:10" s="25" customFormat="1" x14ac:dyDescent="0.2"/>
    <row r="17" spans="1:11" x14ac:dyDescent="0.2">
      <c r="A17" s="25" t="b">
        <v>1</v>
      </c>
      <c r="B17" s="25" t="s">
        <v>630</v>
      </c>
      <c r="C17" s="25" t="s">
        <v>54</v>
      </c>
      <c r="D17" s="25"/>
      <c r="E17" s="25" t="s">
        <v>738</v>
      </c>
      <c r="F17" s="25" t="s">
        <v>725</v>
      </c>
      <c r="G17" s="25" t="s">
        <v>701</v>
      </c>
    </row>
    <row r="18" spans="1:11" x14ac:dyDescent="0.2">
      <c r="A18" s="25"/>
      <c r="B18" s="25"/>
      <c r="C18" s="25"/>
      <c r="D18" s="25"/>
      <c r="E18" s="25"/>
      <c r="F18" s="25"/>
      <c r="G18" s="25"/>
    </row>
    <row r="19" spans="1:11" x14ac:dyDescent="0.2">
      <c r="A19" s="25" t="b">
        <v>1</v>
      </c>
      <c r="B19" s="25" t="s">
        <v>630</v>
      </c>
      <c r="C19" s="28" t="s">
        <v>54</v>
      </c>
      <c r="D19" s="28"/>
      <c r="E19" s="28" t="s">
        <v>740</v>
      </c>
      <c r="F19" s="28" t="s">
        <v>725</v>
      </c>
      <c r="G19" s="28" t="s">
        <v>701</v>
      </c>
    </row>
    <row r="20" spans="1:11" s="25" customFormat="1" x14ac:dyDescent="0.2">
      <c r="A20" s="25" t="b">
        <v>1</v>
      </c>
      <c r="B20" s="25" t="s">
        <v>630</v>
      </c>
      <c r="C20" s="25" t="s">
        <v>7</v>
      </c>
      <c r="E20" s="25" t="s">
        <v>740</v>
      </c>
      <c r="F20" s="25" t="s">
        <v>713</v>
      </c>
      <c r="G20" s="25" t="s">
        <v>693</v>
      </c>
    </row>
    <row r="21" spans="1:11" s="25" customFormat="1" x14ac:dyDescent="0.2">
      <c r="A21" s="25" t="b">
        <v>1</v>
      </c>
      <c r="B21" s="25" t="s">
        <v>630</v>
      </c>
      <c r="C21" s="25" t="s">
        <v>775</v>
      </c>
      <c r="E21" s="25" t="s">
        <v>740</v>
      </c>
      <c r="F21" s="25" t="s">
        <v>735</v>
      </c>
      <c r="G21" s="25" t="s">
        <v>877</v>
      </c>
    </row>
    <row r="22" spans="1:11" s="25" customFormat="1" x14ac:dyDescent="0.2">
      <c r="A22" s="25" t="b">
        <v>1</v>
      </c>
      <c r="B22" s="25" t="s">
        <v>630</v>
      </c>
      <c r="C22" s="25" t="s">
        <v>54</v>
      </c>
      <c r="E22" s="25" t="s">
        <v>740</v>
      </c>
      <c r="F22" s="25" t="s">
        <v>143</v>
      </c>
      <c r="G22" s="25" t="s">
        <v>701</v>
      </c>
    </row>
    <row r="23" spans="1:11" s="25" customFormat="1" x14ac:dyDescent="0.2"/>
    <row r="24" spans="1:11" s="25" customFormat="1" x14ac:dyDescent="0.2">
      <c r="A24" s="25" t="b">
        <v>1</v>
      </c>
      <c r="B24" s="25" t="s">
        <v>630</v>
      </c>
      <c r="C24" s="28" t="s">
        <v>54</v>
      </c>
      <c r="D24" s="28"/>
      <c r="E24" s="28" t="s">
        <v>114</v>
      </c>
      <c r="F24" s="28" t="s">
        <v>725</v>
      </c>
      <c r="G24" s="28" t="s">
        <v>701</v>
      </c>
    </row>
    <row r="25" spans="1:11" s="25" customFormat="1" x14ac:dyDescent="0.2">
      <c r="A25" s="25" t="b">
        <v>1</v>
      </c>
      <c r="B25" s="25" t="s">
        <v>630</v>
      </c>
      <c r="C25" s="25" t="s">
        <v>773</v>
      </c>
      <c r="E25" s="25" t="s">
        <v>114</v>
      </c>
      <c r="F25" s="25" t="s">
        <v>726</v>
      </c>
      <c r="G25" s="25" t="s">
        <v>876</v>
      </c>
    </row>
    <row r="26" spans="1:11" s="25" customFormat="1" x14ac:dyDescent="0.2">
      <c r="A26" s="25" t="b">
        <v>1</v>
      </c>
      <c r="B26" s="25" t="s">
        <v>630</v>
      </c>
      <c r="C26" s="25" t="s">
        <v>54</v>
      </c>
      <c r="E26" s="25" t="s">
        <v>114</v>
      </c>
      <c r="F26" s="25" t="s">
        <v>143</v>
      </c>
      <c r="G26" s="25" t="s">
        <v>701</v>
      </c>
    </row>
    <row r="27" spans="1:11" s="25" customFormat="1" x14ac:dyDescent="0.2">
      <c r="A27" s="25" t="b">
        <v>1</v>
      </c>
      <c r="B27" s="25" t="s">
        <v>630</v>
      </c>
      <c r="C27" s="25" t="s">
        <v>73</v>
      </c>
      <c r="E27" s="25" t="s">
        <v>114</v>
      </c>
      <c r="F27" s="25" t="s">
        <v>471</v>
      </c>
      <c r="G27" s="25" t="s">
        <v>703</v>
      </c>
    </row>
    <row r="28" spans="1:11" s="25" customFormat="1" x14ac:dyDescent="0.2">
      <c r="A28" s="25" t="b">
        <v>1</v>
      </c>
      <c r="B28" s="25" t="s">
        <v>630</v>
      </c>
      <c r="C28" s="25" t="s">
        <v>7</v>
      </c>
      <c r="E28" s="25" t="s">
        <v>114</v>
      </c>
      <c r="F28" s="25" t="s">
        <v>713</v>
      </c>
      <c r="G28" s="25" t="s">
        <v>693</v>
      </c>
      <c r="K28" s="17"/>
    </row>
    <row r="29" spans="1:11" s="25" customFormat="1" x14ac:dyDescent="0.2">
      <c r="A29" s="25" t="b">
        <v>1</v>
      </c>
      <c r="B29" s="25" t="s">
        <v>630</v>
      </c>
      <c r="C29" s="25" t="s">
        <v>53</v>
      </c>
      <c r="E29" s="25" t="s">
        <v>114</v>
      </c>
      <c r="F29" s="25" t="s">
        <v>139</v>
      </c>
      <c r="G29" s="25" t="s">
        <v>700</v>
      </c>
    </row>
    <row r="30" spans="1:11" s="25" customFormat="1" x14ac:dyDescent="0.2">
      <c r="A30" s="25" t="b">
        <v>1</v>
      </c>
      <c r="B30" s="25" t="s">
        <v>630</v>
      </c>
      <c r="C30" s="25" t="s">
        <v>58</v>
      </c>
      <c r="E30" s="25" t="s">
        <v>114</v>
      </c>
      <c r="F30" s="25" t="s">
        <v>156</v>
      </c>
      <c r="G30" s="25" t="s">
        <v>702</v>
      </c>
    </row>
    <row r="31" spans="1:11" s="25" customFormat="1" x14ac:dyDescent="0.2">
      <c r="A31" s="25" t="b">
        <v>1</v>
      </c>
      <c r="B31" s="25" t="s">
        <v>630</v>
      </c>
      <c r="E31" s="25" t="s">
        <v>114</v>
      </c>
      <c r="F31" s="25" t="s">
        <v>866</v>
      </c>
      <c r="H31" s="30" t="s">
        <v>867</v>
      </c>
    </row>
    <row r="32" spans="1:11" s="25" customFormat="1" x14ac:dyDescent="0.2">
      <c r="A32" s="25" t="b">
        <v>1</v>
      </c>
      <c r="B32" s="25" t="s">
        <v>630</v>
      </c>
      <c r="C32" s="25" t="s">
        <v>771</v>
      </c>
      <c r="E32" s="25" t="s">
        <v>114</v>
      </c>
      <c r="F32" s="25" t="s">
        <v>727</v>
      </c>
      <c r="G32" s="25" t="s">
        <v>985</v>
      </c>
    </row>
    <row r="33" spans="1:8" s="25" customFormat="1" x14ac:dyDescent="0.2">
      <c r="H33" s="30"/>
    </row>
    <row r="34" spans="1:8" s="25" customFormat="1" x14ac:dyDescent="0.2">
      <c r="A34" s="25" t="b">
        <v>1</v>
      </c>
      <c r="B34" s="25" t="s">
        <v>630</v>
      </c>
      <c r="C34" s="25" t="s">
        <v>773</v>
      </c>
      <c r="E34" s="25" t="s">
        <v>737</v>
      </c>
      <c r="F34" s="25" t="s">
        <v>726</v>
      </c>
      <c r="G34" s="25" t="s">
        <v>876</v>
      </c>
      <c r="H34" s="30"/>
    </row>
    <row r="35" spans="1:8" s="25" customFormat="1" x14ac:dyDescent="0.2">
      <c r="A35" s="25" t="b">
        <v>1</v>
      </c>
      <c r="B35" s="25" t="s">
        <v>630</v>
      </c>
      <c r="C35" s="25" t="s">
        <v>73</v>
      </c>
      <c r="E35" s="25" t="s">
        <v>737</v>
      </c>
      <c r="F35" s="25" t="s">
        <v>471</v>
      </c>
      <c r="G35" s="25" t="s">
        <v>703</v>
      </c>
      <c r="H35" s="30"/>
    </row>
    <row r="36" spans="1:8" s="25" customFormat="1" x14ac:dyDescent="0.2">
      <c r="A36" s="25" t="b">
        <v>1</v>
      </c>
      <c r="B36" s="25" t="s">
        <v>630</v>
      </c>
      <c r="C36" s="25" t="s">
        <v>54</v>
      </c>
      <c r="E36" s="25" t="s">
        <v>737</v>
      </c>
      <c r="F36" s="25" t="s">
        <v>143</v>
      </c>
      <c r="G36" s="25" t="s">
        <v>701</v>
      </c>
      <c r="H36" s="30"/>
    </row>
    <row r="37" spans="1:8" s="25" customFormat="1" x14ac:dyDescent="0.2">
      <c r="A37" s="25" t="b">
        <v>1</v>
      </c>
      <c r="B37" s="25" t="s">
        <v>630</v>
      </c>
      <c r="C37" s="25" t="s">
        <v>7</v>
      </c>
      <c r="E37" s="25" t="s">
        <v>737</v>
      </c>
      <c r="F37" s="25" t="s">
        <v>713</v>
      </c>
      <c r="G37" s="25" t="s">
        <v>693</v>
      </c>
      <c r="H37" s="30"/>
    </row>
    <row r="38" spans="1:8" s="25" customFormat="1" x14ac:dyDescent="0.2">
      <c r="H38" s="30"/>
    </row>
    <row r="39" spans="1:8" s="25" customFormat="1" x14ac:dyDescent="0.2">
      <c r="A39" s="25" t="b">
        <v>1</v>
      </c>
      <c r="B39" s="25" t="s">
        <v>630</v>
      </c>
      <c r="C39" s="25" t="s">
        <v>54</v>
      </c>
      <c r="E39" s="25" t="s">
        <v>723</v>
      </c>
      <c r="F39" s="25" t="s">
        <v>143</v>
      </c>
      <c r="G39" s="25" t="s">
        <v>701</v>
      </c>
    </row>
    <row r="40" spans="1:8" s="25" customFormat="1" x14ac:dyDescent="0.2">
      <c r="A40" s="25" t="b">
        <v>0</v>
      </c>
      <c r="B40" s="25" t="s">
        <v>630</v>
      </c>
      <c r="E40" s="25" t="s">
        <v>723</v>
      </c>
      <c r="F40" s="25" t="s">
        <v>115</v>
      </c>
    </row>
    <row r="41" spans="1:8" s="25" customFormat="1" x14ac:dyDescent="0.2">
      <c r="A41" s="25" t="b">
        <v>0</v>
      </c>
      <c r="B41" s="25" t="s">
        <v>630</v>
      </c>
      <c r="E41" s="25" t="s">
        <v>723</v>
      </c>
      <c r="F41" s="25" t="s">
        <v>870</v>
      </c>
    </row>
    <row r="42" spans="1:8" s="25" customFormat="1" x14ac:dyDescent="0.2">
      <c r="A42" s="25" t="b">
        <v>1</v>
      </c>
      <c r="B42" s="25" t="s">
        <v>630</v>
      </c>
      <c r="C42" s="25" t="s">
        <v>777</v>
      </c>
      <c r="E42" s="25" t="s">
        <v>723</v>
      </c>
      <c r="F42" s="25" t="s">
        <v>729</v>
      </c>
      <c r="G42" s="25" t="s">
        <v>875</v>
      </c>
    </row>
    <row r="43" spans="1:8" s="25" customFormat="1" x14ac:dyDescent="0.2">
      <c r="A43" s="25" t="b">
        <v>1</v>
      </c>
      <c r="B43" s="25" t="s">
        <v>630</v>
      </c>
      <c r="C43" s="28" t="s">
        <v>54</v>
      </c>
      <c r="D43" s="28"/>
      <c r="E43" s="28" t="s">
        <v>723</v>
      </c>
      <c r="F43" s="28" t="s">
        <v>725</v>
      </c>
      <c r="G43" s="28" t="s">
        <v>701</v>
      </c>
    </row>
    <row r="44" spans="1:8" s="25" customFormat="1" x14ac:dyDescent="0.2">
      <c r="A44" s="25" t="b">
        <v>0</v>
      </c>
      <c r="B44" s="25" t="s">
        <v>630</v>
      </c>
      <c r="E44" s="25" t="s">
        <v>723</v>
      </c>
      <c r="F44" s="25" t="s">
        <v>871</v>
      </c>
    </row>
    <row r="45" spans="1:8" s="25" customFormat="1" x14ac:dyDescent="0.2">
      <c r="A45" s="25" t="b">
        <v>0</v>
      </c>
      <c r="B45" s="25" t="s">
        <v>630</v>
      </c>
      <c r="E45" s="25" t="s">
        <v>723</v>
      </c>
      <c r="F45" s="25" t="s">
        <v>872</v>
      </c>
    </row>
    <row r="46" spans="1:8" s="25" customFormat="1" x14ac:dyDescent="0.2">
      <c r="A46" s="25" t="b">
        <v>0</v>
      </c>
      <c r="B46" s="25" t="s">
        <v>630</v>
      </c>
      <c r="E46" s="25" t="s">
        <v>723</v>
      </c>
      <c r="F46" s="25" t="s">
        <v>873</v>
      </c>
    </row>
    <row r="47" spans="1:8" s="25" customFormat="1" x14ac:dyDescent="0.2">
      <c r="A47" s="25" t="b">
        <v>0</v>
      </c>
      <c r="B47" s="25" t="s">
        <v>630</v>
      </c>
      <c r="E47" s="25" t="s">
        <v>723</v>
      </c>
      <c r="F47" s="25" t="s">
        <v>874</v>
      </c>
    </row>
    <row r="48" spans="1:8" s="25" customFormat="1" x14ac:dyDescent="0.2">
      <c r="A48" s="25" t="b">
        <v>0</v>
      </c>
      <c r="B48" s="25" t="s">
        <v>630</v>
      </c>
      <c r="E48" s="25" t="s">
        <v>723</v>
      </c>
      <c r="F48" s="25" t="s">
        <v>120</v>
      </c>
    </row>
    <row r="49" spans="1:11" s="25" customFormat="1" x14ac:dyDescent="0.2"/>
    <row r="50" spans="1:11" s="25" customFormat="1" x14ac:dyDescent="0.2">
      <c r="A50" s="25" t="b">
        <v>1</v>
      </c>
      <c r="B50" s="25" t="s">
        <v>630</v>
      </c>
      <c r="C50" s="25" t="s">
        <v>771</v>
      </c>
      <c r="E50" s="25" t="s">
        <v>741</v>
      </c>
      <c r="F50" s="25" t="s">
        <v>727</v>
      </c>
      <c r="G50" s="25" t="s">
        <v>985</v>
      </c>
    </row>
    <row r="51" spans="1:11" s="25" customFormat="1" x14ac:dyDescent="0.2">
      <c r="A51" s="25" t="b">
        <v>1</v>
      </c>
      <c r="B51" s="25" t="s">
        <v>630</v>
      </c>
      <c r="C51" s="28" t="s">
        <v>54</v>
      </c>
      <c r="D51" s="28"/>
      <c r="E51" s="28" t="s">
        <v>741</v>
      </c>
      <c r="F51" s="28" t="s">
        <v>725</v>
      </c>
      <c r="G51" s="28" t="s">
        <v>701</v>
      </c>
    </row>
    <row r="52" spans="1:11" s="25" customFormat="1" x14ac:dyDescent="0.2">
      <c r="A52" s="25" t="b">
        <v>1</v>
      </c>
      <c r="B52" s="25" t="s">
        <v>630</v>
      </c>
      <c r="C52" s="25" t="s">
        <v>54</v>
      </c>
      <c r="E52" s="28" t="s">
        <v>741</v>
      </c>
      <c r="F52" s="25" t="s">
        <v>143</v>
      </c>
      <c r="G52" s="25" t="s">
        <v>701</v>
      </c>
    </row>
    <row r="53" spans="1:11" s="25" customFormat="1" x14ac:dyDescent="0.2">
      <c r="A53" s="25" t="b">
        <v>1</v>
      </c>
      <c r="B53" s="25" t="s">
        <v>630</v>
      </c>
      <c r="C53" s="25" t="s">
        <v>7</v>
      </c>
      <c r="E53" s="28" t="s">
        <v>741</v>
      </c>
      <c r="F53" s="25" t="s">
        <v>713</v>
      </c>
      <c r="G53" s="25" t="s">
        <v>693</v>
      </c>
    </row>
    <row r="54" spans="1:11" s="25" customFormat="1" x14ac:dyDescent="0.2"/>
    <row r="55" spans="1:11" s="25" customFormat="1" x14ac:dyDescent="0.2">
      <c r="A55" s="25" t="b">
        <v>1</v>
      </c>
      <c r="B55" s="25" t="s">
        <v>630</v>
      </c>
      <c r="C55" s="28" t="s">
        <v>54</v>
      </c>
      <c r="D55" s="28"/>
      <c r="E55" s="28" t="s">
        <v>474</v>
      </c>
      <c r="F55" s="28" t="s">
        <v>725</v>
      </c>
      <c r="G55" s="28" t="s">
        <v>701</v>
      </c>
    </row>
    <row r="56" spans="1:11" s="25" customFormat="1" x14ac:dyDescent="0.2">
      <c r="A56" s="25" t="b">
        <v>1</v>
      </c>
      <c r="B56" s="25" t="s">
        <v>630</v>
      </c>
      <c r="C56" s="25" t="s">
        <v>54</v>
      </c>
      <c r="E56" s="25" t="s">
        <v>474</v>
      </c>
      <c r="F56" s="25" t="s">
        <v>143</v>
      </c>
      <c r="G56" s="25" t="s">
        <v>701</v>
      </c>
    </row>
    <row r="57" spans="1:11" s="25" customFormat="1" x14ac:dyDescent="0.2">
      <c r="A57" s="25" t="b">
        <v>1</v>
      </c>
      <c r="B57" s="25" t="s">
        <v>630</v>
      </c>
      <c r="C57" s="25" t="s">
        <v>73</v>
      </c>
      <c r="E57" s="25" t="s">
        <v>474</v>
      </c>
      <c r="F57" s="25" t="s">
        <v>471</v>
      </c>
      <c r="G57" s="25" t="s">
        <v>703</v>
      </c>
    </row>
    <row r="58" spans="1:11" s="25" customFormat="1" x14ac:dyDescent="0.2">
      <c r="A58" s="25" t="b">
        <v>1</v>
      </c>
      <c r="B58" s="25" t="s">
        <v>630</v>
      </c>
      <c r="C58" s="25" t="s">
        <v>74</v>
      </c>
      <c r="E58" s="25" t="s">
        <v>474</v>
      </c>
      <c r="F58" s="25" t="s">
        <v>868</v>
      </c>
      <c r="G58" s="25" t="s">
        <v>704</v>
      </c>
      <c r="K58" s="17"/>
    </row>
    <row r="59" spans="1:11" s="25" customFormat="1" x14ac:dyDescent="0.2">
      <c r="A59" s="25" t="b">
        <v>1</v>
      </c>
      <c r="B59" s="25" t="s">
        <v>630</v>
      </c>
      <c r="C59" s="25" t="s">
        <v>7</v>
      </c>
      <c r="E59" s="25" t="s">
        <v>474</v>
      </c>
      <c r="F59" s="25" t="s">
        <v>713</v>
      </c>
      <c r="G59" s="25" t="s">
        <v>693</v>
      </c>
      <c r="K59" s="17"/>
    </row>
    <row r="60" spans="1:11" s="25" customFormat="1" x14ac:dyDescent="0.2"/>
    <row r="61" spans="1:11" s="25" customFormat="1" x14ac:dyDescent="0.2">
      <c r="A61" s="25" t="b">
        <v>1</v>
      </c>
      <c r="B61" s="25" t="s">
        <v>630</v>
      </c>
      <c r="C61" s="25" t="s">
        <v>7</v>
      </c>
      <c r="E61" s="25" t="s">
        <v>151</v>
      </c>
      <c r="F61" s="25" t="s">
        <v>713</v>
      </c>
      <c r="G61" s="25" t="s">
        <v>693</v>
      </c>
    </row>
    <row r="62" spans="1:11" s="25" customFormat="1" x14ac:dyDescent="0.2">
      <c r="A62" s="25" t="b">
        <v>1</v>
      </c>
      <c r="B62" s="25" t="s">
        <v>630</v>
      </c>
      <c r="C62" s="25" t="s">
        <v>54</v>
      </c>
      <c r="E62" s="25" t="s">
        <v>151</v>
      </c>
      <c r="F62" s="25" t="s">
        <v>143</v>
      </c>
      <c r="G62" s="25" t="s">
        <v>701</v>
      </c>
    </row>
    <row r="63" spans="1:11" s="25" customFormat="1" x14ac:dyDescent="0.2">
      <c r="A63" s="25" t="b">
        <v>1</v>
      </c>
      <c r="B63" s="25" t="s">
        <v>630</v>
      </c>
      <c r="C63" s="25" t="s">
        <v>775</v>
      </c>
      <c r="E63" s="25" t="s">
        <v>151</v>
      </c>
      <c r="F63" s="25" t="s">
        <v>735</v>
      </c>
      <c r="G63" s="25" t="s">
        <v>877</v>
      </c>
    </row>
    <row r="64" spans="1:11" s="25" customFormat="1" x14ac:dyDescent="0.2"/>
    <row r="65" spans="1:11" s="25" customFormat="1" ht="16" customHeight="1" x14ac:dyDescent="0.2">
      <c r="A65" s="25" t="b">
        <v>1</v>
      </c>
      <c r="B65" s="25" t="s">
        <v>630</v>
      </c>
      <c r="E65" s="25" t="s">
        <v>117</v>
      </c>
      <c r="F65" s="25" t="s">
        <v>669</v>
      </c>
      <c r="G65" s="29"/>
      <c r="H65" s="31" t="s">
        <v>691</v>
      </c>
    </row>
    <row r="66" spans="1:11" s="25" customFormat="1" ht="16" customHeight="1" x14ac:dyDescent="0.2">
      <c r="A66" s="25" t="b">
        <v>1</v>
      </c>
      <c r="B66" s="25" t="s">
        <v>630</v>
      </c>
      <c r="C66" s="30"/>
      <c r="D66" s="32"/>
      <c r="E66" s="25" t="s">
        <v>117</v>
      </c>
      <c r="F66" s="25" t="s">
        <v>118</v>
      </c>
      <c r="H66" s="31" t="s">
        <v>692</v>
      </c>
    </row>
    <row r="67" spans="1:11" s="25" customFormat="1" x14ac:dyDescent="0.2">
      <c r="A67" s="25" t="b">
        <v>1</v>
      </c>
      <c r="B67" s="25" t="s">
        <v>630</v>
      </c>
      <c r="C67" s="25" t="s">
        <v>23</v>
      </c>
      <c r="D67" s="32"/>
      <c r="E67" s="25" t="s">
        <v>117</v>
      </c>
      <c r="F67" s="25" t="s">
        <v>119</v>
      </c>
      <c r="G67" s="25" t="s">
        <v>699</v>
      </c>
    </row>
    <row r="68" spans="1:11" s="25" customFormat="1" x14ac:dyDescent="0.2">
      <c r="A68" s="25" t="b">
        <v>1</v>
      </c>
      <c r="B68" s="25" t="s">
        <v>630</v>
      </c>
      <c r="C68" s="25" t="s">
        <v>56</v>
      </c>
      <c r="E68" s="25" t="s">
        <v>117</v>
      </c>
      <c r="F68" s="25" t="s">
        <v>144</v>
      </c>
      <c r="H68" s="25" t="s">
        <v>921</v>
      </c>
    </row>
    <row r="69" spans="1:11" s="25" customFormat="1" x14ac:dyDescent="0.2">
      <c r="A69" s="25" t="b">
        <v>1</v>
      </c>
      <c r="B69" s="25" t="s">
        <v>630</v>
      </c>
      <c r="C69" s="25" t="s">
        <v>54</v>
      </c>
      <c r="E69" s="25" t="s">
        <v>117</v>
      </c>
      <c r="F69" s="25" t="s">
        <v>143</v>
      </c>
      <c r="G69" s="25" t="s">
        <v>701</v>
      </c>
    </row>
    <row r="70" spans="1:11" s="25" customFormat="1" x14ac:dyDescent="0.2">
      <c r="A70" s="25" t="b">
        <v>1</v>
      </c>
      <c r="B70" s="25" t="s">
        <v>630</v>
      </c>
      <c r="C70" s="25" t="s">
        <v>7</v>
      </c>
      <c r="E70" s="25" t="s">
        <v>117</v>
      </c>
      <c r="F70" s="25" t="s">
        <v>713</v>
      </c>
      <c r="G70" s="25" t="s">
        <v>693</v>
      </c>
      <c r="K70" s="17"/>
    </row>
    <row r="71" spans="1:11" s="25" customFormat="1" x14ac:dyDescent="0.2">
      <c r="A71" s="25" t="b">
        <v>1</v>
      </c>
      <c r="B71" s="25" t="s">
        <v>630</v>
      </c>
      <c r="C71" s="25" t="s">
        <v>53</v>
      </c>
      <c r="E71" s="25" t="s">
        <v>117</v>
      </c>
      <c r="F71" s="25" t="s">
        <v>139</v>
      </c>
      <c r="G71" s="25" t="s">
        <v>700</v>
      </c>
    </row>
    <row r="72" spans="1:11" s="25" customFormat="1" x14ac:dyDescent="0.2">
      <c r="A72" s="25" t="b">
        <v>1</v>
      </c>
      <c r="B72" s="25" t="s">
        <v>630</v>
      </c>
      <c r="C72" s="25" t="s">
        <v>8</v>
      </c>
      <c r="E72" s="25" t="s">
        <v>117</v>
      </c>
      <c r="F72" s="25" t="s">
        <v>77</v>
      </c>
      <c r="G72" s="25" t="s">
        <v>694</v>
      </c>
    </row>
    <row r="73" spans="1:11" s="25" customFormat="1" x14ac:dyDescent="0.2">
      <c r="A73" s="25" t="b">
        <v>1</v>
      </c>
      <c r="B73" s="25" t="s">
        <v>630</v>
      </c>
      <c r="C73" s="25" t="s">
        <v>73</v>
      </c>
      <c r="E73" s="25" t="s">
        <v>117</v>
      </c>
      <c r="F73" s="25" t="s">
        <v>471</v>
      </c>
      <c r="G73" s="25" t="s">
        <v>703</v>
      </c>
    </row>
    <row r="74" spans="1:11" s="25" customFormat="1" x14ac:dyDescent="0.2"/>
    <row r="75" spans="1:11" s="17" customFormat="1" ht="17" customHeight="1" x14ac:dyDescent="0.2">
      <c r="A75" s="17" t="b">
        <v>0</v>
      </c>
      <c r="B75" s="17" t="s">
        <v>630</v>
      </c>
      <c r="C75" s="26" t="s">
        <v>44</v>
      </c>
      <c r="E75" s="17" t="s">
        <v>117</v>
      </c>
      <c r="F75" s="17" t="s">
        <v>137</v>
      </c>
      <c r="H75" s="27"/>
      <c r="J75" s="17" t="s">
        <v>138</v>
      </c>
    </row>
    <row r="76" spans="1:11" s="17" customFormat="1" ht="16" customHeight="1" x14ac:dyDescent="0.2">
      <c r="A76" s="17" t="b">
        <v>0</v>
      </c>
      <c r="B76" s="17" t="s">
        <v>630</v>
      </c>
      <c r="C76" s="17" t="s">
        <v>45</v>
      </c>
      <c r="E76" s="17" t="s">
        <v>117</v>
      </c>
      <c r="F76" s="17" t="s">
        <v>137</v>
      </c>
      <c r="H76" s="27"/>
      <c r="J76" s="17" t="s">
        <v>138</v>
      </c>
    </row>
    <row r="77" spans="1:11" s="17" customFormat="1" x14ac:dyDescent="0.2">
      <c r="A77" s="17" t="b">
        <v>0</v>
      </c>
      <c r="B77" s="17" t="s">
        <v>630</v>
      </c>
      <c r="C77" s="17" t="s">
        <v>46</v>
      </c>
      <c r="E77" s="17" t="s">
        <v>117</v>
      </c>
      <c r="F77" s="17" t="s">
        <v>137</v>
      </c>
      <c r="J77" s="17" t="s">
        <v>138</v>
      </c>
    </row>
    <row r="78" spans="1:11" s="25" customFormat="1" x14ac:dyDescent="0.2"/>
    <row r="79" spans="1:11" s="25" customFormat="1" x14ac:dyDescent="0.2">
      <c r="A79" s="25" t="b">
        <v>1</v>
      </c>
      <c r="B79" s="25" t="s">
        <v>630</v>
      </c>
      <c r="C79" s="28" t="s">
        <v>54</v>
      </c>
      <c r="D79" s="28"/>
      <c r="E79" s="28" t="s">
        <v>117</v>
      </c>
      <c r="F79" s="28" t="s">
        <v>725</v>
      </c>
      <c r="G79" s="28" t="s">
        <v>701</v>
      </c>
    </row>
    <row r="80" spans="1:11" s="25" customFormat="1" x14ac:dyDescent="0.2">
      <c r="A80" s="25" t="b">
        <v>1</v>
      </c>
      <c r="B80" s="25" t="s">
        <v>630</v>
      </c>
      <c r="C80" s="25" t="s">
        <v>24</v>
      </c>
      <c r="D80" s="33" t="s">
        <v>121</v>
      </c>
      <c r="E80" s="25" t="s">
        <v>117</v>
      </c>
      <c r="F80" s="25" t="s">
        <v>129</v>
      </c>
      <c r="G80" s="25" t="s">
        <v>136</v>
      </c>
    </row>
    <row r="81" spans="1:8" s="25" customFormat="1" x14ac:dyDescent="0.2">
      <c r="A81" s="25" t="b">
        <v>1</v>
      </c>
      <c r="B81" s="25" t="s">
        <v>630</v>
      </c>
      <c r="C81" s="25" t="s">
        <v>24</v>
      </c>
      <c r="D81" s="32" t="s">
        <v>122</v>
      </c>
      <c r="E81" s="25" t="s">
        <v>117</v>
      </c>
      <c r="F81" s="25" t="s">
        <v>129</v>
      </c>
      <c r="G81" s="25" t="s">
        <v>134</v>
      </c>
    </row>
    <row r="82" spans="1:8" s="25" customFormat="1" x14ac:dyDescent="0.2">
      <c r="A82" s="25" t="b">
        <v>1</v>
      </c>
      <c r="B82" s="25" t="s">
        <v>630</v>
      </c>
      <c r="C82" s="25" t="s">
        <v>24</v>
      </c>
      <c r="D82" s="32" t="s">
        <v>123</v>
      </c>
      <c r="E82" s="25" t="s">
        <v>117</v>
      </c>
      <c r="F82" s="25" t="s">
        <v>129</v>
      </c>
      <c r="G82" s="25" t="s">
        <v>130</v>
      </c>
    </row>
    <row r="83" spans="1:8" s="25" customFormat="1" x14ac:dyDescent="0.2">
      <c r="A83" s="25" t="b">
        <v>1</v>
      </c>
      <c r="B83" s="25" t="s">
        <v>630</v>
      </c>
      <c r="C83" s="25" t="s">
        <v>24</v>
      </c>
      <c r="D83" s="32" t="s">
        <v>124</v>
      </c>
      <c r="E83" s="25" t="s">
        <v>117</v>
      </c>
      <c r="F83" s="25" t="s">
        <v>129</v>
      </c>
      <c r="G83" s="25" t="s">
        <v>131</v>
      </c>
    </row>
    <row r="84" spans="1:8" s="25" customFormat="1" x14ac:dyDescent="0.2">
      <c r="A84" s="25" t="b">
        <v>1</v>
      </c>
      <c r="B84" s="25" t="s">
        <v>630</v>
      </c>
      <c r="C84" s="25" t="s">
        <v>24</v>
      </c>
      <c r="D84" s="32" t="s">
        <v>125</v>
      </c>
      <c r="E84" s="25" t="s">
        <v>117</v>
      </c>
      <c r="F84" s="25" t="s">
        <v>129</v>
      </c>
      <c r="G84" s="25" t="s">
        <v>132</v>
      </c>
    </row>
    <row r="85" spans="1:8" s="25" customFormat="1" x14ac:dyDescent="0.2">
      <c r="A85" s="25" t="b">
        <v>1</v>
      </c>
      <c r="B85" s="25" t="s">
        <v>630</v>
      </c>
      <c r="C85" s="25" t="s">
        <v>24</v>
      </c>
      <c r="D85" s="32" t="s">
        <v>126</v>
      </c>
      <c r="E85" s="25" t="s">
        <v>117</v>
      </c>
      <c r="F85" s="25" t="s">
        <v>129</v>
      </c>
      <c r="G85" s="25" t="s">
        <v>133</v>
      </c>
    </row>
    <row r="86" spans="1:8" s="25" customFormat="1" x14ac:dyDescent="0.2">
      <c r="A86" s="25" t="b">
        <v>1</v>
      </c>
      <c r="B86" s="25" t="s">
        <v>630</v>
      </c>
      <c r="C86" s="25" t="s">
        <v>24</v>
      </c>
      <c r="D86" s="32" t="s">
        <v>127</v>
      </c>
      <c r="E86" s="25" t="s">
        <v>117</v>
      </c>
      <c r="F86" s="25" t="s">
        <v>129</v>
      </c>
      <c r="G86" s="25" t="s">
        <v>127</v>
      </c>
    </row>
    <row r="87" spans="1:8" s="25" customFormat="1" x14ac:dyDescent="0.2">
      <c r="A87" s="25" t="b">
        <v>1</v>
      </c>
      <c r="B87" s="25" t="s">
        <v>630</v>
      </c>
      <c r="C87" s="25" t="s">
        <v>24</v>
      </c>
      <c r="D87" s="32" t="s">
        <v>128</v>
      </c>
      <c r="E87" s="25" t="s">
        <v>117</v>
      </c>
      <c r="F87" s="25" t="s">
        <v>129</v>
      </c>
      <c r="G87" s="25" t="s">
        <v>135</v>
      </c>
    </row>
    <row r="88" spans="1:8" s="25" customFormat="1" x14ac:dyDescent="0.2">
      <c r="D88" s="32"/>
    </row>
    <row r="89" spans="1:8" s="25" customFormat="1" x14ac:dyDescent="0.2">
      <c r="A89" s="25" t="b">
        <v>1</v>
      </c>
      <c r="B89" s="25" t="s">
        <v>630</v>
      </c>
      <c r="C89" s="25" t="s">
        <v>9</v>
      </c>
      <c r="E89" s="41" t="s">
        <v>76</v>
      </c>
      <c r="F89" s="41" t="s">
        <v>120</v>
      </c>
      <c r="H89" s="30" t="s">
        <v>722</v>
      </c>
    </row>
    <row r="90" spans="1:8" s="25" customFormat="1" x14ac:dyDescent="0.2">
      <c r="A90" s="25" t="b">
        <v>1</v>
      </c>
      <c r="B90" s="25" t="s">
        <v>630</v>
      </c>
      <c r="C90" s="25" t="s">
        <v>11</v>
      </c>
      <c r="E90" s="25" t="s">
        <v>76</v>
      </c>
      <c r="F90" s="25" t="s">
        <v>80</v>
      </c>
      <c r="G90" s="25" t="s">
        <v>696</v>
      </c>
    </row>
    <row r="91" spans="1:8" s="25" customFormat="1" x14ac:dyDescent="0.2">
      <c r="A91" s="25" t="b">
        <v>1</v>
      </c>
      <c r="B91" s="25" t="s">
        <v>630</v>
      </c>
      <c r="C91" s="25" t="s">
        <v>8</v>
      </c>
      <c r="E91" s="25" t="s">
        <v>76</v>
      </c>
      <c r="F91" s="25" t="s">
        <v>77</v>
      </c>
      <c r="G91" s="25" t="s">
        <v>694</v>
      </c>
    </row>
    <row r="92" spans="1:8" s="25" customFormat="1" x14ac:dyDescent="0.2">
      <c r="A92" s="25" t="b">
        <v>1</v>
      </c>
      <c r="B92" s="25" t="s">
        <v>630</v>
      </c>
      <c r="C92" s="25" t="s">
        <v>54</v>
      </c>
      <c r="E92" s="25" t="s">
        <v>76</v>
      </c>
      <c r="F92" s="25" t="s">
        <v>712</v>
      </c>
      <c r="G92" s="25" t="s">
        <v>701</v>
      </c>
    </row>
    <row r="93" spans="1:8" s="25" customFormat="1" x14ac:dyDescent="0.2">
      <c r="A93" s="25" t="b">
        <v>1</v>
      </c>
      <c r="B93" s="25" t="s">
        <v>630</v>
      </c>
      <c r="C93" s="25" t="s">
        <v>18</v>
      </c>
      <c r="E93" s="25" t="s">
        <v>76</v>
      </c>
      <c r="F93" s="25" t="s">
        <v>115</v>
      </c>
      <c r="G93" s="25" t="s">
        <v>697</v>
      </c>
    </row>
    <row r="94" spans="1:8" s="25" customFormat="1" ht="17" customHeight="1" x14ac:dyDescent="0.2">
      <c r="A94" s="25" t="b">
        <v>1</v>
      </c>
      <c r="B94" s="25" t="s">
        <v>630</v>
      </c>
      <c r="C94" s="25" t="s">
        <v>13</v>
      </c>
      <c r="D94" s="32"/>
      <c r="E94" s="25" t="s">
        <v>76</v>
      </c>
      <c r="F94" s="25" t="s">
        <v>83</v>
      </c>
      <c r="H94" s="42" t="s">
        <v>862</v>
      </c>
    </row>
    <row r="95" spans="1:8" s="25" customFormat="1" x14ac:dyDescent="0.2">
      <c r="A95" s="25" t="b">
        <v>1</v>
      </c>
      <c r="B95" s="25" t="s">
        <v>630</v>
      </c>
      <c r="C95" s="28" t="s">
        <v>54</v>
      </c>
      <c r="D95" s="28"/>
      <c r="E95" s="28" t="s">
        <v>76</v>
      </c>
      <c r="F95" s="28" t="s">
        <v>725</v>
      </c>
      <c r="G95" s="28" t="s">
        <v>701</v>
      </c>
    </row>
    <row r="96" spans="1:8" s="25" customFormat="1" x14ac:dyDescent="0.2">
      <c r="A96" s="25" t="b">
        <v>1</v>
      </c>
      <c r="B96" s="25" t="s">
        <v>630</v>
      </c>
      <c r="C96" s="25" t="s">
        <v>777</v>
      </c>
      <c r="E96" s="25" t="s">
        <v>76</v>
      </c>
      <c r="F96" s="25" t="s">
        <v>729</v>
      </c>
      <c r="G96" s="25" t="s">
        <v>875</v>
      </c>
    </row>
    <row r="97" spans="1:10" s="25" customFormat="1" x14ac:dyDescent="0.2">
      <c r="A97" s="25" t="b">
        <v>1</v>
      </c>
      <c r="B97" s="25" t="s">
        <v>630</v>
      </c>
      <c r="C97" s="25" t="s">
        <v>54</v>
      </c>
      <c r="E97" s="25" t="s">
        <v>76</v>
      </c>
      <c r="F97" s="25" t="s">
        <v>143</v>
      </c>
      <c r="G97" s="25" t="s">
        <v>701</v>
      </c>
    </row>
    <row r="98" spans="1:10" s="25" customFormat="1" x14ac:dyDescent="0.2">
      <c r="A98" s="25" t="b">
        <v>1</v>
      </c>
      <c r="B98" s="25" t="s">
        <v>630</v>
      </c>
      <c r="C98" s="25" t="s">
        <v>7</v>
      </c>
      <c r="E98" s="25" t="s">
        <v>76</v>
      </c>
      <c r="F98" s="25" t="s">
        <v>713</v>
      </c>
      <c r="G98" s="25" t="s">
        <v>693</v>
      </c>
    </row>
    <row r="99" spans="1:10" s="25" customFormat="1" x14ac:dyDescent="0.2">
      <c r="A99" s="25" t="b">
        <v>1</v>
      </c>
      <c r="B99" s="25" t="s">
        <v>630</v>
      </c>
      <c r="C99" s="25" t="s">
        <v>771</v>
      </c>
      <c r="E99" s="25" t="s">
        <v>76</v>
      </c>
      <c r="F99" s="25" t="s">
        <v>727</v>
      </c>
      <c r="G99" s="25" t="s">
        <v>985</v>
      </c>
    </row>
    <row r="100" spans="1:10" s="17" customFormat="1" ht="17" customHeight="1" x14ac:dyDescent="0.2">
      <c r="A100" s="25" t="b">
        <v>1</v>
      </c>
      <c r="B100" s="25" t="s">
        <v>630</v>
      </c>
      <c r="C100" s="25" t="s">
        <v>15</v>
      </c>
      <c r="D100" s="33" t="s">
        <v>84</v>
      </c>
      <c r="E100" s="25" t="s">
        <v>76</v>
      </c>
      <c r="F100" s="25" t="s">
        <v>100</v>
      </c>
      <c r="G100" s="25" t="s">
        <v>75</v>
      </c>
      <c r="H100" s="25"/>
      <c r="I100" s="25"/>
      <c r="J100" s="25"/>
    </row>
    <row r="101" spans="1:10" s="25" customFormat="1" x14ac:dyDescent="0.2">
      <c r="A101" s="25" t="b">
        <v>1</v>
      </c>
      <c r="B101" s="25" t="s">
        <v>630</v>
      </c>
      <c r="C101" s="25" t="s">
        <v>15</v>
      </c>
      <c r="D101" s="33" t="s">
        <v>85</v>
      </c>
      <c r="E101" s="25" t="s">
        <v>76</v>
      </c>
      <c r="F101" s="25" t="s">
        <v>100</v>
      </c>
      <c r="G101" s="25" t="s">
        <v>101</v>
      </c>
    </row>
    <row r="102" spans="1:10" s="25" customFormat="1" x14ac:dyDescent="0.2">
      <c r="A102" s="25" t="b">
        <v>1</v>
      </c>
      <c r="B102" s="25" t="s">
        <v>630</v>
      </c>
      <c r="C102" s="25" t="s">
        <v>15</v>
      </c>
      <c r="D102" s="34" t="s">
        <v>86</v>
      </c>
      <c r="E102" s="25" t="s">
        <v>76</v>
      </c>
      <c r="F102" s="25" t="s">
        <v>100</v>
      </c>
      <c r="G102" s="25" t="s">
        <v>102</v>
      </c>
    </row>
    <row r="103" spans="1:10" s="25" customFormat="1" x14ac:dyDescent="0.2">
      <c r="A103" s="25" t="b">
        <v>1</v>
      </c>
      <c r="B103" s="25" t="s">
        <v>630</v>
      </c>
      <c r="C103" s="25" t="s">
        <v>15</v>
      </c>
      <c r="D103" s="34" t="s">
        <v>87</v>
      </c>
      <c r="E103" s="25" t="s">
        <v>76</v>
      </c>
      <c r="F103" s="25" t="s">
        <v>100</v>
      </c>
      <c r="G103" s="25" t="s">
        <v>103</v>
      </c>
    </row>
    <row r="104" spans="1:10" s="25" customFormat="1" x14ac:dyDescent="0.2">
      <c r="A104" s="25" t="b">
        <v>1</v>
      </c>
      <c r="B104" s="25" t="s">
        <v>630</v>
      </c>
      <c r="C104" s="25" t="s">
        <v>15</v>
      </c>
      <c r="D104" s="34" t="s">
        <v>88</v>
      </c>
      <c r="E104" s="25" t="s">
        <v>76</v>
      </c>
      <c r="F104" s="25" t="s">
        <v>100</v>
      </c>
      <c r="G104" s="25" t="s">
        <v>104</v>
      </c>
    </row>
    <row r="105" spans="1:10" s="25" customFormat="1" x14ac:dyDescent="0.2">
      <c r="A105" s="25" t="b">
        <v>1</v>
      </c>
      <c r="B105" s="25" t="s">
        <v>630</v>
      </c>
      <c r="C105" s="25" t="s">
        <v>15</v>
      </c>
      <c r="D105" s="32" t="s">
        <v>89</v>
      </c>
      <c r="E105" s="25" t="s">
        <v>76</v>
      </c>
      <c r="F105" s="25" t="s">
        <v>100</v>
      </c>
      <c r="G105" s="25" t="s">
        <v>113</v>
      </c>
    </row>
    <row r="106" spans="1:10" s="25" customFormat="1" x14ac:dyDescent="0.2">
      <c r="A106" s="25" t="b">
        <v>1</v>
      </c>
      <c r="B106" s="25" t="s">
        <v>630</v>
      </c>
      <c r="C106" s="25" t="s">
        <v>15</v>
      </c>
      <c r="D106" s="32" t="s">
        <v>90</v>
      </c>
      <c r="E106" s="25" t="s">
        <v>76</v>
      </c>
      <c r="F106" s="25" t="s">
        <v>100</v>
      </c>
      <c r="G106" s="25" t="s">
        <v>112</v>
      </c>
    </row>
    <row r="107" spans="1:10" s="25" customFormat="1" x14ac:dyDescent="0.2">
      <c r="A107" s="25" t="b">
        <v>1</v>
      </c>
      <c r="B107" s="25" t="s">
        <v>630</v>
      </c>
      <c r="C107" s="25" t="s">
        <v>15</v>
      </c>
      <c r="D107" s="33" t="s">
        <v>91</v>
      </c>
      <c r="E107" s="25" t="s">
        <v>76</v>
      </c>
      <c r="F107" s="25" t="s">
        <v>100</v>
      </c>
      <c r="G107" s="25" t="s">
        <v>109</v>
      </c>
    </row>
    <row r="108" spans="1:10" s="25" customFormat="1" x14ac:dyDescent="0.2">
      <c r="A108" s="25" t="b">
        <v>1</v>
      </c>
      <c r="B108" s="25" t="s">
        <v>630</v>
      </c>
      <c r="C108" s="25" t="s">
        <v>15</v>
      </c>
      <c r="D108" s="33" t="s">
        <v>92</v>
      </c>
      <c r="E108" s="25" t="s">
        <v>76</v>
      </c>
      <c r="F108" s="25" t="s">
        <v>100</v>
      </c>
      <c r="G108" s="25" t="s">
        <v>108</v>
      </c>
    </row>
    <row r="109" spans="1:10" s="25" customFormat="1" x14ac:dyDescent="0.2">
      <c r="A109" s="25" t="b">
        <v>1</v>
      </c>
      <c r="B109" s="25" t="s">
        <v>630</v>
      </c>
      <c r="C109" s="25" t="s">
        <v>15</v>
      </c>
      <c r="D109" s="32" t="s">
        <v>93</v>
      </c>
      <c r="E109" s="25" t="s">
        <v>76</v>
      </c>
      <c r="F109" s="25" t="s">
        <v>100</v>
      </c>
      <c r="G109" s="25" t="s">
        <v>107</v>
      </c>
    </row>
    <row r="110" spans="1:10" s="25" customFormat="1" x14ac:dyDescent="0.2">
      <c r="A110" s="25" t="b">
        <v>1</v>
      </c>
      <c r="B110" s="25" t="s">
        <v>630</v>
      </c>
      <c r="C110" s="25" t="s">
        <v>15</v>
      </c>
      <c r="D110" s="32" t="s">
        <v>94</v>
      </c>
      <c r="E110" s="25" t="s">
        <v>76</v>
      </c>
      <c r="F110" s="25" t="s">
        <v>100</v>
      </c>
      <c r="G110" s="25" t="s">
        <v>106</v>
      </c>
    </row>
    <row r="111" spans="1:10" s="25" customFormat="1" x14ac:dyDescent="0.2">
      <c r="A111" s="25" t="b">
        <v>1</v>
      </c>
      <c r="B111" s="25" t="s">
        <v>630</v>
      </c>
      <c r="C111" s="25" t="s">
        <v>15</v>
      </c>
      <c r="D111" s="32" t="s">
        <v>95</v>
      </c>
      <c r="E111" s="25" t="s">
        <v>76</v>
      </c>
      <c r="F111" s="25" t="s">
        <v>100</v>
      </c>
      <c r="G111" s="25" t="s">
        <v>105</v>
      </c>
    </row>
    <row r="112" spans="1:10" s="25" customFormat="1" x14ac:dyDescent="0.2">
      <c r="A112" s="25" t="b">
        <v>1</v>
      </c>
      <c r="B112" s="25" t="s">
        <v>630</v>
      </c>
      <c r="C112" s="25" t="s">
        <v>15</v>
      </c>
      <c r="D112" s="32" t="s">
        <v>96</v>
      </c>
      <c r="E112" s="25" t="s">
        <v>76</v>
      </c>
      <c r="F112" s="25" t="s">
        <v>100</v>
      </c>
      <c r="G112" s="25" t="s">
        <v>110</v>
      </c>
    </row>
    <row r="113" spans="1:11" s="25" customFormat="1" x14ac:dyDescent="0.2">
      <c r="A113" s="25" t="b">
        <v>1</v>
      </c>
      <c r="B113" s="25" t="s">
        <v>630</v>
      </c>
      <c r="C113" s="25" t="s">
        <v>15</v>
      </c>
      <c r="D113" s="32" t="s">
        <v>97</v>
      </c>
      <c r="E113" s="25" t="s">
        <v>76</v>
      </c>
      <c r="F113" s="25" t="s">
        <v>100</v>
      </c>
      <c r="G113" s="25" t="s">
        <v>97</v>
      </c>
    </row>
    <row r="114" spans="1:11" s="25" customFormat="1" x14ac:dyDescent="0.2">
      <c r="A114" s="25" t="b">
        <v>1</v>
      </c>
      <c r="B114" s="25" t="s">
        <v>630</v>
      </c>
      <c r="C114" s="25" t="s">
        <v>15</v>
      </c>
      <c r="D114" s="32" t="s">
        <v>98</v>
      </c>
      <c r="E114" s="25" t="s">
        <v>76</v>
      </c>
      <c r="F114" s="25" t="s">
        <v>100</v>
      </c>
      <c r="G114" s="25" t="s">
        <v>111</v>
      </c>
    </row>
    <row r="115" spans="1:11" s="25" customFormat="1" x14ac:dyDescent="0.2">
      <c r="A115" s="25" t="b">
        <v>1</v>
      </c>
      <c r="B115" s="25" t="s">
        <v>630</v>
      </c>
      <c r="C115" s="25" t="s">
        <v>15</v>
      </c>
      <c r="D115" s="32" t="s">
        <v>99</v>
      </c>
      <c r="E115" s="25" t="s">
        <v>76</v>
      </c>
      <c r="F115" s="25" t="s">
        <v>100</v>
      </c>
      <c r="G115" s="41" t="s">
        <v>530</v>
      </c>
      <c r="H115" s="29"/>
      <c r="I115" s="29"/>
      <c r="K115" s="41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AC7DD-3F73-2C47-925D-21E5B4EBE6FC}">
  <dimension ref="A1:S28"/>
  <sheetViews>
    <sheetView topLeftCell="G1" zoomScale="108" zoomScaleNormal="100" workbookViewId="0">
      <pane ySplit="1" topLeftCell="A2" activePane="bottomLeft" state="frozen"/>
      <selection pane="bottomLeft" activeCell="L12" sqref="L12"/>
    </sheetView>
  </sheetViews>
  <sheetFormatPr baseColWidth="10" defaultRowHeight="16" x14ac:dyDescent="0.2"/>
  <cols>
    <col min="2" max="2" width="13" bestFit="1" customWidth="1"/>
    <col min="3" max="3" width="21.5" bestFit="1" customWidth="1"/>
    <col min="4" max="4" width="13.1640625" bestFit="1" customWidth="1"/>
    <col min="5" max="5" width="12" bestFit="1" customWidth="1"/>
    <col min="6" max="6" width="12.1640625" bestFit="1" customWidth="1"/>
    <col min="7" max="7" width="15.83203125" bestFit="1" customWidth="1"/>
    <col min="8" max="8" width="35.33203125" bestFit="1" customWidth="1"/>
    <col min="9" max="9" width="21.83203125" customWidth="1"/>
    <col min="10" max="10" width="16.83203125" bestFit="1" customWidth="1"/>
    <col min="11" max="11" width="22" bestFit="1" customWidth="1"/>
    <col min="12" max="12" width="23.5" bestFit="1" customWidth="1"/>
    <col min="13" max="13" width="83.6640625" bestFit="1" customWidth="1"/>
    <col min="14" max="14" width="20.1640625" bestFit="1" customWidth="1"/>
    <col min="15" max="15" width="18.5" bestFit="1" customWidth="1"/>
    <col min="16" max="18" width="21.83203125" customWidth="1"/>
    <col min="19" max="19" width="27.6640625" customWidth="1"/>
  </cols>
  <sheetData>
    <row r="1" spans="1:19" s="39" customFormat="1" ht="19" x14ac:dyDescent="0.25">
      <c r="A1" s="39" t="s">
        <v>666</v>
      </c>
      <c r="B1" s="39" t="s">
        <v>629</v>
      </c>
      <c r="C1" s="39" t="s">
        <v>631</v>
      </c>
      <c r="D1" s="39" t="s">
        <v>632</v>
      </c>
      <c r="E1" s="39" t="s">
        <v>633</v>
      </c>
      <c r="F1" s="39" t="s">
        <v>635</v>
      </c>
      <c r="G1" s="39" t="s">
        <v>682</v>
      </c>
      <c r="H1" s="39" t="s">
        <v>807</v>
      </c>
      <c r="I1" s="39" t="s">
        <v>864</v>
      </c>
      <c r="J1" s="40" t="s">
        <v>799</v>
      </c>
      <c r="K1" s="40" t="s">
        <v>800</v>
      </c>
      <c r="L1" s="40" t="s">
        <v>802</v>
      </c>
      <c r="M1" s="40" t="s">
        <v>847</v>
      </c>
      <c r="N1" s="40" t="s">
        <v>803</v>
      </c>
      <c r="O1" s="40" t="s">
        <v>804</v>
      </c>
      <c r="P1" s="39" t="s">
        <v>865</v>
      </c>
      <c r="Q1" s="39" t="s">
        <v>858</v>
      </c>
      <c r="R1" s="39" t="s">
        <v>848</v>
      </c>
      <c r="S1" s="40" t="s">
        <v>120</v>
      </c>
    </row>
    <row r="2" spans="1:19" s="25" customFormat="1" x14ac:dyDescent="0.2">
      <c r="A2" s="25" t="b">
        <v>1</v>
      </c>
      <c r="B2" s="25" t="s">
        <v>630</v>
      </c>
      <c r="C2" s="25" t="s">
        <v>20</v>
      </c>
      <c r="E2" s="25" t="s">
        <v>114</v>
      </c>
      <c r="F2" s="25" t="s">
        <v>645</v>
      </c>
      <c r="G2"/>
      <c r="H2" s="25" t="s">
        <v>808</v>
      </c>
      <c r="J2" s="25" t="s">
        <v>155</v>
      </c>
      <c r="K2" s="25" t="s">
        <v>160</v>
      </c>
      <c r="M2" s="25" t="s">
        <v>887</v>
      </c>
      <c r="N2" s="25" t="s">
        <v>161</v>
      </c>
      <c r="O2" s="25" t="s">
        <v>154</v>
      </c>
    </row>
    <row r="3" spans="1:19" s="25" customFormat="1" x14ac:dyDescent="0.2">
      <c r="A3" s="25" t="b">
        <v>1</v>
      </c>
      <c r="B3" s="25" t="s">
        <v>630</v>
      </c>
      <c r="C3" s="25" t="s">
        <v>26</v>
      </c>
      <c r="E3" s="25" t="s">
        <v>114</v>
      </c>
      <c r="F3" s="25" t="s">
        <v>645</v>
      </c>
      <c r="G3"/>
      <c r="H3" s="25" t="s">
        <v>809</v>
      </c>
      <c r="J3" s="25" t="s">
        <v>164</v>
      </c>
      <c r="K3" s="25" t="s">
        <v>167</v>
      </c>
      <c r="L3" s="25" t="s">
        <v>648</v>
      </c>
      <c r="N3" s="25" t="s">
        <v>168</v>
      </c>
      <c r="O3" s="25" t="s">
        <v>154</v>
      </c>
    </row>
    <row r="4" spans="1:19" s="25" customFormat="1" x14ac:dyDescent="0.2">
      <c r="A4" s="25" t="b">
        <v>1</v>
      </c>
      <c r="B4" s="25" t="s">
        <v>630</v>
      </c>
      <c r="C4" s="25" t="s">
        <v>25</v>
      </c>
      <c r="E4" s="25" t="s">
        <v>114</v>
      </c>
      <c r="F4" s="25" t="s">
        <v>645</v>
      </c>
      <c r="G4"/>
      <c r="H4" s="25" t="s">
        <v>810</v>
      </c>
      <c r="J4" s="25" t="s">
        <v>164</v>
      </c>
      <c r="K4" s="25" t="s">
        <v>166</v>
      </c>
      <c r="L4" s="25" t="s">
        <v>647</v>
      </c>
      <c r="N4" s="25" t="s">
        <v>157</v>
      </c>
      <c r="O4" s="25" t="s">
        <v>154</v>
      </c>
    </row>
    <row r="5" spans="1:19" s="25" customFormat="1" x14ac:dyDescent="0.2">
      <c r="A5" s="25" t="b">
        <v>1</v>
      </c>
      <c r="B5" s="25" t="s">
        <v>630</v>
      </c>
      <c r="C5" s="25" t="s">
        <v>51</v>
      </c>
      <c r="E5" s="25" t="s">
        <v>114</v>
      </c>
      <c r="F5" s="25" t="s">
        <v>645</v>
      </c>
      <c r="G5"/>
      <c r="H5" s="25" t="s">
        <v>811</v>
      </c>
      <c r="J5" s="25" t="s">
        <v>164</v>
      </c>
      <c r="K5" s="25" t="s">
        <v>175</v>
      </c>
      <c r="L5" s="25" t="s">
        <v>660</v>
      </c>
      <c r="N5" s="25" t="s">
        <v>168</v>
      </c>
      <c r="O5" s="25" t="s">
        <v>154</v>
      </c>
    </row>
    <row r="6" spans="1:19" s="25" customFormat="1" x14ac:dyDescent="0.2">
      <c r="A6" s="25" t="b">
        <v>1</v>
      </c>
      <c r="B6" s="25" t="s">
        <v>630</v>
      </c>
      <c r="C6" s="25" t="s">
        <v>49</v>
      </c>
      <c r="E6" s="25" t="s">
        <v>114</v>
      </c>
      <c r="F6" s="25" t="s">
        <v>645</v>
      </c>
      <c r="G6"/>
      <c r="H6" s="25" t="s">
        <v>812</v>
      </c>
      <c r="J6" s="25" t="s">
        <v>164</v>
      </c>
      <c r="K6" s="25" t="s">
        <v>172</v>
      </c>
      <c r="L6" s="25" t="s">
        <v>658</v>
      </c>
      <c r="N6" s="25" t="s">
        <v>173</v>
      </c>
      <c r="O6" s="25" t="s">
        <v>154</v>
      </c>
    </row>
    <row r="7" spans="1:19" s="25" customFormat="1" x14ac:dyDescent="0.2">
      <c r="A7" s="25" t="b">
        <v>1</v>
      </c>
      <c r="B7" s="25" t="s">
        <v>630</v>
      </c>
      <c r="C7" s="25" t="s">
        <v>52</v>
      </c>
      <c r="E7" s="25" t="s">
        <v>114</v>
      </c>
      <c r="F7" s="25" t="s">
        <v>645</v>
      </c>
      <c r="G7"/>
      <c r="H7" s="25" t="s">
        <v>813</v>
      </c>
      <c r="J7" s="25" t="s">
        <v>164</v>
      </c>
      <c r="K7" s="25" t="s">
        <v>176</v>
      </c>
      <c r="L7" s="25" t="s">
        <v>661</v>
      </c>
      <c r="N7" s="25" t="s">
        <v>869</v>
      </c>
      <c r="O7" s="25" t="s">
        <v>154</v>
      </c>
    </row>
    <row r="8" spans="1:19" s="25" customFormat="1" x14ac:dyDescent="0.2">
      <c r="A8" s="25" t="b">
        <v>1</v>
      </c>
      <c r="B8" s="25" t="s">
        <v>630</v>
      </c>
      <c r="C8" s="25" t="s">
        <v>47</v>
      </c>
      <c r="E8" s="25" t="s">
        <v>114</v>
      </c>
      <c r="F8" s="25" t="s">
        <v>645</v>
      </c>
      <c r="G8"/>
      <c r="H8" s="25" t="s">
        <v>814</v>
      </c>
      <c r="J8" s="25" t="s">
        <v>155</v>
      </c>
      <c r="K8" s="25" t="s">
        <v>170</v>
      </c>
      <c r="M8" s="25" t="s">
        <v>886</v>
      </c>
      <c r="N8" s="25" t="s">
        <v>161</v>
      </c>
      <c r="O8" s="25" t="s">
        <v>158</v>
      </c>
    </row>
    <row r="9" spans="1:19" s="25" customFormat="1" x14ac:dyDescent="0.2">
      <c r="A9" s="25" t="b">
        <v>1</v>
      </c>
      <c r="B9" s="25" t="s">
        <v>630</v>
      </c>
      <c r="C9" s="25" t="s">
        <v>70</v>
      </c>
      <c r="E9" s="25" t="s">
        <v>114</v>
      </c>
      <c r="F9" s="25" t="s">
        <v>645</v>
      </c>
      <c r="G9"/>
      <c r="H9" s="25" t="s">
        <v>815</v>
      </c>
      <c r="J9" s="25" t="s">
        <v>164</v>
      </c>
      <c r="K9" s="25" t="s">
        <v>639</v>
      </c>
      <c r="L9" s="25" t="s">
        <v>664</v>
      </c>
      <c r="N9" s="25" t="s">
        <v>643</v>
      </c>
      <c r="O9" s="25" t="s">
        <v>158</v>
      </c>
      <c r="P9" s="25" t="s">
        <v>853</v>
      </c>
    </row>
    <row r="10" spans="1:19" s="25" customFormat="1" x14ac:dyDescent="0.2">
      <c r="A10" s="25" t="b">
        <v>1</v>
      </c>
      <c r="B10" s="25" t="s">
        <v>630</v>
      </c>
      <c r="C10" s="25" t="s">
        <v>69</v>
      </c>
      <c r="E10" s="25" t="s">
        <v>114</v>
      </c>
      <c r="F10" s="25" t="s">
        <v>645</v>
      </c>
      <c r="G10"/>
      <c r="H10" s="25" t="s">
        <v>816</v>
      </c>
      <c r="J10" s="25" t="s">
        <v>164</v>
      </c>
      <c r="K10" s="25" t="s">
        <v>638</v>
      </c>
      <c r="L10" s="25" t="s">
        <v>663</v>
      </c>
      <c r="N10" s="25" t="s">
        <v>642</v>
      </c>
      <c r="O10" s="25" t="s">
        <v>158</v>
      </c>
      <c r="P10" s="25" t="s">
        <v>854</v>
      </c>
    </row>
    <row r="11" spans="1:19" s="25" customFormat="1" x14ac:dyDescent="0.2">
      <c r="A11" s="25" t="b">
        <v>1</v>
      </c>
      <c r="B11" s="25" t="s">
        <v>630</v>
      </c>
      <c r="C11" s="25" t="s">
        <v>21</v>
      </c>
      <c r="E11" s="25" t="s">
        <v>114</v>
      </c>
      <c r="F11" s="25" t="s">
        <v>645</v>
      </c>
      <c r="G11"/>
      <c r="H11" s="25" t="s">
        <v>817</v>
      </c>
      <c r="J11" s="25" t="s">
        <v>155</v>
      </c>
      <c r="K11" s="25" t="s">
        <v>162</v>
      </c>
      <c r="M11" s="25" t="s">
        <v>885</v>
      </c>
      <c r="N11" s="25" t="s">
        <v>163</v>
      </c>
      <c r="O11" s="25" t="s">
        <v>158</v>
      </c>
    </row>
    <row r="12" spans="1:19" s="25" customFormat="1" x14ac:dyDescent="0.2">
      <c r="A12" s="25" t="b">
        <v>1</v>
      </c>
      <c r="B12" s="25" t="s">
        <v>630</v>
      </c>
      <c r="C12" s="25" t="s">
        <v>22</v>
      </c>
      <c r="D12" s="25" t="s">
        <v>140</v>
      </c>
      <c r="E12" s="25" t="s">
        <v>114</v>
      </c>
      <c r="F12" s="25" t="str">
        <f>"true"</f>
        <v>true</v>
      </c>
      <c r="G12"/>
      <c r="H12" s="25" t="s">
        <v>818</v>
      </c>
      <c r="J12" s="25" t="s">
        <v>155</v>
      </c>
      <c r="K12" s="25" t="s">
        <v>165</v>
      </c>
      <c r="L12" s="25" t="s">
        <v>646</v>
      </c>
    </row>
    <row r="13" spans="1:19" s="25" customFormat="1" x14ac:dyDescent="0.2">
      <c r="A13" s="25" t="b">
        <v>1</v>
      </c>
      <c r="B13" s="25" t="s">
        <v>630</v>
      </c>
      <c r="C13" s="25" t="s">
        <v>22</v>
      </c>
      <c r="D13" s="25" t="s">
        <v>141</v>
      </c>
      <c r="E13" s="25" t="s">
        <v>114</v>
      </c>
      <c r="F13" s="25" t="str">
        <f>"false"</f>
        <v>false</v>
      </c>
      <c r="G13"/>
    </row>
    <row r="14" spans="1:19" s="25" customFormat="1" x14ac:dyDescent="0.2">
      <c r="A14" s="25" t="b">
        <v>1</v>
      </c>
      <c r="B14" s="25" t="s">
        <v>630</v>
      </c>
      <c r="C14" s="25" t="s">
        <v>22</v>
      </c>
      <c r="D14" s="25" t="s">
        <v>795</v>
      </c>
      <c r="E14" s="25" t="s">
        <v>114</v>
      </c>
      <c r="F14" s="25" t="s">
        <v>883</v>
      </c>
      <c r="G14"/>
    </row>
    <row r="15" spans="1:19" s="25" customFormat="1" x14ac:dyDescent="0.2">
      <c r="A15" s="25" t="b">
        <v>1</v>
      </c>
      <c r="B15" s="25" t="s">
        <v>630</v>
      </c>
      <c r="C15" s="25" t="s">
        <v>64</v>
      </c>
      <c r="E15" s="25" t="s">
        <v>114</v>
      </c>
      <c r="F15" s="25" t="s">
        <v>645</v>
      </c>
      <c r="G15"/>
      <c r="H15" s="25" t="s">
        <v>819</v>
      </c>
      <c r="J15" s="25" t="s">
        <v>164</v>
      </c>
      <c r="K15" s="25" t="s">
        <v>595</v>
      </c>
      <c r="L15" s="25" t="s">
        <v>662</v>
      </c>
      <c r="N15" s="25" t="s">
        <v>641</v>
      </c>
      <c r="O15" s="25" t="s">
        <v>158</v>
      </c>
      <c r="P15" s="25" t="s">
        <v>855</v>
      </c>
    </row>
    <row r="16" spans="1:19" s="25" customFormat="1" x14ac:dyDescent="0.2">
      <c r="A16" s="25" t="b">
        <v>1</v>
      </c>
      <c r="B16" s="25" t="s">
        <v>630</v>
      </c>
      <c r="C16" s="25" t="s">
        <v>71</v>
      </c>
      <c r="E16" s="25" t="s">
        <v>114</v>
      </c>
      <c r="F16" s="25" t="s">
        <v>645</v>
      </c>
      <c r="G16"/>
      <c r="H16" s="25" t="s">
        <v>820</v>
      </c>
      <c r="I16" s="25" t="s">
        <v>852</v>
      </c>
      <c r="J16" s="25" t="s">
        <v>164</v>
      </c>
      <c r="K16" s="25" t="s">
        <v>640</v>
      </c>
      <c r="L16" s="25" t="s">
        <v>665</v>
      </c>
      <c r="N16" s="25" t="s">
        <v>644</v>
      </c>
      <c r="O16" s="25" t="s">
        <v>158</v>
      </c>
      <c r="P16" s="25" t="s">
        <v>856</v>
      </c>
    </row>
    <row r="17" spans="1:18" s="25" customFormat="1" x14ac:dyDescent="0.2">
      <c r="A17" s="25" t="b">
        <v>1</v>
      </c>
      <c r="B17" s="25" t="s">
        <v>630</v>
      </c>
      <c r="C17" s="25" t="s">
        <v>59</v>
      </c>
      <c r="E17" s="25" t="s">
        <v>114</v>
      </c>
      <c r="F17" s="25" t="s">
        <v>645</v>
      </c>
      <c r="G17"/>
      <c r="H17" s="25" t="s">
        <v>851</v>
      </c>
      <c r="J17" s="25" t="s">
        <v>164</v>
      </c>
      <c r="K17" s="25" t="s">
        <v>637</v>
      </c>
      <c r="M17" s="25" t="s">
        <v>917</v>
      </c>
      <c r="N17" t="s">
        <v>641</v>
      </c>
      <c r="O17" s="25" t="s">
        <v>158</v>
      </c>
      <c r="P17" s="25" t="s">
        <v>857</v>
      </c>
      <c r="Q17" s="25" t="s">
        <v>859</v>
      </c>
    </row>
    <row r="18" spans="1:18" s="25" customFormat="1" x14ac:dyDescent="0.2">
      <c r="A18" s="25" t="b">
        <v>1</v>
      </c>
      <c r="B18" s="25" t="s">
        <v>630</v>
      </c>
      <c r="C18" s="25" t="s">
        <v>61</v>
      </c>
      <c r="E18" s="25" t="s">
        <v>114</v>
      </c>
      <c r="F18" s="25" t="s">
        <v>645</v>
      </c>
      <c r="G18"/>
      <c r="H18" s="25" t="s">
        <v>821</v>
      </c>
      <c r="J18" s="25" t="s">
        <v>164</v>
      </c>
      <c r="K18" s="25" t="s">
        <v>637</v>
      </c>
      <c r="M18" s="25" t="s">
        <v>920</v>
      </c>
      <c r="N18" s="25" t="s">
        <v>641</v>
      </c>
      <c r="O18" s="25" t="s">
        <v>590</v>
      </c>
      <c r="P18" s="25" t="s">
        <v>857</v>
      </c>
    </row>
    <row r="19" spans="1:18" s="25" customFormat="1" x14ac:dyDescent="0.2">
      <c r="A19" s="25" t="b">
        <v>1</v>
      </c>
      <c r="B19" s="25" t="s">
        <v>630</v>
      </c>
      <c r="C19" s="25" t="s">
        <v>62</v>
      </c>
      <c r="E19" s="25" t="s">
        <v>114</v>
      </c>
      <c r="F19" s="25" t="s">
        <v>645</v>
      </c>
      <c r="G19"/>
      <c r="H19" s="25" t="s">
        <v>822</v>
      </c>
      <c r="J19" s="25" t="s">
        <v>164</v>
      </c>
      <c r="K19" s="25" t="s">
        <v>637</v>
      </c>
      <c r="M19" s="25" t="s">
        <v>919</v>
      </c>
      <c r="N19" s="25" t="s">
        <v>641</v>
      </c>
      <c r="O19" s="25" t="s">
        <v>591</v>
      </c>
      <c r="P19" s="25" t="s">
        <v>857</v>
      </c>
    </row>
    <row r="20" spans="1:18" s="25" customFormat="1" x14ac:dyDescent="0.2">
      <c r="A20" s="25" t="b">
        <v>1</v>
      </c>
      <c r="B20" s="25" t="s">
        <v>630</v>
      </c>
      <c r="C20" s="25" t="s">
        <v>60</v>
      </c>
      <c r="E20" s="25" t="s">
        <v>114</v>
      </c>
      <c r="F20" s="25" t="s">
        <v>645</v>
      </c>
      <c r="G20"/>
      <c r="H20" s="25" t="s">
        <v>823</v>
      </c>
      <c r="J20" s="25" t="s">
        <v>164</v>
      </c>
      <c r="K20" s="25" t="s">
        <v>637</v>
      </c>
      <c r="M20" s="25" t="s">
        <v>918</v>
      </c>
      <c r="N20" s="25" t="s">
        <v>641</v>
      </c>
      <c r="O20" s="25" t="s">
        <v>589</v>
      </c>
      <c r="P20" s="25" t="s">
        <v>857</v>
      </c>
    </row>
    <row r="21" spans="1:18" s="25" customFormat="1" x14ac:dyDescent="0.2">
      <c r="A21" s="25" t="b">
        <v>1</v>
      </c>
      <c r="B21" s="25" t="s">
        <v>630</v>
      </c>
      <c r="C21" s="25" t="s">
        <v>48</v>
      </c>
      <c r="E21" s="25" t="s">
        <v>114</v>
      </c>
      <c r="F21" s="25" t="s">
        <v>645</v>
      </c>
      <c r="G21"/>
      <c r="H21" s="25" t="s">
        <v>824</v>
      </c>
      <c r="J21" s="25" t="s">
        <v>164</v>
      </c>
      <c r="K21" s="25" t="s">
        <v>48</v>
      </c>
      <c r="L21" s="25" t="s">
        <v>657</v>
      </c>
      <c r="N21" s="25" t="s">
        <v>171</v>
      </c>
      <c r="O21" s="25" t="s">
        <v>154</v>
      </c>
    </row>
    <row r="22" spans="1:18" s="25" customFormat="1" x14ac:dyDescent="0.2">
      <c r="A22" s="25" t="b">
        <v>1</v>
      </c>
      <c r="B22" s="25" t="s">
        <v>630</v>
      </c>
      <c r="C22" s="25" t="s">
        <v>27</v>
      </c>
      <c r="E22" s="25" t="s">
        <v>114</v>
      </c>
      <c r="F22" s="25" t="s">
        <v>645</v>
      </c>
      <c r="G22"/>
      <c r="H22" s="25" t="s">
        <v>825</v>
      </c>
      <c r="J22" s="25" t="s">
        <v>164</v>
      </c>
      <c r="K22" s="25" t="s">
        <v>169</v>
      </c>
      <c r="L22" s="25" t="s">
        <v>636</v>
      </c>
      <c r="R22" s="25" t="s">
        <v>860</v>
      </c>
    </row>
    <row r="23" spans="1:18" s="25" customFormat="1" x14ac:dyDescent="0.2">
      <c r="A23" s="25" t="b">
        <v>1</v>
      </c>
      <c r="B23" s="25" t="s">
        <v>630</v>
      </c>
      <c r="C23" s="25" t="s">
        <v>66</v>
      </c>
      <c r="E23" s="25" t="s">
        <v>114</v>
      </c>
      <c r="F23" s="25" t="s">
        <v>645</v>
      </c>
      <c r="G23"/>
      <c r="H23" s="25" t="s">
        <v>826</v>
      </c>
      <c r="J23" s="25" t="s">
        <v>164</v>
      </c>
      <c r="K23" s="25" t="s">
        <v>596</v>
      </c>
      <c r="M23" s="25" t="s">
        <v>916</v>
      </c>
      <c r="N23" s="25" t="s">
        <v>163</v>
      </c>
      <c r="O23" s="25" t="s">
        <v>158</v>
      </c>
    </row>
    <row r="24" spans="1:18" s="25" customFormat="1" x14ac:dyDescent="0.2">
      <c r="A24" s="25" t="b">
        <v>1</v>
      </c>
      <c r="B24" s="25" t="s">
        <v>630</v>
      </c>
      <c r="C24" s="25" t="s">
        <v>39</v>
      </c>
      <c r="E24" s="25" t="s">
        <v>114</v>
      </c>
      <c r="F24" s="25" t="s">
        <v>645</v>
      </c>
      <c r="G24"/>
      <c r="H24" s="25" t="s">
        <v>827</v>
      </c>
      <c r="J24" s="25" t="s">
        <v>164</v>
      </c>
      <c r="K24" s="25" t="s">
        <v>578</v>
      </c>
      <c r="L24" s="25" t="s">
        <v>655</v>
      </c>
      <c r="N24" s="25" t="s">
        <v>579</v>
      </c>
      <c r="O24" s="25" t="s">
        <v>154</v>
      </c>
    </row>
    <row r="25" spans="1:18" s="25" customFormat="1" x14ac:dyDescent="0.2">
      <c r="A25" s="25" t="b">
        <v>1</v>
      </c>
      <c r="B25" s="25" t="s">
        <v>630</v>
      </c>
      <c r="C25" s="25" t="s">
        <v>12</v>
      </c>
      <c r="E25" s="25" t="s">
        <v>114</v>
      </c>
      <c r="F25" s="25" t="s">
        <v>645</v>
      </c>
      <c r="G25"/>
      <c r="H25" s="25" t="s">
        <v>828</v>
      </c>
      <c r="J25" s="28" t="s">
        <v>155</v>
      </c>
      <c r="K25" s="28" t="s">
        <v>159</v>
      </c>
      <c r="L25" s="28"/>
      <c r="M25" s="28" t="s">
        <v>884</v>
      </c>
      <c r="N25" s="28" t="s">
        <v>157</v>
      </c>
      <c r="O25" s="28" t="s">
        <v>158</v>
      </c>
    </row>
    <row r="26" spans="1:18" s="25" customFormat="1" x14ac:dyDescent="0.2">
      <c r="A26" s="25" t="b">
        <v>1</v>
      </c>
      <c r="B26" s="25" t="s">
        <v>630</v>
      </c>
      <c r="C26" s="25" t="s">
        <v>50</v>
      </c>
      <c r="E26" s="25" t="s">
        <v>114</v>
      </c>
      <c r="F26" s="25" t="s">
        <v>645</v>
      </c>
      <c r="G26"/>
      <c r="H26" s="25" t="s">
        <v>829</v>
      </c>
      <c r="J26" s="25" t="s">
        <v>164</v>
      </c>
      <c r="K26" s="25" t="s">
        <v>50</v>
      </c>
      <c r="L26" s="25" t="s">
        <v>659</v>
      </c>
      <c r="N26" s="25" t="s">
        <v>174</v>
      </c>
      <c r="O26" s="25" t="s">
        <v>154</v>
      </c>
    </row>
    <row r="27" spans="1:18" s="25" customFormat="1" x14ac:dyDescent="0.2">
      <c r="G27"/>
    </row>
    <row r="28" spans="1:18" s="25" customFormat="1" x14ac:dyDescent="0.2">
      <c r="G28"/>
    </row>
  </sheetData>
  <sortState xmlns:xlrd2="http://schemas.microsoft.com/office/spreadsheetml/2017/richdata2" ref="A2:S28">
    <sortCondition ref="C1:C28"/>
  </sortState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CA3B6-4765-0A43-8534-6DA7BF8A336D}">
  <dimension ref="A1:M17"/>
  <sheetViews>
    <sheetView workbookViewId="0">
      <pane ySplit="1" topLeftCell="A2" activePane="bottomLeft" state="frozen"/>
      <selection pane="bottomLeft" activeCell="K2" sqref="K2"/>
    </sheetView>
  </sheetViews>
  <sheetFormatPr baseColWidth="10" defaultRowHeight="16" x14ac:dyDescent="0.2"/>
  <cols>
    <col min="2" max="2" width="13" bestFit="1" customWidth="1"/>
    <col min="3" max="3" width="18.6640625" bestFit="1" customWidth="1"/>
    <col min="4" max="4" width="13.1640625" bestFit="1" customWidth="1"/>
    <col min="5" max="5" width="17" customWidth="1"/>
    <col min="6" max="6" width="12.1640625" bestFit="1" customWidth="1"/>
    <col min="7" max="7" width="15.83203125" bestFit="1" customWidth="1"/>
    <col min="8" max="8" width="35.33203125" bestFit="1" customWidth="1"/>
    <col min="9" max="9" width="23" customWidth="1"/>
    <col min="10" max="11" width="22.33203125" customWidth="1"/>
    <col min="12" max="12" width="35.1640625" bestFit="1" customWidth="1"/>
  </cols>
  <sheetData>
    <row r="1" spans="1:13" s="39" customFormat="1" ht="19" x14ac:dyDescent="0.25">
      <c r="A1" s="39" t="s">
        <v>666</v>
      </c>
      <c r="B1" s="39" t="s">
        <v>629</v>
      </c>
      <c r="C1" s="39" t="s">
        <v>631</v>
      </c>
      <c r="D1" s="39" t="s">
        <v>632</v>
      </c>
      <c r="E1" s="39" t="s">
        <v>633</v>
      </c>
      <c r="F1" s="39" t="s">
        <v>635</v>
      </c>
      <c r="G1" s="39" t="s">
        <v>682</v>
      </c>
      <c r="H1" s="39" t="s">
        <v>807</v>
      </c>
      <c r="I1" s="39" t="s">
        <v>797</v>
      </c>
      <c r="J1" s="40" t="s">
        <v>798</v>
      </c>
      <c r="K1" s="40" t="s">
        <v>796</v>
      </c>
      <c r="L1" s="40" t="s">
        <v>850</v>
      </c>
      <c r="M1" s="40" t="s">
        <v>120</v>
      </c>
    </row>
    <row r="2" spans="1:13" ht="17" customHeight="1" x14ac:dyDescent="0.2">
      <c r="A2" t="b">
        <v>1</v>
      </c>
      <c r="B2" t="s">
        <v>630</v>
      </c>
      <c r="C2" t="s">
        <v>67</v>
      </c>
      <c r="E2" t="s">
        <v>146</v>
      </c>
      <c r="H2" s="25" t="s">
        <v>851</v>
      </c>
      <c r="I2" t="s">
        <v>787</v>
      </c>
      <c r="K2" s="35" t="s">
        <v>863</v>
      </c>
      <c r="L2" s="35" t="s">
        <v>849</v>
      </c>
    </row>
    <row r="3" spans="1:13" ht="19" customHeight="1" x14ac:dyDescent="0.2">
      <c r="K3" s="35"/>
      <c r="L3" s="35"/>
    </row>
    <row r="4" spans="1:13" x14ac:dyDescent="0.2">
      <c r="A4" t="b">
        <v>1</v>
      </c>
      <c r="B4" t="s">
        <v>630</v>
      </c>
      <c r="C4" t="s">
        <v>65</v>
      </c>
      <c r="D4" t="s">
        <v>140</v>
      </c>
      <c r="E4" t="s">
        <v>146</v>
      </c>
      <c r="F4" t="s">
        <v>597</v>
      </c>
      <c r="H4" s="25" t="s">
        <v>851</v>
      </c>
      <c r="I4" t="s">
        <v>788</v>
      </c>
      <c r="J4" t="s">
        <v>791</v>
      </c>
    </row>
    <row r="5" spans="1:13" x14ac:dyDescent="0.2">
      <c r="A5" t="b">
        <v>1</v>
      </c>
      <c r="B5" t="s">
        <v>630</v>
      </c>
      <c r="C5" t="s">
        <v>65</v>
      </c>
      <c r="D5" t="s">
        <v>141</v>
      </c>
      <c r="E5" t="s">
        <v>146</v>
      </c>
      <c r="F5" t="s">
        <v>830</v>
      </c>
    </row>
    <row r="7" spans="1:13" x14ac:dyDescent="0.2">
      <c r="A7" t="b">
        <v>1</v>
      </c>
      <c r="B7" t="s">
        <v>630</v>
      </c>
      <c r="C7" t="s">
        <v>63</v>
      </c>
      <c r="D7" t="s">
        <v>140</v>
      </c>
      <c r="E7" t="s">
        <v>146</v>
      </c>
      <c r="F7" t="s">
        <v>592</v>
      </c>
      <c r="H7" s="25" t="s">
        <v>851</v>
      </c>
      <c r="I7" t="s">
        <v>790</v>
      </c>
      <c r="J7" t="s">
        <v>789</v>
      </c>
    </row>
    <row r="8" spans="1:13" x14ac:dyDescent="0.2">
      <c r="A8" t="b">
        <v>1</v>
      </c>
      <c r="B8" t="s">
        <v>630</v>
      </c>
      <c r="C8" t="s">
        <v>63</v>
      </c>
      <c r="D8" t="s">
        <v>141</v>
      </c>
      <c r="E8" t="s">
        <v>146</v>
      </c>
      <c r="F8" t="s">
        <v>830</v>
      </c>
    </row>
    <row r="9" spans="1:13" x14ac:dyDescent="0.2">
      <c r="A9" t="b">
        <v>1</v>
      </c>
      <c r="B9" t="s">
        <v>630</v>
      </c>
      <c r="C9" t="s">
        <v>63</v>
      </c>
      <c r="D9" t="s">
        <v>795</v>
      </c>
      <c r="E9" t="s">
        <v>146</v>
      </c>
      <c r="F9" t="s">
        <v>830</v>
      </c>
    </row>
    <row r="11" spans="1:13" x14ac:dyDescent="0.2">
      <c r="A11" t="b">
        <v>1</v>
      </c>
      <c r="B11" t="s">
        <v>630</v>
      </c>
      <c r="C11" t="s">
        <v>55</v>
      </c>
      <c r="D11" t="s">
        <v>140</v>
      </c>
      <c r="E11" t="s">
        <v>146</v>
      </c>
      <c r="F11" t="s">
        <v>148</v>
      </c>
      <c r="H11" s="25" t="s">
        <v>851</v>
      </c>
      <c r="I11" t="s">
        <v>792</v>
      </c>
      <c r="J11" t="s">
        <v>786</v>
      </c>
    </row>
    <row r="12" spans="1:13" x14ac:dyDescent="0.2">
      <c r="A12" t="b">
        <v>1</v>
      </c>
      <c r="B12" t="s">
        <v>630</v>
      </c>
      <c r="C12" t="s">
        <v>55</v>
      </c>
      <c r="D12" t="s">
        <v>141</v>
      </c>
      <c r="E12" t="s">
        <v>146</v>
      </c>
      <c r="F12" t="s">
        <v>149</v>
      </c>
    </row>
    <row r="13" spans="1:13" x14ac:dyDescent="0.2">
      <c r="A13" t="b">
        <v>1</v>
      </c>
      <c r="B13" t="s">
        <v>630</v>
      </c>
      <c r="C13" t="s">
        <v>55</v>
      </c>
      <c r="D13" t="s">
        <v>795</v>
      </c>
      <c r="E13" t="s">
        <v>146</v>
      </c>
      <c r="F13" t="s">
        <v>149</v>
      </c>
    </row>
    <row r="15" spans="1:13" x14ac:dyDescent="0.2">
      <c r="A15" t="b">
        <v>1</v>
      </c>
      <c r="B15" t="s">
        <v>630</v>
      </c>
      <c r="C15" t="s">
        <v>72</v>
      </c>
      <c r="D15" t="s">
        <v>140</v>
      </c>
      <c r="E15" t="s">
        <v>146</v>
      </c>
      <c r="F15" t="s">
        <v>148</v>
      </c>
      <c r="H15" s="25" t="s">
        <v>851</v>
      </c>
      <c r="I15" t="s">
        <v>793</v>
      </c>
      <c r="J15" t="s">
        <v>794</v>
      </c>
    </row>
    <row r="16" spans="1:13" x14ac:dyDescent="0.2">
      <c r="A16" t="b">
        <v>1</v>
      </c>
      <c r="B16" t="s">
        <v>630</v>
      </c>
      <c r="C16" t="s">
        <v>72</v>
      </c>
      <c r="D16" t="s">
        <v>141</v>
      </c>
      <c r="E16" t="s">
        <v>146</v>
      </c>
      <c r="F16" t="s">
        <v>149</v>
      </c>
    </row>
    <row r="17" spans="1:6" x14ac:dyDescent="0.2">
      <c r="A17" t="b">
        <v>1</v>
      </c>
      <c r="B17" t="s">
        <v>630</v>
      </c>
      <c r="C17" t="s">
        <v>72</v>
      </c>
      <c r="D17" t="s">
        <v>795</v>
      </c>
      <c r="E17" t="s">
        <v>146</v>
      </c>
      <c r="F17" t="s">
        <v>149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6A21B-0669-0743-9D12-F41DCA15CA4A}">
  <dimension ref="A1:O110"/>
  <sheetViews>
    <sheetView workbookViewId="0">
      <pane ySplit="1" topLeftCell="A2" activePane="bottomLeft" state="frozen"/>
      <selection pane="bottomLeft" activeCell="H2" sqref="H2"/>
    </sheetView>
  </sheetViews>
  <sheetFormatPr baseColWidth="10" defaultRowHeight="16" x14ac:dyDescent="0.2"/>
  <cols>
    <col min="1" max="1" width="10.5" bestFit="1" customWidth="1"/>
    <col min="2" max="2" width="13" bestFit="1" customWidth="1"/>
    <col min="3" max="3" width="20.6640625" bestFit="1" customWidth="1"/>
    <col min="4" max="4" width="53.5" customWidth="1"/>
    <col min="5" max="5" width="12.6640625" bestFit="1" customWidth="1"/>
    <col min="6" max="6" width="14.83203125" bestFit="1" customWidth="1"/>
    <col min="7" max="7" width="15.83203125" bestFit="1" customWidth="1"/>
    <col min="8" max="8" width="13.5" bestFit="1" customWidth="1"/>
    <col min="9" max="9" width="15.6640625" bestFit="1" customWidth="1"/>
    <col min="10" max="10" width="14.5" bestFit="1" customWidth="1"/>
    <col min="11" max="11" width="22.83203125" bestFit="1" customWidth="1"/>
    <col min="12" max="12" width="11" bestFit="1" customWidth="1"/>
    <col min="13" max="13" width="18.5" bestFit="1" customWidth="1"/>
    <col min="14" max="14" width="18.5" customWidth="1"/>
    <col min="15" max="15" width="96.33203125" bestFit="1" customWidth="1"/>
  </cols>
  <sheetData>
    <row r="1" spans="1:15" s="39" customFormat="1" ht="19" x14ac:dyDescent="0.25">
      <c r="A1" s="39" t="s">
        <v>666</v>
      </c>
      <c r="B1" s="39" t="s">
        <v>629</v>
      </c>
      <c r="C1" s="39" t="s">
        <v>631</v>
      </c>
      <c r="D1" s="39" t="s">
        <v>632</v>
      </c>
      <c r="E1" s="39" t="s">
        <v>633</v>
      </c>
      <c r="F1" s="39" t="s">
        <v>635</v>
      </c>
      <c r="G1" s="39" t="s">
        <v>682</v>
      </c>
      <c r="H1" s="39" t="s">
        <v>831</v>
      </c>
      <c r="I1" s="40" t="s">
        <v>800</v>
      </c>
      <c r="J1" s="40" t="s">
        <v>801</v>
      </c>
      <c r="K1" s="40" t="s">
        <v>802</v>
      </c>
      <c r="L1" s="40" t="s">
        <v>803</v>
      </c>
      <c r="M1" s="40" t="s">
        <v>804</v>
      </c>
      <c r="N1" s="40" t="s">
        <v>865</v>
      </c>
      <c r="O1" s="40" t="s">
        <v>120</v>
      </c>
    </row>
    <row r="2" spans="1:15" s="25" customFormat="1" x14ac:dyDescent="0.2">
      <c r="A2" s="25" t="b">
        <v>1</v>
      </c>
      <c r="B2" s="25" t="s">
        <v>630</v>
      </c>
      <c r="C2" s="25" t="s">
        <v>36</v>
      </c>
      <c r="E2" s="25" t="s">
        <v>151</v>
      </c>
      <c r="F2" s="25" t="s">
        <v>645</v>
      </c>
      <c r="H2" s="28" t="s">
        <v>832</v>
      </c>
      <c r="I2" s="25" t="s">
        <v>645</v>
      </c>
      <c r="J2" s="25" t="s">
        <v>481</v>
      </c>
      <c r="K2" s="25" t="s">
        <v>654</v>
      </c>
    </row>
    <row r="3" spans="1:15" s="25" customFormat="1" x14ac:dyDescent="0.2">
      <c r="A3" s="25" t="b">
        <v>1</v>
      </c>
      <c r="B3" s="25" t="s">
        <v>630</v>
      </c>
      <c r="C3" s="25" t="s">
        <v>43</v>
      </c>
      <c r="E3" s="25" t="s">
        <v>151</v>
      </c>
      <c r="H3" s="28" t="s">
        <v>833</v>
      </c>
      <c r="I3" s="25" t="s">
        <v>645</v>
      </c>
      <c r="J3" s="25" t="s">
        <v>580</v>
      </c>
      <c r="K3" s="25" t="s">
        <v>677</v>
      </c>
      <c r="L3" s="25" t="s">
        <v>171</v>
      </c>
      <c r="M3" s="25" t="s">
        <v>158</v>
      </c>
    </row>
    <row r="4" spans="1:15" s="25" customFormat="1" x14ac:dyDescent="0.2">
      <c r="A4" s="25" t="b">
        <v>1</v>
      </c>
      <c r="B4" s="25" t="s">
        <v>630</v>
      </c>
      <c r="C4" s="25" t="s">
        <v>40</v>
      </c>
      <c r="E4" s="25" t="s">
        <v>151</v>
      </c>
      <c r="F4" s="25" t="s">
        <v>645</v>
      </c>
      <c r="H4" s="28" t="s">
        <v>834</v>
      </c>
      <c r="I4" s="25" t="s">
        <v>645</v>
      </c>
      <c r="J4" s="25" t="s">
        <v>501</v>
      </c>
      <c r="K4" s="25" t="s">
        <v>656</v>
      </c>
    </row>
    <row r="5" spans="1:15" s="25" customFormat="1" x14ac:dyDescent="0.2">
      <c r="A5" s="25" t="b">
        <v>1</v>
      </c>
      <c r="B5" s="25" t="s">
        <v>630</v>
      </c>
      <c r="C5" s="25" t="s">
        <v>32</v>
      </c>
      <c r="E5" s="25" t="s">
        <v>151</v>
      </c>
      <c r="F5" s="25" t="s">
        <v>645</v>
      </c>
      <c r="H5" s="28" t="s">
        <v>835</v>
      </c>
      <c r="I5" s="25" t="s">
        <v>477</v>
      </c>
      <c r="J5" s="25" t="s">
        <v>645</v>
      </c>
      <c r="K5" s="25" t="s">
        <v>650</v>
      </c>
      <c r="L5" s="25" t="s">
        <v>168</v>
      </c>
      <c r="M5" s="25" t="s">
        <v>154</v>
      </c>
    </row>
    <row r="6" spans="1:15" s="25" customFormat="1" x14ac:dyDescent="0.2">
      <c r="A6" s="25" t="b">
        <v>1</v>
      </c>
      <c r="B6" s="25" t="s">
        <v>630</v>
      </c>
      <c r="C6" s="25" t="s">
        <v>31</v>
      </c>
      <c r="E6" s="25" t="s">
        <v>151</v>
      </c>
      <c r="F6" s="25" t="s">
        <v>645</v>
      </c>
      <c r="H6" s="28" t="s">
        <v>836</v>
      </c>
      <c r="I6" s="25" t="s">
        <v>476</v>
      </c>
      <c r="J6" s="25" t="s">
        <v>645</v>
      </c>
      <c r="K6" s="25" t="s">
        <v>649</v>
      </c>
      <c r="L6" s="25" t="s">
        <v>157</v>
      </c>
      <c r="M6" s="25" t="s">
        <v>154</v>
      </c>
    </row>
    <row r="7" spans="1:15" s="25" customFormat="1" x14ac:dyDescent="0.2">
      <c r="A7" s="25" t="b">
        <v>1</v>
      </c>
      <c r="B7" s="25" t="s">
        <v>630</v>
      </c>
      <c r="C7" s="25" t="s">
        <v>34</v>
      </c>
      <c r="E7" s="25" t="s">
        <v>151</v>
      </c>
      <c r="F7" s="25" t="s">
        <v>645</v>
      </c>
      <c r="H7" s="28" t="s">
        <v>837</v>
      </c>
      <c r="I7" s="25" t="s">
        <v>479</v>
      </c>
      <c r="J7" s="25" t="s">
        <v>645</v>
      </c>
      <c r="K7" s="25" t="s">
        <v>652</v>
      </c>
      <c r="L7" s="25" t="s">
        <v>168</v>
      </c>
      <c r="M7" s="25" t="s">
        <v>154</v>
      </c>
    </row>
    <row r="8" spans="1:15" s="25" customFormat="1" x14ac:dyDescent="0.2">
      <c r="A8" s="25" t="b">
        <v>1</v>
      </c>
      <c r="B8" s="25" t="s">
        <v>630</v>
      </c>
      <c r="C8" s="25" t="s">
        <v>33</v>
      </c>
      <c r="E8" s="25" t="s">
        <v>151</v>
      </c>
      <c r="F8" s="25" t="s">
        <v>645</v>
      </c>
      <c r="H8" s="28" t="s">
        <v>838</v>
      </c>
      <c r="I8" s="25" t="s">
        <v>478</v>
      </c>
      <c r="J8" s="25" t="s">
        <v>645</v>
      </c>
      <c r="K8" s="25" t="s">
        <v>651</v>
      </c>
      <c r="L8" s="25" t="s">
        <v>157</v>
      </c>
      <c r="M8" s="25" t="s">
        <v>154</v>
      </c>
    </row>
    <row r="9" spans="1:15" s="25" customFormat="1" x14ac:dyDescent="0.2">
      <c r="A9" s="25" t="b">
        <v>1</v>
      </c>
      <c r="B9" s="25" t="s">
        <v>630</v>
      </c>
      <c r="C9" s="25" t="s">
        <v>35</v>
      </c>
      <c r="E9" s="25" t="s">
        <v>151</v>
      </c>
      <c r="F9" s="25" t="s">
        <v>645</v>
      </c>
      <c r="H9" s="28" t="s">
        <v>839</v>
      </c>
      <c r="I9" s="25" t="s">
        <v>645</v>
      </c>
      <c r="J9" s="25" t="s">
        <v>480</v>
      </c>
      <c r="K9" s="25" t="s">
        <v>653</v>
      </c>
      <c r="L9" s="25" t="s">
        <v>153</v>
      </c>
      <c r="M9" s="25" t="s">
        <v>154</v>
      </c>
    </row>
    <row r="10" spans="1:15" s="25" customFormat="1" x14ac:dyDescent="0.2"/>
    <row r="11" spans="1:15" s="25" customFormat="1" x14ac:dyDescent="0.2">
      <c r="A11" s="25" t="b">
        <v>1</v>
      </c>
      <c r="B11" s="25" t="s">
        <v>630</v>
      </c>
      <c r="C11" s="25" t="s">
        <v>29</v>
      </c>
      <c r="D11" s="33" t="s">
        <v>181</v>
      </c>
      <c r="E11" s="25" t="s">
        <v>151</v>
      </c>
      <c r="F11" s="25" t="s">
        <v>427</v>
      </c>
      <c r="H11" s="25" t="s">
        <v>840</v>
      </c>
      <c r="I11" s="25" t="s">
        <v>645</v>
      </c>
      <c r="J11" s="25" t="s">
        <v>425</v>
      </c>
      <c r="K11" s="25" t="s">
        <v>671</v>
      </c>
    </row>
    <row r="12" spans="1:15" s="25" customFormat="1" x14ac:dyDescent="0.2">
      <c r="A12" s="25" t="b">
        <v>1</v>
      </c>
      <c r="B12" s="25" t="s">
        <v>630</v>
      </c>
      <c r="C12" s="25" t="s">
        <v>29</v>
      </c>
      <c r="D12" s="32" t="s">
        <v>182</v>
      </c>
      <c r="E12" s="25" t="s">
        <v>151</v>
      </c>
      <c r="F12" s="25" t="s">
        <v>426</v>
      </c>
      <c r="I12" s="25" t="s">
        <v>645</v>
      </c>
      <c r="J12" s="25" t="s">
        <v>645</v>
      </c>
      <c r="K12" s="25" t="s">
        <v>645</v>
      </c>
    </row>
    <row r="13" spans="1:15" s="25" customFormat="1" x14ac:dyDescent="0.2">
      <c r="A13" s="25" t="b">
        <v>1</v>
      </c>
      <c r="B13" s="25" t="s">
        <v>630</v>
      </c>
      <c r="C13" s="25" t="s">
        <v>29</v>
      </c>
      <c r="D13" s="32" t="s">
        <v>183</v>
      </c>
      <c r="E13" s="25" t="s">
        <v>151</v>
      </c>
      <c r="F13" s="25" t="s">
        <v>428</v>
      </c>
      <c r="I13" s="25" t="s">
        <v>645</v>
      </c>
      <c r="J13" s="25" t="s">
        <v>645</v>
      </c>
      <c r="K13" s="25" t="s">
        <v>645</v>
      </c>
    </row>
    <row r="14" spans="1:15" s="25" customFormat="1" x14ac:dyDescent="0.2">
      <c r="A14" s="25" t="b">
        <v>1</v>
      </c>
      <c r="B14" s="25" t="s">
        <v>630</v>
      </c>
      <c r="C14" s="25" t="s">
        <v>29</v>
      </c>
      <c r="D14" s="32" t="s">
        <v>184</v>
      </c>
      <c r="E14" s="25" t="s">
        <v>151</v>
      </c>
      <c r="F14" s="25" t="s">
        <v>429</v>
      </c>
      <c r="I14" s="25" t="s">
        <v>645</v>
      </c>
      <c r="J14" s="25" t="s">
        <v>645</v>
      </c>
      <c r="K14" s="25" t="s">
        <v>645</v>
      </c>
    </row>
    <row r="15" spans="1:15" s="25" customFormat="1" x14ac:dyDescent="0.2">
      <c r="A15" s="25" t="b">
        <v>1</v>
      </c>
      <c r="B15" s="25" t="s">
        <v>630</v>
      </c>
      <c r="C15" s="25" t="s">
        <v>29</v>
      </c>
      <c r="D15" s="33" t="s">
        <v>185</v>
      </c>
      <c r="E15" s="25" t="s">
        <v>151</v>
      </c>
      <c r="F15" s="25" t="s">
        <v>430</v>
      </c>
      <c r="I15" s="25" t="s">
        <v>645</v>
      </c>
      <c r="J15" s="25" t="s">
        <v>645</v>
      </c>
    </row>
    <row r="16" spans="1:15" s="25" customFormat="1" x14ac:dyDescent="0.2">
      <c r="A16" s="25" t="b">
        <v>1</v>
      </c>
      <c r="B16" s="25" t="s">
        <v>630</v>
      </c>
      <c r="C16" s="25" t="s">
        <v>29</v>
      </c>
      <c r="D16" s="32" t="s">
        <v>186</v>
      </c>
      <c r="E16" s="25" t="s">
        <v>151</v>
      </c>
      <c r="F16" s="25" t="s">
        <v>431</v>
      </c>
      <c r="I16" s="25" t="s">
        <v>645</v>
      </c>
      <c r="J16" s="25" t="s">
        <v>645</v>
      </c>
      <c r="K16" s="25" t="s">
        <v>645</v>
      </c>
    </row>
    <row r="17" spans="1:11" s="25" customFormat="1" x14ac:dyDescent="0.2">
      <c r="A17" s="25" t="b">
        <v>1</v>
      </c>
      <c r="B17" s="25" t="s">
        <v>630</v>
      </c>
      <c r="C17" s="25" t="s">
        <v>29</v>
      </c>
      <c r="D17" s="32" t="s">
        <v>187</v>
      </c>
      <c r="E17" s="25" t="s">
        <v>151</v>
      </c>
      <c r="F17" s="25" t="s">
        <v>430</v>
      </c>
      <c r="I17" s="25" t="s">
        <v>645</v>
      </c>
      <c r="J17" s="25" t="s">
        <v>645</v>
      </c>
      <c r="K17" s="25" t="s">
        <v>645</v>
      </c>
    </row>
    <row r="18" spans="1:11" s="25" customFormat="1" x14ac:dyDescent="0.2">
      <c r="A18" s="25" t="b">
        <v>1</v>
      </c>
      <c r="B18" s="25" t="s">
        <v>630</v>
      </c>
      <c r="C18" s="25" t="s">
        <v>29</v>
      </c>
      <c r="D18" s="32" t="s">
        <v>188</v>
      </c>
      <c r="E18" s="25" t="s">
        <v>151</v>
      </c>
      <c r="F18" s="25" t="s">
        <v>432</v>
      </c>
      <c r="I18" s="25" t="s">
        <v>645</v>
      </c>
      <c r="J18" s="25" t="s">
        <v>645</v>
      </c>
      <c r="K18" s="25" t="s">
        <v>645</v>
      </c>
    </row>
    <row r="19" spans="1:11" s="25" customFormat="1" x14ac:dyDescent="0.2">
      <c r="A19" s="25" t="b">
        <v>1</v>
      </c>
      <c r="B19" s="25" t="s">
        <v>630</v>
      </c>
      <c r="C19" s="25" t="s">
        <v>29</v>
      </c>
      <c r="D19" s="32" t="s">
        <v>189</v>
      </c>
      <c r="E19" s="25" t="s">
        <v>151</v>
      </c>
      <c r="F19" s="25" t="s">
        <v>433</v>
      </c>
      <c r="I19" s="25" t="s">
        <v>645</v>
      </c>
      <c r="J19" s="25" t="s">
        <v>645</v>
      </c>
      <c r="K19" s="25" t="s">
        <v>645</v>
      </c>
    </row>
    <row r="20" spans="1:11" s="25" customFormat="1" x14ac:dyDescent="0.2">
      <c r="A20" s="25" t="b">
        <v>1</v>
      </c>
      <c r="B20" s="25" t="s">
        <v>630</v>
      </c>
      <c r="C20" s="25" t="s">
        <v>29</v>
      </c>
      <c r="D20" s="32" t="s">
        <v>190</v>
      </c>
      <c r="E20" s="25" t="s">
        <v>151</v>
      </c>
      <c r="F20" s="25" t="s">
        <v>434</v>
      </c>
      <c r="I20" s="25" t="s">
        <v>645</v>
      </c>
      <c r="J20" s="25" t="s">
        <v>645</v>
      </c>
      <c r="K20" s="25" t="s">
        <v>645</v>
      </c>
    </row>
    <row r="21" spans="1:11" s="25" customFormat="1" x14ac:dyDescent="0.2">
      <c r="A21" s="25" t="b">
        <v>1</v>
      </c>
      <c r="B21" s="25" t="s">
        <v>630</v>
      </c>
      <c r="C21" s="25" t="s">
        <v>29</v>
      </c>
      <c r="D21" s="32" t="s">
        <v>191</v>
      </c>
      <c r="E21" s="25" t="s">
        <v>151</v>
      </c>
      <c r="F21" s="25" t="s">
        <v>436</v>
      </c>
      <c r="I21" s="25" t="s">
        <v>645</v>
      </c>
      <c r="J21" s="25" t="s">
        <v>645</v>
      </c>
      <c r="K21" s="25" t="s">
        <v>645</v>
      </c>
    </row>
    <row r="22" spans="1:11" s="25" customFormat="1" x14ac:dyDescent="0.2">
      <c r="A22" s="25" t="b">
        <v>1</v>
      </c>
      <c r="B22" s="25" t="s">
        <v>630</v>
      </c>
      <c r="C22" s="25" t="s">
        <v>29</v>
      </c>
      <c r="D22" s="32" t="s">
        <v>192</v>
      </c>
      <c r="E22" s="25" t="s">
        <v>151</v>
      </c>
      <c r="F22" s="25" t="s">
        <v>435</v>
      </c>
      <c r="I22" s="25" t="s">
        <v>645</v>
      </c>
      <c r="J22" s="25" t="s">
        <v>645</v>
      </c>
      <c r="K22" s="25" t="s">
        <v>645</v>
      </c>
    </row>
    <row r="23" spans="1:11" s="25" customFormat="1" x14ac:dyDescent="0.2">
      <c r="A23" s="25" t="b">
        <v>1</v>
      </c>
      <c r="B23" s="25" t="s">
        <v>630</v>
      </c>
      <c r="C23" s="25" t="s">
        <v>29</v>
      </c>
      <c r="D23" s="32" t="s">
        <v>193</v>
      </c>
      <c r="E23" s="25" t="s">
        <v>151</v>
      </c>
      <c r="F23" s="25" t="s">
        <v>437</v>
      </c>
      <c r="I23" s="25" t="s">
        <v>645</v>
      </c>
      <c r="J23" s="25" t="s">
        <v>645</v>
      </c>
      <c r="K23" s="25" t="s">
        <v>645</v>
      </c>
    </row>
    <row r="24" spans="1:11" s="25" customFormat="1" x14ac:dyDescent="0.2">
      <c r="A24" s="25" t="b">
        <v>1</v>
      </c>
      <c r="B24" s="25" t="s">
        <v>630</v>
      </c>
      <c r="C24" s="25" t="s">
        <v>29</v>
      </c>
      <c r="D24" s="32" t="s">
        <v>194</v>
      </c>
      <c r="E24" s="25" t="s">
        <v>151</v>
      </c>
      <c r="F24" s="25" t="s">
        <v>610</v>
      </c>
      <c r="I24" s="25" t="s">
        <v>645</v>
      </c>
      <c r="J24" s="25" t="s">
        <v>645</v>
      </c>
      <c r="K24" s="25" t="s">
        <v>645</v>
      </c>
    </row>
    <row r="25" spans="1:11" s="25" customFormat="1" ht="15" customHeight="1" x14ac:dyDescent="0.2">
      <c r="A25" s="25" t="b">
        <v>1</v>
      </c>
      <c r="B25" s="25" t="s">
        <v>630</v>
      </c>
      <c r="C25" s="25" t="s">
        <v>29</v>
      </c>
      <c r="D25" s="32" t="s">
        <v>195</v>
      </c>
      <c r="E25" s="25" t="s">
        <v>151</v>
      </c>
      <c r="F25" s="25" t="s">
        <v>438</v>
      </c>
      <c r="I25" s="25" t="s">
        <v>645</v>
      </c>
      <c r="J25" s="25" t="s">
        <v>645</v>
      </c>
      <c r="K25" s="25" t="s">
        <v>645</v>
      </c>
    </row>
    <row r="26" spans="1:11" s="25" customFormat="1" x14ac:dyDescent="0.2">
      <c r="A26" s="25" t="b">
        <v>1</v>
      </c>
      <c r="B26" s="25" t="s">
        <v>630</v>
      </c>
      <c r="C26" s="25" t="s">
        <v>29</v>
      </c>
      <c r="D26" s="32" t="s">
        <v>196</v>
      </c>
      <c r="E26" s="25" t="s">
        <v>151</v>
      </c>
      <c r="F26" s="25" t="s">
        <v>439</v>
      </c>
      <c r="I26" s="25" t="s">
        <v>645</v>
      </c>
      <c r="J26" s="25" t="s">
        <v>645</v>
      </c>
      <c r="K26" s="25" t="s">
        <v>645</v>
      </c>
    </row>
    <row r="27" spans="1:11" s="25" customFormat="1" x14ac:dyDescent="0.2">
      <c r="A27" s="25" t="b">
        <v>1</v>
      </c>
      <c r="B27" s="25" t="s">
        <v>630</v>
      </c>
      <c r="C27" s="25" t="s">
        <v>29</v>
      </c>
      <c r="D27" s="32" t="s">
        <v>197</v>
      </c>
      <c r="E27" s="25" t="s">
        <v>151</v>
      </c>
      <c r="F27" s="25" t="s">
        <v>440</v>
      </c>
      <c r="I27" s="25" t="s">
        <v>645</v>
      </c>
      <c r="J27" s="25" t="s">
        <v>645</v>
      </c>
      <c r="K27" s="25" t="s">
        <v>645</v>
      </c>
    </row>
    <row r="28" spans="1:11" s="25" customFormat="1" x14ac:dyDescent="0.2">
      <c r="A28" s="25" t="b">
        <v>1</v>
      </c>
      <c r="B28" s="25" t="s">
        <v>630</v>
      </c>
      <c r="C28" s="25" t="s">
        <v>29</v>
      </c>
      <c r="D28" s="25" t="s">
        <v>198</v>
      </c>
      <c r="E28" s="25" t="s">
        <v>151</v>
      </c>
      <c r="F28" s="25" t="s">
        <v>441</v>
      </c>
      <c r="I28" s="25" t="s">
        <v>645</v>
      </c>
      <c r="J28" s="25" t="s">
        <v>645</v>
      </c>
      <c r="K28" s="25" t="s">
        <v>645</v>
      </c>
    </row>
    <row r="29" spans="1:11" s="25" customFormat="1" x14ac:dyDescent="0.2">
      <c r="A29" s="25" t="b">
        <v>1</v>
      </c>
      <c r="B29" s="25" t="s">
        <v>630</v>
      </c>
      <c r="C29" s="25" t="s">
        <v>29</v>
      </c>
      <c r="D29" s="32" t="s">
        <v>199</v>
      </c>
      <c r="E29" s="25" t="s">
        <v>151</v>
      </c>
      <c r="F29" s="25" t="s">
        <v>443</v>
      </c>
      <c r="I29" s="25" t="s">
        <v>645</v>
      </c>
      <c r="J29" s="25" t="s">
        <v>645</v>
      </c>
      <c r="K29" s="25" t="s">
        <v>645</v>
      </c>
    </row>
    <row r="30" spans="1:11" s="25" customFormat="1" x14ac:dyDescent="0.2">
      <c r="A30" s="25" t="b">
        <v>1</v>
      </c>
      <c r="B30" s="25" t="s">
        <v>630</v>
      </c>
      <c r="C30" s="25" t="s">
        <v>29</v>
      </c>
      <c r="D30" s="32" t="s">
        <v>200</v>
      </c>
      <c r="E30" s="25" t="s">
        <v>151</v>
      </c>
      <c r="F30" s="25" t="s">
        <v>442</v>
      </c>
      <c r="I30" s="25" t="s">
        <v>645</v>
      </c>
      <c r="J30" s="25" t="s">
        <v>645</v>
      </c>
      <c r="K30" s="25" t="s">
        <v>645</v>
      </c>
    </row>
    <row r="31" spans="1:11" s="25" customFormat="1" x14ac:dyDescent="0.2">
      <c r="A31" s="25" t="b">
        <v>1</v>
      </c>
      <c r="B31" s="25" t="s">
        <v>630</v>
      </c>
      <c r="C31" s="25" t="s">
        <v>29</v>
      </c>
      <c r="D31" s="32" t="s">
        <v>201</v>
      </c>
      <c r="E31" s="25" t="s">
        <v>151</v>
      </c>
      <c r="F31" s="25" t="s">
        <v>611</v>
      </c>
      <c r="I31" s="25" t="s">
        <v>645</v>
      </c>
      <c r="J31" s="25" t="s">
        <v>645</v>
      </c>
      <c r="K31" s="25" t="s">
        <v>645</v>
      </c>
    </row>
    <row r="32" spans="1:11" s="25" customFormat="1" x14ac:dyDescent="0.2">
      <c r="A32" s="25" t="b">
        <v>1</v>
      </c>
      <c r="B32" s="25" t="s">
        <v>630</v>
      </c>
      <c r="C32" s="25" t="s">
        <v>29</v>
      </c>
      <c r="D32" s="32" t="s">
        <v>202</v>
      </c>
      <c r="E32" s="25" t="s">
        <v>151</v>
      </c>
      <c r="F32" s="25" t="s">
        <v>612</v>
      </c>
      <c r="I32" s="25" t="s">
        <v>645</v>
      </c>
      <c r="J32" s="25" t="s">
        <v>645</v>
      </c>
      <c r="K32" s="25" t="s">
        <v>645</v>
      </c>
    </row>
    <row r="33" spans="1:11" s="25" customFormat="1" x14ac:dyDescent="0.2">
      <c r="A33" s="25" t="b">
        <v>1</v>
      </c>
      <c r="B33" s="25" t="s">
        <v>630</v>
      </c>
      <c r="C33" s="25" t="s">
        <v>29</v>
      </c>
      <c r="D33" s="32" t="s">
        <v>203</v>
      </c>
      <c r="E33" s="25" t="s">
        <v>151</v>
      </c>
      <c r="F33" s="25" t="s">
        <v>613</v>
      </c>
      <c r="I33" s="25" t="s">
        <v>645</v>
      </c>
      <c r="J33" s="25" t="s">
        <v>645</v>
      </c>
      <c r="K33" s="25" t="s">
        <v>645</v>
      </c>
    </row>
    <row r="34" spans="1:11" s="25" customFormat="1" x14ac:dyDescent="0.2">
      <c r="A34" s="25" t="b">
        <v>1</v>
      </c>
      <c r="B34" s="25" t="s">
        <v>630</v>
      </c>
      <c r="C34" s="25" t="s">
        <v>29</v>
      </c>
      <c r="D34" s="32" t="s">
        <v>180</v>
      </c>
      <c r="E34" s="25" t="s">
        <v>151</v>
      </c>
      <c r="F34" s="25" t="s">
        <v>424</v>
      </c>
      <c r="I34" s="25" t="s">
        <v>645</v>
      </c>
      <c r="J34" s="25" t="s">
        <v>645</v>
      </c>
      <c r="K34" s="25" t="s">
        <v>645</v>
      </c>
    </row>
    <row r="35" spans="1:11" s="25" customFormat="1" x14ac:dyDescent="0.2">
      <c r="D35" s="32"/>
    </row>
    <row r="36" spans="1:11" s="25" customFormat="1" x14ac:dyDescent="0.2">
      <c r="A36" s="25" t="b">
        <v>1</v>
      </c>
      <c r="B36" s="25" t="s">
        <v>630</v>
      </c>
      <c r="C36" s="25" t="s">
        <v>30</v>
      </c>
      <c r="D36" s="28" t="s">
        <v>219</v>
      </c>
      <c r="E36" s="25" t="s">
        <v>151</v>
      </c>
      <c r="F36" s="25" t="s">
        <v>445</v>
      </c>
      <c r="H36" s="28" t="s">
        <v>841</v>
      </c>
      <c r="I36" s="25" t="s">
        <v>645</v>
      </c>
      <c r="J36" s="25" t="s">
        <v>444</v>
      </c>
      <c r="K36" s="25" t="s">
        <v>672</v>
      </c>
    </row>
    <row r="37" spans="1:11" s="25" customFormat="1" x14ac:dyDescent="0.2">
      <c r="A37" s="25" t="b">
        <v>1</v>
      </c>
      <c r="B37" s="25" t="s">
        <v>630</v>
      </c>
      <c r="C37" s="25" t="s">
        <v>30</v>
      </c>
      <c r="D37" s="32" t="s">
        <v>217</v>
      </c>
      <c r="E37" s="25" t="s">
        <v>151</v>
      </c>
      <c r="F37" s="25" t="s">
        <v>446</v>
      </c>
      <c r="I37" s="25" t="s">
        <v>645</v>
      </c>
      <c r="J37" s="25" t="s">
        <v>645</v>
      </c>
      <c r="K37" s="25" t="s">
        <v>645</v>
      </c>
    </row>
    <row r="38" spans="1:11" s="25" customFormat="1" x14ac:dyDescent="0.2">
      <c r="A38" s="25" t="b">
        <v>1</v>
      </c>
      <c r="B38" s="25" t="s">
        <v>630</v>
      </c>
      <c r="C38" s="25" t="s">
        <v>30</v>
      </c>
      <c r="D38" s="32" t="s">
        <v>231</v>
      </c>
      <c r="E38" s="25" t="s">
        <v>151</v>
      </c>
      <c r="F38" s="25" t="s">
        <v>614</v>
      </c>
      <c r="I38" s="25" t="s">
        <v>645</v>
      </c>
      <c r="J38" s="25" t="s">
        <v>645</v>
      </c>
      <c r="K38" s="25" t="s">
        <v>645</v>
      </c>
    </row>
    <row r="39" spans="1:11" s="25" customFormat="1" x14ac:dyDescent="0.2">
      <c r="A39" s="25" t="b">
        <v>1</v>
      </c>
      <c r="B39" s="25" t="s">
        <v>630</v>
      </c>
      <c r="C39" s="25" t="s">
        <v>30</v>
      </c>
      <c r="D39" s="32" t="s">
        <v>223</v>
      </c>
      <c r="E39" s="25" t="s">
        <v>151</v>
      </c>
      <c r="F39" s="25" t="s">
        <v>615</v>
      </c>
      <c r="I39" s="25" t="s">
        <v>645</v>
      </c>
      <c r="J39" s="25" t="s">
        <v>645</v>
      </c>
      <c r="K39" s="25" t="s">
        <v>645</v>
      </c>
    </row>
    <row r="40" spans="1:11" s="25" customFormat="1" x14ac:dyDescent="0.2">
      <c r="A40" s="25" t="b">
        <v>1</v>
      </c>
      <c r="B40" s="25" t="s">
        <v>630</v>
      </c>
      <c r="C40" s="25" t="s">
        <v>30</v>
      </c>
      <c r="D40" s="25" t="s">
        <v>230</v>
      </c>
      <c r="E40" s="25" t="s">
        <v>151</v>
      </c>
      <c r="F40" s="25" t="s">
        <v>616</v>
      </c>
      <c r="I40" s="25" t="s">
        <v>645</v>
      </c>
      <c r="J40" s="25" t="s">
        <v>645</v>
      </c>
      <c r="K40" s="25" t="s">
        <v>645</v>
      </c>
    </row>
    <row r="41" spans="1:11" s="25" customFormat="1" x14ac:dyDescent="0.2">
      <c r="A41" s="25" t="b">
        <v>1</v>
      </c>
      <c r="B41" s="25" t="s">
        <v>630</v>
      </c>
      <c r="C41" s="25" t="s">
        <v>30</v>
      </c>
      <c r="D41" s="36" t="s">
        <v>234</v>
      </c>
      <c r="E41" s="25" t="s">
        <v>151</v>
      </c>
      <c r="F41" s="25" t="s">
        <v>617</v>
      </c>
      <c r="I41" s="25" t="s">
        <v>645</v>
      </c>
      <c r="J41" s="25" t="s">
        <v>645</v>
      </c>
      <c r="K41" s="25" t="s">
        <v>645</v>
      </c>
    </row>
    <row r="42" spans="1:11" s="25" customFormat="1" x14ac:dyDescent="0.2">
      <c r="A42" s="25" t="b">
        <v>1</v>
      </c>
      <c r="B42" s="25" t="s">
        <v>630</v>
      </c>
      <c r="C42" s="25" t="s">
        <v>30</v>
      </c>
      <c r="D42" s="32" t="s">
        <v>214</v>
      </c>
      <c r="E42" s="25" t="s">
        <v>151</v>
      </c>
      <c r="F42" s="25" t="s">
        <v>447</v>
      </c>
      <c r="I42" s="25" t="s">
        <v>645</v>
      </c>
      <c r="J42" s="25" t="s">
        <v>645</v>
      </c>
      <c r="K42" s="25" t="s">
        <v>645</v>
      </c>
    </row>
    <row r="43" spans="1:11" s="25" customFormat="1" x14ac:dyDescent="0.2">
      <c r="A43" s="25" t="b">
        <v>1</v>
      </c>
      <c r="B43" s="25" t="s">
        <v>630</v>
      </c>
      <c r="C43" s="25" t="s">
        <v>30</v>
      </c>
      <c r="D43" s="32" t="s">
        <v>215</v>
      </c>
      <c r="E43" s="25" t="s">
        <v>151</v>
      </c>
      <c r="F43" s="25" t="s">
        <v>448</v>
      </c>
      <c r="I43" s="25" t="s">
        <v>645</v>
      </c>
      <c r="J43" s="25" t="s">
        <v>645</v>
      </c>
      <c r="K43" s="25" t="s">
        <v>645</v>
      </c>
    </row>
    <row r="44" spans="1:11" s="25" customFormat="1" x14ac:dyDescent="0.2">
      <c r="A44" s="25" t="b">
        <v>1</v>
      </c>
      <c r="B44" s="25" t="s">
        <v>630</v>
      </c>
      <c r="C44" s="25" t="s">
        <v>30</v>
      </c>
      <c r="D44" s="32" t="s">
        <v>216</v>
      </c>
      <c r="E44" s="25" t="s">
        <v>151</v>
      </c>
      <c r="F44" s="25" t="s">
        <v>449</v>
      </c>
      <c r="I44" s="25" t="s">
        <v>645</v>
      </c>
      <c r="J44" s="25" t="s">
        <v>645</v>
      </c>
      <c r="K44" s="25" t="s">
        <v>645</v>
      </c>
    </row>
    <row r="45" spans="1:11" s="25" customFormat="1" x14ac:dyDescent="0.2">
      <c r="A45" s="25" t="b">
        <v>1</v>
      </c>
      <c r="B45" s="25" t="s">
        <v>630</v>
      </c>
      <c r="C45" s="25" t="s">
        <v>30</v>
      </c>
      <c r="D45" s="32" t="s">
        <v>212</v>
      </c>
      <c r="E45" s="25" t="s">
        <v>151</v>
      </c>
      <c r="F45" s="25" t="s">
        <v>450</v>
      </c>
      <c r="I45" s="25" t="s">
        <v>645</v>
      </c>
      <c r="J45" s="25" t="s">
        <v>645</v>
      </c>
      <c r="K45" s="25" t="s">
        <v>645</v>
      </c>
    </row>
    <row r="46" spans="1:11" s="25" customFormat="1" x14ac:dyDescent="0.2">
      <c r="A46" s="25" t="b">
        <v>1</v>
      </c>
      <c r="B46" s="25" t="s">
        <v>630</v>
      </c>
      <c r="C46" s="25" t="s">
        <v>30</v>
      </c>
      <c r="D46" s="32" t="s">
        <v>211</v>
      </c>
      <c r="E46" s="25" t="s">
        <v>151</v>
      </c>
      <c r="F46" s="25" t="s">
        <v>451</v>
      </c>
      <c r="I46" s="25" t="s">
        <v>645</v>
      </c>
      <c r="J46" s="25" t="s">
        <v>645</v>
      </c>
      <c r="K46" s="25" t="s">
        <v>645</v>
      </c>
    </row>
    <row r="47" spans="1:11" s="25" customFormat="1" x14ac:dyDescent="0.2">
      <c r="A47" s="25" t="b">
        <v>1</v>
      </c>
      <c r="B47" s="25" t="s">
        <v>630</v>
      </c>
      <c r="C47" s="25" t="s">
        <v>30</v>
      </c>
      <c r="D47" s="32" t="s">
        <v>213</v>
      </c>
      <c r="E47" s="25" t="s">
        <v>151</v>
      </c>
      <c r="F47" s="25" t="s">
        <v>452</v>
      </c>
      <c r="I47" s="25" t="s">
        <v>645</v>
      </c>
      <c r="J47" s="25" t="s">
        <v>645</v>
      </c>
      <c r="K47" s="25" t="s">
        <v>645</v>
      </c>
    </row>
    <row r="48" spans="1:11" s="25" customFormat="1" x14ac:dyDescent="0.2">
      <c r="A48" s="25" t="b">
        <v>1</v>
      </c>
      <c r="B48" s="25" t="s">
        <v>630</v>
      </c>
      <c r="C48" s="25" t="s">
        <v>30</v>
      </c>
      <c r="D48" s="32" t="s">
        <v>194</v>
      </c>
      <c r="E48" s="25" t="s">
        <v>151</v>
      </c>
      <c r="F48" s="25" t="s">
        <v>453</v>
      </c>
      <c r="I48" s="25" t="s">
        <v>645</v>
      </c>
      <c r="J48" s="25" t="s">
        <v>645</v>
      </c>
      <c r="K48" s="25" t="s">
        <v>645</v>
      </c>
    </row>
    <row r="49" spans="1:11" s="25" customFormat="1" x14ac:dyDescent="0.2">
      <c r="A49" s="25" t="b">
        <v>1</v>
      </c>
      <c r="B49" s="25" t="s">
        <v>630</v>
      </c>
      <c r="C49" s="25" t="s">
        <v>30</v>
      </c>
      <c r="D49" s="32" t="s">
        <v>224</v>
      </c>
      <c r="E49" s="25" t="s">
        <v>151</v>
      </c>
      <c r="F49" s="25" t="s">
        <v>454</v>
      </c>
      <c r="I49" s="25" t="s">
        <v>645</v>
      </c>
      <c r="J49" s="25" t="s">
        <v>645</v>
      </c>
      <c r="K49" s="25" t="s">
        <v>645</v>
      </c>
    </row>
    <row r="50" spans="1:11" s="25" customFormat="1" x14ac:dyDescent="0.2">
      <c r="A50" s="25" t="b">
        <v>1</v>
      </c>
      <c r="B50" s="25" t="s">
        <v>630</v>
      </c>
      <c r="C50" s="25" t="s">
        <v>30</v>
      </c>
      <c r="D50" s="32" t="s">
        <v>206</v>
      </c>
      <c r="E50" s="25" t="s">
        <v>151</v>
      </c>
      <c r="F50" s="25" t="s">
        <v>618</v>
      </c>
      <c r="I50" s="25" t="s">
        <v>645</v>
      </c>
      <c r="J50" s="25" t="s">
        <v>645</v>
      </c>
      <c r="K50" s="25" t="s">
        <v>645</v>
      </c>
    </row>
    <row r="51" spans="1:11" s="25" customFormat="1" x14ac:dyDescent="0.2">
      <c r="A51" s="25" t="b">
        <v>1</v>
      </c>
      <c r="B51" s="25" t="s">
        <v>630</v>
      </c>
      <c r="C51" s="25" t="s">
        <v>30</v>
      </c>
      <c r="D51" s="32" t="s">
        <v>205</v>
      </c>
      <c r="E51" s="25" t="s">
        <v>151</v>
      </c>
      <c r="F51" s="25" t="s">
        <v>456</v>
      </c>
      <c r="I51" s="25" t="s">
        <v>645</v>
      </c>
      <c r="J51" s="25" t="s">
        <v>645</v>
      </c>
      <c r="K51" s="25" t="s">
        <v>645</v>
      </c>
    </row>
    <row r="52" spans="1:11" s="25" customFormat="1" x14ac:dyDescent="0.2">
      <c r="A52" s="25" t="b">
        <v>1</v>
      </c>
      <c r="B52" s="25" t="s">
        <v>630</v>
      </c>
      <c r="C52" s="25" t="s">
        <v>30</v>
      </c>
      <c r="D52" s="33" t="s">
        <v>204</v>
      </c>
      <c r="E52" s="25" t="s">
        <v>151</v>
      </c>
      <c r="F52" s="25" t="s">
        <v>457</v>
      </c>
      <c r="I52" s="25" t="s">
        <v>645</v>
      </c>
      <c r="J52" s="25" t="s">
        <v>645</v>
      </c>
      <c r="K52" s="25" t="s">
        <v>645</v>
      </c>
    </row>
    <row r="53" spans="1:11" s="25" customFormat="1" x14ac:dyDescent="0.2">
      <c r="A53" s="25" t="b">
        <v>1</v>
      </c>
      <c r="B53" s="25" t="s">
        <v>630</v>
      </c>
      <c r="C53" s="25" t="s">
        <v>30</v>
      </c>
      <c r="D53" s="32" t="s">
        <v>210</v>
      </c>
      <c r="E53" s="25" t="s">
        <v>151</v>
      </c>
      <c r="F53" s="25" t="s">
        <v>455</v>
      </c>
      <c r="I53" s="25" t="s">
        <v>645</v>
      </c>
      <c r="J53" s="25" t="s">
        <v>645</v>
      </c>
      <c r="K53" s="25" t="s">
        <v>645</v>
      </c>
    </row>
    <row r="54" spans="1:11" s="25" customFormat="1" x14ac:dyDescent="0.2">
      <c r="A54" s="25" t="b">
        <v>1</v>
      </c>
      <c r="B54" s="25" t="s">
        <v>630</v>
      </c>
      <c r="C54" s="25" t="s">
        <v>30</v>
      </c>
      <c r="D54" s="32" t="s">
        <v>208</v>
      </c>
      <c r="E54" s="25" t="s">
        <v>151</v>
      </c>
      <c r="F54" s="25" t="s">
        <v>458</v>
      </c>
      <c r="I54" s="25" t="s">
        <v>645</v>
      </c>
      <c r="J54" s="25" t="s">
        <v>645</v>
      </c>
      <c r="K54" s="25" t="s">
        <v>645</v>
      </c>
    </row>
    <row r="55" spans="1:11" s="25" customFormat="1" x14ac:dyDescent="0.2">
      <c r="A55" s="25" t="b">
        <v>1</v>
      </c>
      <c r="B55" s="25" t="s">
        <v>630</v>
      </c>
      <c r="C55" s="25" t="s">
        <v>30</v>
      </c>
      <c r="D55" s="32" t="s">
        <v>220</v>
      </c>
      <c r="E55" s="25" t="s">
        <v>151</v>
      </c>
      <c r="F55" s="25" t="s">
        <v>459</v>
      </c>
      <c r="I55" s="25" t="s">
        <v>645</v>
      </c>
      <c r="J55" s="25" t="s">
        <v>645</v>
      </c>
      <c r="K55" s="25" t="s">
        <v>645</v>
      </c>
    </row>
    <row r="56" spans="1:11" s="25" customFormat="1" x14ac:dyDescent="0.2">
      <c r="A56" s="25" t="b">
        <v>1</v>
      </c>
      <c r="B56" s="25" t="s">
        <v>630</v>
      </c>
      <c r="C56" s="25" t="s">
        <v>30</v>
      </c>
      <c r="D56" s="32" t="s">
        <v>229</v>
      </c>
      <c r="E56" s="25" t="s">
        <v>151</v>
      </c>
      <c r="F56" s="25" t="s">
        <v>619</v>
      </c>
      <c r="I56" s="25" t="s">
        <v>645</v>
      </c>
      <c r="J56" s="25" t="s">
        <v>645</v>
      </c>
      <c r="K56" s="25" t="s">
        <v>645</v>
      </c>
    </row>
    <row r="57" spans="1:11" s="25" customFormat="1" x14ac:dyDescent="0.2">
      <c r="A57" s="25" t="b">
        <v>1</v>
      </c>
      <c r="B57" s="25" t="s">
        <v>630</v>
      </c>
      <c r="C57" s="25" t="s">
        <v>30</v>
      </c>
      <c r="D57" s="32" t="s">
        <v>209</v>
      </c>
      <c r="E57" s="25" t="s">
        <v>151</v>
      </c>
      <c r="F57" s="25" t="s">
        <v>460</v>
      </c>
      <c r="I57" s="25" t="s">
        <v>645</v>
      </c>
      <c r="J57" s="25" t="s">
        <v>645</v>
      </c>
      <c r="K57" s="25" t="s">
        <v>645</v>
      </c>
    </row>
    <row r="58" spans="1:11" s="25" customFormat="1" x14ac:dyDescent="0.2">
      <c r="A58" s="25" t="b">
        <v>1</v>
      </c>
      <c r="B58" s="25" t="s">
        <v>630</v>
      </c>
      <c r="C58" s="25" t="s">
        <v>30</v>
      </c>
      <c r="D58" s="32" t="s">
        <v>207</v>
      </c>
      <c r="E58" s="25" t="s">
        <v>151</v>
      </c>
      <c r="F58" s="25" t="s">
        <v>461</v>
      </c>
      <c r="I58" s="25" t="s">
        <v>645</v>
      </c>
      <c r="J58" s="25" t="s">
        <v>645</v>
      </c>
      <c r="K58" s="25" t="s">
        <v>645</v>
      </c>
    </row>
    <row r="59" spans="1:11" s="25" customFormat="1" x14ac:dyDescent="0.2">
      <c r="A59" s="25" t="b">
        <v>1</v>
      </c>
      <c r="B59" s="25" t="s">
        <v>630</v>
      </c>
      <c r="C59" s="25" t="s">
        <v>30</v>
      </c>
      <c r="D59" s="32" t="s">
        <v>232</v>
      </c>
      <c r="E59" s="25" t="s">
        <v>151</v>
      </c>
      <c r="F59" s="25" t="s">
        <v>620</v>
      </c>
      <c r="I59" s="25" t="s">
        <v>645</v>
      </c>
      <c r="J59" s="25" t="s">
        <v>645</v>
      </c>
      <c r="K59" s="25" t="s">
        <v>645</v>
      </c>
    </row>
    <row r="60" spans="1:11" s="25" customFormat="1" x14ac:dyDescent="0.2">
      <c r="A60" s="25" t="b">
        <v>1</v>
      </c>
      <c r="B60" s="25" t="s">
        <v>630</v>
      </c>
      <c r="C60" s="25" t="s">
        <v>30</v>
      </c>
      <c r="D60" s="25" t="s">
        <v>222</v>
      </c>
      <c r="E60" s="25" t="s">
        <v>151</v>
      </c>
      <c r="F60" s="25" t="s">
        <v>462</v>
      </c>
      <c r="I60" s="25" t="s">
        <v>645</v>
      </c>
      <c r="J60" s="25" t="s">
        <v>645</v>
      </c>
      <c r="K60" s="25" t="s">
        <v>645</v>
      </c>
    </row>
    <row r="61" spans="1:11" s="25" customFormat="1" x14ac:dyDescent="0.2">
      <c r="A61" s="25" t="b">
        <v>1</v>
      </c>
      <c r="B61" s="25" t="s">
        <v>630</v>
      </c>
      <c r="C61" s="25" t="s">
        <v>30</v>
      </c>
      <c r="D61" s="32" t="s">
        <v>233</v>
      </c>
      <c r="E61" s="25" t="s">
        <v>151</v>
      </c>
      <c r="F61" s="25" t="s">
        <v>621</v>
      </c>
      <c r="I61" s="25" t="s">
        <v>645</v>
      </c>
      <c r="J61" s="25" t="s">
        <v>645</v>
      </c>
      <c r="K61" s="25" t="s">
        <v>645</v>
      </c>
    </row>
    <row r="62" spans="1:11" s="25" customFormat="1" x14ac:dyDescent="0.2">
      <c r="A62" s="25" t="b">
        <v>1</v>
      </c>
      <c r="B62" s="25" t="s">
        <v>630</v>
      </c>
      <c r="C62" s="25" t="s">
        <v>30</v>
      </c>
      <c r="D62" s="36" t="s">
        <v>225</v>
      </c>
      <c r="E62" s="25" t="s">
        <v>151</v>
      </c>
      <c r="F62" s="25" t="s">
        <v>622</v>
      </c>
      <c r="I62" s="25" t="s">
        <v>645</v>
      </c>
      <c r="J62" s="25" t="s">
        <v>645</v>
      </c>
      <c r="K62" s="25" t="s">
        <v>645</v>
      </c>
    </row>
    <row r="63" spans="1:11" s="25" customFormat="1" x14ac:dyDescent="0.2">
      <c r="A63" s="25" t="b">
        <v>1</v>
      </c>
      <c r="B63" s="25" t="s">
        <v>630</v>
      </c>
      <c r="C63" s="25" t="s">
        <v>30</v>
      </c>
      <c r="D63" s="36" t="s">
        <v>226</v>
      </c>
      <c r="E63" s="25" t="s">
        <v>151</v>
      </c>
      <c r="F63" s="25" t="s">
        <v>623</v>
      </c>
      <c r="I63" s="25" t="s">
        <v>645</v>
      </c>
      <c r="J63" s="25" t="s">
        <v>645</v>
      </c>
      <c r="K63" s="25" t="s">
        <v>645</v>
      </c>
    </row>
    <row r="64" spans="1:11" s="25" customFormat="1" x14ac:dyDescent="0.2">
      <c r="A64" s="25" t="b">
        <v>1</v>
      </c>
      <c r="B64" s="25" t="s">
        <v>630</v>
      </c>
      <c r="C64" s="25" t="s">
        <v>30</v>
      </c>
      <c r="D64" s="32" t="s">
        <v>218</v>
      </c>
      <c r="E64" s="25" t="s">
        <v>151</v>
      </c>
      <c r="F64" s="25" t="s">
        <v>463</v>
      </c>
      <c r="I64" s="25" t="s">
        <v>645</v>
      </c>
      <c r="J64" s="25" t="s">
        <v>645</v>
      </c>
      <c r="K64" s="25" t="s">
        <v>645</v>
      </c>
    </row>
    <row r="65" spans="1:14" s="25" customFormat="1" x14ac:dyDescent="0.2">
      <c r="A65" s="25" t="b">
        <v>1</v>
      </c>
      <c r="B65" s="25" t="s">
        <v>630</v>
      </c>
      <c r="C65" s="25" t="s">
        <v>30</v>
      </c>
      <c r="D65" s="32" t="s">
        <v>201</v>
      </c>
      <c r="E65" s="25" t="s">
        <v>151</v>
      </c>
      <c r="F65" s="25" t="s">
        <v>464</v>
      </c>
      <c r="I65" s="25" t="s">
        <v>645</v>
      </c>
      <c r="J65" s="25" t="s">
        <v>645</v>
      </c>
      <c r="K65" s="25" t="s">
        <v>645</v>
      </c>
    </row>
    <row r="66" spans="1:14" s="25" customFormat="1" x14ac:dyDescent="0.2">
      <c r="A66" s="25" t="b">
        <v>1</v>
      </c>
      <c r="B66" s="25" t="s">
        <v>630</v>
      </c>
      <c r="C66" s="25" t="s">
        <v>30</v>
      </c>
      <c r="D66" s="32" t="s">
        <v>221</v>
      </c>
      <c r="E66" s="25" t="s">
        <v>151</v>
      </c>
      <c r="F66" s="25" t="s">
        <v>465</v>
      </c>
      <c r="I66" s="25" t="s">
        <v>645</v>
      </c>
      <c r="J66" s="25" t="s">
        <v>645</v>
      </c>
      <c r="K66" s="25" t="s">
        <v>645</v>
      </c>
    </row>
    <row r="67" spans="1:14" s="25" customFormat="1" x14ac:dyDescent="0.2">
      <c r="A67" s="25" t="b">
        <v>1</v>
      </c>
      <c r="B67" s="25" t="s">
        <v>630</v>
      </c>
      <c r="C67" s="25" t="s">
        <v>30</v>
      </c>
      <c r="D67" s="37" t="s">
        <v>227</v>
      </c>
      <c r="E67" s="25" t="s">
        <v>151</v>
      </c>
      <c r="F67" s="25" t="s">
        <v>624</v>
      </c>
      <c r="I67" s="25" t="s">
        <v>645</v>
      </c>
      <c r="J67" s="25" t="s">
        <v>645</v>
      </c>
      <c r="K67" s="25" t="s">
        <v>645</v>
      </c>
    </row>
    <row r="68" spans="1:14" s="25" customFormat="1" x14ac:dyDescent="0.2">
      <c r="A68" s="25" t="b">
        <v>1</v>
      </c>
      <c r="B68" s="25" t="s">
        <v>630</v>
      </c>
      <c r="C68" s="25" t="s">
        <v>30</v>
      </c>
      <c r="D68" s="37" t="s">
        <v>228</v>
      </c>
      <c r="E68" s="25" t="s">
        <v>151</v>
      </c>
      <c r="F68" s="25" t="s">
        <v>625</v>
      </c>
      <c r="I68" s="25" t="s">
        <v>645</v>
      </c>
      <c r="J68" s="25" t="s">
        <v>645</v>
      </c>
      <c r="K68" s="25" t="s">
        <v>645</v>
      </c>
    </row>
    <row r="69" spans="1:14" s="25" customFormat="1" x14ac:dyDescent="0.2">
      <c r="D69" s="37"/>
    </row>
    <row r="70" spans="1:14" s="25" customFormat="1" x14ac:dyDescent="0.2">
      <c r="A70" s="25" t="b">
        <v>1</v>
      </c>
      <c r="B70" s="25" t="s">
        <v>630</v>
      </c>
      <c r="C70" s="25" t="s">
        <v>41</v>
      </c>
      <c r="D70" s="32" t="s">
        <v>387</v>
      </c>
      <c r="E70" s="25" t="s">
        <v>151</v>
      </c>
      <c r="F70" s="25" t="s">
        <v>387</v>
      </c>
      <c r="H70" s="28" t="s">
        <v>842</v>
      </c>
      <c r="I70" s="25" t="s">
        <v>645</v>
      </c>
      <c r="J70" s="25" t="s">
        <v>466</v>
      </c>
      <c r="K70" s="25" t="s">
        <v>675</v>
      </c>
    </row>
    <row r="71" spans="1:14" s="25" customFormat="1" x14ac:dyDescent="0.2">
      <c r="A71" s="25" t="b">
        <v>1</v>
      </c>
      <c r="B71" s="25" t="s">
        <v>630</v>
      </c>
      <c r="C71" s="25" t="s">
        <v>41</v>
      </c>
      <c r="D71" s="32" t="s">
        <v>388</v>
      </c>
      <c r="E71" s="25" t="s">
        <v>151</v>
      </c>
      <c r="F71" s="25" t="s">
        <v>388</v>
      </c>
      <c r="I71" s="25" t="s">
        <v>645</v>
      </c>
      <c r="J71" s="25" t="s">
        <v>645</v>
      </c>
      <c r="K71" s="25" t="s">
        <v>645</v>
      </c>
    </row>
    <row r="72" spans="1:14" s="25" customFormat="1" x14ac:dyDescent="0.2">
      <c r="A72" s="25" t="b">
        <v>1</v>
      </c>
      <c r="B72" s="25" t="s">
        <v>630</v>
      </c>
      <c r="C72" s="25" t="s">
        <v>41</v>
      </c>
      <c r="D72" s="32" t="s">
        <v>389</v>
      </c>
      <c r="E72" s="25" t="s">
        <v>151</v>
      </c>
      <c r="F72" s="25" t="s">
        <v>470</v>
      </c>
      <c r="I72" s="25" t="s">
        <v>645</v>
      </c>
      <c r="J72" s="25" t="s">
        <v>645</v>
      </c>
      <c r="K72" s="25" t="s">
        <v>645</v>
      </c>
    </row>
    <row r="73" spans="1:14" s="25" customFormat="1" x14ac:dyDescent="0.2">
      <c r="A73" s="25" t="b">
        <v>1</v>
      </c>
      <c r="B73" s="25" t="s">
        <v>630</v>
      </c>
      <c r="C73" s="25" t="s">
        <v>41</v>
      </c>
      <c r="D73" s="32" t="s">
        <v>390</v>
      </c>
      <c r="E73" s="25" t="s">
        <v>151</v>
      </c>
      <c r="F73" s="25" t="s">
        <v>467</v>
      </c>
      <c r="I73" s="25" t="s">
        <v>645</v>
      </c>
      <c r="J73" s="25" t="s">
        <v>645</v>
      </c>
      <c r="K73" s="25" t="s">
        <v>645</v>
      </c>
    </row>
    <row r="74" spans="1:14" s="25" customFormat="1" x14ac:dyDescent="0.2">
      <c r="A74" s="25" t="b">
        <v>1</v>
      </c>
      <c r="B74" s="25" t="s">
        <v>630</v>
      </c>
      <c r="C74" s="25" t="s">
        <v>41</v>
      </c>
      <c r="D74" s="32" t="s">
        <v>391</v>
      </c>
      <c r="E74" s="25" t="s">
        <v>151</v>
      </c>
      <c r="F74" s="25" t="s">
        <v>468</v>
      </c>
      <c r="I74" s="25" t="s">
        <v>645</v>
      </c>
      <c r="J74" s="25" t="s">
        <v>645</v>
      </c>
      <c r="K74" s="25" t="s">
        <v>645</v>
      </c>
    </row>
    <row r="75" spans="1:14" s="25" customFormat="1" x14ac:dyDescent="0.2">
      <c r="A75" s="25" t="b">
        <v>1</v>
      </c>
      <c r="B75" s="25" t="s">
        <v>630</v>
      </c>
      <c r="C75" s="25" t="s">
        <v>41</v>
      </c>
      <c r="D75" s="32" t="s">
        <v>392</v>
      </c>
      <c r="E75" s="25" t="s">
        <v>151</v>
      </c>
      <c r="F75" s="25" t="s">
        <v>469</v>
      </c>
      <c r="I75" s="25" t="s">
        <v>645</v>
      </c>
      <c r="J75" s="25" t="s">
        <v>645</v>
      </c>
      <c r="K75" s="25" t="s">
        <v>645</v>
      </c>
    </row>
    <row r="76" spans="1:14" s="25" customFormat="1" x14ac:dyDescent="0.2">
      <c r="A76" s="25" t="b">
        <v>1</v>
      </c>
      <c r="B76" s="25" t="s">
        <v>630</v>
      </c>
      <c r="C76" s="25" t="s">
        <v>41</v>
      </c>
      <c r="D76" s="32" t="s">
        <v>393</v>
      </c>
      <c r="E76" s="25" t="s">
        <v>151</v>
      </c>
      <c r="F76" s="25" t="s">
        <v>388</v>
      </c>
      <c r="I76" s="25" t="s">
        <v>645</v>
      </c>
      <c r="J76" s="25" t="s">
        <v>645</v>
      </c>
      <c r="K76" s="25" t="s">
        <v>645</v>
      </c>
    </row>
    <row r="77" spans="1:14" s="25" customFormat="1" x14ac:dyDescent="0.2">
      <c r="D77" s="32"/>
    </row>
    <row r="78" spans="1:14" s="25" customFormat="1" x14ac:dyDescent="0.2">
      <c r="A78" s="25" t="b">
        <v>1</v>
      </c>
      <c r="B78" s="25" t="s">
        <v>630</v>
      </c>
      <c r="C78" s="25" t="s">
        <v>42</v>
      </c>
      <c r="D78" s="32" t="s">
        <v>406</v>
      </c>
      <c r="E78" s="25" t="s">
        <v>151</v>
      </c>
      <c r="F78" s="25" t="s">
        <v>406</v>
      </c>
      <c r="H78" s="28" t="s">
        <v>843</v>
      </c>
      <c r="I78" s="25" t="s">
        <v>645</v>
      </c>
      <c r="J78" s="25" t="s">
        <v>504</v>
      </c>
      <c r="K78" s="25" t="s">
        <v>676</v>
      </c>
      <c r="N78" s="25" t="s">
        <v>861</v>
      </c>
    </row>
    <row r="79" spans="1:14" s="25" customFormat="1" x14ac:dyDescent="0.2">
      <c r="A79" s="25" t="b">
        <v>1</v>
      </c>
      <c r="B79" s="25" t="s">
        <v>630</v>
      </c>
      <c r="C79" s="25" t="s">
        <v>42</v>
      </c>
      <c r="D79" s="32" t="s">
        <v>407</v>
      </c>
      <c r="E79" s="25" t="s">
        <v>151</v>
      </c>
      <c r="F79" s="25" t="s">
        <v>407</v>
      </c>
      <c r="H79" s="28"/>
      <c r="I79" s="25" t="s">
        <v>645</v>
      </c>
      <c r="J79" s="25" t="s">
        <v>645</v>
      </c>
      <c r="K79" s="25" t="s">
        <v>645</v>
      </c>
    </row>
    <row r="80" spans="1:14" s="25" customFormat="1" x14ac:dyDescent="0.2">
      <c r="D80" s="32"/>
      <c r="H80" s="28"/>
    </row>
    <row r="81" spans="1:11" s="25" customFormat="1" x14ac:dyDescent="0.2">
      <c r="A81" s="25" t="b">
        <v>1</v>
      </c>
      <c r="B81" s="25" t="s">
        <v>630</v>
      </c>
      <c r="C81" s="25" t="s">
        <v>38</v>
      </c>
      <c r="D81" s="32" t="s">
        <v>795</v>
      </c>
      <c r="E81" s="25" t="s">
        <v>151</v>
      </c>
      <c r="H81" s="28" t="s">
        <v>844</v>
      </c>
      <c r="I81" s="25" t="s">
        <v>645</v>
      </c>
      <c r="J81" s="25" t="s">
        <v>483</v>
      </c>
      <c r="K81" s="25" t="s">
        <v>674</v>
      </c>
    </row>
    <row r="82" spans="1:11" s="25" customFormat="1" x14ac:dyDescent="0.2">
      <c r="A82" s="25" t="b">
        <v>1</v>
      </c>
      <c r="B82" s="25" t="s">
        <v>630</v>
      </c>
      <c r="C82" s="25" t="s">
        <v>38</v>
      </c>
      <c r="D82" s="32" t="s">
        <v>252</v>
      </c>
      <c r="E82" s="25" t="s">
        <v>151</v>
      </c>
      <c r="F82" s="25" t="s">
        <v>495</v>
      </c>
      <c r="I82" s="25" t="s">
        <v>645</v>
      </c>
      <c r="J82" s="25" t="s">
        <v>645</v>
      </c>
      <c r="K82" s="25" t="s">
        <v>645</v>
      </c>
    </row>
    <row r="83" spans="1:11" s="25" customFormat="1" x14ac:dyDescent="0.2">
      <c r="A83" s="25" t="b">
        <v>1</v>
      </c>
      <c r="B83" s="25" t="s">
        <v>630</v>
      </c>
      <c r="C83" s="25" t="s">
        <v>38</v>
      </c>
      <c r="D83" s="32" t="s">
        <v>255</v>
      </c>
      <c r="E83" s="25" t="s">
        <v>151</v>
      </c>
      <c r="F83" s="25" t="s">
        <v>497</v>
      </c>
      <c r="I83" s="25" t="s">
        <v>645</v>
      </c>
      <c r="J83" s="25" t="s">
        <v>645</v>
      </c>
      <c r="K83" s="25" t="s">
        <v>645</v>
      </c>
    </row>
    <row r="84" spans="1:11" s="25" customFormat="1" x14ac:dyDescent="0.2">
      <c r="A84" s="25" t="b">
        <v>1</v>
      </c>
      <c r="B84" s="25" t="s">
        <v>630</v>
      </c>
      <c r="C84" s="25" t="s">
        <v>38</v>
      </c>
      <c r="D84" s="32" t="s">
        <v>254</v>
      </c>
      <c r="E84" s="25" t="s">
        <v>151</v>
      </c>
      <c r="F84" s="25" t="s">
        <v>498</v>
      </c>
      <c r="I84" s="25" t="s">
        <v>645</v>
      </c>
      <c r="J84" s="25" t="s">
        <v>645</v>
      </c>
      <c r="K84" s="25" t="s">
        <v>645</v>
      </c>
    </row>
    <row r="85" spans="1:11" s="25" customFormat="1" x14ac:dyDescent="0.2">
      <c r="A85" s="25" t="b">
        <v>1</v>
      </c>
      <c r="B85" s="25" t="s">
        <v>630</v>
      </c>
      <c r="C85" s="25" t="s">
        <v>38</v>
      </c>
      <c r="D85" s="32" t="s">
        <v>250</v>
      </c>
      <c r="E85" s="25" t="s">
        <v>151</v>
      </c>
      <c r="F85" s="25" t="s">
        <v>499</v>
      </c>
      <c r="I85" s="25" t="s">
        <v>645</v>
      </c>
      <c r="J85" s="25" t="s">
        <v>645</v>
      </c>
      <c r="K85" s="25" t="s">
        <v>645</v>
      </c>
    </row>
    <row r="86" spans="1:11" s="25" customFormat="1" x14ac:dyDescent="0.2">
      <c r="A86" s="25" t="b">
        <v>1</v>
      </c>
      <c r="B86" s="25" t="s">
        <v>630</v>
      </c>
      <c r="C86" s="25" t="s">
        <v>38</v>
      </c>
      <c r="D86" s="32" t="s">
        <v>251</v>
      </c>
      <c r="E86" s="25" t="s">
        <v>151</v>
      </c>
      <c r="F86" s="25" t="s">
        <v>500</v>
      </c>
      <c r="I86" s="25" t="s">
        <v>645</v>
      </c>
      <c r="J86" s="25" t="s">
        <v>645</v>
      </c>
      <c r="K86" s="25" t="s">
        <v>645</v>
      </c>
    </row>
    <row r="87" spans="1:11" s="25" customFormat="1" x14ac:dyDescent="0.2">
      <c r="A87" s="25" t="b">
        <v>1</v>
      </c>
      <c r="B87" s="25" t="s">
        <v>630</v>
      </c>
      <c r="C87" s="25" t="s">
        <v>38</v>
      </c>
      <c r="D87" s="32" t="s">
        <v>253</v>
      </c>
      <c r="E87" s="25" t="s">
        <v>151</v>
      </c>
      <c r="F87" s="25" t="s">
        <v>496</v>
      </c>
      <c r="I87" s="25" t="s">
        <v>645</v>
      </c>
      <c r="J87" s="25" t="s">
        <v>645</v>
      </c>
      <c r="K87" s="25" t="s">
        <v>645</v>
      </c>
    </row>
    <row r="88" spans="1:11" s="25" customFormat="1" x14ac:dyDescent="0.2">
      <c r="D88" s="32"/>
    </row>
    <row r="89" spans="1:11" s="25" customFormat="1" x14ac:dyDescent="0.2">
      <c r="A89" s="25" t="b">
        <v>1</v>
      </c>
      <c r="B89" s="25" t="s">
        <v>630</v>
      </c>
      <c r="C89" s="25" t="s">
        <v>37</v>
      </c>
      <c r="D89" s="32" t="s">
        <v>795</v>
      </c>
      <c r="E89" s="25" t="s">
        <v>151</v>
      </c>
      <c r="H89" s="28" t="s">
        <v>845</v>
      </c>
      <c r="I89" s="25" t="s">
        <v>645</v>
      </c>
      <c r="J89" s="25" t="s">
        <v>482</v>
      </c>
      <c r="K89" s="25" t="s">
        <v>673</v>
      </c>
    </row>
    <row r="90" spans="1:11" s="25" customFormat="1" x14ac:dyDescent="0.2">
      <c r="A90" s="25" t="b">
        <v>1</v>
      </c>
      <c r="B90" s="25" t="s">
        <v>630</v>
      </c>
      <c r="C90" s="25" t="s">
        <v>37</v>
      </c>
      <c r="D90" s="32" t="s">
        <v>248</v>
      </c>
      <c r="E90" s="25" t="s">
        <v>151</v>
      </c>
      <c r="F90" s="25" t="s">
        <v>626</v>
      </c>
      <c r="I90" s="25" t="s">
        <v>645</v>
      </c>
      <c r="J90" s="25" t="s">
        <v>645</v>
      </c>
      <c r="K90" s="25" t="s">
        <v>645</v>
      </c>
    </row>
    <row r="91" spans="1:11" s="25" customFormat="1" x14ac:dyDescent="0.2">
      <c r="A91" s="25" t="b">
        <v>1</v>
      </c>
      <c r="B91" s="25" t="s">
        <v>630</v>
      </c>
      <c r="C91" s="25" t="s">
        <v>37</v>
      </c>
      <c r="D91" s="32" t="s">
        <v>236</v>
      </c>
      <c r="E91" s="25" t="s">
        <v>151</v>
      </c>
      <c r="F91" s="25" t="s">
        <v>484</v>
      </c>
      <c r="I91" s="25" t="s">
        <v>645</v>
      </c>
      <c r="J91" s="25" t="s">
        <v>645</v>
      </c>
      <c r="K91" s="25" t="s">
        <v>645</v>
      </c>
    </row>
    <row r="92" spans="1:11" s="25" customFormat="1" x14ac:dyDescent="0.2">
      <c r="A92" s="25" t="b">
        <v>1</v>
      </c>
      <c r="B92" s="25" t="s">
        <v>630</v>
      </c>
      <c r="C92" s="25" t="s">
        <v>37</v>
      </c>
      <c r="D92" s="32" t="s">
        <v>235</v>
      </c>
      <c r="E92" s="25" t="s">
        <v>151</v>
      </c>
      <c r="F92" s="25" t="s">
        <v>485</v>
      </c>
      <c r="I92" s="25" t="s">
        <v>645</v>
      </c>
      <c r="J92" s="25" t="s">
        <v>645</v>
      </c>
      <c r="K92" s="25" t="s">
        <v>645</v>
      </c>
    </row>
    <row r="93" spans="1:11" s="25" customFormat="1" x14ac:dyDescent="0.2">
      <c r="A93" s="25" t="b">
        <v>1</v>
      </c>
      <c r="B93" s="25" t="s">
        <v>630</v>
      </c>
      <c r="C93" s="25" t="s">
        <v>37</v>
      </c>
      <c r="D93" s="32" t="s">
        <v>238</v>
      </c>
      <c r="E93" s="25" t="s">
        <v>151</v>
      </c>
      <c r="F93" s="25" t="s">
        <v>486</v>
      </c>
      <c r="I93" s="25" t="s">
        <v>645</v>
      </c>
      <c r="J93" s="25" t="s">
        <v>645</v>
      </c>
      <c r="K93" s="25" t="s">
        <v>645</v>
      </c>
    </row>
    <row r="94" spans="1:11" s="25" customFormat="1" x14ac:dyDescent="0.2">
      <c r="A94" s="25" t="b">
        <v>1</v>
      </c>
      <c r="B94" s="25" t="s">
        <v>630</v>
      </c>
      <c r="C94" s="25" t="s">
        <v>37</v>
      </c>
      <c r="D94" s="32" t="s">
        <v>237</v>
      </c>
      <c r="E94" s="25" t="s">
        <v>151</v>
      </c>
      <c r="F94" s="25" t="s">
        <v>487</v>
      </c>
      <c r="I94" s="25" t="s">
        <v>645</v>
      </c>
      <c r="J94" s="25" t="s">
        <v>645</v>
      </c>
      <c r="K94" s="25" t="s">
        <v>645</v>
      </c>
    </row>
    <row r="95" spans="1:11" s="25" customFormat="1" x14ac:dyDescent="0.2">
      <c r="A95" s="25" t="b">
        <v>1</v>
      </c>
      <c r="B95" s="25" t="s">
        <v>630</v>
      </c>
      <c r="C95" s="25" t="s">
        <v>37</v>
      </c>
      <c r="D95" s="32" t="s">
        <v>245</v>
      </c>
      <c r="E95" s="25" t="s">
        <v>151</v>
      </c>
      <c r="F95" s="25" t="s">
        <v>488</v>
      </c>
      <c r="I95" s="25" t="s">
        <v>645</v>
      </c>
      <c r="J95" s="25" t="s">
        <v>645</v>
      </c>
      <c r="K95" s="25" t="s">
        <v>645</v>
      </c>
    </row>
    <row r="96" spans="1:11" s="25" customFormat="1" x14ac:dyDescent="0.2">
      <c r="A96" s="25" t="b">
        <v>1</v>
      </c>
      <c r="B96" s="25" t="s">
        <v>630</v>
      </c>
      <c r="C96" s="25" t="s">
        <v>37</v>
      </c>
      <c r="D96" s="32" t="s">
        <v>244</v>
      </c>
      <c r="E96" s="25" t="s">
        <v>151</v>
      </c>
      <c r="F96" s="25" t="s">
        <v>489</v>
      </c>
      <c r="I96" s="25" t="s">
        <v>645</v>
      </c>
      <c r="J96" s="25" t="s">
        <v>645</v>
      </c>
      <c r="K96" s="25" t="s">
        <v>645</v>
      </c>
    </row>
    <row r="97" spans="1:11" s="25" customFormat="1" x14ac:dyDescent="0.2">
      <c r="A97" s="25" t="b">
        <v>1</v>
      </c>
      <c r="B97" s="25" t="s">
        <v>630</v>
      </c>
      <c r="C97" s="25" t="s">
        <v>37</v>
      </c>
      <c r="D97" s="32" t="s">
        <v>247</v>
      </c>
      <c r="E97" s="25" t="s">
        <v>151</v>
      </c>
      <c r="F97" s="25" t="s">
        <v>490</v>
      </c>
      <c r="I97" s="25" t="s">
        <v>645</v>
      </c>
      <c r="J97" s="25" t="s">
        <v>645</v>
      </c>
      <c r="K97" s="25" t="s">
        <v>645</v>
      </c>
    </row>
    <row r="98" spans="1:11" s="25" customFormat="1" x14ac:dyDescent="0.2">
      <c r="A98" s="25" t="b">
        <v>1</v>
      </c>
      <c r="B98" s="25" t="s">
        <v>630</v>
      </c>
      <c r="C98" s="25" t="s">
        <v>37</v>
      </c>
      <c r="D98" s="32" t="s">
        <v>243</v>
      </c>
      <c r="E98" s="25" t="s">
        <v>151</v>
      </c>
      <c r="F98" s="25" t="s">
        <v>491</v>
      </c>
      <c r="I98" s="25" t="s">
        <v>645</v>
      </c>
      <c r="J98" s="25" t="s">
        <v>645</v>
      </c>
      <c r="K98" s="25" t="s">
        <v>645</v>
      </c>
    </row>
    <row r="99" spans="1:11" s="25" customFormat="1" x14ac:dyDescent="0.2">
      <c r="A99" s="25" t="b">
        <v>1</v>
      </c>
      <c r="B99" s="25" t="s">
        <v>630</v>
      </c>
      <c r="C99" s="25" t="s">
        <v>37</v>
      </c>
      <c r="D99" s="32" t="s">
        <v>239</v>
      </c>
      <c r="E99" s="25" t="s">
        <v>151</v>
      </c>
      <c r="F99" s="25" t="s">
        <v>492</v>
      </c>
      <c r="I99" s="25" t="s">
        <v>645</v>
      </c>
      <c r="J99" s="25" t="s">
        <v>645</v>
      </c>
      <c r="K99" s="25" t="s">
        <v>645</v>
      </c>
    </row>
    <row r="100" spans="1:11" s="25" customFormat="1" x14ac:dyDescent="0.2">
      <c r="A100" s="25" t="b">
        <v>1</v>
      </c>
      <c r="B100" s="25" t="s">
        <v>630</v>
      </c>
      <c r="C100" s="25" t="s">
        <v>37</v>
      </c>
      <c r="D100" s="32" t="s">
        <v>246</v>
      </c>
      <c r="E100" s="25" t="s">
        <v>151</v>
      </c>
      <c r="F100" s="25" t="s">
        <v>627</v>
      </c>
      <c r="I100" s="25" t="s">
        <v>645</v>
      </c>
      <c r="J100" s="25" t="s">
        <v>645</v>
      </c>
      <c r="K100" s="25" t="s">
        <v>645</v>
      </c>
    </row>
    <row r="101" spans="1:11" s="25" customFormat="1" x14ac:dyDescent="0.2">
      <c r="A101" s="25" t="b">
        <v>1</v>
      </c>
      <c r="B101" s="25" t="s">
        <v>630</v>
      </c>
      <c r="C101" s="25" t="s">
        <v>37</v>
      </c>
      <c r="D101" s="32" t="s">
        <v>240</v>
      </c>
      <c r="E101" s="25" t="s">
        <v>151</v>
      </c>
      <c r="F101" s="25" t="s">
        <v>492</v>
      </c>
      <c r="I101" s="25" t="s">
        <v>645</v>
      </c>
      <c r="J101" s="25" t="s">
        <v>645</v>
      </c>
      <c r="K101" s="25" t="s">
        <v>645</v>
      </c>
    </row>
    <row r="102" spans="1:11" s="25" customFormat="1" x14ac:dyDescent="0.2">
      <c r="A102" s="25" t="b">
        <v>1</v>
      </c>
      <c r="B102" s="25" t="s">
        <v>630</v>
      </c>
      <c r="C102" s="25" t="s">
        <v>37</v>
      </c>
      <c r="D102" s="32" t="s">
        <v>249</v>
      </c>
      <c r="E102" s="25" t="s">
        <v>151</v>
      </c>
      <c r="F102" s="25" t="s">
        <v>628</v>
      </c>
      <c r="I102" s="25" t="s">
        <v>645</v>
      </c>
      <c r="J102" s="25" t="s">
        <v>645</v>
      </c>
      <c r="K102" s="25" t="s">
        <v>645</v>
      </c>
    </row>
    <row r="103" spans="1:11" s="25" customFormat="1" x14ac:dyDescent="0.2">
      <c r="A103" s="25" t="b">
        <v>1</v>
      </c>
      <c r="B103" s="25" t="s">
        <v>630</v>
      </c>
      <c r="C103" s="25" t="s">
        <v>37</v>
      </c>
      <c r="D103" s="32" t="s">
        <v>241</v>
      </c>
      <c r="E103" s="25" t="s">
        <v>151</v>
      </c>
      <c r="F103" s="25" t="s">
        <v>493</v>
      </c>
      <c r="I103" s="25" t="s">
        <v>645</v>
      </c>
      <c r="J103" s="25" t="s">
        <v>645</v>
      </c>
      <c r="K103" s="25" t="s">
        <v>645</v>
      </c>
    </row>
    <row r="104" spans="1:11" s="25" customFormat="1" x14ac:dyDescent="0.2">
      <c r="A104" s="25" t="b">
        <v>1</v>
      </c>
      <c r="B104" s="25" t="s">
        <v>630</v>
      </c>
      <c r="C104" s="25" t="s">
        <v>37</v>
      </c>
      <c r="D104" s="32" t="s">
        <v>242</v>
      </c>
      <c r="E104" s="25" t="s">
        <v>151</v>
      </c>
      <c r="F104" s="25" t="s">
        <v>494</v>
      </c>
      <c r="I104" s="25" t="s">
        <v>645</v>
      </c>
      <c r="J104" s="25" t="s">
        <v>645</v>
      </c>
      <c r="K104" s="25" t="s">
        <v>645</v>
      </c>
    </row>
    <row r="105" spans="1:11" s="25" customFormat="1" x14ac:dyDescent="0.2">
      <c r="D105" s="32"/>
    </row>
    <row r="106" spans="1:11" s="25" customFormat="1" x14ac:dyDescent="0.2">
      <c r="A106" s="25" t="b">
        <v>1</v>
      </c>
      <c r="B106" s="25" t="s">
        <v>630</v>
      </c>
      <c r="C106" s="25" t="s">
        <v>28</v>
      </c>
      <c r="D106" s="32" t="s">
        <v>177</v>
      </c>
      <c r="E106" s="25" t="s">
        <v>151</v>
      </c>
      <c r="F106" s="25" t="s">
        <v>421</v>
      </c>
      <c r="H106" s="25" t="s">
        <v>846</v>
      </c>
      <c r="I106" s="25" t="s">
        <v>645</v>
      </c>
      <c r="J106" s="25" t="s">
        <v>420</v>
      </c>
      <c r="K106" s="25" t="s">
        <v>670</v>
      </c>
    </row>
    <row r="107" spans="1:11" s="25" customFormat="1" x14ac:dyDescent="0.2">
      <c r="A107" s="25" t="b">
        <v>1</v>
      </c>
      <c r="B107" s="25" t="s">
        <v>630</v>
      </c>
      <c r="C107" s="25" t="s">
        <v>28</v>
      </c>
      <c r="D107" s="32" t="s">
        <v>178</v>
      </c>
      <c r="E107" s="25" t="s">
        <v>151</v>
      </c>
      <c r="F107" s="25" t="s">
        <v>422</v>
      </c>
      <c r="I107" s="25" t="s">
        <v>645</v>
      </c>
      <c r="J107" s="25" t="s">
        <v>645</v>
      </c>
      <c r="K107" s="25" t="s">
        <v>645</v>
      </c>
    </row>
    <row r="108" spans="1:11" s="25" customFormat="1" x14ac:dyDescent="0.2">
      <c r="A108" s="25" t="b">
        <v>1</v>
      </c>
      <c r="B108" s="25" t="s">
        <v>630</v>
      </c>
      <c r="C108" s="25" t="s">
        <v>28</v>
      </c>
      <c r="D108" s="32" t="s">
        <v>179</v>
      </c>
      <c r="E108" s="25" t="s">
        <v>151</v>
      </c>
      <c r="F108" s="25" t="s">
        <v>423</v>
      </c>
      <c r="I108" s="25" t="s">
        <v>645</v>
      </c>
      <c r="J108" s="25" t="s">
        <v>645</v>
      </c>
      <c r="K108" s="25" t="s">
        <v>645</v>
      </c>
    </row>
    <row r="109" spans="1:11" s="25" customFormat="1" x14ac:dyDescent="0.2">
      <c r="A109" s="25" t="b">
        <v>1</v>
      </c>
      <c r="B109" s="25" t="s">
        <v>630</v>
      </c>
      <c r="C109" s="25" t="s">
        <v>28</v>
      </c>
      <c r="D109" s="32" t="s">
        <v>180</v>
      </c>
      <c r="E109" s="25" t="s">
        <v>151</v>
      </c>
      <c r="F109" s="25" t="s">
        <v>424</v>
      </c>
      <c r="I109" s="25" t="s">
        <v>645</v>
      </c>
      <c r="J109" s="25" t="s">
        <v>645</v>
      </c>
      <c r="K109" s="25" t="s">
        <v>645</v>
      </c>
    </row>
    <row r="110" spans="1:11" s="25" customFormat="1" x14ac:dyDescent="0.2">
      <c r="A110" s="25" t="b">
        <v>1</v>
      </c>
      <c r="B110" s="25" t="s">
        <v>630</v>
      </c>
      <c r="C110" s="25" t="s">
        <v>28</v>
      </c>
      <c r="D110" s="32" t="s">
        <v>795</v>
      </c>
      <c r="E110" s="25" t="s">
        <v>151</v>
      </c>
      <c r="I110" s="25" t="s">
        <v>645</v>
      </c>
      <c r="J110" s="25" t="s">
        <v>645</v>
      </c>
      <c r="K110" s="25" t="s">
        <v>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8335C-0B7A-174C-9395-80905662B1F5}">
  <dimension ref="A1:P16"/>
  <sheetViews>
    <sheetView workbookViewId="0">
      <pane ySplit="1" topLeftCell="A2" activePane="bottomLeft" state="frozen"/>
      <selection pane="bottomLeft" activeCell="N2" sqref="N2"/>
    </sheetView>
  </sheetViews>
  <sheetFormatPr baseColWidth="10" defaultRowHeight="16" x14ac:dyDescent="0.2"/>
  <cols>
    <col min="1" max="1" width="10.5" bestFit="1" customWidth="1"/>
    <col min="2" max="2" width="13" bestFit="1" customWidth="1"/>
    <col min="3" max="3" width="11.5" bestFit="1" customWidth="1"/>
    <col min="4" max="4" width="13.1640625" bestFit="1" customWidth="1"/>
    <col min="5" max="5" width="19.1640625" bestFit="1" customWidth="1"/>
    <col min="6" max="6" width="12.1640625" bestFit="1" customWidth="1"/>
    <col min="7" max="7" width="15.83203125" bestFit="1" customWidth="1"/>
    <col min="8" max="8" width="31" bestFit="1" customWidth="1"/>
    <col min="9" max="9" width="27.5" bestFit="1" customWidth="1"/>
    <col min="10" max="11" width="22.83203125" bestFit="1" customWidth="1"/>
    <col min="12" max="12" width="20.1640625" bestFit="1" customWidth="1"/>
    <col min="13" max="13" width="20.33203125" bestFit="1" customWidth="1"/>
    <col min="14" max="14" width="22.33203125" bestFit="1" customWidth="1"/>
    <col min="15" max="15" width="19.33203125" bestFit="1" customWidth="1"/>
    <col min="16" max="16" width="12.5" bestFit="1" customWidth="1"/>
  </cols>
  <sheetData>
    <row r="1" spans="1:16" s="39" customFormat="1" ht="19" x14ac:dyDescent="0.25">
      <c r="A1" s="39" t="s">
        <v>666</v>
      </c>
      <c r="B1" s="39" t="s">
        <v>629</v>
      </c>
      <c r="C1" s="39" t="s">
        <v>631</v>
      </c>
      <c r="D1" s="39" t="s">
        <v>632</v>
      </c>
      <c r="E1" s="39" t="s">
        <v>633</v>
      </c>
      <c r="F1" s="39" t="s">
        <v>635</v>
      </c>
      <c r="G1" s="39" t="s">
        <v>682</v>
      </c>
      <c r="H1" s="39" t="s">
        <v>888</v>
      </c>
      <c r="I1" s="40" t="s">
        <v>889</v>
      </c>
      <c r="J1" s="40" t="s">
        <v>890</v>
      </c>
      <c r="K1" s="40" t="s">
        <v>891</v>
      </c>
      <c r="L1" s="40" t="s">
        <v>892</v>
      </c>
      <c r="M1" s="40" t="s">
        <v>893</v>
      </c>
      <c r="N1" s="40" t="s">
        <v>894</v>
      </c>
      <c r="O1" s="40" t="s">
        <v>900</v>
      </c>
      <c r="P1" s="39" t="s">
        <v>848</v>
      </c>
    </row>
    <row r="2" spans="1:16" x14ac:dyDescent="0.2">
      <c r="A2" t="b">
        <v>1</v>
      </c>
      <c r="B2" t="s">
        <v>630</v>
      </c>
      <c r="C2" t="s">
        <v>40</v>
      </c>
      <c r="E2" t="s">
        <v>736</v>
      </c>
      <c r="H2" t="s">
        <v>901</v>
      </c>
      <c r="I2" t="s">
        <v>703</v>
      </c>
      <c r="K2" t="s">
        <v>656</v>
      </c>
      <c r="L2" t="s">
        <v>895</v>
      </c>
      <c r="N2" t="s">
        <v>670</v>
      </c>
      <c r="O2" t="s">
        <v>896</v>
      </c>
    </row>
    <row r="3" spans="1:16" x14ac:dyDescent="0.2">
      <c r="A3" t="b">
        <v>1</v>
      </c>
      <c r="B3" t="s">
        <v>630</v>
      </c>
      <c r="C3" t="s">
        <v>28</v>
      </c>
      <c r="E3" t="s">
        <v>736</v>
      </c>
      <c r="H3" t="s">
        <v>902</v>
      </c>
      <c r="I3" t="s">
        <v>703</v>
      </c>
      <c r="K3" t="s">
        <v>670</v>
      </c>
      <c r="L3" t="s">
        <v>895</v>
      </c>
      <c r="N3" t="s">
        <v>649</v>
      </c>
      <c r="O3" t="s">
        <v>896</v>
      </c>
    </row>
    <row r="4" spans="1:16" x14ac:dyDescent="0.2">
      <c r="A4" t="b">
        <v>1</v>
      </c>
      <c r="B4" t="s">
        <v>630</v>
      </c>
      <c r="C4" t="s">
        <v>32</v>
      </c>
      <c r="E4" t="s">
        <v>736</v>
      </c>
      <c r="H4" t="s">
        <v>903</v>
      </c>
      <c r="I4" t="s">
        <v>703</v>
      </c>
      <c r="K4" t="s">
        <v>650</v>
      </c>
      <c r="L4" t="s">
        <v>897</v>
      </c>
      <c r="N4" t="s">
        <v>649</v>
      </c>
      <c r="O4" t="s">
        <v>896</v>
      </c>
    </row>
    <row r="5" spans="1:16" x14ac:dyDescent="0.2">
      <c r="A5" t="b">
        <v>1</v>
      </c>
      <c r="B5" t="s">
        <v>630</v>
      </c>
      <c r="C5" t="s">
        <v>31</v>
      </c>
      <c r="E5" t="s">
        <v>736</v>
      </c>
      <c r="H5" t="s">
        <v>904</v>
      </c>
      <c r="I5" t="s">
        <v>703</v>
      </c>
      <c r="K5" t="s">
        <v>649</v>
      </c>
      <c r="L5" t="s">
        <v>895</v>
      </c>
      <c r="N5" t="s">
        <v>671</v>
      </c>
      <c r="O5" t="s">
        <v>896</v>
      </c>
    </row>
    <row r="6" spans="1:16" x14ac:dyDescent="0.2">
      <c r="A6" t="b">
        <v>1</v>
      </c>
      <c r="B6" t="s">
        <v>630</v>
      </c>
      <c r="C6" t="s">
        <v>35</v>
      </c>
      <c r="E6" t="s">
        <v>736</v>
      </c>
      <c r="H6" t="s">
        <v>905</v>
      </c>
      <c r="I6" t="s">
        <v>703</v>
      </c>
      <c r="K6" t="s">
        <v>653</v>
      </c>
      <c r="L6" t="s">
        <v>897</v>
      </c>
      <c r="N6" t="s">
        <v>671</v>
      </c>
      <c r="O6" t="s">
        <v>896</v>
      </c>
    </row>
    <row r="7" spans="1:16" x14ac:dyDescent="0.2">
      <c r="A7" t="b">
        <v>1</v>
      </c>
      <c r="B7" t="s">
        <v>630</v>
      </c>
      <c r="C7" t="s">
        <v>29</v>
      </c>
      <c r="E7" t="s">
        <v>736</v>
      </c>
      <c r="H7" t="s">
        <v>906</v>
      </c>
      <c r="I7" t="s">
        <v>703</v>
      </c>
      <c r="K7" t="s">
        <v>671</v>
      </c>
      <c r="L7" t="s">
        <v>895</v>
      </c>
      <c r="N7" t="s">
        <v>651</v>
      </c>
      <c r="O7" t="s">
        <v>896</v>
      </c>
    </row>
    <row r="8" spans="1:16" x14ac:dyDescent="0.2">
      <c r="A8" t="b">
        <v>1</v>
      </c>
      <c r="B8" t="s">
        <v>630</v>
      </c>
      <c r="C8" t="s">
        <v>34</v>
      </c>
      <c r="E8" t="s">
        <v>736</v>
      </c>
      <c r="H8" t="s">
        <v>907</v>
      </c>
      <c r="I8" t="s">
        <v>703</v>
      </c>
      <c r="K8" t="s">
        <v>652</v>
      </c>
      <c r="L8" t="s">
        <v>897</v>
      </c>
      <c r="N8" t="s">
        <v>651</v>
      </c>
      <c r="O8" t="s">
        <v>896</v>
      </c>
    </row>
    <row r="9" spans="1:16" x14ac:dyDescent="0.2">
      <c r="A9" t="b">
        <v>1</v>
      </c>
      <c r="B9" t="s">
        <v>630</v>
      </c>
      <c r="C9" t="s">
        <v>33</v>
      </c>
      <c r="E9" t="s">
        <v>736</v>
      </c>
      <c r="H9" t="s">
        <v>908</v>
      </c>
      <c r="I9" t="s">
        <v>703</v>
      </c>
      <c r="K9" t="s">
        <v>651</v>
      </c>
      <c r="L9" t="s">
        <v>895</v>
      </c>
      <c r="N9" t="s">
        <v>672</v>
      </c>
      <c r="O9" t="s">
        <v>896</v>
      </c>
    </row>
    <row r="10" spans="1:16" x14ac:dyDescent="0.2">
      <c r="A10" t="b">
        <v>1</v>
      </c>
      <c r="B10" t="s">
        <v>630</v>
      </c>
      <c r="C10" t="s">
        <v>36</v>
      </c>
      <c r="E10" t="s">
        <v>736</v>
      </c>
      <c r="H10" t="s">
        <v>909</v>
      </c>
      <c r="I10" t="s">
        <v>703</v>
      </c>
      <c r="K10" t="s">
        <v>654</v>
      </c>
      <c r="L10" t="s">
        <v>897</v>
      </c>
      <c r="N10" t="s">
        <v>672</v>
      </c>
      <c r="O10" t="s">
        <v>896</v>
      </c>
    </row>
    <row r="11" spans="1:16" x14ac:dyDescent="0.2">
      <c r="A11" t="b">
        <v>1</v>
      </c>
      <c r="B11" t="s">
        <v>630</v>
      </c>
      <c r="C11" t="s">
        <v>37</v>
      </c>
      <c r="E11" t="s">
        <v>736</v>
      </c>
      <c r="H11" t="s">
        <v>910</v>
      </c>
      <c r="I11" t="s">
        <v>703</v>
      </c>
      <c r="K11" t="s">
        <v>673</v>
      </c>
      <c r="L11" t="s">
        <v>897</v>
      </c>
      <c r="N11" t="s">
        <v>654</v>
      </c>
      <c r="O11" t="s">
        <v>896</v>
      </c>
    </row>
    <row r="12" spans="1:16" x14ac:dyDescent="0.2">
      <c r="A12" t="b">
        <v>1</v>
      </c>
      <c r="B12" t="s">
        <v>630</v>
      </c>
      <c r="C12" t="s">
        <v>38</v>
      </c>
      <c r="E12" t="s">
        <v>736</v>
      </c>
      <c r="H12" t="s">
        <v>911</v>
      </c>
      <c r="I12" t="s">
        <v>703</v>
      </c>
      <c r="K12" t="s">
        <v>674</v>
      </c>
      <c r="L12" t="s">
        <v>897</v>
      </c>
      <c r="N12" t="s">
        <v>654</v>
      </c>
      <c r="O12" t="s">
        <v>896</v>
      </c>
    </row>
    <row r="13" spans="1:16" x14ac:dyDescent="0.2">
      <c r="A13" t="b">
        <v>1</v>
      </c>
      <c r="B13" t="s">
        <v>630</v>
      </c>
      <c r="C13" t="s">
        <v>30</v>
      </c>
      <c r="E13" t="s">
        <v>736</v>
      </c>
      <c r="H13" t="s">
        <v>912</v>
      </c>
      <c r="I13" t="s">
        <v>703</v>
      </c>
      <c r="K13" t="s">
        <v>672</v>
      </c>
      <c r="L13" t="s">
        <v>895</v>
      </c>
      <c r="N13" t="s">
        <v>675</v>
      </c>
      <c r="O13" t="s">
        <v>896</v>
      </c>
    </row>
    <row r="14" spans="1:16" x14ac:dyDescent="0.2">
      <c r="A14" t="b">
        <v>1</v>
      </c>
      <c r="B14" t="s">
        <v>630</v>
      </c>
      <c r="C14" t="s">
        <v>42</v>
      </c>
      <c r="E14" t="s">
        <v>736</v>
      </c>
      <c r="H14" t="s">
        <v>913</v>
      </c>
      <c r="I14" t="s">
        <v>703</v>
      </c>
      <c r="K14" t="s">
        <v>676</v>
      </c>
      <c r="L14" t="s">
        <v>897</v>
      </c>
      <c r="N14" t="s">
        <v>675</v>
      </c>
      <c r="O14" t="s">
        <v>896</v>
      </c>
    </row>
    <row r="15" spans="1:16" x14ac:dyDescent="0.2">
      <c r="A15" t="b">
        <v>1</v>
      </c>
      <c r="B15" t="s">
        <v>630</v>
      </c>
      <c r="C15" t="s">
        <v>898</v>
      </c>
      <c r="E15" t="s">
        <v>736</v>
      </c>
      <c r="H15" t="s">
        <v>914</v>
      </c>
      <c r="I15" t="s">
        <v>703</v>
      </c>
      <c r="K15" t="s">
        <v>899</v>
      </c>
      <c r="L15" t="s">
        <v>897</v>
      </c>
      <c r="N15" t="s">
        <v>675</v>
      </c>
      <c r="O15" t="s">
        <v>896</v>
      </c>
    </row>
    <row r="16" spans="1:16" x14ac:dyDescent="0.2">
      <c r="A16" t="b">
        <v>1</v>
      </c>
      <c r="B16" t="s">
        <v>630</v>
      </c>
      <c r="C16" t="s">
        <v>43</v>
      </c>
      <c r="E16" t="s">
        <v>736</v>
      </c>
      <c r="H16" t="s">
        <v>915</v>
      </c>
      <c r="I16" t="s">
        <v>703</v>
      </c>
      <c r="K16" t="s">
        <v>677</v>
      </c>
      <c r="L16" t="s">
        <v>897</v>
      </c>
      <c r="N16" t="s">
        <v>675</v>
      </c>
      <c r="O16" t="s">
        <v>896</v>
      </c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10C3F-0C27-5546-8767-E60C7CACEA9D}">
  <dimension ref="A1:J191"/>
  <sheetViews>
    <sheetView workbookViewId="0">
      <pane ySplit="1" topLeftCell="A48" activePane="bottomLeft" state="frozen"/>
      <selection pane="bottomLeft" activeCell="D72" sqref="D72"/>
    </sheetView>
  </sheetViews>
  <sheetFormatPr baseColWidth="10" defaultRowHeight="16" x14ac:dyDescent="0.2"/>
  <cols>
    <col min="2" max="2" width="13" bestFit="1" customWidth="1"/>
    <col min="3" max="3" width="11.5" bestFit="1" customWidth="1"/>
    <col min="4" max="4" width="22.5" bestFit="1" customWidth="1"/>
    <col min="5" max="5" width="27.1640625" bestFit="1" customWidth="1"/>
    <col min="6" max="6" width="12" bestFit="1" customWidth="1"/>
    <col min="7" max="7" width="10.5" bestFit="1" customWidth="1"/>
    <col min="8" max="8" width="12" bestFit="1" customWidth="1"/>
    <col min="9" max="9" width="14.6640625" bestFit="1" customWidth="1"/>
    <col min="10" max="10" width="62.1640625" bestFit="1" customWidth="1"/>
  </cols>
  <sheetData>
    <row r="1" spans="1:10" s="39" customFormat="1" ht="19" x14ac:dyDescent="0.25">
      <c r="A1" s="39" t="s">
        <v>666</v>
      </c>
      <c r="B1" s="39" t="s">
        <v>629</v>
      </c>
      <c r="C1" s="39" t="s">
        <v>631</v>
      </c>
      <c r="D1" s="39" t="s">
        <v>680</v>
      </c>
      <c r="E1" s="39" t="s">
        <v>632</v>
      </c>
      <c r="F1" s="39" t="s">
        <v>633</v>
      </c>
      <c r="G1" s="39" t="s">
        <v>634</v>
      </c>
      <c r="H1" s="39" t="s">
        <v>681</v>
      </c>
      <c r="I1" s="39" t="s">
        <v>635</v>
      </c>
      <c r="J1" s="39" t="s">
        <v>120</v>
      </c>
    </row>
    <row r="2" spans="1:10" x14ac:dyDescent="0.2">
      <c r="A2" t="b">
        <v>1</v>
      </c>
      <c r="D2" t="s">
        <v>686</v>
      </c>
      <c r="E2" t="s">
        <v>400</v>
      </c>
      <c r="I2" t="s">
        <v>604</v>
      </c>
      <c r="J2" t="s">
        <v>707</v>
      </c>
    </row>
    <row r="3" spans="1:10" x14ac:dyDescent="0.2">
      <c r="A3" t="b">
        <v>1</v>
      </c>
      <c r="D3" t="s">
        <v>686</v>
      </c>
      <c r="E3" t="s">
        <v>401</v>
      </c>
      <c r="I3" t="s">
        <v>605</v>
      </c>
    </row>
    <row r="4" spans="1:10" x14ac:dyDescent="0.2">
      <c r="A4" t="b">
        <v>1</v>
      </c>
      <c r="D4" t="s">
        <v>686</v>
      </c>
      <c r="E4" t="s">
        <v>402</v>
      </c>
      <c r="I4" t="s">
        <v>606</v>
      </c>
    </row>
    <row r="5" spans="1:10" x14ac:dyDescent="0.2">
      <c r="A5" t="b">
        <v>1</v>
      </c>
      <c r="D5" t="s">
        <v>686</v>
      </c>
      <c r="E5" t="s">
        <v>403</v>
      </c>
      <c r="I5" t="s">
        <v>607</v>
      </c>
    </row>
    <row r="6" spans="1:10" x14ac:dyDescent="0.2">
      <c r="A6" t="b">
        <v>1</v>
      </c>
      <c r="D6" t="s">
        <v>686</v>
      </c>
      <c r="E6" t="s">
        <v>795</v>
      </c>
      <c r="I6" t="s">
        <v>830</v>
      </c>
    </row>
    <row r="8" spans="1:10" x14ac:dyDescent="0.2">
      <c r="A8" t="b">
        <v>1</v>
      </c>
      <c r="D8" t="s">
        <v>685</v>
      </c>
      <c r="E8" t="s">
        <v>394</v>
      </c>
      <c r="I8" t="s">
        <v>502</v>
      </c>
      <c r="J8" t="s">
        <v>806</v>
      </c>
    </row>
    <row r="9" spans="1:10" x14ac:dyDescent="0.2">
      <c r="A9" t="b">
        <v>1</v>
      </c>
      <c r="D9" t="s">
        <v>685</v>
      </c>
      <c r="E9" t="s">
        <v>395</v>
      </c>
      <c r="I9" t="s">
        <v>503</v>
      </c>
    </row>
    <row r="10" spans="1:10" x14ac:dyDescent="0.2">
      <c r="A10" t="b">
        <v>1</v>
      </c>
      <c r="D10" t="s">
        <v>685</v>
      </c>
      <c r="E10" t="s">
        <v>396</v>
      </c>
      <c r="I10" t="s">
        <v>396</v>
      </c>
    </row>
    <row r="11" spans="1:10" x14ac:dyDescent="0.2">
      <c r="A11" t="b">
        <v>1</v>
      </c>
      <c r="D11" t="s">
        <v>685</v>
      </c>
      <c r="E11" t="s">
        <v>397</v>
      </c>
      <c r="I11" t="s">
        <v>602</v>
      </c>
    </row>
    <row r="12" spans="1:10" x14ac:dyDescent="0.2">
      <c r="A12" t="b">
        <v>1</v>
      </c>
      <c r="D12" t="s">
        <v>685</v>
      </c>
      <c r="E12" t="s">
        <v>398</v>
      </c>
      <c r="I12" t="s">
        <v>603</v>
      </c>
    </row>
    <row r="13" spans="1:10" x14ac:dyDescent="0.2">
      <c r="A13" t="b">
        <v>1</v>
      </c>
      <c r="D13" t="s">
        <v>685</v>
      </c>
      <c r="E13" t="s">
        <v>399</v>
      </c>
      <c r="I13" t="s">
        <v>502</v>
      </c>
    </row>
    <row r="14" spans="1:10" x14ac:dyDescent="0.2">
      <c r="A14" t="b">
        <v>1</v>
      </c>
      <c r="D14" t="s">
        <v>685</v>
      </c>
      <c r="E14" t="s">
        <v>795</v>
      </c>
      <c r="I14" t="s">
        <v>830</v>
      </c>
    </row>
    <row r="16" spans="1:10" x14ac:dyDescent="0.2">
      <c r="A16" t="b">
        <v>1</v>
      </c>
      <c r="D16" t="s">
        <v>688</v>
      </c>
      <c r="E16" t="s">
        <v>408</v>
      </c>
      <c r="I16" t="s">
        <v>581</v>
      </c>
      <c r="J16" t="s">
        <v>709</v>
      </c>
    </row>
    <row r="17" spans="1:10" x14ac:dyDescent="0.2">
      <c r="A17" t="b">
        <v>1</v>
      </c>
      <c r="D17" t="s">
        <v>688</v>
      </c>
      <c r="E17" t="s">
        <v>409</v>
      </c>
      <c r="I17" t="s">
        <v>585</v>
      </c>
    </row>
    <row r="18" spans="1:10" x14ac:dyDescent="0.2">
      <c r="A18" t="b">
        <v>1</v>
      </c>
      <c r="D18" t="s">
        <v>688</v>
      </c>
      <c r="E18" t="s">
        <v>410</v>
      </c>
      <c r="I18" t="s">
        <v>582</v>
      </c>
    </row>
    <row r="19" spans="1:10" x14ac:dyDescent="0.2">
      <c r="A19" t="b">
        <v>1</v>
      </c>
      <c r="D19" t="s">
        <v>688</v>
      </c>
      <c r="E19" t="s">
        <v>411</v>
      </c>
      <c r="I19" t="s">
        <v>586</v>
      </c>
    </row>
    <row r="20" spans="1:10" x14ac:dyDescent="0.2">
      <c r="A20" t="b">
        <v>1</v>
      </c>
      <c r="D20" t="s">
        <v>688</v>
      </c>
      <c r="E20" t="s">
        <v>412</v>
      </c>
      <c r="I20" t="s">
        <v>582</v>
      </c>
    </row>
    <row r="21" spans="1:10" x14ac:dyDescent="0.2">
      <c r="A21" t="b">
        <v>1</v>
      </c>
      <c r="D21" t="s">
        <v>688</v>
      </c>
      <c r="E21" t="s">
        <v>413</v>
      </c>
      <c r="I21" t="s">
        <v>586</v>
      </c>
    </row>
    <row r="22" spans="1:10" x14ac:dyDescent="0.2">
      <c r="A22" t="b">
        <v>1</v>
      </c>
      <c r="D22" t="s">
        <v>688</v>
      </c>
      <c r="E22" t="s">
        <v>414</v>
      </c>
      <c r="I22" t="s">
        <v>583</v>
      </c>
    </row>
    <row r="23" spans="1:10" x14ac:dyDescent="0.2">
      <c r="A23" t="b">
        <v>1</v>
      </c>
      <c r="D23" t="s">
        <v>688</v>
      </c>
      <c r="E23" t="s">
        <v>415</v>
      </c>
      <c r="I23" t="s">
        <v>587</v>
      </c>
    </row>
    <row r="24" spans="1:10" x14ac:dyDescent="0.2">
      <c r="A24" t="b">
        <v>1</v>
      </c>
      <c r="D24" t="s">
        <v>688</v>
      </c>
      <c r="E24" t="s">
        <v>416</v>
      </c>
      <c r="I24" t="s">
        <v>584</v>
      </c>
    </row>
    <row r="25" spans="1:10" x14ac:dyDescent="0.2">
      <c r="A25" t="b">
        <v>1</v>
      </c>
      <c r="D25" t="s">
        <v>688</v>
      </c>
      <c r="E25" t="s">
        <v>417</v>
      </c>
      <c r="I25" t="s">
        <v>588</v>
      </c>
    </row>
    <row r="26" spans="1:10" x14ac:dyDescent="0.2">
      <c r="A26" t="b">
        <v>1</v>
      </c>
      <c r="D26" t="s">
        <v>688</v>
      </c>
      <c r="E26" t="s">
        <v>418</v>
      </c>
      <c r="I26" t="s">
        <v>584</v>
      </c>
    </row>
    <row r="27" spans="1:10" x14ac:dyDescent="0.2">
      <c r="A27" t="b">
        <v>1</v>
      </c>
      <c r="D27" t="s">
        <v>688</v>
      </c>
      <c r="E27" t="s">
        <v>419</v>
      </c>
      <c r="I27" t="s">
        <v>588</v>
      </c>
    </row>
    <row r="29" spans="1:10" x14ac:dyDescent="0.2">
      <c r="A29" t="b">
        <v>1</v>
      </c>
      <c r="D29" t="s">
        <v>689</v>
      </c>
      <c r="E29" t="s">
        <v>408</v>
      </c>
      <c r="I29" t="s">
        <v>581</v>
      </c>
      <c r="J29" t="s">
        <v>690</v>
      </c>
    </row>
    <row r="30" spans="1:10" x14ac:dyDescent="0.2">
      <c r="A30" t="b">
        <v>1</v>
      </c>
      <c r="D30" t="s">
        <v>689</v>
      </c>
      <c r="E30" t="s">
        <v>409</v>
      </c>
      <c r="I30" t="s">
        <v>585</v>
      </c>
    </row>
    <row r="31" spans="1:10" x14ac:dyDescent="0.2">
      <c r="A31" t="b">
        <v>1</v>
      </c>
      <c r="D31" t="s">
        <v>689</v>
      </c>
      <c r="E31" t="s">
        <v>410</v>
      </c>
      <c r="I31" t="s">
        <v>582</v>
      </c>
    </row>
    <row r="32" spans="1:10" x14ac:dyDescent="0.2">
      <c r="A32" t="b">
        <v>1</v>
      </c>
      <c r="D32" t="s">
        <v>689</v>
      </c>
      <c r="E32" t="s">
        <v>411</v>
      </c>
      <c r="I32" t="s">
        <v>586</v>
      </c>
    </row>
    <row r="33" spans="1:10" x14ac:dyDescent="0.2">
      <c r="A33" t="b">
        <v>1</v>
      </c>
      <c r="D33" t="s">
        <v>689</v>
      </c>
      <c r="E33" t="s">
        <v>412</v>
      </c>
      <c r="I33" t="s">
        <v>582</v>
      </c>
    </row>
    <row r="34" spans="1:10" x14ac:dyDescent="0.2">
      <c r="A34" t="b">
        <v>1</v>
      </c>
      <c r="D34" t="s">
        <v>689</v>
      </c>
      <c r="E34" t="s">
        <v>413</v>
      </c>
      <c r="I34" t="s">
        <v>586</v>
      </c>
    </row>
    <row r="35" spans="1:10" x14ac:dyDescent="0.2">
      <c r="A35" t="b">
        <v>1</v>
      </c>
      <c r="D35" t="s">
        <v>689</v>
      </c>
      <c r="E35" t="s">
        <v>414</v>
      </c>
      <c r="I35" t="s">
        <v>583</v>
      </c>
    </row>
    <row r="36" spans="1:10" x14ac:dyDescent="0.2">
      <c r="A36" t="b">
        <v>1</v>
      </c>
      <c r="D36" t="s">
        <v>689</v>
      </c>
      <c r="E36" t="s">
        <v>415</v>
      </c>
      <c r="I36" t="s">
        <v>587</v>
      </c>
    </row>
    <row r="37" spans="1:10" x14ac:dyDescent="0.2">
      <c r="A37" t="b">
        <v>1</v>
      </c>
      <c r="D37" t="s">
        <v>689</v>
      </c>
      <c r="E37" t="s">
        <v>416</v>
      </c>
      <c r="I37" t="s">
        <v>584</v>
      </c>
    </row>
    <row r="38" spans="1:10" x14ac:dyDescent="0.2">
      <c r="A38" t="b">
        <v>1</v>
      </c>
      <c r="D38" t="s">
        <v>689</v>
      </c>
      <c r="E38" t="s">
        <v>417</v>
      </c>
      <c r="I38" t="s">
        <v>588</v>
      </c>
    </row>
    <row r="39" spans="1:10" x14ac:dyDescent="0.2">
      <c r="A39" t="b">
        <v>1</v>
      </c>
      <c r="D39" t="s">
        <v>689</v>
      </c>
      <c r="E39" t="s">
        <v>418</v>
      </c>
      <c r="I39" t="s">
        <v>584</v>
      </c>
    </row>
    <row r="40" spans="1:10" x14ac:dyDescent="0.2">
      <c r="A40" t="b">
        <v>1</v>
      </c>
      <c r="D40" t="s">
        <v>689</v>
      </c>
      <c r="E40" t="s">
        <v>419</v>
      </c>
      <c r="I40" t="s">
        <v>588</v>
      </c>
    </row>
    <row r="41" spans="1:10" x14ac:dyDescent="0.2">
      <c r="A41" t="b">
        <v>1</v>
      </c>
      <c r="D41" t="s">
        <v>689</v>
      </c>
      <c r="E41" t="s">
        <v>795</v>
      </c>
      <c r="I41" t="s">
        <v>830</v>
      </c>
    </row>
    <row r="43" spans="1:10" x14ac:dyDescent="0.2">
      <c r="A43" t="b">
        <v>1</v>
      </c>
      <c r="D43" t="s">
        <v>687</v>
      </c>
      <c r="E43" t="s">
        <v>394</v>
      </c>
      <c r="I43" t="s">
        <v>502</v>
      </c>
      <c r="J43" t="s">
        <v>708</v>
      </c>
    </row>
    <row r="44" spans="1:10" x14ac:dyDescent="0.2">
      <c r="A44" t="b">
        <v>1</v>
      </c>
      <c r="D44" t="s">
        <v>687</v>
      </c>
      <c r="E44" t="s">
        <v>395</v>
      </c>
      <c r="I44" t="s">
        <v>503</v>
      </c>
    </row>
    <row r="45" spans="1:10" x14ac:dyDescent="0.2">
      <c r="A45" t="b">
        <v>1</v>
      </c>
      <c r="D45" t="s">
        <v>687</v>
      </c>
      <c r="E45" t="s">
        <v>396</v>
      </c>
      <c r="I45" t="s">
        <v>396</v>
      </c>
    </row>
    <row r="46" spans="1:10" x14ac:dyDescent="0.2">
      <c r="A46" t="b">
        <v>1</v>
      </c>
      <c r="D46" t="s">
        <v>687</v>
      </c>
      <c r="E46" t="s">
        <v>397</v>
      </c>
      <c r="I46" t="s">
        <v>602</v>
      </c>
    </row>
    <row r="47" spans="1:10" x14ac:dyDescent="0.2">
      <c r="A47" t="b">
        <v>1</v>
      </c>
      <c r="D47" t="s">
        <v>687</v>
      </c>
      <c r="E47" t="s">
        <v>398</v>
      </c>
      <c r="I47" t="s">
        <v>603</v>
      </c>
    </row>
    <row r="48" spans="1:10" x14ac:dyDescent="0.2">
      <c r="A48" t="b">
        <v>1</v>
      </c>
      <c r="D48" t="s">
        <v>687</v>
      </c>
      <c r="E48" t="s">
        <v>404</v>
      </c>
      <c r="I48" t="s">
        <v>604</v>
      </c>
    </row>
    <row r="49" spans="1:10" x14ac:dyDescent="0.2">
      <c r="A49" t="b">
        <v>1</v>
      </c>
      <c r="D49" t="s">
        <v>687</v>
      </c>
      <c r="E49" t="s">
        <v>401</v>
      </c>
      <c r="I49" t="s">
        <v>605</v>
      </c>
    </row>
    <row r="50" spans="1:10" x14ac:dyDescent="0.2">
      <c r="A50" t="b">
        <v>1</v>
      </c>
      <c r="D50" t="s">
        <v>687</v>
      </c>
      <c r="E50" t="s">
        <v>402</v>
      </c>
      <c r="I50" t="s">
        <v>606</v>
      </c>
    </row>
    <row r="51" spans="1:10" x14ac:dyDescent="0.2">
      <c r="A51" t="b">
        <v>1</v>
      </c>
      <c r="D51" t="s">
        <v>687</v>
      </c>
      <c r="E51" t="s">
        <v>403</v>
      </c>
      <c r="I51" t="s">
        <v>607</v>
      </c>
    </row>
    <row r="52" spans="1:10" x14ac:dyDescent="0.2">
      <c r="A52" t="b">
        <v>1</v>
      </c>
      <c r="D52" t="s">
        <v>687</v>
      </c>
      <c r="E52" t="s">
        <v>405</v>
      </c>
      <c r="I52" t="s">
        <v>608</v>
      </c>
    </row>
    <row r="53" spans="1:10" x14ac:dyDescent="0.2">
      <c r="A53" t="b">
        <v>1</v>
      </c>
      <c r="D53" t="s">
        <v>687</v>
      </c>
      <c r="E53" t="s">
        <v>795</v>
      </c>
      <c r="I53" t="s">
        <v>830</v>
      </c>
    </row>
    <row r="55" spans="1:10" x14ac:dyDescent="0.2">
      <c r="A55" t="b">
        <v>1</v>
      </c>
      <c r="D55" t="s">
        <v>683</v>
      </c>
      <c r="E55" t="s">
        <v>276</v>
      </c>
      <c r="H55" s="38"/>
      <c r="I55" t="s">
        <v>505</v>
      </c>
      <c r="J55" t="s">
        <v>706</v>
      </c>
    </row>
    <row r="56" spans="1:10" x14ac:dyDescent="0.2">
      <c r="A56" t="b">
        <v>1</v>
      </c>
      <c r="D56" t="s">
        <v>683</v>
      </c>
      <c r="E56" t="s">
        <v>277</v>
      </c>
      <c r="I56" t="s">
        <v>506</v>
      </c>
    </row>
    <row r="57" spans="1:10" x14ac:dyDescent="0.2">
      <c r="A57" t="b">
        <v>1</v>
      </c>
      <c r="D57" t="s">
        <v>683</v>
      </c>
      <c r="E57" t="s">
        <v>278</v>
      </c>
      <c r="I57" t="s">
        <v>507</v>
      </c>
    </row>
    <row r="58" spans="1:10" x14ac:dyDescent="0.2">
      <c r="A58" t="b">
        <v>1</v>
      </c>
      <c r="D58" t="s">
        <v>683</v>
      </c>
      <c r="E58" t="s">
        <v>279</v>
      </c>
      <c r="I58" t="s">
        <v>509</v>
      </c>
    </row>
    <row r="59" spans="1:10" x14ac:dyDescent="0.2">
      <c r="A59" t="b">
        <v>1</v>
      </c>
      <c r="D59" t="s">
        <v>683</v>
      </c>
      <c r="E59" t="s">
        <v>280</v>
      </c>
      <c r="I59" t="s">
        <v>508</v>
      </c>
    </row>
    <row r="60" spans="1:10" x14ac:dyDescent="0.2">
      <c r="A60" t="b">
        <v>1</v>
      </c>
      <c r="D60" t="s">
        <v>683</v>
      </c>
      <c r="E60" t="s">
        <v>281</v>
      </c>
      <c r="I60" t="s">
        <v>512</v>
      </c>
    </row>
    <row r="61" spans="1:10" x14ac:dyDescent="0.2">
      <c r="A61" t="b">
        <v>1</v>
      </c>
      <c r="D61" t="s">
        <v>683</v>
      </c>
      <c r="E61" t="s">
        <v>282</v>
      </c>
      <c r="I61" t="s">
        <v>513</v>
      </c>
    </row>
    <row r="62" spans="1:10" x14ac:dyDescent="0.2">
      <c r="A62" t="b">
        <v>1</v>
      </c>
      <c r="D62" t="s">
        <v>683</v>
      </c>
      <c r="E62" t="s">
        <v>283</v>
      </c>
      <c r="I62" t="s">
        <v>510</v>
      </c>
    </row>
    <row r="63" spans="1:10" x14ac:dyDescent="0.2">
      <c r="A63" t="b">
        <v>1</v>
      </c>
      <c r="D63" t="s">
        <v>683</v>
      </c>
      <c r="E63" t="s">
        <v>284</v>
      </c>
      <c r="I63" t="s">
        <v>511</v>
      </c>
    </row>
    <row r="64" spans="1:10" x14ac:dyDescent="0.2">
      <c r="A64" t="b">
        <v>1</v>
      </c>
      <c r="D64" t="s">
        <v>683</v>
      </c>
      <c r="E64" t="s">
        <v>285</v>
      </c>
      <c r="I64" t="s">
        <v>514</v>
      </c>
    </row>
    <row r="65" spans="1:9" x14ac:dyDescent="0.2">
      <c r="A65" t="b">
        <v>1</v>
      </c>
      <c r="D65" t="s">
        <v>683</v>
      </c>
      <c r="E65" t="s">
        <v>286</v>
      </c>
      <c r="I65" t="s">
        <v>515</v>
      </c>
    </row>
    <row r="66" spans="1:9" x14ac:dyDescent="0.2">
      <c r="A66" t="b">
        <v>1</v>
      </c>
      <c r="D66" t="s">
        <v>683</v>
      </c>
      <c r="E66" t="s">
        <v>287</v>
      </c>
      <c r="I66" t="s">
        <v>287</v>
      </c>
    </row>
    <row r="67" spans="1:9" x14ac:dyDescent="0.2">
      <c r="A67" t="b">
        <v>1</v>
      </c>
      <c r="D67" t="s">
        <v>683</v>
      </c>
      <c r="E67" t="s">
        <v>288</v>
      </c>
      <c r="I67" t="s">
        <v>288</v>
      </c>
    </row>
    <row r="68" spans="1:9" x14ac:dyDescent="0.2">
      <c r="A68" t="b">
        <v>1</v>
      </c>
      <c r="D68" t="s">
        <v>683</v>
      </c>
      <c r="E68" t="s">
        <v>289</v>
      </c>
      <c r="I68" t="s">
        <v>516</v>
      </c>
    </row>
    <row r="69" spans="1:9" x14ac:dyDescent="0.2">
      <c r="A69" t="b">
        <v>1</v>
      </c>
      <c r="D69" t="s">
        <v>683</v>
      </c>
      <c r="E69" t="s">
        <v>290</v>
      </c>
      <c r="I69" t="s">
        <v>290</v>
      </c>
    </row>
    <row r="70" spans="1:9" x14ac:dyDescent="0.2">
      <c r="A70" t="b">
        <v>1</v>
      </c>
      <c r="D70" t="s">
        <v>683</v>
      </c>
      <c r="E70" t="s">
        <v>291</v>
      </c>
      <c r="I70" t="s">
        <v>517</v>
      </c>
    </row>
    <row r="71" spans="1:9" x14ac:dyDescent="0.2">
      <c r="A71" t="b">
        <v>1</v>
      </c>
      <c r="D71" t="s">
        <v>683</v>
      </c>
      <c r="E71" t="s">
        <v>292</v>
      </c>
      <c r="I71" t="s">
        <v>292</v>
      </c>
    </row>
    <row r="72" spans="1:9" x14ac:dyDescent="0.2">
      <c r="A72" t="b">
        <v>1</v>
      </c>
      <c r="D72" t="s">
        <v>683</v>
      </c>
      <c r="E72" t="s">
        <v>293</v>
      </c>
      <c r="I72" t="s">
        <v>518</v>
      </c>
    </row>
    <row r="73" spans="1:9" x14ac:dyDescent="0.2">
      <c r="A73" t="b">
        <v>1</v>
      </c>
      <c r="D73" t="s">
        <v>683</v>
      </c>
      <c r="E73" t="s">
        <v>294</v>
      </c>
      <c r="I73" t="s">
        <v>519</v>
      </c>
    </row>
    <row r="74" spans="1:9" x14ac:dyDescent="0.2">
      <c r="A74" t="b">
        <v>1</v>
      </c>
      <c r="D74" t="s">
        <v>683</v>
      </c>
      <c r="E74" t="s">
        <v>295</v>
      </c>
      <c r="I74" t="s">
        <v>520</v>
      </c>
    </row>
    <row r="75" spans="1:9" x14ac:dyDescent="0.2">
      <c r="A75" t="b">
        <v>1</v>
      </c>
      <c r="D75" t="s">
        <v>683</v>
      </c>
      <c r="E75" t="s">
        <v>296</v>
      </c>
      <c r="I75" t="s">
        <v>505</v>
      </c>
    </row>
    <row r="76" spans="1:9" x14ac:dyDescent="0.2">
      <c r="A76" t="b">
        <v>1</v>
      </c>
      <c r="D76" t="s">
        <v>683</v>
      </c>
      <c r="E76" t="s">
        <v>297</v>
      </c>
      <c r="I76" t="s">
        <v>506</v>
      </c>
    </row>
    <row r="77" spans="1:9" x14ac:dyDescent="0.2">
      <c r="A77" t="b">
        <v>1</v>
      </c>
      <c r="D77" t="s">
        <v>683</v>
      </c>
      <c r="E77" t="s">
        <v>298</v>
      </c>
      <c r="I77" t="s">
        <v>506</v>
      </c>
    </row>
    <row r="78" spans="1:9" x14ac:dyDescent="0.2">
      <c r="A78" t="b">
        <v>1</v>
      </c>
      <c r="D78" t="s">
        <v>683</v>
      </c>
      <c r="E78" t="s">
        <v>299</v>
      </c>
      <c r="I78" t="s">
        <v>519</v>
      </c>
    </row>
    <row r="79" spans="1:9" x14ac:dyDescent="0.2">
      <c r="A79" t="b">
        <v>1</v>
      </c>
      <c r="D79" t="s">
        <v>683</v>
      </c>
      <c r="E79" t="s">
        <v>300</v>
      </c>
      <c r="I79" t="s">
        <v>300</v>
      </c>
    </row>
    <row r="80" spans="1:9" x14ac:dyDescent="0.2">
      <c r="A80" t="b">
        <v>1</v>
      </c>
      <c r="D80" t="s">
        <v>683</v>
      </c>
      <c r="E80" t="s">
        <v>307</v>
      </c>
      <c r="I80" t="s">
        <v>307</v>
      </c>
    </row>
    <row r="81" spans="1:9" x14ac:dyDescent="0.2">
      <c r="A81" t="b">
        <v>1</v>
      </c>
      <c r="D81" t="s">
        <v>683</v>
      </c>
      <c r="E81" t="s">
        <v>324</v>
      </c>
      <c r="I81" t="s">
        <v>521</v>
      </c>
    </row>
    <row r="82" spans="1:9" x14ac:dyDescent="0.2">
      <c r="A82" t="b">
        <v>1</v>
      </c>
      <c r="D82" t="s">
        <v>683</v>
      </c>
      <c r="E82" t="s">
        <v>355</v>
      </c>
      <c r="I82" t="s">
        <v>522</v>
      </c>
    </row>
    <row r="83" spans="1:9" x14ac:dyDescent="0.2">
      <c r="A83" t="b">
        <v>1</v>
      </c>
      <c r="D83" t="s">
        <v>683</v>
      </c>
      <c r="E83" t="s">
        <v>329</v>
      </c>
      <c r="I83" t="s">
        <v>523</v>
      </c>
    </row>
    <row r="84" spans="1:9" x14ac:dyDescent="0.2">
      <c r="A84" t="b">
        <v>1</v>
      </c>
      <c r="D84" t="s">
        <v>683</v>
      </c>
      <c r="E84" t="s">
        <v>331</v>
      </c>
      <c r="I84" t="s">
        <v>574</v>
      </c>
    </row>
    <row r="85" spans="1:9" x14ac:dyDescent="0.2">
      <c r="A85" t="b">
        <v>1</v>
      </c>
      <c r="D85" t="s">
        <v>683</v>
      </c>
      <c r="E85" t="s">
        <v>318</v>
      </c>
      <c r="I85" t="s">
        <v>318</v>
      </c>
    </row>
    <row r="86" spans="1:9" x14ac:dyDescent="0.2">
      <c r="A86" t="b">
        <v>1</v>
      </c>
      <c r="D86" t="s">
        <v>683</v>
      </c>
      <c r="E86" t="s">
        <v>353</v>
      </c>
      <c r="I86" t="s">
        <v>353</v>
      </c>
    </row>
    <row r="87" spans="1:9" x14ac:dyDescent="0.2">
      <c r="A87" t="b">
        <v>1</v>
      </c>
      <c r="D87" t="s">
        <v>683</v>
      </c>
      <c r="E87" t="s">
        <v>315</v>
      </c>
      <c r="I87" t="s">
        <v>315</v>
      </c>
    </row>
    <row r="88" spans="1:9" x14ac:dyDescent="0.2">
      <c r="A88" t="b">
        <v>1</v>
      </c>
      <c r="D88" t="s">
        <v>683</v>
      </c>
      <c r="E88" t="s">
        <v>347</v>
      </c>
      <c r="I88" t="s">
        <v>347</v>
      </c>
    </row>
    <row r="89" spans="1:9" x14ac:dyDescent="0.2">
      <c r="A89" t="b">
        <v>1</v>
      </c>
      <c r="D89" t="s">
        <v>683</v>
      </c>
      <c r="E89" t="s">
        <v>313</v>
      </c>
      <c r="I89" t="s">
        <v>313</v>
      </c>
    </row>
    <row r="90" spans="1:9" x14ac:dyDescent="0.2">
      <c r="A90" t="b">
        <v>1</v>
      </c>
      <c r="D90" t="s">
        <v>683</v>
      </c>
      <c r="E90" t="s">
        <v>310</v>
      </c>
      <c r="I90" t="s">
        <v>524</v>
      </c>
    </row>
    <row r="91" spans="1:9" x14ac:dyDescent="0.2">
      <c r="A91" t="b">
        <v>1</v>
      </c>
      <c r="D91" t="s">
        <v>683</v>
      </c>
      <c r="E91" t="s">
        <v>357</v>
      </c>
      <c r="I91" t="s">
        <v>551</v>
      </c>
    </row>
    <row r="92" spans="1:9" x14ac:dyDescent="0.2">
      <c r="A92" t="b">
        <v>1</v>
      </c>
      <c r="D92" t="s">
        <v>683</v>
      </c>
      <c r="E92" t="s">
        <v>332</v>
      </c>
      <c r="I92" t="s">
        <v>525</v>
      </c>
    </row>
    <row r="93" spans="1:9" x14ac:dyDescent="0.2">
      <c r="A93" t="b">
        <v>1</v>
      </c>
      <c r="D93" t="s">
        <v>683</v>
      </c>
      <c r="E93" t="s">
        <v>320</v>
      </c>
      <c r="I93" t="s">
        <v>552</v>
      </c>
    </row>
    <row r="94" spans="1:9" x14ac:dyDescent="0.2">
      <c r="A94" t="b">
        <v>1</v>
      </c>
      <c r="D94" t="s">
        <v>683</v>
      </c>
      <c r="E94" t="s">
        <v>323</v>
      </c>
      <c r="I94" t="s">
        <v>526</v>
      </c>
    </row>
    <row r="95" spans="1:9" x14ac:dyDescent="0.2">
      <c r="A95" t="b">
        <v>1</v>
      </c>
      <c r="D95" t="s">
        <v>683</v>
      </c>
      <c r="E95" t="s">
        <v>334</v>
      </c>
      <c r="I95" t="s">
        <v>527</v>
      </c>
    </row>
    <row r="96" spans="1:9" x14ac:dyDescent="0.2">
      <c r="A96" t="b">
        <v>1</v>
      </c>
      <c r="D96" t="s">
        <v>683</v>
      </c>
      <c r="E96" t="s">
        <v>358</v>
      </c>
      <c r="I96" t="s">
        <v>553</v>
      </c>
    </row>
    <row r="97" spans="1:9" x14ac:dyDescent="0.2">
      <c r="A97" t="b">
        <v>1</v>
      </c>
      <c r="D97" t="s">
        <v>683</v>
      </c>
      <c r="E97" t="s">
        <v>326</v>
      </c>
      <c r="I97" t="s">
        <v>528</v>
      </c>
    </row>
    <row r="98" spans="1:9" x14ac:dyDescent="0.2">
      <c r="A98" t="b">
        <v>1</v>
      </c>
      <c r="D98" t="s">
        <v>683</v>
      </c>
      <c r="E98" t="s">
        <v>330</v>
      </c>
      <c r="I98" t="s">
        <v>529</v>
      </c>
    </row>
    <row r="99" spans="1:9" x14ac:dyDescent="0.2">
      <c r="A99" t="b">
        <v>1</v>
      </c>
      <c r="D99" t="s">
        <v>683</v>
      </c>
      <c r="E99" t="s">
        <v>309</v>
      </c>
      <c r="I99" t="s">
        <v>309</v>
      </c>
    </row>
    <row r="100" spans="1:9" x14ac:dyDescent="0.2">
      <c r="A100" t="b">
        <v>1</v>
      </c>
      <c r="D100" t="s">
        <v>683</v>
      </c>
      <c r="E100" t="s">
        <v>340</v>
      </c>
      <c r="I100" t="s">
        <v>340</v>
      </c>
    </row>
    <row r="101" spans="1:9" x14ac:dyDescent="0.2">
      <c r="A101" t="b">
        <v>1</v>
      </c>
      <c r="D101" t="s">
        <v>683</v>
      </c>
      <c r="E101" t="s">
        <v>317</v>
      </c>
      <c r="I101" t="s">
        <v>317</v>
      </c>
    </row>
    <row r="102" spans="1:9" x14ac:dyDescent="0.2">
      <c r="A102" t="b">
        <v>1</v>
      </c>
      <c r="D102" t="s">
        <v>683</v>
      </c>
      <c r="E102" t="s">
        <v>335</v>
      </c>
      <c r="I102" t="s">
        <v>335</v>
      </c>
    </row>
    <row r="103" spans="1:9" x14ac:dyDescent="0.2">
      <c r="A103" t="b">
        <v>1</v>
      </c>
      <c r="D103" t="s">
        <v>683</v>
      </c>
      <c r="E103" t="s">
        <v>342</v>
      </c>
      <c r="I103" t="s">
        <v>342</v>
      </c>
    </row>
    <row r="104" spans="1:9" x14ac:dyDescent="0.2">
      <c r="A104" t="b">
        <v>1</v>
      </c>
      <c r="D104" t="s">
        <v>683</v>
      </c>
      <c r="E104" t="s">
        <v>305</v>
      </c>
      <c r="I104" t="s">
        <v>305</v>
      </c>
    </row>
    <row r="105" spans="1:9" x14ac:dyDescent="0.2">
      <c r="A105" t="b">
        <v>1</v>
      </c>
      <c r="D105" t="s">
        <v>683</v>
      </c>
      <c r="E105" t="s">
        <v>328</v>
      </c>
      <c r="I105" t="s">
        <v>328</v>
      </c>
    </row>
    <row r="106" spans="1:9" x14ac:dyDescent="0.2">
      <c r="A106" t="b">
        <v>1</v>
      </c>
      <c r="D106" t="s">
        <v>683</v>
      </c>
      <c r="E106" t="s">
        <v>327</v>
      </c>
      <c r="I106" t="s">
        <v>327</v>
      </c>
    </row>
    <row r="107" spans="1:9" x14ac:dyDescent="0.2">
      <c r="A107" t="b">
        <v>1</v>
      </c>
      <c r="D107" t="s">
        <v>683</v>
      </c>
      <c r="E107" t="s">
        <v>314</v>
      </c>
      <c r="I107" t="s">
        <v>314</v>
      </c>
    </row>
    <row r="108" spans="1:9" x14ac:dyDescent="0.2">
      <c r="A108" t="b">
        <v>1</v>
      </c>
      <c r="D108" t="s">
        <v>683</v>
      </c>
      <c r="E108" t="s">
        <v>356</v>
      </c>
      <c r="I108" t="s">
        <v>356</v>
      </c>
    </row>
    <row r="109" spans="1:9" x14ac:dyDescent="0.2">
      <c r="A109" t="b">
        <v>1</v>
      </c>
      <c r="D109" t="s">
        <v>683</v>
      </c>
      <c r="E109" t="s">
        <v>321</v>
      </c>
      <c r="I109" t="s">
        <v>321</v>
      </c>
    </row>
    <row r="110" spans="1:9" x14ac:dyDescent="0.2">
      <c r="A110" t="b">
        <v>1</v>
      </c>
      <c r="D110" t="s">
        <v>683</v>
      </c>
      <c r="E110" t="s">
        <v>359</v>
      </c>
      <c r="I110" t="s">
        <v>359</v>
      </c>
    </row>
    <row r="111" spans="1:9" x14ac:dyDescent="0.2">
      <c r="A111" t="b">
        <v>1</v>
      </c>
      <c r="D111" t="s">
        <v>683</v>
      </c>
      <c r="E111" t="s">
        <v>311</v>
      </c>
      <c r="I111" t="s">
        <v>311</v>
      </c>
    </row>
    <row r="112" spans="1:9" x14ac:dyDescent="0.2">
      <c r="A112" t="b">
        <v>1</v>
      </c>
      <c r="D112" t="s">
        <v>683</v>
      </c>
      <c r="E112" t="s">
        <v>351</v>
      </c>
      <c r="I112" t="s">
        <v>351</v>
      </c>
    </row>
    <row r="113" spans="1:9" x14ac:dyDescent="0.2">
      <c r="A113" t="b">
        <v>1</v>
      </c>
      <c r="D113" t="s">
        <v>683</v>
      </c>
      <c r="E113" t="s">
        <v>360</v>
      </c>
      <c r="I113" t="s">
        <v>360</v>
      </c>
    </row>
    <row r="114" spans="1:9" x14ac:dyDescent="0.2">
      <c r="A114" t="b">
        <v>1</v>
      </c>
      <c r="D114" t="s">
        <v>683</v>
      </c>
      <c r="E114" t="s">
        <v>333</v>
      </c>
      <c r="I114" t="s">
        <v>333</v>
      </c>
    </row>
    <row r="115" spans="1:9" x14ac:dyDescent="0.2">
      <c r="A115" t="b">
        <v>1</v>
      </c>
      <c r="D115" t="s">
        <v>683</v>
      </c>
      <c r="E115" t="s">
        <v>346</v>
      </c>
      <c r="I115" t="s">
        <v>346</v>
      </c>
    </row>
    <row r="116" spans="1:9" x14ac:dyDescent="0.2">
      <c r="A116" t="b">
        <v>1</v>
      </c>
      <c r="D116" t="s">
        <v>683</v>
      </c>
      <c r="E116" t="s">
        <v>348</v>
      </c>
      <c r="I116" t="s">
        <v>348</v>
      </c>
    </row>
    <row r="117" spans="1:9" x14ac:dyDescent="0.2">
      <c r="A117" t="b">
        <v>1</v>
      </c>
      <c r="D117" t="s">
        <v>683</v>
      </c>
      <c r="E117" t="s">
        <v>350</v>
      </c>
      <c r="I117" t="s">
        <v>350</v>
      </c>
    </row>
    <row r="118" spans="1:9" x14ac:dyDescent="0.2">
      <c r="A118" t="b">
        <v>1</v>
      </c>
      <c r="D118" t="s">
        <v>683</v>
      </c>
      <c r="E118" t="s">
        <v>306</v>
      </c>
      <c r="I118" t="s">
        <v>306</v>
      </c>
    </row>
    <row r="119" spans="1:9" x14ac:dyDescent="0.2">
      <c r="A119" t="b">
        <v>1</v>
      </c>
      <c r="D119" t="s">
        <v>683</v>
      </c>
      <c r="E119" t="s">
        <v>361</v>
      </c>
      <c r="I119" t="s">
        <v>361</v>
      </c>
    </row>
    <row r="120" spans="1:9" x14ac:dyDescent="0.2">
      <c r="A120" t="b">
        <v>1</v>
      </c>
      <c r="D120" t="s">
        <v>683</v>
      </c>
      <c r="E120" t="s">
        <v>301</v>
      </c>
      <c r="I120" t="s">
        <v>301</v>
      </c>
    </row>
    <row r="121" spans="1:9" x14ac:dyDescent="0.2">
      <c r="A121" t="b">
        <v>1</v>
      </c>
      <c r="D121" t="s">
        <v>683</v>
      </c>
      <c r="E121" t="s">
        <v>302</v>
      </c>
      <c r="I121" t="s">
        <v>302</v>
      </c>
    </row>
    <row r="122" spans="1:9" x14ac:dyDescent="0.2">
      <c r="A122" t="b">
        <v>1</v>
      </c>
      <c r="D122" t="s">
        <v>683</v>
      </c>
      <c r="E122" t="s">
        <v>325</v>
      </c>
      <c r="I122" t="s">
        <v>325</v>
      </c>
    </row>
    <row r="123" spans="1:9" x14ac:dyDescent="0.2">
      <c r="A123" t="b">
        <v>1</v>
      </c>
      <c r="D123" t="s">
        <v>683</v>
      </c>
      <c r="E123" t="s">
        <v>312</v>
      </c>
      <c r="I123" t="s">
        <v>312</v>
      </c>
    </row>
    <row r="124" spans="1:9" x14ac:dyDescent="0.2">
      <c r="A124" t="b">
        <v>1</v>
      </c>
      <c r="D124" t="s">
        <v>683</v>
      </c>
      <c r="E124" t="s">
        <v>354</v>
      </c>
      <c r="I124" t="s">
        <v>354</v>
      </c>
    </row>
    <row r="125" spans="1:9" x14ac:dyDescent="0.2">
      <c r="A125" t="b">
        <v>1</v>
      </c>
      <c r="D125" t="s">
        <v>683</v>
      </c>
      <c r="E125" t="s">
        <v>341</v>
      </c>
      <c r="I125" t="s">
        <v>341</v>
      </c>
    </row>
    <row r="126" spans="1:9" x14ac:dyDescent="0.2">
      <c r="A126" t="b">
        <v>1</v>
      </c>
      <c r="D126" t="s">
        <v>683</v>
      </c>
      <c r="E126" t="s">
        <v>343</v>
      </c>
      <c r="I126" t="s">
        <v>343</v>
      </c>
    </row>
    <row r="127" spans="1:9" x14ac:dyDescent="0.2">
      <c r="A127" t="b">
        <v>1</v>
      </c>
      <c r="D127" t="s">
        <v>683</v>
      </c>
      <c r="E127" t="s">
        <v>349</v>
      </c>
      <c r="I127" t="s">
        <v>349</v>
      </c>
    </row>
    <row r="128" spans="1:9" x14ac:dyDescent="0.2">
      <c r="A128" t="b">
        <v>1</v>
      </c>
      <c r="D128" t="s">
        <v>683</v>
      </c>
      <c r="E128" t="s">
        <v>316</v>
      </c>
      <c r="I128" t="s">
        <v>316</v>
      </c>
    </row>
    <row r="129" spans="1:9" x14ac:dyDescent="0.2">
      <c r="A129" t="b">
        <v>1</v>
      </c>
      <c r="D129" t="s">
        <v>683</v>
      </c>
      <c r="E129" t="s">
        <v>322</v>
      </c>
      <c r="I129" t="s">
        <v>322</v>
      </c>
    </row>
    <row r="130" spans="1:9" x14ac:dyDescent="0.2">
      <c r="A130" t="b">
        <v>1</v>
      </c>
      <c r="D130" t="s">
        <v>683</v>
      </c>
      <c r="E130" t="s">
        <v>336</v>
      </c>
      <c r="I130" t="s">
        <v>336</v>
      </c>
    </row>
    <row r="131" spans="1:9" x14ac:dyDescent="0.2">
      <c r="A131" t="b">
        <v>1</v>
      </c>
      <c r="D131" t="s">
        <v>683</v>
      </c>
      <c r="E131" t="s">
        <v>337</v>
      </c>
      <c r="I131" t="s">
        <v>337</v>
      </c>
    </row>
    <row r="132" spans="1:9" x14ac:dyDescent="0.2">
      <c r="A132" t="b">
        <v>1</v>
      </c>
      <c r="D132" t="s">
        <v>683</v>
      </c>
      <c r="E132" t="s">
        <v>338</v>
      </c>
      <c r="I132" t="s">
        <v>338</v>
      </c>
    </row>
    <row r="133" spans="1:9" x14ac:dyDescent="0.2">
      <c r="A133" t="b">
        <v>1</v>
      </c>
      <c r="D133" t="s">
        <v>683</v>
      </c>
      <c r="E133" t="s">
        <v>339</v>
      </c>
      <c r="I133" t="s">
        <v>339</v>
      </c>
    </row>
    <row r="134" spans="1:9" x14ac:dyDescent="0.2">
      <c r="A134" t="b">
        <v>1</v>
      </c>
      <c r="D134" t="s">
        <v>683</v>
      </c>
      <c r="E134" t="s">
        <v>308</v>
      </c>
      <c r="I134" t="s">
        <v>308</v>
      </c>
    </row>
    <row r="135" spans="1:9" x14ac:dyDescent="0.2">
      <c r="A135" t="b">
        <v>1</v>
      </c>
      <c r="D135" t="s">
        <v>683</v>
      </c>
      <c r="E135" t="s">
        <v>303</v>
      </c>
      <c r="I135" t="s">
        <v>303</v>
      </c>
    </row>
    <row r="136" spans="1:9" x14ac:dyDescent="0.2">
      <c r="A136" t="b">
        <v>1</v>
      </c>
      <c r="D136" t="s">
        <v>683</v>
      </c>
      <c r="E136" t="s">
        <v>345</v>
      </c>
      <c r="I136" t="s">
        <v>345</v>
      </c>
    </row>
    <row r="137" spans="1:9" x14ac:dyDescent="0.2">
      <c r="A137" t="b">
        <v>1</v>
      </c>
      <c r="D137" t="s">
        <v>683</v>
      </c>
      <c r="E137" t="s">
        <v>352</v>
      </c>
      <c r="I137" t="s">
        <v>352</v>
      </c>
    </row>
    <row r="138" spans="1:9" x14ac:dyDescent="0.2">
      <c r="A138" t="b">
        <v>1</v>
      </c>
      <c r="D138" t="s">
        <v>683</v>
      </c>
      <c r="E138" t="s">
        <v>304</v>
      </c>
      <c r="I138" t="s">
        <v>304</v>
      </c>
    </row>
    <row r="139" spans="1:9" x14ac:dyDescent="0.2">
      <c r="A139" t="b">
        <v>1</v>
      </c>
      <c r="D139" t="s">
        <v>683</v>
      </c>
      <c r="E139" t="s">
        <v>319</v>
      </c>
      <c r="I139" t="s">
        <v>319</v>
      </c>
    </row>
    <row r="140" spans="1:9" x14ac:dyDescent="0.2">
      <c r="A140" t="b">
        <v>1</v>
      </c>
      <c r="D140" t="s">
        <v>683</v>
      </c>
      <c r="E140" t="s">
        <v>344</v>
      </c>
      <c r="I140" t="s">
        <v>344</v>
      </c>
    </row>
    <row r="141" spans="1:9" x14ac:dyDescent="0.2">
      <c r="A141" t="b">
        <v>1</v>
      </c>
      <c r="D141" t="s">
        <v>683</v>
      </c>
      <c r="E141" t="s">
        <v>362</v>
      </c>
      <c r="I141" t="s">
        <v>554</v>
      </c>
    </row>
    <row r="142" spans="1:9" x14ac:dyDescent="0.2">
      <c r="A142" t="b">
        <v>1</v>
      </c>
      <c r="D142" t="s">
        <v>683</v>
      </c>
      <c r="E142" t="s">
        <v>363</v>
      </c>
      <c r="I142" t="s">
        <v>555</v>
      </c>
    </row>
    <row r="143" spans="1:9" x14ac:dyDescent="0.2">
      <c r="A143" t="b">
        <v>1</v>
      </c>
      <c r="D143" t="s">
        <v>683</v>
      </c>
      <c r="E143" t="s">
        <v>364</v>
      </c>
      <c r="I143" t="s">
        <v>556</v>
      </c>
    </row>
    <row r="144" spans="1:9" x14ac:dyDescent="0.2">
      <c r="A144" t="b">
        <v>1</v>
      </c>
      <c r="D144" t="s">
        <v>683</v>
      </c>
      <c r="E144" t="s">
        <v>365</v>
      </c>
      <c r="I144" t="s">
        <v>557</v>
      </c>
    </row>
    <row r="145" spans="1:9" x14ac:dyDescent="0.2">
      <c r="A145" t="b">
        <v>1</v>
      </c>
      <c r="D145" t="s">
        <v>683</v>
      </c>
      <c r="E145" t="s">
        <v>366</v>
      </c>
      <c r="I145" t="s">
        <v>558</v>
      </c>
    </row>
    <row r="146" spans="1:9" x14ac:dyDescent="0.2">
      <c r="A146" t="b">
        <v>1</v>
      </c>
      <c r="D146" t="s">
        <v>683</v>
      </c>
      <c r="E146" t="s">
        <v>367</v>
      </c>
      <c r="I146" t="s">
        <v>559</v>
      </c>
    </row>
    <row r="147" spans="1:9" x14ac:dyDescent="0.2">
      <c r="A147" t="b">
        <v>1</v>
      </c>
      <c r="D147" t="s">
        <v>683</v>
      </c>
      <c r="E147" t="s">
        <v>368</v>
      </c>
      <c r="I147" t="s">
        <v>560</v>
      </c>
    </row>
    <row r="148" spans="1:9" x14ac:dyDescent="0.2">
      <c r="A148" t="b">
        <v>1</v>
      </c>
      <c r="D148" t="s">
        <v>683</v>
      </c>
      <c r="E148" t="s">
        <v>369</v>
      </c>
      <c r="I148" t="s">
        <v>561</v>
      </c>
    </row>
    <row r="149" spans="1:9" x14ac:dyDescent="0.2">
      <c r="A149" t="b">
        <v>1</v>
      </c>
      <c r="D149" t="s">
        <v>683</v>
      </c>
      <c r="E149" t="s">
        <v>370</v>
      </c>
      <c r="I149" t="s">
        <v>562</v>
      </c>
    </row>
    <row r="150" spans="1:9" x14ac:dyDescent="0.2">
      <c r="A150" t="b">
        <v>1</v>
      </c>
      <c r="D150" t="s">
        <v>683</v>
      </c>
      <c r="E150" t="s">
        <v>371</v>
      </c>
      <c r="I150" t="s">
        <v>371</v>
      </c>
    </row>
    <row r="151" spans="1:9" x14ac:dyDescent="0.2">
      <c r="A151" t="b">
        <v>1</v>
      </c>
      <c r="D151" t="s">
        <v>683</v>
      </c>
      <c r="E151" t="s">
        <v>372</v>
      </c>
      <c r="I151" t="s">
        <v>372</v>
      </c>
    </row>
    <row r="152" spans="1:9" x14ac:dyDescent="0.2">
      <c r="A152" t="b">
        <v>1</v>
      </c>
      <c r="D152" t="s">
        <v>683</v>
      </c>
      <c r="E152" t="s">
        <v>373</v>
      </c>
      <c r="I152" t="s">
        <v>564</v>
      </c>
    </row>
    <row r="153" spans="1:9" x14ac:dyDescent="0.2">
      <c r="A153" t="b">
        <v>1</v>
      </c>
      <c r="D153" t="s">
        <v>683</v>
      </c>
      <c r="E153" t="s">
        <v>374</v>
      </c>
      <c r="I153" t="s">
        <v>374</v>
      </c>
    </row>
    <row r="154" spans="1:9" x14ac:dyDescent="0.2">
      <c r="A154" t="b">
        <v>1</v>
      </c>
      <c r="D154" t="s">
        <v>683</v>
      </c>
      <c r="E154" t="s">
        <v>375</v>
      </c>
      <c r="I154" t="s">
        <v>563</v>
      </c>
    </row>
    <row r="155" spans="1:9" x14ac:dyDescent="0.2">
      <c r="A155" t="b">
        <v>1</v>
      </c>
      <c r="D155" t="s">
        <v>683</v>
      </c>
      <c r="E155" t="s">
        <v>376</v>
      </c>
      <c r="I155" t="s">
        <v>376</v>
      </c>
    </row>
    <row r="156" spans="1:9" x14ac:dyDescent="0.2">
      <c r="A156" t="b">
        <v>1</v>
      </c>
      <c r="D156" t="s">
        <v>683</v>
      </c>
      <c r="E156" t="s">
        <v>377</v>
      </c>
      <c r="I156" t="s">
        <v>377</v>
      </c>
    </row>
    <row r="157" spans="1:9" x14ac:dyDescent="0.2">
      <c r="A157" t="b">
        <v>1</v>
      </c>
      <c r="D157" t="s">
        <v>683</v>
      </c>
      <c r="E157" t="s">
        <v>378</v>
      </c>
      <c r="I157" t="s">
        <v>566</v>
      </c>
    </row>
    <row r="158" spans="1:9" x14ac:dyDescent="0.2">
      <c r="A158" t="b">
        <v>1</v>
      </c>
      <c r="D158" t="s">
        <v>683</v>
      </c>
      <c r="E158" t="s">
        <v>379</v>
      </c>
      <c r="I158" t="s">
        <v>379</v>
      </c>
    </row>
    <row r="159" spans="1:9" x14ac:dyDescent="0.2">
      <c r="A159" t="b">
        <v>1</v>
      </c>
      <c r="D159" t="s">
        <v>683</v>
      </c>
      <c r="E159" t="s">
        <v>380</v>
      </c>
      <c r="I159" t="s">
        <v>565</v>
      </c>
    </row>
    <row r="160" spans="1:9" x14ac:dyDescent="0.2">
      <c r="A160" t="b">
        <v>1</v>
      </c>
      <c r="D160" t="s">
        <v>683</v>
      </c>
      <c r="E160" t="s">
        <v>381</v>
      </c>
      <c r="I160" t="s">
        <v>381</v>
      </c>
    </row>
    <row r="161" spans="1:10" x14ac:dyDescent="0.2">
      <c r="A161" t="b">
        <v>1</v>
      </c>
      <c r="D161" t="s">
        <v>683</v>
      </c>
      <c r="E161" t="s">
        <v>262</v>
      </c>
      <c r="I161" t="s">
        <v>567</v>
      </c>
    </row>
    <row r="162" spans="1:10" x14ac:dyDescent="0.2">
      <c r="A162" t="b">
        <v>1</v>
      </c>
      <c r="D162" t="s">
        <v>683</v>
      </c>
      <c r="E162" t="s">
        <v>263</v>
      </c>
      <c r="I162" t="s">
        <v>568</v>
      </c>
    </row>
    <row r="163" spans="1:10" x14ac:dyDescent="0.2">
      <c r="A163" t="b">
        <v>1</v>
      </c>
      <c r="D163" t="s">
        <v>683</v>
      </c>
      <c r="E163" t="s">
        <v>264</v>
      </c>
      <c r="I163" t="s">
        <v>569</v>
      </c>
    </row>
    <row r="164" spans="1:10" x14ac:dyDescent="0.2">
      <c r="A164" t="b">
        <v>1</v>
      </c>
      <c r="D164" t="s">
        <v>683</v>
      </c>
      <c r="E164" t="s">
        <v>382</v>
      </c>
      <c r="I164" t="s">
        <v>570</v>
      </c>
    </row>
    <row r="165" spans="1:10" x14ac:dyDescent="0.2">
      <c r="A165" t="b">
        <v>1</v>
      </c>
      <c r="D165" t="s">
        <v>683</v>
      </c>
      <c r="E165" t="s">
        <v>383</v>
      </c>
      <c r="I165" t="s">
        <v>571</v>
      </c>
    </row>
    <row r="166" spans="1:10" x14ac:dyDescent="0.2">
      <c r="A166" t="b">
        <v>1</v>
      </c>
      <c r="D166" t="s">
        <v>683</v>
      </c>
      <c r="E166" t="s">
        <v>384</v>
      </c>
      <c r="I166" t="s">
        <v>573</v>
      </c>
    </row>
    <row r="167" spans="1:10" x14ac:dyDescent="0.2">
      <c r="A167" t="b">
        <v>1</v>
      </c>
      <c r="D167" t="s">
        <v>683</v>
      </c>
      <c r="E167" t="s">
        <v>385</v>
      </c>
      <c r="I167" t="s">
        <v>572</v>
      </c>
    </row>
    <row r="168" spans="1:10" x14ac:dyDescent="0.2">
      <c r="A168" t="b">
        <v>1</v>
      </c>
      <c r="D168" t="s">
        <v>683</v>
      </c>
      <c r="E168" t="s">
        <v>268</v>
      </c>
      <c r="I168" t="s">
        <v>576</v>
      </c>
    </row>
    <row r="169" spans="1:10" x14ac:dyDescent="0.2">
      <c r="A169" t="b">
        <v>1</v>
      </c>
      <c r="D169" t="s">
        <v>683</v>
      </c>
      <c r="E169" t="s">
        <v>269</v>
      </c>
      <c r="I169" t="s">
        <v>577</v>
      </c>
    </row>
    <row r="170" spans="1:10" x14ac:dyDescent="0.2">
      <c r="A170" t="b">
        <v>1</v>
      </c>
      <c r="D170" t="s">
        <v>683</v>
      </c>
      <c r="E170" t="s">
        <v>386</v>
      </c>
      <c r="I170" t="s">
        <v>575</v>
      </c>
    </row>
    <row r="172" spans="1:10" x14ac:dyDescent="0.2">
      <c r="A172" t="b">
        <v>1</v>
      </c>
      <c r="D172" t="s">
        <v>684</v>
      </c>
      <c r="E172" t="s">
        <v>256</v>
      </c>
      <c r="I172" t="s">
        <v>531</v>
      </c>
      <c r="J172" t="s">
        <v>705</v>
      </c>
    </row>
    <row r="173" spans="1:10" x14ac:dyDescent="0.2">
      <c r="A173" t="b">
        <v>1</v>
      </c>
      <c r="D173" t="s">
        <v>684</v>
      </c>
      <c r="E173" t="s">
        <v>257</v>
      </c>
      <c r="I173" t="s">
        <v>536</v>
      </c>
    </row>
    <row r="174" spans="1:10" x14ac:dyDescent="0.2">
      <c r="A174" t="b">
        <v>1</v>
      </c>
      <c r="D174" t="s">
        <v>684</v>
      </c>
      <c r="E174" t="s">
        <v>258</v>
      </c>
      <c r="I174" t="s">
        <v>537</v>
      </c>
    </row>
    <row r="175" spans="1:10" x14ac:dyDescent="0.2">
      <c r="A175" t="b">
        <v>1</v>
      </c>
      <c r="D175" t="s">
        <v>684</v>
      </c>
      <c r="E175" t="s">
        <v>259</v>
      </c>
      <c r="I175" t="s">
        <v>538</v>
      </c>
    </row>
    <row r="176" spans="1:10" x14ac:dyDescent="0.2">
      <c r="A176" t="b">
        <v>1</v>
      </c>
      <c r="D176" t="s">
        <v>684</v>
      </c>
      <c r="E176" t="s">
        <v>260</v>
      </c>
      <c r="I176" t="s">
        <v>539</v>
      </c>
    </row>
    <row r="177" spans="1:9" x14ac:dyDescent="0.2">
      <c r="A177" t="b">
        <v>1</v>
      </c>
      <c r="D177" t="s">
        <v>684</v>
      </c>
      <c r="E177" t="s">
        <v>261</v>
      </c>
      <c r="I177" t="s">
        <v>540</v>
      </c>
    </row>
    <row r="178" spans="1:9" x14ac:dyDescent="0.2">
      <c r="A178" t="b">
        <v>1</v>
      </c>
      <c r="D178" t="s">
        <v>684</v>
      </c>
      <c r="E178" t="s">
        <v>262</v>
      </c>
      <c r="I178" t="s">
        <v>541</v>
      </c>
    </row>
    <row r="179" spans="1:9" x14ac:dyDescent="0.2">
      <c r="A179" t="b">
        <v>1</v>
      </c>
      <c r="D179" t="s">
        <v>684</v>
      </c>
      <c r="E179" t="s">
        <v>263</v>
      </c>
      <c r="I179" t="s">
        <v>542</v>
      </c>
    </row>
    <row r="180" spans="1:9" x14ac:dyDescent="0.2">
      <c r="A180" t="b">
        <v>1</v>
      </c>
      <c r="D180" t="s">
        <v>684</v>
      </c>
      <c r="E180" t="s">
        <v>264</v>
      </c>
      <c r="I180" t="s">
        <v>543</v>
      </c>
    </row>
    <row r="181" spans="1:9" x14ac:dyDescent="0.2">
      <c r="A181" t="b">
        <v>1</v>
      </c>
      <c r="D181" t="s">
        <v>684</v>
      </c>
      <c r="E181" t="s">
        <v>265</v>
      </c>
      <c r="I181" t="s">
        <v>533</v>
      </c>
    </row>
    <row r="182" spans="1:9" x14ac:dyDescent="0.2">
      <c r="A182" t="b">
        <v>1</v>
      </c>
      <c r="D182" t="s">
        <v>684</v>
      </c>
      <c r="E182" t="s">
        <v>266</v>
      </c>
      <c r="I182" t="s">
        <v>534</v>
      </c>
    </row>
    <row r="183" spans="1:9" x14ac:dyDescent="0.2">
      <c r="A183" t="b">
        <v>1</v>
      </c>
      <c r="D183" t="s">
        <v>684</v>
      </c>
      <c r="E183" t="s">
        <v>267</v>
      </c>
      <c r="I183" t="s">
        <v>550</v>
      </c>
    </row>
    <row r="184" spans="1:9" x14ac:dyDescent="0.2">
      <c r="A184" t="b">
        <v>1</v>
      </c>
      <c r="D184" t="s">
        <v>684</v>
      </c>
      <c r="E184" t="s">
        <v>268</v>
      </c>
      <c r="I184" t="s">
        <v>544</v>
      </c>
    </row>
    <row r="185" spans="1:9" x14ac:dyDescent="0.2">
      <c r="A185" t="b">
        <v>1</v>
      </c>
      <c r="D185" t="s">
        <v>684</v>
      </c>
      <c r="E185" t="s">
        <v>269</v>
      </c>
      <c r="I185" t="s">
        <v>535</v>
      </c>
    </row>
    <row r="186" spans="1:9" x14ac:dyDescent="0.2">
      <c r="A186" t="b">
        <v>1</v>
      </c>
      <c r="D186" t="s">
        <v>684</v>
      </c>
      <c r="E186" t="s">
        <v>270</v>
      </c>
      <c r="I186" t="s">
        <v>545</v>
      </c>
    </row>
    <row r="187" spans="1:9" x14ac:dyDescent="0.2">
      <c r="A187" t="b">
        <v>1</v>
      </c>
      <c r="D187" t="s">
        <v>684</v>
      </c>
      <c r="E187" t="s">
        <v>271</v>
      </c>
      <c r="I187" t="s">
        <v>546</v>
      </c>
    </row>
    <row r="188" spans="1:9" x14ac:dyDescent="0.2">
      <c r="A188" t="b">
        <v>1</v>
      </c>
      <c r="D188" t="s">
        <v>684</v>
      </c>
      <c r="E188" t="s">
        <v>272</v>
      </c>
      <c r="I188" t="s">
        <v>547</v>
      </c>
    </row>
    <row r="189" spans="1:9" x14ac:dyDescent="0.2">
      <c r="A189" t="b">
        <v>1</v>
      </c>
      <c r="D189" t="s">
        <v>684</v>
      </c>
      <c r="E189" t="s">
        <v>273</v>
      </c>
      <c r="I189" t="s">
        <v>548</v>
      </c>
    </row>
    <row r="190" spans="1:9" x14ac:dyDescent="0.2">
      <c r="A190" t="b">
        <v>1</v>
      </c>
      <c r="D190" t="s">
        <v>684</v>
      </c>
      <c r="E190" t="s">
        <v>274</v>
      </c>
      <c r="I190" t="s">
        <v>549</v>
      </c>
    </row>
    <row r="191" spans="1:9" x14ac:dyDescent="0.2">
      <c r="A191" t="b">
        <v>1</v>
      </c>
      <c r="D191" t="s">
        <v>684</v>
      </c>
      <c r="E191" t="s">
        <v>275</v>
      </c>
      <c r="I191" t="s">
        <v>532</v>
      </c>
    </row>
  </sheetData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DB476-AE11-E742-9E3D-7ABA37A90AEF}">
  <dimension ref="A1:J88"/>
  <sheetViews>
    <sheetView zoomScale="101" workbookViewId="0">
      <pane ySplit="1" topLeftCell="A32" activePane="bottomLeft" state="frozen"/>
      <selection pane="bottomLeft" activeCell="C69" sqref="C69"/>
    </sheetView>
  </sheetViews>
  <sheetFormatPr baseColWidth="10" defaultRowHeight="16" x14ac:dyDescent="0.2"/>
  <cols>
    <col min="3" max="3" width="15.83203125" bestFit="1" customWidth="1"/>
    <col min="4" max="4" width="20.6640625" bestFit="1" customWidth="1"/>
    <col min="5" max="5" width="21.33203125" customWidth="1"/>
    <col min="6" max="6" width="42.83203125" bestFit="1" customWidth="1"/>
    <col min="7" max="7" width="73.5" bestFit="1" customWidth="1"/>
    <col min="8" max="8" width="66.83203125" customWidth="1"/>
    <col min="9" max="9" width="96.6640625" bestFit="1" customWidth="1"/>
  </cols>
  <sheetData>
    <row r="1" spans="1:10" x14ac:dyDescent="0.2">
      <c r="A1" s="17" t="s">
        <v>747</v>
      </c>
      <c r="B1" s="17" t="s">
        <v>633</v>
      </c>
      <c r="C1" s="17" t="s">
        <v>634</v>
      </c>
      <c r="D1" s="17" t="s">
        <v>631</v>
      </c>
      <c r="E1" s="17" t="s">
        <v>753</v>
      </c>
      <c r="F1" s="17" t="s">
        <v>934</v>
      </c>
      <c r="G1" s="17" t="s">
        <v>928</v>
      </c>
      <c r="H1" s="17" t="s">
        <v>936</v>
      </c>
      <c r="I1" s="17" t="s">
        <v>933</v>
      </c>
      <c r="J1" s="17" t="s">
        <v>922</v>
      </c>
    </row>
    <row r="2" spans="1:10" x14ac:dyDescent="0.2">
      <c r="A2" t="b">
        <v>1</v>
      </c>
      <c r="B2" t="s">
        <v>78</v>
      </c>
      <c r="C2" t="s">
        <v>729</v>
      </c>
      <c r="E2" t="s">
        <v>777</v>
      </c>
      <c r="F2" t="s">
        <v>779</v>
      </c>
      <c r="G2" t="s">
        <v>937</v>
      </c>
      <c r="H2" t="s">
        <v>958</v>
      </c>
      <c r="I2" t="s">
        <v>778</v>
      </c>
      <c r="J2" t="s">
        <v>929</v>
      </c>
    </row>
    <row r="3" spans="1:10" x14ac:dyDescent="0.2">
      <c r="B3" t="s">
        <v>78</v>
      </c>
      <c r="C3" t="s">
        <v>725</v>
      </c>
      <c r="E3" t="s">
        <v>772</v>
      </c>
      <c r="G3" t="s">
        <v>939</v>
      </c>
      <c r="H3" t="s">
        <v>959</v>
      </c>
    </row>
    <row r="5" spans="1:10" x14ac:dyDescent="0.2">
      <c r="A5" t="b">
        <v>1</v>
      </c>
      <c r="B5" t="s">
        <v>114</v>
      </c>
      <c r="C5" t="s">
        <v>724</v>
      </c>
      <c r="E5" t="s">
        <v>770</v>
      </c>
      <c r="F5" t="s">
        <v>759</v>
      </c>
      <c r="G5" t="s">
        <v>938</v>
      </c>
      <c r="H5" t="s">
        <v>960</v>
      </c>
      <c r="I5" t="s">
        <v>754</v>
      </c>
      <c r="J5" t="s">
        <v>923</v>
      </c>
    </row>
    <row r="6" spans="1:10" x14ac:dyDescent="0.2">
      <c r="A6" t="b">
        <v>1</v>
      </c>
      <c r="B6" t="s">
        <v>114</v>
      </c>
      <c r="C6" t="s">
        <v>471</v>
      </c>
      <c r="D6" t="s">
        <v>703</v>
      </c>
      <c r="E6" s="24" t="s">
        <v>703</v>
      </c>
      <c r="G6" t="s">
        <v>940</v>
      </c>
      <c r="H6" t="s">
        <v>961</v>
      </c>
      <c r="J6" t="s">
        <v>963</v>
      </c>
    </row>
    <row r="7" spans="1:10" x14ac:dyDescent="0.2">
      <c r="A7" t="b">
        <v>1</v>
      </c>
      <c r="B7" t="s">
        <v>114</v>
      </c>
      <c r="C7" t="s">
        <v>139</v>
      </c>
      <c r="E7" t="s">
        <v>700</v>
      </c>
      <c r="G7" t="s">
        <v>941</v>
      </c>
      <c r="H7" t="s">
        <v>975</v>
      </c>
      <c r="J7" t="s">
        <v>962</v>
      </c>
    </row>
    <row r="8" spans="1:10" x14ac:dyDescent="0.2">
      <c r="A8" t="b">
        <v>1</v>
      </c>
      <c r="B8" t="s">
        <v>114</v>
      </c>
      <c r="C8" t="s">
        <v>727</v>
      </c>
      <c r="E8" t="s">
        <v>771</v>
      </c>
      <c r="G8" t="s">
        <v>942</v>
      </c>
      <c r="H8" t="s">
        <v>965</v>
      </c>
      <c r="J8" t="s">
        <v>964</v>
      </c>
    </row>
    <row r="9" spans="1:10" x14ac:dyDescent="0.2">
      <c r="A9" t="b">
        <v>1</v>
      </c>
      <c r="B9" t="s">
        <v>114</v>
      </c>
      <c r="C9" t="s">
        <v>77</v>
      </c>
      <c r="E9" t="s">
        <v>694</v>
      </c>
      <c r="G9" t="s">
        <v>943</v>
      </c>
      <c r="H9" t="s">
        <v>966</v>
      </c>
    </row>
    <row r="10" spans="1:10" x14ac:dyDescent="0.2">
      <c r="A10" t="b">
        <v>1</v>
      </c>
      <c r="B10" t="s">
        <v>114</v>
      </c>
      <c r="C10" t="s">
        <v>725</v>
      </c>
      <c r="E10" t="s">
        <v>772</v>
      </c>
      <c r="G10" t="s">
        <v>939</v>
      </c>
      <c r="H10" t="s">
        <v>959</v>
      </c>
    </row>
    <row r="11" spans="1:10" x14ac:dyDescent="0.2">
      <c r="A11" t="b">
        <v>1</v>
      </c>
      <c r="B11" t="s">
        <v>114</v>
      </c>
      <c r="C11" t="s">
        <v>726</v>
      </c>
      <c r="E11" t="s">
        <v>773</v>
      </c>
      <c r="G11" t="s">
        <v>968</v>
      </c>
      <c r="H11" t="s">
        <v>967</v>
      </c>
    </row>
    <row r="12" spans="1:10" x14ac:dyDescent="0.2">
      <c r="A12" t="b">
        <v>1</v>
      </c>
      <c r="B12" t="s">
        <v>114</v>
      </c>
      <c r="C12" t="s">
        <v>143</v>
      </c>
      <c r="E12" t="s">
        <v>701</v>
      </c>
      <c r="G12" t="s">
        <v>944</v>
      </c>
      <c r="H12" t="s">
        <v>969</v>
      </c>
    </row>
    <row r="13" spans="1:10" x14ac:dyDescent="0.2">
      <c r="A13" t="b">
        <v>1</v>
      </c>
      <c r="B13" t="s">
        <v>114</v>
      </c>
      <c r="C13" t="s">
        <v>713</v>
      </c>
      <c r="D13" t="s">
        <v>693</v>
      </c>
      <c r="E13" t="s">
        <v>693</v>
      </c>
      <c r="G13" t="s">
        <v>945</v>
      </c>
      <c r="H13" t="s">
        <v>970</v>
      </c>
    </row>
    <row r="15" spans="1:10" x14ac:dyDescent="0.2">
      <c r="A15" t="b">
        <v>1</v>
      </c>
      <c r="B15" t="s">
        <v>474</v>
      </c>
      <c r="C15" t="s">
        <v>732</v>
      </c>
      <c r="E15" t="s">
        <v>733</v>
      </c>
      <c r="G15" t="s">
        <v>932</v>
      </c>
      <c r="H15" t="s">
        <v>932</v>
      </c>
    </row>
    <row r="16" spans="1:10" x14ac:dyDescent="0.2">
      <c r="A16" t="b">
        <v>1</v>
      </c>
      <c r="B16" t="s">
        <v>474</v>
      </c>
      <c r="C16" t="s">
        <v>471</v>
      </c>
      <c r="D16" t="s">
        <v>703</v>
      </c>
      <c r="E16" t="s">
        <v>703</v>
      </c>
      <c r="F16" t="s">
        <v>758</v>
      </c>
      <c r="G16" t="s">
        <v>946</v>
      </c>
      <c r="H16" t="s">
        <v>971</v>
      </c>
      <c r="I16" t="s">
        <v>757</v>
      </c>
      <c r="J16" t="s">
        <v>931</v>
      </c>
    </row>
    <row r="17" spans="1:10" x14ac:dyDescent="0.2">
      <c r="A17" t="b">
        <v>1</v>
      </c>
      <c r="B17" t="s">
        <v>474</v>
      </c>
      <c r="C17" t="s">
        <v>725</v>
      </c>
      <c r="E17" t="s">
        <v>772</v>
      </c>
      <c r="G17" t="s">
        <v>939</v>
      </c>
      <c r="H17" t="s">
        <v>959</v>
      </c>
    </row>
    <row r="18" spans="1:10" x14ac:dyDescent="0.2">
      <c r="A18" t="b">
        <v>1</v>
      </c>
      <c r="B18" t="s">
        <v>474</v>
      </c>
      <c r="C18" t="s">
        <v>143</v>
      </c>
      <c r="E18" t="s">
        <v>701</v>
      </c>
      <c r="G18" t="s">
        <v>944</v>
      </c>
      <c r="H18" t="s">
        <v>969</v>
      </c>
    </row>
    <row r="19" spans="1:10" x14ac:dyDescent="0.2">
      <c r="A19" t="b">
        <v>1</v>
      </c>
      <c r="B19" t="s">
        <v>474</v>
      </c>
      <c r="C19" t="s">
        <v>713</v>
      </c>
      <c r="E19" t="s">
        <v>693</v>
      </c>
      <c r="G19" t="s">
        <v>945</v>
      </c>
      <c r="H19" t="s">
        <v>970</v>
      </c>
    </row>
    <row r="21" spans="1:10" x14ac:dyDescent="0.2">
      <c r="A21" t="b">
        <v>1</v>
      </c>
      <c r="B21" t="s">
        <v>151</v>
      </c>
      <c r="C21" t="s">
        <v>734</v>
      </c>
      <c r="E21" t="s">
        <v>774</v>
      </c>
      <c r="F21" t="s">
        <v>783</v>
      </c>
      <c r="G21" t="s">
        <v>957</v>
      </c>
      <c r="H21" t="s">
        <v>972</v>
      </c>
      <c r="I21" t="s">
        <v>782</v>
      </c>
    </row>
    <row r="22" spans="1:10" x14ac:dyDescent="0.2">
      <c r="A22" t="b">
        <v>1</v>
      </c>
      <c r="B22" t="s">
        <v>151</v>
      </c>
      <c r="C22" t="s">
        <v>143</v>
      </c>
      <c r="E22" t="s">
        <v>701</v>
      </c>
      <c r="G22" t="s">
        <v>944</v>
      </c>
      <c r="H22" t="s">
        <v>969</v>
      </c>
    </row>
    <row r="23" spans="1:10" x14ac:dyDescent="0.2">
      <c r="A23" t="b">
        <v>1</v>
      </c>
      <c r="B23" t="s">
        <v>151</v>
      </c>
      <c r="C23" t="s">
        <v>713</v>
      </c>
      <c r="E23" t="s">
        <v>693</v>
      </c>
      <c r="G23" t="s">
        <v>945</v>
      </c>
      <c r="H23" t="s">
        <v>970</v>
      </c>
      <c r="I23" t="s">
        <v>935</v>
      </c>
    </row>
    <row r="24" spans="1:10" x14ac:dyDescent="0.2">
      <c r="A24" t="b">
        <v>1</v>
      </c>
      <c r="B24" t="s">
        <v>151</v>
      </c>
      <c r="C24" t="s">
        <v>735</v>
      </c>
      <c r="E24" t="s">
        <v>775</v>
      </c>
      <c r="G24" t="s">
        <v>947</v>
      </c>
      <c r="H24" t="s">
        <v>973</v>
      </c>
    </row>
    <row r="26" spans="1:10" x14ac:dyDescent="0.2">
      <c r="A26" t="b">
        <v>1</v>
      </c>
      <c r="B26" t="s">
        <v>146</v>
      </c>
      <c r="C26" t="s">
        <v>731</v>
      </c>
      <c r="E26" t="s">
        <v>776</v>
      </c>
      <c r="F26" t="s">
        <v>785</v>
      </c>
      <c r="H26" t="s">
        <v>932</v>
      </c>
      <c r="I26" t="s">
        <v>784</v>
      </c>
    </row>
    <row r="27" spans="1:10" x14ac:dyDescent="0.2">
      <c r="A27" t="b">
        <v>1</v>
      </c>
      <c r="B27" t="s">
        <v>146</v>
      </c>
      <c r="C27" t="s">
        <v>724</v>
      </c>
      <c r="E27" t="s">
        <v>770</v>
      </c>
      <c r="G27" t="s">
        <v>948</v>
      </c>
      <c r="H27" t="s">
        <v>974</v>
      </c>
    </row>
    <row r="28" spans="1:10" x14ac:dyDescent="0.2">
      <c r="A28" t="b">
        <v>1</v>
      </c>
      <c r="B28" t="s">
        <v>146</v>
      </c>
      <c r="C28" t="s">
        <v>139</v>
      </c>
      <c r="E28" t="s">
        <v>700</v>
      </c>
      <c r="G28" t="s">
        <v>941</v>
      </c>
      <c r="H28" t="s">
        <v>975</v>
      </c>
    </row>
    <row r="29" spans="1:10" x14ac:dyDescent="0.2">
      <c r="A29" t="b">
        <v>1</v>
      </c>
      <c r="B29" t="s">
        <v>146</v>
      </c>
      <c r="C29" t="s">
        <v>726</v>
      </c>
      <c r="E29" t="s">
        <v>773</v>
      </c>
      <c r="G29" t="s">
        <v>949</v>
      </c>
      <c r="H29" t="s">
        <v>976</v>
      </c>
    </row>
    <row r="31" spans="1:10" x14ac:dyDescent="0.2">
      <c r="A31" t="b">
        <v>1</v>
      </c>
      <c r="B31" t="s">
        <v>117</v>
      </c>
      <c r="C31" t="s">
        <v>139</v>
      </c>
      <c r="D31" t="s">
        <v>700</v>
      </c>
      <c r="E31" t="s">
        <v>700</v>
      </c>
      <c r="F31" t="s">
        <v>760</v>
      </c>
      <c r="G31" t="s">
        <v>950</v>
      </c>
      <c r="H31" t="s">
        <v>984</v>
      </c>
      <c r="I31" t="s">
        <v>755</v>
      </c>
      <c r="J31" t="s">
        <v>924</v>
      </c>
    </row>
    <row r="32" spans="1:10" x14ac:dyDescent="0.2">
      <c r="A32" t="b">
        <v>1</v>
      </c>
      <c r="B32" t="s">
        <v>117</v>
      </c>
      <c r="C32" t="s">
        <v>471</v>
      </c>
      <c r="E32" t="s">
        <v>703</v>
      </c>
      <c r="G32" t="s">
        <v>940</v>
      </c>
      <c r="H32" t="s">
        <v>961</v>
      </c>
    </row>
    <row r="33" spans="1:10" x14ac:dyDescent="0.2">
      <c r="A33" t="b">
        <v>1</v>
      </c>
      <c r="B33" t="s">
        <v>117</v>
      </c>
      <c r="C33" t="s">
        <v>143</v>
      </c>
      <c r="D33" t="s">
        <v>701</v>
      </c>
      <c r="E33" t="s">
        <v>701</v>
      </c>
      <c r="G33" t="s">
        <v>944</v>
      </c>
      <c r="H33" t="s">
        <v>969</v>
      </c>
    </row>
    <row r="34" spans="1:10" x14ac:dyDescent="0.2">
      <c r="A34" t="b">
        <v>1</v>
      </c>
      <c r="B34" t="s">
        <v>117</v>
      </c>
      <c r="C34" t="s">
        <v>713</v>
      </c>
      <c r="E34" t="s">
        <v>693</v>
      </c>
      <c r="G34" t="s">
        <v>945</v>
      </c>
      <c r="H34" t="s">
        <v>970</v>
      </c>
    </row>
    <row r="35" spans="1:10" x14ac:dyDescent="0.2">
      <c r="A35" t="b">
        <v>1</v>
      </c>
      <c r="B35" t="s">
        <v>117</v>
      </c>
      <c r="C35" t="s">
        <v>77</v>
      </c>
      <c r="E35" t="s">
        <v>694</v>
      </c>
      <c r="G35" t="s">
        <v>943</v>
      </c>
      <c r="H35" t="s">
        <v>966</v>
      </c>
    </row>
    <row r="36" spans="1:10" x14ac:dyDescent="0.2">
      <c r="A36" t="b">
        <v>1</v>
      </c>
      <c r="B36" t="s">
        <v>117</v>
      </c>
      <c r="C36" t="s">
        <v>725</v>
      </c>
      <c r="E36" t="s">
        <v>772</v>
      </c>
      <c r="G36" t="s">
        <v>939</v>
      </c>
      <c r="H36" t="s">
        <v>959</v>
      </c>
    </row>
    <row r="38" spans="1:10" x14ac:dyDescent="0.2">
      <c r="A38" t="b">
        <v>1</v>
      </c>
      <c r="B38" t="s">
        <v>76</v>
      </c>
      <c r="C38" t="s">
        <v>728</v>
      </c>
      <c r="G38" t="s">
        <v>932</v>
      </c>
      <c r="H38" t="s">
        <v>932</v>
      </c>
    </row>
    <row r="39" spans="1:10" x14ac:dyDescent="0.2">
      <c r="A39" t="b">
        <v>1</v>
      </c>
      <c r="B39" t="s">
        <v>76</v>
      </c>
      <c r="C39" t="s">
        <v>77</v>
      </c>
      <c r="D39" t="s">
        <v>694</v>
      </c>
      <c r="E39" t="s">
        <v>694</v>
      </c>
      <c r="F39" t="s">
        <v>761</v>
      </c>
      <c r="G39" t="s">
        <v>955</v>
      </c>
      <c r="H39" t="s">
        <v>977</v>
      </c>
      <c r="I39" t="s">
        <v>756</v>
      </c>
      <c r="J39" t="s">
        <v>930</v>
      </c>
    </row>
    <row r="40" spans="1:10" x14ac:dyDescent="0.2">
      <c r="A40" t="b">
        <v>1</v>
      </c>
      <c r="B40" t="s">
        <v>76</v>
      </c>
      <c r="C40" t="s">
        <v>725</v>
      </c>
      <c r="E40" t="s">
        <v>772</v>
      </c>
      <c r="G40" t="s">
        <v>939</v>
      </c>
      <c r="H40" t="s">
        <v>959</v>
      </c>
    </row>
    <row r="41" spans="1:10" x14ac:dyDescent="0.2">
      <c r="A41" t="b">
        <v>1</v>
      </c>
      <c r="B41" t="s">
        <v>76</v>
      </c>
      <c r="C41" t="s">
        <v>727</v>
      </c>
      <c r="E41" t="s">
        <v>771</v>
      </c>
      <c r="G41" t="s">
        <v>942</v>
      </c>
      <c r="H41" t="s">
        <v>965</v>
      </c>
    </row>
    <row r="42" spans="1:10" x14ac:dyDescent="0.2">
      <c r="A42" t="b">
        <v>1</v>
      </c>
      <c r="B42" t="s">
        <v>76</v>
      </c>
      <c r="C42" t="s">
        <v>729</v>
      </c>
      <c r="E42" t="s">
        <v>777</v>
      </c>
      <c r="G42" t="s">
        <v>951</v>
      </c>
      <c r="H42" t="s">
        <v>978</v>
      </c>
    </row>
    <row r="43" spans="1:10" x14ac:dyDescent="0.2">
      <c r="A43" t="b">
        <v>1</v>
      </c>
      <c r="B43" t="s">
        <v>76</v>
      </c>
      <c r="C43" t="s">
        <v>143</v>
      </c>
      <c r="E43" t="s">
        <v>701</v>
      </c>
      <c r="G43" t="s">
        <v>944</v>
      </c>
      <c r="H43" t="s">
        <v>969</v>
      </c>
    </row>
    <row r="44" spans="1:10" x14ac:dyDescent="0.2">
      <c r="A44" t="b">
        <v>1</v>
      </c>
      <c r="B44" t="s">
        <v>76</v>
      </c>
      <c r="C44" t="s">
        <v>713</v>
      </c>
      <c r="E44" t="s">
        <v>693</v>
      </c>
      <c r="G44" t="s">
        <v>945</v>
      </c>
      <c r="H44" t="s">
        <v>970</v>
      </c>
    </row>
    <row r="45" spans="1:10" x14ac:dyDescent="0.2">
      <c r="A45" t="b">
        <v>1</v>
      </c>
      <c r="B45" t="s">
        <v>76</v>
      </c>
      <c r="C45" t="s">
        <v>712</v>
      </c>
      <c r="H45" t="s">
        <v>932</v>
      </c>
    </row>
    <row r="46" spans="1:10" x14ac:dyDescent="0.2">
      <c r="A46" t="b">
        <v>1</v>
      </c>
      <c r="B46" t="s">
        <v>76</v>
      </c>
      <c r="C46" t="s">
        <v>730</v>
      </c>
      <c r="H46" t="s">
        <v>932</v>
      </c>
    </row>
    <row r="48" spans="1:10" s="23" customFormat="1" x14ac:dyDescent="0.2">
      <c r="A48" s="23" t="b">
        <v>0</v>
      </c>
      <c r="B48" s="23" t="s">
        <v>739</v>
      </c>
      <c r="C48" s="23" t="s">
        <v>713</v>
      </c>
      <c r="E48" s="23" t="s">
        <v>693</v>
      </c>
      <c r="F48" s="23" t="s">
        <v>768</v>
      </c>
      <c r="G48" s="23" t="s">
        <v>952</v>
      </c>
      <c r="H48" s="23" t="s">
        <v>982</v>
      </c>
      <c r="I48" s="23" t="s">
        <v>769</v>
      </c>
      <c r="J48" s="23" t="s">
        <v>927</v>
      </c>
    </row>
    <row r="49" spans="1:10" s="23" customFormat="1" x14ac:dyDescent="0.2">
      <c r="B49" s="23" t="s">
        <v>739</v>
      </c>
      <c r="C49" s="23" t="s">
        <v>725</v>
      </c>
      <c r="G49" s="23" t="s">
        <v>939</v>
      </c>
      <c r="H49" s="23" t="s">
        <v>959</v>
      </c>
    </row>
    <row r="50" spans="1:10" s="23" customFormat="1" x14ac:dyDescent="0.2">
      <c r="B50" s="23" t="s">
        <v>739</v>
      </c>
      <c r="C50" s="23" t="s">
        <v>143</v>
      </c>
      <c r="G50" s="23" t="s">
        <v>944</v>
      </c>
      <c r="H50" s="23" t="s">
        <v>969</v>
      </c>
    </row>
    <row r="52" spans="1:10" s="23" customFormat="1" x14ac:dyDescent="0.2">
      <c r="A52" s="23" t="b">
        <v>0</v>
      </c>
      <c r="B52" s="23" t="s">
        <v>745</v>
      </c>
    </row>
    <row r="54" spans="1:10" s="23" customFormat="1" x14ac:dyDescent="0.2">
      <c r="A54" s="23" t="b">
        <v>0</v>
      </c>
      <c r="B54" s="23" t="s">
        <v>738</v>
      </c>
      <c r="C54" s="23" t="s">
        <v>748</v>
      </c>
      <c r="H54" s="23" t="s">
        <v>932</v>
      </c>
    </row>
    <row r="55" spans="1:10" s="23" customFormat="1" x14ac:dyDescent="0.2">
      <c r="B55" s="23" t="s">
        <v>738</v>
      </c>
      <c r="C55" s="23" t="s">
        <v>725</v>
      </c>
      <c r="F55" s="23" t="s">
        <v>765</v>
      </c>
      <c r="G55" s="23" t="s">
        <v>953</v>
      </c>
      <c r="H55" s="23" t="s">
        <v>979</v>
      </c>
      <c r="I55" s="23" t="s">
        <v>764</v>
      </c>
      <c r="J55" s="23" t="s">
        <v>926</v>
      </c>
    </row>
    <row r="56" spans="1:10" s="23" customFormat="1" x14ac:dyDescent="0.2">
      <c r="B56" s="23" t="s">
        <v>738</v>
      </c>
      <c r="C56" s="23" t="s">
        <v>751</v>
      </c>
      <c r="H56" s="23" t="s">
        <v>932</v>
      </c>
    </row>
    <row r="57" spans="1:10" s="23" customFormat="1" x14ac:dyDescent="0.2">
      <c r="B57" s="23" t="s">
        <v>738</v>
      </c>
      <c r="C57" s="23" t="s">
        <v>752</v>
      </c>
      <c r="H57" s="23" t="s">
        <v>932</v>
      </c>
    </row>
    <row r="58" spans="1:10" s="23" customFormat="1" x14ac:dyDescent="0.2">
      <c r="B58" s="23" t="s">
        <v>738</v>
      </c>
      <c r="C58" s="23" t="s">
        <v>749</v>
      </c>
      <c r="H58" s="23" t="s">
        <v>932</v>
      </c>
    </row>
    <row r="59" spans="1:10" s="23" customFormat="1" x14ac:dyDescent="0.2">
      <c r="B59" s="23" t="s">
        <v>738</v>
      </c>
      <c r="C59" s="23" t="s">
        <v>750</v>
      </c>
      <c r="H59" s="23" t="s">
        <v>932</v>
      </c>
    </row>
    <row r="61" spans="1:10" s="23" customFormat="1" x14ac:dyDescent="0.2">
      <c r="A61" s="23" t="b">
        <v>0</v>
      </c>
      <c r="B61" s="23" t="s">
        <v>740</v>
      </c>
      <c r="C61" s="23" t="s">
        <v>735</v>
      </c>
      <c r="F61" s="23" t="s">
        <v>781</v>
      </c>
      <c r="G61" s="23" t="s">
        <v>956</v>
      </c>
      <c r="H61" s="23" t="s">
        <v>980</v>
      </c>
      <c r="I61" s="23" t="s">
        <v>780</v>
      </c>
      <c r="J61" s="23" t="s">
        <v>924</v>
      </c>
    </row>
    <row r="62" spans="1:10" s="23" customFormat="1" x14ac:dyDescent="0.2">
      <c r="B62" s="23" t="s">
        <v>740</v>
      </c>
      <c r="C62" s="23" t="s">
        <v>725</v>
      </c>
      <c r="G62" s="23" t="s">
        <v>939</v>
      </c>
      <c r="H62" s="23" t="s">
        <v>959</v>
      </c>
    </row>
    <row r="63" spans="1:10" s="23" customFormat="1" x14ac:dyDescent="0.2">
      <c r="B63" s="23" t="s">
        <v>740</v>
      </c>
      <c r="C63" s="23" t="s">
        <v>713</v>
      </c>
      <c r="G63" s="23" t="s">
        <v>945</v>
      </c>
      <c r="H63" s="23" t="s">
        <v>970</v>
      </c>
    </row>
    <row r="64" spans="1:10" s="23" customFormat="1" x14ac:dyDescent="0.2">
      <c r="B64" s="23" t="s">
        <v>740</v>
      </c>
      <c r="C64" s="23" t="s">
        <v>143</v>
      </c>
      <c r="G64" s="23" t="s">
        <v>944</v>
      </c>
      <c r="H64" s="23" t="s">
        <v>969</v>
      </c>
    </row>
    <row r="66" spans="1:10" s="23" customFormat="1" x14ac:dyDescent="0.2">
      <c r="A66" s="23" t="b">
        <v>0</v>
      </c>
      <c r="B66" s="23" t="s">
        <v>742</v>
      </c>
    </row>
    <row r="68" spans="1:10" s="23" customFormat="1" x14ac:dyDescent="0.2">
      <c r="A68" s="23" t="b">
        <v>0</v>
      </c>
      <c r="B68" s="23" t="s">
        <v>737</v>
      </c>
      <c r="C68" s="23" t="s">
        <v>726</v>
      </c>
      <c r="F68" s="23" t="s">
        <v>767</v>
      </c>
      <c r="H68" s="43" t="s">
        <v>983</v>
      </c>
      <c r="I68" s="23" t="s">
        <v>766</v>
      </c>
    </row>
    <row r="69" spans="1:10" s="23" customFormat="1" x14ac:dyDescent="0.2">
      <c r="B69" s="23" t="s">
        <v>737</v>
      </c>
      <c r="C69" s="23" t="s">
        <v>471</v>
      </c>
      <c r="G69" s="23" t="s">
        <v>940</v>
      </c>
      <c r="H69" s="23" t="s">
        <v>961</v>
      </c>
    </row>
    <row r="70" spans="1:10" s="23" customFormat="1" x14ac:dyDescent="0.2">
      <c r="B70" s="23" t="s">
        <v>737</v>
      </c>
      <c r="C70" s="23" t="s">
        <v>143</v>
      </c>
      <c r="G70" s="23" t="s">
        <v>944</v>
      </c>
      <c r="H70" s="23" t="s">
        <v>969</v>
      </c>
    </row>
    <row r="71" spans="1:10" s="23" customFormat="1" x14ac:dyDescent="0.2">
      <c r="B71" s="23" t="s">
        <v>737</v>
      </c>
      <c r="C71" s="23" t="s">
        <v>713</v>
      </c>
      <c r="G71" s="23" t="s">
        <v>945</v>
      </c>
      <c r="H71" s="23" t="s">
        <v>970</v>
      </c>
    </row>
    <row r="73" spans="1:10" s="23" customFormat="1" x14ac:dyDescent="0.2">
      <c r="A73" s="23" t="b">
        <v>0</v>
      </c>
      <c r="B73" s="23" t="s">
        <v>723</v>
      </c>
      <c r="C73" s="23" t="s">
        <v>143</v>
      </c>
      <c r="E73" s="23" t="s">
        <v>701</v>
      </c>
      <c r="F73" s="23" t="s">
        <v>765</v>
      </c>
      <c r="G73" s="23" t="s">
        <v>953</v>
      </c>
      <c r="H73" s="23" t="s">
        <v>979</v>
      </c>
      <c r="I73" s="23" t="s">
        <v>925</v>
      </c>
      <c r="J73" s="23" t="s">
        <v>926</v>
      </c>
    </row>
    <row r="74" spans="1:10" s="23" customFormat="1" x14ac:dyDescent="0.2">
      <c r="B74" s="23" t="s">
        <v>723</v>
      </c>
      <c r="C74" s="23" t="s">
        <v>729</v>
      </c>
      <c r="G74" s="23" t="s">
        <v>951</v>
      </c>
      <c r="H74" s="23" t="s">
        <v>978</v>
      </c>
    </row>
    <row r="75" spans="1:10" s="23" customFormat="1" x14ac:dyDescent="0.2">
      <c r="B75" s="23" t="s">
        <v>723</v>
      </c>
      <c r="C75" s="23" t="s">
        <v>725</v>
      </c>
      <c r="G75" s="23" t="s">
        <v>939</v>
      </c>
      <c r="H75" s="23" t="s">
        <v>959</v>
      </c>
    </row>
    <row r="77" spans="1:10" s="23" customFormat="1" x14ac:dyDescent="0.2">
      <c r="A77" s="23" t="b">
        <v>0</v>
      </c>
      <c r="B77" s="23" t="s">
        <v>741</v>
      </c>
      <c r="C77" s="23" t="s">
        <v>727</v>
      </c>
      <c r="F77" s="23" t="s">
        <v>763</v>
      </c>
      <c r="G77" s="23" t="s">
        <v>954</v>
      </c>
      <c r="H77" s="23" t="s">
        <v>981</v>
      </c>
      <c r="I77" s="23" t="s">
        <v>762</v>
      </c>
    </row>
    <row r="78" spans="1:10" s="23" customFormat="1" x14ac:dyDescent="0.2">
      <c r="B78" s="23" t="s">
        <v>741</v>
      </c>
      <c r="C78" s="23" t="s">
        <v>725</v>
      </c>
      <c r="G78" s="23" t="s">
        <v>939</v>
      </c>
      <c r="H78" s="23" t="s">
        <v>959</v>
      </c>
    </row>
    <row r="79" spans="1:10" s="23" customFormat="1" x14ac:dyDescent="0.2">
      <c r="B79" s="23" t="s">
        <v>741</v>
      </c>
      <c r="C79" s="23" t="s">
        <v>143</v>
      </c>
      <c r="G79" s="23" t="s">
        <v>944</v>
      </c>
      <c r="H79" s="23" t="s">
        <v>969</v>
      </c>
    </row>
    <row r="80" spans="1:10" s="23" customFormat="1" x14ac:dyDescent="0.2">
      <c r="B80" s="23" t="s">
        <v>741</v>
      </c>
      <c r="C80" s="23" t="s">
        <v>713</v>
      </c>
      <c r="G80" s="23" t="s">
        <v>945</v>
      </c>
      <c r="H80" s="23" t="s">
        <v>970</v>
      </c>
    </row>
    <row r="82" spans="1:2" s="23" customFormat="1" x14ac:dyDescent="0.2">
      <c r="A82" s="23" t="b">
        <v>0</v>
      </c>
      <c r="B82" s="23" t="s">
        <v>736</v>
      </c>
    </row>
    <row r="84" spans="1:2" s="23" customFormat="1" x14ac:dyDescent="0.2">
      <c r="A84" s="23" t="b">
        <v>0</v>
      </c>
      <c r="B84" s="23" t="s">
        <v>744</v>
      </c>
    </row>
    <row r="86" spans="1:2" s="23" customFormat="1" x14ac:dyDescent="0.2">
      <c r="A86" s="23" t="b">
        <v>0</v>
      </c>
      <c r="B86" s="23" t="s">
        <v>743</v>
      </c>
    </row>
    <row r="88" spans="1:2" s="23" customFormat="1" x14ac:dyDescent="0.2">
      <c r="A88" s="23" t="b">
        <v>0</v>
      </c>
      <c r="B88" s="23" t="s">
        <v>746</v>
      </c>
    </row>
  </sheetData>
  <pageMargins left="0.7" right="0.7" top="0.75" bottom="0.75" header="0.3" footer="0.3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6C9F4-4010-9243-98AE-74EEEFFCAC53}">
  <dimension ref="A1:L87"/>
  <sheetViews>
    <sheetView zoomScaleNormal="110" workbookViewId="0">
      <pane ySplit="1" topLeftCell="A2" activePane="bottomLeft" state="frozen"/>
      <selection pane="bottomLeft" activeCell="B1" sqref="B1"/>
    </sheetView>
  </sheetViews>
  <sheetFormatPr baseColWidth="10" defaultRowHeight="16" x14ac:dyDescent="0.2"/>
  <cols>
    <col min="2" max="3" width="27.1640625" customWidth="1"/>
    <col min="4" max="4" width="28.83203125" customWidth="1"/>
    <col min="5" max="5" width="24.6640625" customWidth="1"/>
    <col min="6" max="6" width="17.5" customWidth="1"/>
    <col min="7" max="7" width="23.6640625" customWidth="1"/>
    <col min="8" max="10" width="20" customWidth="1"/>
    <col min="11" max="11" width="28.6640625" customWidth="1"/>
    <col min="12" max="12" width="47.6640625" customWidth="1"/>
  </cols>
  <sheetData>
    <row r="1" spans="1:12" s="18" customFormat="1" ht="20" thickBot="1" x14ac:dyDescent="0.3">
      <c r="A1" s="18" t="s">
        <v>666</v>
      </c>
      <c r="B1" s="8" t="s">
        <v>6</v>
      </c>
      <c r="C1" s="9" t="s">
        <v>629</v>
      </c>
      <c r="D1" s="9" t="s">
        <v>631</v>
      </c>
      <c r="E1" s="9" t="s">
        <v>632</v>
      </c>
      <c r="F1" s="9" t="s">
        <v>633</v>
      </c>
      <c r="G1" s="9" t="s">
        <v>634</v>
      </c>
      <c r="H1" s="9" t="s">
        <v>635</v>
      </c>
      <c r="I1" s="9" t="s">
        <v>667</v>
      </c>
      <c r="J1" s="9" t="s">
        <v>668</v>
      </c>
      <c r="K1" s="10" t="s">
        <v>120</v>
      </c>
    </row>
    <row r="2" spans="1:12" x14ac:dyDescent="0.2">
      <c r="A2" t="b">
        <v>1</v>
      </c>
      <c r="B2" s="2" t="s">
        <v>0</v>
      </c>
      <c r="C2" s="2" t="s">
        <v>630</v>
      </c>
      <c r="D2" s="2" t="s">
        <v>7</v>
      </c>
      <c r="E2" s="2" t="s">
        <v>75</v>
      </c>
      <c r="F2" s="1" t="s">
        <v>114</v>
      </c>
      <c r="G2" s="1" t="s">
        <v>713</v>
      </c>
      <c r="H2" s="1" t="s">
        <v>693</v>
      </c>
      <c r="I2" s="1"/>
      <c r="J2" s="1"/>
      <c r="K2" s="1" t="s">
        <v>475</v>
      </c>
      <c r="L2" s="17"/>
    </row>
    <row r="3" spans="1:12" x14ac:dyDescent="0.2">
      <c r="A3" t="b">
        <v>1</v>
      </c>
      <c r="B3" s="2" t="s">
        <v>1</v>
      </c>
      <c r="C3" s="2" t="s">
        <v>630</v>
      </c>
      <c r="D3" s="2" t="s">
        <v>8</v>
      </c>
      <c r="E3" s="2" t="s">
        <v>75</v>
      </c>
      <c r="F3" s="2" t="s">
        <v>76</v>
      </c>
      <c r="G3" s="2" t="s">
        <v>77</v>
      </c>
      <c r="H3" s="2" t="s">
        <v>694</v>
      </c>
      <c r="I3" s="2"/>
      <c r="J3" s="2"/>
      <c r="K3" s="2"/>
    </row>
    <row r="4" spans="1:12" x14ac:dyDescent="0.2">
      <c r="A4" t="b">
        <v>1</v>
      </c>
      <c r="B4" s="2" t="s">
        <v>1</v>
      </c>
      <c r="C4" s="2" t="s">
        <v>630</v>
      </c>
      <c r="D4" s="2" t="s">
        <v>9</v>
      </c>
      <c r="E4" s="2"/>
      <c r="F4" s="6" t="s">
        <v>76</v>
      </c>
      <c r="G4" s="6" t="s">
        <v>120</v>
      </c>
      <c r="H4" s="2"/>
      <c r="I4" s="15" t="s">
        <v>722</v>
      </c>
      <c r="J4" s="2"/>
      <c r="K4" s="1" t="s">
        <v>609</v>
      </c>
      <c r="L4" s="13" t="s">
        <v>717</v>
      </c>
    </row>
    <row r="5" spans="1:12" x14ac:dyDescent="0.2">
      <c r="A5" t="b">
        <v>1</v>
      </c>
      <c r="B5" s="2" t="s">
        <v>1</v>
      </c>
      <c r="C5" s="2" t="s">
        <v>630</v>
      </c>
      <c r="D5" s="2" t="s">
        <v>10</v>
      </c>
      <c r="E5" s="2" t="s">
        <v>75</v>
      </c>
      <c r="F5" s="2" t="s">
        <v>78</v>
      </c>
      <c r="G5" s="2" t="s">
        <v>79</v>
      </c>
      <c r="H5" s="2" t="s">
        <v>695</v>
      </c>
      <c r="I5" s="2"/>
      <c r="J5" s="2"/>
      <c r="K5" s="2"/>
    </row>
    <row r="6" spans="1:12" x14ac:dyDescent="0.2">
      <c r="A6" t="b">
        <v>1</v>
      </c>
      <c r="B6" s="2" t="s">
        <v>1</v>
      </c>
      <c r="C6" s="2" t="s">
        <v>630</v>
      </c>
      <c r="D6" s="2" t="s">
        <v>11</v>
      </c>
      <c r="E6" s="2" t="s">
        <v>75</v>
      </c>
      <c r="F6" s="2" t="s">
        <v>76</v>
      </c>
      <c r="G6" s="2" t="s">
        <v>80</v>
      </c>
      <c r="H6" s="2" t="s">
        <v>696</v>
      </c>
      <c r="I6" s="2"/>
      <c r="J6" s="2"/>
      <c r="K6" s="2"/>
    </row>
    <row r="7" spans="1:12" x14ac:dyDescent="0.2">
      <c r="B7" s="2"/>
      <c r="C7" s="2"/>
      <c r="D7" s="2"/>
      <c r="E7" s="2"/>
      <c r="F7" s="2"/>
      <c r="G7" s="2"/>
      <c r="H7" s="2"/>
      <c r="I7" s="2"/>
      <c r="J7" s="2"/>
      <c r="K7" s="2"/>
    </row>
    <row r="8" spans="1:12" x14ac:dyDescent="0.2">
      <c r="A8" t="b">
        <v>1</v>
      </c>
      <c r="B8" s="2" t="s">
        <v>1</v>
      </c>
      <c r="C8" s="2" t="s">
        <v>630</v>
      </c>
      <c r="D8" s="2" t="s">
        <v>13</v>
      </c>
      <c r="E8" s="3" t="s">
        <v>81</v>
      </c>
      <c r="F8" s="2" t="s">
        <v>76</v>
      </c>
      <c r="G8" s="2" t="s">
        <v>83</v>
      </c>
      <c r="H8" s="2" t="s">
        <v>81</v>
      </c>
      <c r="I8" s="2"/>
      <c r="J8" s="2"/>
      <c r="K8" s="2"/>
    </row>
    <row r="9" spans="1:12" x14ac:dyDescent="0.2">
      <c r="A9" t="b">
        <v>1</v>
      </c>
      <c r="B9" s="2" t="s">
        <v>1</v>
      </c>
      <c r="C9" s="2" t="s">
        <v>630</v>
      </c>
      <c r="D9" s="2" t="s">
        <v>13</v>
      </c>
      <c r="E9" s="3" t="s">
        <v>82</v>
      </c>
      <c r="F9" s="2" t="s">
        <v>76</v>
      </c>
      <c r="G9" s="2" t="s">
        <v>83</v>
      </c>
      <c r="H9" s="2" t="s">
        <v>82</v>
      </c>
      <c r="I9" s="2"/>
      <c r="J9" s="2"/>
      <c r="K9" s="2"/>
    </row>
    <row r="10" spans="1:12" x14ac:dyDescent="0.2">
      <c r="A10" t="b">
        <v>0</v>
      </c>
      <c r="B10" s="2" t="s">
        <v>1</v>
      </c>
      <c r="C10" s="2" t="s">
        <v>630</v>
      </c>
      <c r="D10" s="2" t="s">
        <v>14</v>
      </c>
      <c r="E10" s="2"/>
      <c r="F10" s="2" t="s">
        <v>76</v>
      </c>
      <c r="G10" s="2" t="s">
        <v>120</v>
      </c>
      <c r="H10" s="6" t="s">
        <v>714</v>
      </c>
      <c r="I10" s="6"/>
      <c r="J10" s="6"/>
      <c r="K10" s="2"/>
      <c r="L10" s="16" t="s">
        <v>715</v>
      </c>
    </row>
    <row r="11" spans="1:12" x14ac:dyDescent="0.2">
      <c r="B11" s="2"/>
      <c r="C11" s="2"/>
      <c r="D11" s="2"/>
      <c r="E11" s="2"/>
      <c r="F11" s="2"/>
      <c r="G11" s="2"/>
      <c r="H11" s="6"/>
      <c r="I11" s="6"/>
      <c r="J11" s="6"/>
      <c r="K11" s="2"/>
      <c r="L11" s="17"/>
    </row>
    <row r="12" spans="1:12" s="17" customFormat="1" ht="17" customHeight="1" x14ac:dyDescent="0.2">
      <c r="A12" s="17" t="b">
        <v>1</v>
      </c>
      <c r="B12" s="19" t="s">
        <v>1</v>
      </c>
      <c r="C12" s="19" t="s">
        <v>630</v>
      </c>
      <c r="D12" s="19" t="s">
        <v>15</v>
      </c>
      <c r="E12" s="20" t="s">
        <v>84</v>
      </c>
      <c r="F12" s="19" t="s">
        <v>76</v>
      </c>
      <c r="G12" s="19" t="s">
        <v>100</v>
      </c>
      <c r="H12" s="19" t="s">
        <v>75</v>
      </c>
      <c r="I12" s="19"/>
      <c r="J12" s="19"/>
      <c r="K12" s="19"/>
      <c r="L12" s="13" t="s">
        <v>720</v>
      </c>
    </row>
    <row r="13" spans="1:12" x14ac:dyDescent="0.2">
      <c r="A13" t="b">
        <v>1</v>
      </c>
      <c r="B13" s="2" t="s">
        <v>1</v>
      </c>
      <c r="C13" s="2" t="s">
        <v>630</v>
      </c>
      <c r="D13" s="2" t="s">
        <v>15</v>
      </c>
      <c r="E13" s="4" t="s">
        <v>85</v>
      </c>
      <c r="F13" s="2" t="s">
        <v>76</v>
      </c>
      <c r="G13" s="2" t="s">
        <v>100</v>
      </c>
      <c r="H13" s="2" t="s">
        <v>101</v>
      </c>
      <c r="I13" s="2"/>
      <c r="J13" s="2"/>
      <c r="K13" s="2"/>
    </row>
    <row r="14" spans="1:12" x14ac:dyDescent="0.2">
      <c r="A14" t="b">
        <v>1</v>
      </c>
      <c r="B14" s="2" t="s">
        <v>1</v>
      </c>
      <c r="C14" s="2" t="s">
        <v>630</v>
      </c>
      <c r="D14" s="2" t="s">
        <v>15</v>
      </c>
      <c r="E14" s="5" t="s">
        <v>86</v>
      </c>
      <c r="F14" s="2" t="s">
        <v>76</v>
      </c>
      <c r="G14" s="2" t="s">
        <v>100</v>
      </c>
      <c r="H14" s="2" t="s">
        <v>102</v>
      </c>
      <c r="I14" s="2"/>
      <c r="J14" s="2"/>
      <c r="K14" s="2"/>
    </row>
    <row r="15" spans="1:12" x14ac:dyDescent="0.2">
      <c r="A15" t="b">
        <v>1</v>
      </c>
      <c r="B15" s="2" t="s">
        <v>1</v>
      </c>
      <c r="C15" s="2" t="s">
        <v>630</v>
      </c>
      <c r="D15" s="2" t="s">
        <v>15</v>
      </c>
      <c r="E15" s="5" t="s">
        <v>87</v>
      </c>
      <c r="F15" s="2" t="s">
        <v>76</v>
      </c>
      <c r="G15" s="2" t="s">
        <v>100</v>
      </c>
      <c r="H15" s="2" t="s">
        <v>103</v>
      </c>
      <c r="I15" s="2"/>
      <c r="J15" s="2"/>
      <c r="K15" s="2"/>
    </row>
    <row r="16" spans="1:12" x14ac:dyDescent="0.2">
      <c r="A16" t="b">
        <v>1</v>
      </c>
      <c r="B16" s="2" t="s">
        <v>1</v>
      </c>
      <c r="C16" s="2" t="s">
        <v>630</v>
      </c>
      <c r="D16" s="2" t="s">
        <v>15</v>
      </c>
      <c r="E16" s="5" t="s">
        <v>88</v>
      </c>
      <c r="F16" s="2" t="s">
        <v>76</v>
      </c>
      <c r="G16" s="2" t="s">
        <v>100</v>
      </c>
      <c r="H16" s="2" t="s">
        <v>104</v>
      </c>
      <c r="I16" s="2"/>
      <c r="J16" s="2"/>
      <c r="K16" s="2"/>
    </row>
    <row r="17" spans="1:12" x14ac:dyDescent="0.2">
      <c r="A17" t="b">
        <v>1</v>
      </c>
      <c r="B17" s="2" t="s">
        <v>1</v>
      </c>
      <c r="C17" s="2" t="s">
        <v>630</v>
      </c>
      <c r="D17" s="2" t="s">
        <v>15</v>
      </c>
      <c r="E17" s="3" t="s">
        <v>89</v>
      </c>
      <c r="F17" s="2" t="s">
        <v>76</v>
      </c>
      <c r="G17" s="2" t="s">
        <v>100</v>
      </c>
      <c r="H17" s="2" t="s">
        <v>113</v>
      </c>
      <c r="I17" s="2"/>
      <c r="J17" s="2"/>
      <c r="K17" s="2"/>
    </row>
    <row r="18" spans="1:12" x14ac:dyDescent="0.2">
      <c r="A18" t="b">
        <v>1</v>
      </c>
      <c r="B18" s="2" t="s">
        <v>1</v>
      </c>
      <c r="C18" s="2" t="s">
        <v>630</v>
      </c>
      <c r="D18" s="2" t="s">
        <v>15</v>
      </c>
      <c r="E18" s="3" t="s">
        <v>90</v>
      </c>
      <c r="F18" s="2" t="s">
        <v>76</v>
      </c>
      <c r="G18" s="2" t="s">
        <v>100</v>
      </c>
      <c r="H18" s="2" t="s">
        <v>112</v>
      </c>
      <c r="I18" s="2"/>
      <c r="J18" s="2"/>
      <c r="K18" s="2"/>
    </row>
    <row r="19" spans="1:12" x14ac:dyDescent="0.2">
      <c r="A19" t="b">
        <v>1</v>
      </c>
      <c r="B19" s="2" t="s">
        <v>1</v>
      </c>
      <c r="C19" s="2" t="s">
        <v>630</v>
      </c>
      <c r="D19" s="2" t="s">
        <v>15</v>
      </c>
      <c r="E19" s="4" t="s">
        <v>91</v>
      </c>
      <c r="F19" s="2" t="s">
        <v>76</v>
      </c>
      <c r="G19" s="2" t="s">
        <v>100</v>
      </c>
      <c r="H19" s="2" t="s">
        <v>109</v>
      </c>
      <c r="I19" s="2"/>
      <c r="J19" s="2"/>
      <c r="K19" s="2"/>
    </row>
    <row r="20" spans="1:12" x14ac:dyDescent="0.2">
      <c r="A20" t="b">
        <v>1</v>
      </c>
      <c r="B20" s="2" t="s">
        <v>1</v>
      </c>
      <c r="C20" s="2" t="s">
        <v>630</v>
      </c>
      <c r="D20" s="2" t="s">
        <v>15</v>
      </c>
      <c r="E20" s="4" t="s">
        <v>92</v>
      </c>
      <c r="F20" s="2" t="s">
        <v>76</v>
      </c>
      <c r="G20" s="2" t="s">
        <v>100</v>
      </c>
      <c r="H20" s="2" t="s">
        <v>108</v>
      </c>
      <c r="I20" s="2"/>
      <c r="J20" s="2"/>
      <c r="K20" s="2"/>
    </row>
    <row r="21" spans="1:12" x14ac:dyDescent="0.2">
      <c r="A21" t="b">
        <v>1</v>
      </c>
      <c r="B21" s="2" t="s">
        <v>1</v>
      </c>
      <c r="C21" s="2" t="s">
        <v>630</v>
      </c>
      <c r="D21" s="2" t="s">
        <v>15</v>
      </c>
      <c r="E21" s="3" t="s">
        <v>93</v>
      </c>
      <c r="F21" s="2" t="s">
        <v>76</v>
      </c>
      <c r="G21" s="2" t="s">
        <v>100</v>
      </c>
      <c r="H21" s="2" t="s">
        <v>107</v>
      </c>
      <c r="I21" s="2"/>
      <c r="J21" s="2"/>
      <c r="K21" s="2"/>
    </row>
    <row r="22" spans="1:12" x14ac:dyDescent="0.2">
      <c r="A22" t="b">
        <v>1</v>
      </c>
      <c r="B22" s="2" t="s">
        <v>1</v>
      </c>
      <c r="C22" s="2" t="s">
        <v>630</v>
      </c>
      <c r="D22" s="2" t="s">
        <v>15</v>
      </c>
      <c r="E22" s="3" t="s">
        <v>94</v>
      </c>
      <c r="F22" s="2" t="s">
        <v>76</v>
      </c>
      <c r="G22" s="2" t="s">
        <v>100</v>
      </c>
      <c r="H22" s="2" t="s">
        <v>106</v>
      </c>
      <c r="I22" s="2"/>
      <c r="J22" s="2"/>
      <c r="K22" s="2"/>
    </row>
    <row r="23" spans="1:12" x14ac:dyDescent="0.2">
      <c r="A23" t="b">
        <v>1</v>
      </c>
      <c r="B23" s="2" t="s">
        <v>1</v>
      </c>
      <c r="C23" s="2" t="s">
        <v>630</v>
      </c>
      <c r="D23" s="2" t="s">
        <v>15</v>
      </c>
      <c r="E23" s="3" t="s">
        <v>95</v>
      </c>
      <c r="F23" s="2" t="s">
        <v>76</v>
      </c>
      <c r="G23" s="2" t="s">
        <v>100</v>
      </c>
      <c r="H23" s="2" t="s">
        <v>105</v>
      </c>
      <c r="I23" s="2"/>
      <c r="J23" s="2"/>
      <c r="K23" s="2"/>
    </row>
    <row r="24" spans="1:12" x14ac:dyDescent="0.2">
      <c r="A24" t="b">
        <v>1</v>
      </c>
      <c r="B24" s="2" t="s">
        <v>1</v>
      </c>
      <c r="C24" s="2" t="s">
        <v>630</v>
      </c>
      <c r="D24" s="2" t="s">
        <v>15</v>
      </c>
      <c r="E24" s="3" t="s">
        <v>96</v>
      </c>
      <c r="F24" s="2" t="s">
        <v>76</v>
      </c>
      <c r="G24" s="2" t="s">
        <v>100</v>
      </c>
      <c r="H24" s="2" t="s">
        <v>110</v>
      </c>
      <c r="I24" s="2"/>
      <c r="J24" s="2"/>
      <c r="K24" s="2"/>
    </row>
    <row r="25" spans="1:12" x14ac:dyDescent="0.2">
      <c r="A25" t="b">
        <v>1</v>
      </c>
      <c r="B25" s="2" t="s">
        <v>1</v>
      </c>
      <c r="C25" s="2" t="s">
        <v>630</v>
      </c>
      <c r="D25" s="2" t="s">
        <v>15</v>
      </c>
      <c r="E25" s="3" t="s">
        <v>97</v>
      </c>
      <c r="F25" s="2" t="s">
        <v>76</v>
      </c>
      <c r="G25" s="2" t="s">
        <v>100</v>
      </c>
      <c r="H25" s="2" t="s">
        <v>97</v>
      </c>
      <c r="I25" s="2"/>
      <c r="J25" s="2"/>
      <c r="K25" s="2"/>
    </row>
    <row r="26" spans="1:12" x14ac:dyDescent="0.2">
      <c r="A26" t="b">
        <v>1</v>
      </c>
      <c r="B26" s="2" t="s">
        <v>1</v>
      </c>
      <c r="C26" s="2" t="s">
        <v>630</v>
      </c>
      <c r="D26" s="2" t="s">
        <v>15</v>
      </c>
      <c r="E26" s="3" t="s">
        <v>98</v>
      </c>
      <c r="F26" s="2" t="s">
        <v>76</v>
      </c>
      <c r="G26" s="2" t="s">
        <v>100</v>
      </c>
      <c r="H26" s="2" t="s">
        <v>111</v>
      </c>
      <c r="I26" s="2"/>
      <c r="J26" s="2"/>
      <c r="K26" s="2"/>
    </row>
    <row r="27" spans="1:12" s="17" customFormat="1" x14ac:dyDescent="0.2">
      <c r="A27" s="17" t="b">
        <v>0</v>
      </c>
      <c r="B27" s="19" t="s">
        <v>1</v>
      </c>
      <c r="C27" s="19" t="s">
        <v>630</v>
      </c>
      <c r="D27" s="19" t="s">
        <v>15</v>
      </c>
      <c r="E27" s="21" t="s">
        <v>99</v>
      </c>
      <c r="F27" s="19" t="s">
        <v>76</v>
      </c>
      <c r="G27" s="19" t="s">
        <v>100</v>
      </c>
      <c r="H27" s="22" t="s">
        <v>530</v>
      </c>
      <c r="I27" s="22"/>
      <c r="J27" s="22"/>
      <c r="K27" s="19"/>
      <c r="L27" s="13" t="s">
        <v>721</v>
      </c>
    </row>
    <row r="28" spans="1:12" x14ac:dyDescent="0.2">
      <c r="B28" s="2"/>
      <c r="C28" s="2"/>
      <c r="D28" s="2"/>
      <c r="E28" s="3"/>
      <c r="F28" s="2"/>
      <c r="G28" s="2"/>
      <c r="H28" s="6"/>
      <c r="I28" s="6"/>
      <c r="J28" s="6"/>
      <c r="K28" s="2"/>
    </row>
    <row r="29" spans="1:12" x14ac:dyDescent="0.2">
      <c r="A29" t="b">
        <v>0</v>
      </c>
      <c r="B29" s="2" t="s">
        <v>2</v>
      </c>
      <c r="C29" s="2" t="s">
        <v>630</v>
      </c>
      <c r="D29" s="2" t="s">
        <v>16</v>
      </c>
      <c r="E29" s="2"/>
      <c r="F29" s="2" t="s">
        <v>76</v>
      </c>
      <c r="G29" s="2" t="s">
        <v>120</v>
      </c>
      <c r="H29" s="2" t="s">
        <v>710</v>
      </c>
      <c r="I29" s="2"/>
      <c r="J29" s="2"/>
      <c r="K29" s="7" t="s">
        <v>116</v>
      </c>
    </row>
    <row r="30" spans="1:12" x14ac:dyDescent="0.2">
      <c r="A30" t="b">
        <v>0</v>
      </c>
      <c r="B30" s="2" t="s">
        <v>2</v>
      </c>
      <c r="C30" s="2" t="s">
        <v>630</v>
      </c>
      <c r="D30" s="2" t="s">
        <v>17</v>
      </c>
      <c r="E30" s="2"/>
      <c r="F30" s="2" t="s">
        <v>76</v>
      </c>
      <c r="G30" s="2" t="s">
        <v>120</v>
      </c>
      <c r="H30" s="2" t="s">
        <v>711</v>
      </c>
      <c r="I30" s="2"/>
      <c r="J30" s="2"/>
      <c r="K30" s="7" t="s">
        <v>116</v>
      </c>
    </row>
    <row r="31" spans="1:12" x14ac:dyDescent="0.2">
      <c r="A31" t="b">
        <v>1</v>
      </c>
      <c r="B31" s="2" t="s">
        <v>2</v>
      </c>
      <c r="C31" s="2" t="s">
        <v>630</v>
      </c>
      <c r="D31" s="2" t="s">
        <v>18</v>
      </c>
      <c r="E31" s="2"/>
      <c r="F31" s="2" t="s">
        <v>76</v>
      </c>
      <c r="G31" s="2" t="s">
        <v>115</v>
      </c>
      <c r="H31" s="2" t="s">
        <v>697</v>
      </c>
      <c r="I31" s="2"/>
      <c r="J31" s="2"/>
      <c r="K31" s="2"/>
    </row>
    <row r="32" spans="1:12" x14ac:dyDescent="0.2">
      <c r="A32" t="b">
        <v>1</v>
      </c>
      <c r="B32" s="2" t="s">
        <v>2</v>
      </c>
      <c r="C32" s="2" t="s">
        <v>630</v>
      </c>
      <c r="D32" s="2" t="s">
        <v>19</v>
      </c>
      <c r="E32" s="2"/>
      <c r="F32" s="2" t="s">
        <v>76</v>
      </c>
      <c r="G32" s="2" t="s">
        <v>712</v>
      </c>
      <c r="H32" s="2" t="s">
        <v>698</v>
      </c>
      <c r="I32" s="2"/>
      <c r="J32" s="2"/>
      <c r="K32" s="2"/>
    </row>
    <row r="33" spans="1:11" ht="16" customHeight="1" x14ac:dyDescent="0.2">
      <c r="A33" t="b">
        <v>1</v>
      </c>
      <c r="B33" s="2" t="s">
        <v>3</v>
      </c>
      <c r="C33" s="2" t="s">
        <v>630</v>
      </c>
      <c r="D33" s="2"/>
      <c r="E33" s="2"/>
      <c r="F33" s="2" t="s">
        <v>117</v>
      </c>
      <c r="G33" s="2" t="s">
        <v>669</v>
      </c>
      <c r="H33" s="6"/>
      <c r="I33" s="14" t="s">
        <v>691</v>
      </c>
      <c r="J33" s="2"/>
      <c r="K33" s="2"/>
    </row>
    <row r="34" spans="1:11" ht="20" customHeight="1" x14ac:dyDescent="0.2">
      <c r="A34" t="b">
        <v>1</v>
      </c>
      <c r="B34" s="2" t="s">
        <v>3</v>
      </c>
      <c r="C34" s="2" t="s">
        <v>630</v>
      </c>
      <c r="D34" s="15"/>
      <c r="E34" s="3"/>
      <c r="F34" s="2" t="s">
        <v>117</v>
      </c>
      <c r="G34" s="2" t="s">
        <v>118</v>
      </c>
      <c r="H34" s="2"/>
      <c r="I34" s="14" t="s">
        <v>692</v>
      </c>
      <c r="J34" s="2"/>
      <c r="K34" s="2"/>
    </row>
    <row r="35" spans="1:11" x14ac:dyDescent="0.2">
      <c r="A35" t="b">
        <v>1</v>
      </c>
      <c r="B35" s="2" t="s">
        <v>3</v>
      </c>
      <c r="C35" s="2" t="s">
        <v>630</v>
      </c>
      <c r="D35" s="2" t="s">
        <v>23</v>
      </c>
      <c r="E35" s="3" t="s">
        <v>75</v>
      </c>
      <c r="F35" s="2" t="s">
        <v>117</v>
      </c>
      <c r="G35" s="2" t="s">
        <v>119</v>
      </c>
      <c r="H35" s="2" t="s">
        <v>699</v>
      </c>
      <c r="I35" s="2"/>
      <c r="J35" s="2"/>
      <c r="K35" s="2"/>
    </row>
    <row r="36" spans="1:11" x14ac:dyDescent="0.2">
      <c r="B36" s="2"/>
      <c r="C36" s="2"/>
      <c r="D36" s="2"/>
      <c r="E36" s="3"/>
      <c r="F36" s="2"/>
      <c r="G36" s="2"/>
      <c r="H36" s="2"/>
      <c r="I36" s="2"/>
      <c r="J36" s="2"/>
      <c r="K36" s="2"/>
    </row>
    <row r="37" spans="1:11" x14ac:dyDescent="0.2">
      <c r="A37" t="b">
        <v>1</v>
      </c>
      <c r="B37" s="2" t="s">
        <v>3</v>
      </c>
      <c r="C37" s="2" t="s">
        <v>630</v>
      </c>
      <c r="D37" s="2" t="s">
        <v>24</v>
      </c>
      <c r="E37" s="4" t="s">
        <v>121</v>
      </c>
      <c r="F37" s="2" t="s">
        <v>117</v>
      </c>
      <c r="G37" s="2" t="s">
        <v>129</v>
      </c>
      <c r="H37" s="2" t="s">
        <v>136</v>
      </c>
      <c r="I37" s="2"/>
      <c r="J37" s="2"/>
      <c r="K37" s="2"/>
    </row>
    <row r="38" spans="1:11" x14ac:dyDescent="0.2">
      <c r="A38" t="b">
        <v>1</v>
      </c>
      <c r="B38" s="2" t="s">
        <v>3</v>
      </c>
      <c r="C38" s="2" t="s">
        <v>630</v>
      </c>
      <c r="D38" s="2" t="s">
        <v>24</v>
      </c>
      <c r="E38" s="3" t="s">
        <v>122</v>
      </c>
      <c r="F38" s="2" t="s">
        <v>117</v>
      </c>
      <c r="G38" s="2" t="s">
        <v>129</v>
      </c>
      <c r="H38" s="2" t="s">
        <v>134</v>
      </c>
      <c r="I38" s="2"/>
      <c r="J38" s="2"/>
      <c r="K38" s="2"/>
    </row>
    <row r="39" spans="1:11" x14ac:dyDescent="0.2">
      <c r="A39" t="b">
        <v>1</v>
      </c>
      <c r="B39" s="2" t="s">
        <v>3</v>
      </c>
      <c r="C39" s="2" t="s">
        <v>630</v>
      </c>
      <c r="D39" s="2" t="s">
        <v>24</v>
      </c>
      <c r="E39" s="3" t="s">
        <v>123</v>
      </c>
      <c r="F39" s="2" t="s">
        <v>117</v>
      </c>
      <c r="G39" s="2" t="s">
        <v>129</v>
      </c>
      <c r="H39" s="2" t="s">
        <v>130</v>
      </c>
      <c r="I39" s="2"/>
      <c r="J39" s="2"/>
      <c r="K39" s="2"/>
    </row>
    <row r="40" spans="1:11" x14ac:dyDescent="0.2">
      <c r="A40" t="b">
        <v>1</v>
      </c>
      <c r="B40" s="2" t="s">
        <v>3</v>
      </c>
      <c r="C40" s="2" t="s">
        <v>630</v>
      </c>
      <c r="D40" s="2" t="s">
        <v>24</v>
      </c>
      <c r="E40" s="3" t="s">
        <v>124</v>
      </c>
      <c r="F40" s="2" t="s">
        <v>117</v>
      </c>
      <c r="G40" s="2" t="s">
        <v>129</v>
      </c>
      <c r="H40" s="2" t="s">
        <v>131</v>
      </c>
      <c r="I40" s="2"/>
      <c r="J40" s="2"/>
      <c r="K40" s="2"/>
    </row>
    <row r="41" spans="1:11" x14ac:dyDescent="0.2">
      <c r="A41" t="b">
        <v>1</v>
      </c>
      <c r="B41" s="2" t="s">
        <v>3</v>
      </c>
      <c r="C41" s="2" t="s">
        <v>630</v>
      </c>
      <c r="D41" s="2" t="s">
        <v>24</v>
      </c>
      <c r="E41" s="3" t="s">
        <v>125</v>
      </c>
      <c r="F41" s="2" t="s">
        <v>117</v>
      </c>
      <c r="G41" s="2" t="s">
        <v>129</v>
      </c>
      <c r="H41" s="2" t="s">
        <v>132</v>
      </c>
      <c r="I41" s="2"/>
      <c r="J41" s="2"/>
      <c r="K41" s="2"/>
    </row>
    <row r="42" spans="1:11" x14ac:dyDescent="0.2">
      <c r="A42" t="b">
        <v>1</v>
      </c>
      <c r="B42" s="2" t="s">
        <v>3</v>
      </c>
      <c r="C42" s="2" t="s">
        <v>630</v>
      </c>
      <c r="D42" s="2" t="s">
        <v>24</v>
      </c>
      <c r="E42" s="3" t="s">
        <v>126</v>
      </c>
      <c r="F42" s="2" t="s">
        <v>117</v>
      </c>
      <c r="G42" s="2" t="s">
        <v>129</v>
      </c>
      <c r="H42" s="2" t="s">
        <v>133</v>
      </c>
      <c r="I42" s="2"/>
      <c r="J42" s="2"/>
      <c r="K42" s="2"/>
    </row>
    <row r="43" spans="1:11" x14ac:dyDescent="0.2">
      <c r="A43" t="b">
        <v>1</v>
      </c>
      <c r="B43" s="2" t="s">
        <v>3</v>
      </c>
      <c r="C43" s="2" t="s">
        <v>630</v>
      </c>
      <c r="D43" s="2" t="s">
        <v>24</v>
      </c>
      <c r="E43" s="3" t="s">
        <v>127</v>
      </c>
      <c r="F43" s="2" t="s">
        <v>117</v>
      </c>
      <c r="G43" s="2" t="s">
        <v>129</v>
      </c>
      <c r="H43" s="2" t="s">
        <v>127</v>
      </c>
      <c r="I43" s="2"/>
      <c r="J43" s="2"/>
      <c r="K43" s="2"/>
    </row>
    <row r="44" spans="1:11" x14ac:dyDescent="0.2">
      <c r="A44" t="b">
        <v>1</v>
      </c>
      <c r="B44" s="2" t="s">
        <v>3</v>
      </c>
      <c r="C44" s="2" t="s">
        <v>630</v>
      </c>
      <c r="D44" s="2" t="s">
        <v>24</v>
      </c>
      <c r="E44" s="3" t="s">
        <v>128</v>
      </c>
      <c r="F44" s="2" t="s">
        <v>117</v>
      </c>
      <c r="G44" s="2" t="s">
        <v>129</v>
      </c>
      <c r="H44" s="2" t="s">
        <v>135</v>
      </c>
      <c r="I44" s="2"/>
      <c r="J44" s="2"/>
      <c r="K44" s="2"/>
    </row>
    <row r="45" spans="1:11" x14ac:dyDescent="0.2">
      <c r="B45" s="2"/>
      <c r="C45" s="2"/>
      <c r="D45" s="2"/>
      <c r="E45" s="3"/>
      <c r="F45" s="2"/>
      <c r="G45" s="2"/>
      <c r="H45" s="2"/>
      <c r="I45" s="2"/>
      <c r="J45" s="2"/>
      <c r="K45" s="2"/>
    </row>
    <row r="46" spans="1:11" ht="17" customHeight="1" x14ac:dyDescent="0.2">
      <c r="A46" t="b">
        <v>0</v>
      </c>
      <c r="B46" s="2" t="s">
        <v>4</v>
      </c>
      <c r="C46" s="2" t="s">
        <v>630</v>
      </c>
      <c r="D46" s="15" t="s">
        <v>44</v>
      </c>
      <c r="E46" s="2" t="s">
        <v>75</v>
      </c>
      <c r="F46" s="2" t="s">
        <v>117</v>
      </c>
      <c r="G46" s="2" t="s">
        <v>137</v>
      </c>
      <c r="H46" s="2"/>
      <c r="I46" s="11"/>
      <c r="J46" s="2"/>
      <c r="K46" s="1" t="s">
        <v>138</v>
      </c>
    </row>
    <row r="47" spans="1:11" ht="16" customHeight="1" x14ac:dyDescent="0.2">
      <c r="A47" t="b">
        <v>0</v>
      </c>
      <c r="B47" s="2" t="s">
        <v>4</v>
      </c>
      <c r="C47" s="2" t="s">
        <v>630</v>
      </c>
      <c r="D47" s="2" t="s">
        <v>45</v>
      </c>
      <c r="E47" s="2" t="s">
        <v>75</v>
      </c>
      <c r="F47" s="2" t="s">
        <v>117</v>
      </c>
      <c r="G47" s="2" t="s">
        <v>137</v>
      </c>
      <c r="H47" s="2"/>
      <c r="I47" s="11"/>
      <c r="J47" s="2"/>
      <c r="K47" s="1" t="s">
        <v>138</v>
      </c>
    </row>
    <row r="48" spans="1:11" x14ac:dyDescent="0.2">
      <c r="A48" t="b">
        <v>0</v>
      </c>
      <c r="B48" s="2" t="s">
        <v>4</v>
      </c>
      <c r="C48" s="2" t="s">
        <v>630</v>
      </c>
      <c r="D48" s="2" t="s">
        <v>46</v>
      </c>
      <c r="E48" s="2" t="s">
        <v>75</v>
      </c>
      <c r="F48" s="2" t="s">
        <v>117</v>
      </c>
      <c r="G48" s="2" t="s">
        <v>137</v>
      </c>
      <c r="H48" s="2"/>
      <c r="I48" s="2"/>
      <c r="J48" s="2"/>
      <c r="K48" s="1" t="s">
        <v>138</v>
      </c>
    </row>
    <row r="49" spans="1:12" x14ac:dyDescent="0.2">
      <c r="B49" s="2"/>
      <c r="C49" s="2"/>
      <c r="D49" s="2"/>
      <c r="E49" s="2"/>
      <c r="F49" s="2"/>
      <c r="G49" s="2"/>
      <c r="H49" s="2"/>
      <c r="I49" s="2"/>
      <c r="J49" s="2"/>
      <c r="K49" s="1"/>
    </row>
    <row r="50" spans="1:12" x14ac:dyDescent="0.2">
      <c r="A50" t="b">
        <v>1</v>
      </c>
      <c r="B50" s="2" t="s">
        <v>4</v>
      </c>
      <c r="C50" s="2" t="s">
        <v>630</v>
      </c>
      <c r="D50" s="2" t="s">
        <v>53</v>
      </c>
      <c r="E50" s="2" t="s">
        <v>75</v>
      </c>
      <c r="F50" s="2" t="s">
        <v>117</v>
      </c>
      <c r="G50" s="2" t="s">
        <v>139</v>
      </c>
      <c r="H50" s="2" t="s">
        <v>700</v>
      </c>
      <c r="I50" s="2"/>
      <c r="J50" s="2"/>
      <c r="K50" s="2"/>
    </row>
    <row r="51" spans="1:12" x14ac:dyDescent="0.2">
      <c r="A51" t="b">
        <v>1</v>
      </c>
      <c r="B51" s="2" t="s">
        <v>4</v>
      </c>
      <c r="C51" s="2" t="s">
        <v>630</v>
      </c>
      <c r="D51" s="2" t="s">
        <v>54</v>
      </c>
      <c r="E51" s="2" t="s">
        <v>75</v>
      </c>
      <c r="F51" s="2" t="s">
        <v>117</v>
      </c>
      <c r="G51" s="2" t="s">
        <v>143</v>
      </c>
      <c r="H51" s="2" t="s">
        <v>701</v>
      </c>
      <c r="I51" s="2"/>
      <c r="J51" s="2"/>
      <c r="K51" s="2"/>
    </row>
    <row r="52" spans="1:12" x14ac:dyDescent="0.2"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2" x14ac:dyDescent="0.2">
      <c r="A53" t="b">
        <v>0</v>
      </c>
      <c r="B53" s="2" t="s">
        <v>4</v>
      </c>
      <c r="C53" s="2" t="s">
        <v>630</v>
      </c>
      <c r="D53" s="2" t="s">
        <v>55</v>
      </c>
      <c r="E53" s="2" t="s">
        <v>140</v>
      </c>
      <c r="F53" s="2" t="s">
        <v>146</v>
      </c>
      <c r="G53" s="2" t="s">
        <v>147</v>
      </c>
      <c r="H53" s="2" t="s">
        <v>148</v>
      </c>
      <c r="I53" s="2"/>
      <c r="J53" s="2"/>
      <c r="K53" s="12" t="s">
        <v>150</v>
      </c>
      <c r="L53" s="13" t="s">
        <v>679</v>
      </c>
    </row>
    <row r="54" spans="1:12" x14ac:dyDescent="0.2">
      <c r="A54" t="b">
        <v>0</v>
      </c>
      <c r="B54" s="2" t="s">
        <v>4</v>
      </c>
      <c r="C54" s="2" t="s">
        <v>630</v>
      </c>
      <c r="D54" s="2" t="s">
        <v>55</v>
      </c>
      <c r="E54" s="2" t="s">
        <v>141</v>
      </c>
      <c r="F54" s="2" t="s">
        <v>146</v>
      </c>
      <c r="G54" s="2" t="s">
        <v>147</v>
      </c>
      <c r="H54" s="2" t="s">
        <v>149</v>
      </c>
      <c r="I54" s="2"/>
      <c r="J54" s="2"/>
      <c r="K54" s="1" t="s">
        <v>150</v>
      </c>
    </row>
    <row r="55" spans="1:12" x14ac:dyDescent="0.2">
      <c r="A55" t="b">
        <v>0</v>
      </c>
      <c r="B55" s="2" t="s">
        <v>4</v>
      </c>
      <c r="C55" s="2" t="s">
        <v>630</v>
      </c>
      <c r="D55" s="2" t="s">
        <v>55</v>
      </c>
      <c r="E55" s="2" t="s">
        <v>142</v>
      </c>
      <c r="F55" s="2" t="s">
        <v>146</v>
      </c>
      <c r="G55" s="2" t="s">
        <v>147</v>
      </c>
      <c r="H55" s="2" t="s">
        <v>149</v>
      </c>
      <c r="I55" s="2"/>
      <c r="J55" s="2"/>
      <c r="K55" s="1" t="s">
        <v>150</v>
      </c>
    </row>
    <row r="56" spans="1:12" x14ac:dyDescent="0.2">
      <c r="B56" s="2"/>
      <c r="C56" s="2"/>
      <c r="D56" s="2"/>
      <c r="E56" s="2"/>
      <c r="F56" s="2"/>
      <c r="G56" s="2"/>
      <c r="H56" s="2"/>
      <c r="I56" s="2"/>
      <c r="J56" s="2"/>
      <c r="K56" s="1"/>
    </row>
    <row r="57" spans="1:12" x14ac:dyDescent="0.2">
      <c r="A57" t="b">
        <v>1</v>
      </c>
      <c r="B57" s="2" t="s">
        <v>4</v>
      </c>
      <c r="C57" s="2" t="s">
        <v>630</v>
      </c>
      <c r="D57" s="2"/>
      <c r="E57" s="2"/>
      <c r="F57" s="2" t="s">
        <v>117</v>
      </c>
      <c r="G57" s="2" t="s">
        <v>144</v>
      </c>
      <c r="H57" s="2"/>
      <c r="I57" s="2" t="s">
        <v>678</v>
      </c>
      <c r="J57" s="2"/>
      <c r="K57" s="1" t="s">
        <v>145</v>
      </c>
    </row>
    <row r="58" spans="1:12" x14ac:dyDescent="0.2">
      <c r="A58" t="b">
        <v>0</v>
      </c>
      <c r="B58" s="2" t="s">
        <v>4</v>
      </c>
      <c r="C58" s="2" t="s">
        <v>630</v>
      </c>
      <c r="D58" s="2" t="s">
        <v>56</v>
      </c>
      <c r="E58" s="2" t="s">
        <v>141</v>
      </c>
      <c r="F58" s="2" t="s">
        <v>117</v>
      </c>
      <c r="G58" s="2" t="s">
        <v>144</v>
      </c>
      <c r="H58" s="2" t="b">
        <v>1</v>
      </c>
      <c r="I58" s="2"/>
      <c r="J58" s="2"/>
      <c r="K58" s="1" t="s">
        <v>145</v>
      </c>
    </row>
    <row r="59" spans="1:12" x14ac:dyDescent="0.2">
      <c r="A59" t="b">
        <v>0</v>
      </c>
      <c r="B59" s="2" t="s">
        <v>4</v>
      </c>
      <c r="C59" s="2" t="s">
        <v>630</v>
      </c>
      <c r="D59" s="2" t="s">
        <v>56</v>
      </c>
      <c r="E59" s="2" t="s">
        <v>142</v>
      </c>
      <c r="F59" s="2" t="s">
        <v>117</v>
      </c>
      <c r="G59" s="2" t="s">
        <v>144</v>
      </c>
      <c r="H59" s="2" t="b">
        <v>1</v>
      </c>
      <c r="I59" s="2"/>
      <c r="J59" s="2"/>
      <c r="K59" s="1" t="s">
        <v>145</v>
      </c>
    </row>
    <row r="60" spans="1:12" x14ac:dyDescent="0.2">
      <c r="B60" s="2"/>
      <c r="C60" s="2"/>
      <c r="D60" s="2"/>
      <c r="E60" s="2"/>
      <c r="F60" s="2"/>
      <c r="G60" s="2"/>
      <c r="H60" s="2"/>
      <c r="I60" s="2"/>
      <c r="J60" s="2"/>
      <c r="K60" s="1"/>
    </row>
    <row r="61" spans="1:12" x14ac:dyDescent="0.2">
      <c r="A61" t="b">
        <v>0</v>
      </c>
      <c r="B61" s="2" t="s">
        <v>4</v>
      </c>
      <c r="C61" s="2" t="s">
        <v>630</v>
      </c>
      <c r="D61" s="2" t="s">
        <v>57</v>
      </c>
      <c r="E61" s="2" t="s">
        <v>140</v>
      </c>
      <c r="F61" s="2" t="s">
        <v>117</v>
      </c>
      <c r="G61" s="2" t="s">
        <v>144</v>
      </c>
      <c r="H61" s="2" t="b">
        <v>0</v>
      </c>
      <c r="I61" s="2"/>
      <c r="J61" s="2"/>
      <c r="K61" s="1" t="s">
        <v>145</v>
      </c>
    </row>
    <row r="62" spans="1:12" x14ac:dyDescent="0.2">
      <c r="A62" t="b">
        <v>0</v>
      </c>
      <c r="B62" s="2" t="s">
        <v>4</v>
      </c>
      <c r="C62" s="2" t="s">
        <v>630</v>
      </c>
      <c r="D62" s="2" t="s">
        <v>57</v>
      </c>
      <c r="E62" s="2" t="s">
        <v>141</v>
      </c>
      <c r="F62" s="2" t="s">
        <v>117</v>
      </c>
      <c r="G62" s="2" t="s">
        <v>144</v>
      </c>
      <c r="H62" s="2" t="b">
        <v>1</v>
      </c>
      <c r="I62" s="2"/>
      <c r="J62" s="2"/>
      <c r="K62" s="1" t="s">
        <v>145</v>
      </c>
    </row>
    <row r="63" spans="1:12" x14ac:dyDescent="0.2">
      <c r="A63" t="b">
        <v>0</v>
      </c>
      <c r="B63" s="2" t="s">
        <v>4</v>
      </c>
      <c r="C63" s="2" t="s">
        <v>630</v>
      </c>
      <c r="D63" s="2" t="s">
        <v>57</v>
      </c>
      <c r="E63" s="2" t="s">
        <v>142</v>
      </c>
      <c r="F63" s="2" t="s">
        <v>117</v>
      </c>
      <c r="G63" s="2" t="s">
        <v>144</v>
      </c>
      <c r="H63" s="2" t="b">
        <v>1</v>
      </c>
      <c r="I63" s="2"/>
      <c r="J63" s="2"/>
      <c r="K63" s="1" t="s">
        <v>145</v>
      </c>
    </row>
    <row r="64" spans="1:12" x14ac:dyDescent="0.2">
      <c r="B64" s="2"/>
      <c r="C64" s="2"/>
      <c r="D64" s="2"/>
      <c r="E64" s="2"/>
      <c r="F64" s="2"/>
      <c r="G64" s="2"/>
      <c r="H64" s="2"/>
      <c r="I64" s="2"/>
      <c r="J64" s="2"/>
      <c r="K64" s="1"/>
    </row>
    <row r="65" spans="1:12" x14ac:dyDescent="0.2">
      <c r="A65" t="b">
        <v>1</v>
      </c>
      <c r="B65" s="2" t="s">
        <v>5</v>
      </c>
      <c r="C65" s="2" t="s">
        <v>630</v>
      </c>
      <c r="D65" s="2" t="s">
        <v>58</v>
      </c>
      <c r="E65" s="2" t="s">
        <v>75</v>
      </c>
      <c r="F65" s="2" t="s">
        <v>114</v>
      </c>
      <c r="G65" s="2" t="s">
        <v>156</v>
      </c>
      <c r="H65" s="2" t="s">
        <v>702</v>
      </c>
      <c r="I65" s="2"/>
      <c r="J65" s="2"/>
      <c r="K65" s="2"/>
    </row>
    <row r="66" spans="1:12" x14ac:dyDescent="0.2"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2" x14ac:dyDescent="0.2">
      <c r="A67" t="b">
        <v>0</v>
      </c>
      <c r="B67" s="2" t="s">
        <v>5</v>
      </c>
      <c r="C67" s="2" t="s">
        <v>630</v>
      </c>
      <c r="D67" s="2" t="s">
        <v>63</v>
      </c>
      <c r="E67" s="3" t="s">
        <v>140</v>
      </c>
      <c r="F67" s="2" t="s">
        <v>146</v>
      </c>
      <c r="G67" s="2" t="s">
        <v>147</v>
      </c>
      <c r="H67" s="2" t="s">
        <v>592</v>
      </c>
      <c r="I67" s="2"/>
      <c r="J67" s="2"/>
      <c r="K67" s="1" t="s">
        <v>593</v>
      </c>
    </row>
    <row r="68" spans="1:12" x14ac:dyDescent="0.2">
      <c r="A68" t="b">
        <v>0</v>
      </c>
      <c r="B68" s="2" t="s">
        <v>5</v>
      </c>
      <c r="C68" s="2" t="s">
        <v>630</v>
      </c>
      <c r="D68" s="2" t="s">
        <v>63</v>
      </c>
      <c r="E68" s="3" t="s">
        <v>141</v>
      </c>
      <c r="F68" s="2" t="s">
        <v>146</v>
      </c>
      <c r="G68" s="2" t="s">
        <v>147</v>
      </c>
      <c r="H68" s="2" t="s">
        <v>594</v>
      </c>
      <c r="I68" s="2"/>
      <c r="J68" s="2"/>
      <c r="K68" s="2"/>
    </row>
    <row r="69" spans="1:12" x14ac:dyDescent="0.2">
      <c r="A69" t="b">
        <v>0</v>
      </c>
      <c r="B69" s="2" t="s">
        <v>5</v>
      </c>
      <c r="C69" s="2" t="s">
        <v>630</v>
      </c>
      <c r="D69" s="2" t="s">
        <v>63</v>
      </c>
      <c r="E69" s="3" t="s">
        <v>142</v>
      </c>
      <c r="F69" s="2" t="s">
        <v>146</v>
      </c>
      <c r="G69" s="2" t="s">
        <v>147</v>
      </c>
      <c r="H69" s="6" t="s">
        <v>594</v>
      </c>
      <c r="I69" s="2"/>
      <c r="J69" s="2"/>
      <c r="K69" s="2"/>
    </row>
    <row r="70" spans="1:12" x14ac:dyDescent="0.2">
      <c r="B70" s="2"/>
      <c r="C70" s="2"/>
      <c r="D70" s="2"/>
      <c r="E70" s="3"/>
      <c r="F70" s="6"/>
      <c r="G70" s="6"/>
      <c r="H70" s="2"/>
      <c r="I70" s="2"/>
      <c r="J70" s="2"/>
      <c r="K70" s="2"/>
    </row>
    <row r="71" spans="1:12" x14ac:dyDescent="0.2">
      <c r="A71" t="b">
        <v>0</v>
      </c>
      <c r="B71" s="2" t="s">
        <v>5</v>
      </c>
      <c r="C71" s="2" t="s">
        <v>630</v>
      </c>
      <c r="D71" s="2" t="s">
        <v>65</v>
      </c>
      <c r="E71" s="3" t="s">
        <v>140</v>
      </c>
      <c r="F71" s="2" t="s">
        <v>146</v>
      </c>
      <c r="G71" s="2" t="s">
        <v>147</v>
      </c>
      <c r="H71" s="2" t="s">
        <v>597</v>
      </c>
      <c r="I71" s="2"/>
      <c r="J71" s="2"/>
      <c r="K71" s="1" t="s">
        <v>593</v>
      </c>
    </row>
    <row r="72" spans="1:12" x14ac:dyDescent="0.2">
      <c r="A72" t="b">
        <v>0</v>
      </c>
      <c r="B72" s="2" t="s">
        <v>5</v>
      </c>
      <c r="C72" s="2" t="s">
        <v>630</v>
      </c>
      <c r="D72" s="2" t="s">
        <v>65</v>
      </c>
      <c r="E72" s="3" t="s">
        <v>141</v>
      </c>
      <c r="F72" s="2" t="s">
        <v>146</v>
      </c>
      <c r="G72" s="2" t="s">
        <v>147</v>
      </c>
      <c r="H72" s="6" t="s">
        <v>594</v>
      </c>
      <c r="I72" s="2"/>
      <c r="J72" s="2"/>
      <c r="K72" s="2"/>
    </row>
    <row r="73" spans="1:12" x14ac:dyDescent="0.2">
      <c r="B73" s="2"/>
      <c r="C73" s="2"/>
      <c r="D73" s="2"/>
      <c r="E73" s="3"/>
      <c r="F73" s="6"/>
      <c r="G73" s="6"/>
      <c r="H73" s="2"/>
      <c r="I73" s="2"/>
      <c r="J73" s="2"/>
      <c r="K73" s="2"/>
    </row>
    <row r="74" spans="1:12" ht="19" customHeight="1" x14ac:dyDescent="0.2">
      <c r="A74" t="b">
        <v>1</v>
      </c>
      <c r="B74" s="2" t="s">
        <v>5</v>
      </c>
      <c r="C74" s="2" t="s">
        <v>630</v>
      </c>
      <c r="D74" s="2"/>
      <c r="E74" s="3"/>
      <c r="F74" s="2" t="s">
        <v>146</v>
      </c>
      <c r="G74" s="2" t="s">
        <v>147</v>
      </c>
      <c r="H74" s="2"/>
      <c r="I74" s="11" t="s">
        <v>718</v>
      </c>
      <c r="J74" s="2"/>
      <c r="K74" s="1" t="s">
        <v>716</v>
      </c>
      <c r="L74" s="13" t="s">
        <v>719</v>
      </c>
    </row>
    <row r="75" spans="1:12" x14ac:dyDescent="0.2">
      <c r="A75" t="b">
        <v>0</v>
      </c>
      <c r="B75" s="2" t="s">
        <v>5</v>
      </c>
      <c r="C75" s="2" t="s">
        <v>630</v>
      </c>
      <c r="D75" s="2" t="s">
        <v>67</v>
      </c>
      <c r="E75" s="3" t="s">
        <v>141</v>
      </c>
      <c r="F75" s="2" t="s">
        <v>146</v>
      </c>
      <c r="G75" s="2" t="s">
        <v>147</v>
      </c>
      <c r="H75" s="2" t="s">
        <v>149</v>
      </c>
      <c r="I75" s="2"/>
      <c r="J75" s="2"/>
      <c r="K75" s="1" t="s">
        <v>601</v>
      </c>
    </row>
    <row r="76" spans="1:12" x14ac:dyDescent="0.2">
      <c r="A76" t="b">
        <v>0</v>
      </c>
      <c r="B76" s="2" t="s">
        <v>5</v>
      </c>
      <c r="C76" s="2" t="s">
        <v>630</v>
      </c>
      <c r="D76" s="2" t="s">
        <v>67</v>
      </c>
      <c r="E76" s="3" t="s">
        <v>598</v>
      </c>
      <c r="F76" s="2" t="s">
        <v>146</v>
      </c>
      <c r="G76" s="2" t="s">
        <v>147</v>
      </c>
      <c r="H76" s="6" t="s">
        <v>594</v>
      </c>
      <c r="I76" s="6"/>
      <c r="J76" s="6"/>
      <c r="K76" s="1" t="s">
        <v>601</v>
      </c>
    </row>
    <row r="77" spans="1:12" x14ac:dyDescent="0.2">
      <c r="B77" s="2"/>
      <c r="C77" s="2"/>
      <c r="D77" s="2"/>
      <c r="E77" s="3"/>
      <c r="F77" s="2"/>
      <c r="G77" s="6"/>
      <c r="H77" s="6"/>
      <c r="I77" s="6"/>
      <c r="J77" s="6"/>
      <c r="K77" s="1"/>
    </row>
    <row r="78" spans="1:12" x14ac:dyDescent="0.2">
      <c r="A78" t="b">
        <v>0</v>
      </c>
      <c r="B78" s="2" t="s">
        <v>5</v>
      </c>
      <c r="C78" s="2" t="s">
        <v>630</v>
      </c>
      <c r="D78" s="2" t="s">
        <v>68</v>
      </c>
      <c r="E78" s="3" t="s">
        <v>140</v>
      </c>
      <c r="F78" s="2" t="s">
        <v>146</v>
      </c>
      <c r="G78" s="2" t="s">
        <v>147</v>
      </c>
      <c r="H78" s="2" t="s">
        <v>599</v>
      </c>
      <c r="I78" s="2"/>
      <c r="J78" s="2"/>
      <c r="K78" s="1" t="s">
        <v>601</v>
      </c>
    </row>
    <row r="79" spans="1:12" x14ac:dyDescent="0.2">
      <c r="A79" t="b">
        <v>0</v>
      </c>
      <c r="B79" s="2" t="s">
        <v>5</v>
      </c>
      <c r="C79" s="2" t="s">
        <v>630</v>
      </c>
      <c r="D79" s="2" t="s">
        <v>68</v>
      </c>
      <c r="E79" s="3" t="s">
        <v>141</v>
      </c>
      <c r="F79" s="2" t="s">
        <v>146</v>
      </c>
      <c r="G79" s="2" t="s">
        <v>147</v>
      </c>
      <c r="H79" s="2" t="s">
        <v>600</v>
      </c>
      <c r="I79" s="2"/>
      <c r="J79" s="2"/>
      <c r="K79" s="1" t="s">
        <v>601</v>
      </c>
    </row>
    <row r="80" spans="1:12" x14ac:dyDescent="0.2">
      <c r="A80" t="b">
        <v>0</v>
      </c>
      <c r="B80" s="2" t="s">
        <v>5</v>
      </c>
      <c r="C80" s="2" t="s">
        <v>630</v>
      </c>
      <c r="D80" s="2" t="s">
        <v>68</v>
      </c>
      <c r="E80" s="3" t="s">
        <v>142</v>
      </c>
      <c r="F80" s="2" t="s">
        <v>146</v>
      </c>
      <c r="G80" s="2" t="s">
        <v>147</v>
      </c>
      <c r="H80" s="2" t="s">
        <v>75</v>
      </c>
      <c r="I80" s="2"/>
      <c r="J80" s="2"/>
      <c r="K80" s="1" t="s">
        <v>601</v>
      </c>
    </row>
    <row r="81" spans="1:12" x14ac:dyDescent="0.2">
      <c r="B81" s="2"/>
      <c r="C81" s="2"/>
      <c r="D81" s="2"/>
      <c r="E81" s="3"/>
      <c r="F81" s="2"/>
      <c r="G81" s="6"/>
      <c r="H81" s="2"/>
      <c r="I81" s="2"/>
      <c r="J81" s="2"/>
      <c r="K81" s="1"/>
    </row>
    <row r="82" spans="1:12" x14ac:dyDescent="0.2">
      <c r="A82" t="b">
        <v>0</v>
      </c>
      <c r="B82" s="2" t="s">
        <v>5</v>
      </c>
      <c r="C82" s="2" t="s">
        <v>630</v>
      </c>
      <c r="D82" s="2" t="s">
        <v>72</v>
      </c>
      <c r="E82" s="2" t="s">
        <v>140</v>
      </c>
      <c r="F82" s="2" t="s">
        <v>146</v>
      </c>
      <c r="G82" s="2" t="s">
        <v>147</v>
      </c>
      <c r="H82" s="2" t="s">
        <v>148</v>
      </c>
      <c r="I82" s="2"/>
      <c r="J82" s="2"/>
      <c r="K82" s="1" t="s">
        <v>152</v>
      </c>
    </row>
    <row r="83" spans="1:12" x14ac:dyDescent="0.2">
      <c r="A83" t="b">
        <v>0</v>
      </c>
      <c r="B83" s="2" t="s">
        <v>5</v>
      </c>
      <c r="C83" s="2" t="s">
        <v>630</v>
      </c>
      <c r="D83" s="2" t="s">
        <v>72</v>
      </c>
      <c r="E83" s="2" t="s">
        <v>141</v>
      </c>
      <c r="F83" s="2" t="s">
        <v>146</v>
      </c>
      <c r="G83" s="2" t="s">
        <v>147</v>
      </c>
      <c r="H83" s="2" t="s">
        <v>149</v>
      </c>
      <c r="I83" s="2"/>
      <c r="J83" s="2"/>
      <c r="K83" s="1" t="s">
        <v>152</v>
      </c>
    </row>
    <row r="84" spans="1:12" x14ac:dyDescent="0.2">
      <c r="A84" t="b">
        <v>0</v>
      </c>
      <c r="B84" s="2" t="s">
        <v>5</v>
      </c>
      <c r="C84" s="2" t="s">
        <v>630</v>
      </c>
      <c r="D84" s="2" t="s">
        <v>72</v>
      </c>
      <c r="E84" s="2" t="s">
        <v>142</v>
      </c>
      <c r="F84" s="2" t="s">
        <v>146</v>
      </c>
      <c r="G84" s="2" t="s">
        <v>147</v>
      </c>
      <c r="H84" s="2" t="s">
        <v>149</v>
      </c>
      <c r="I84" s="2"/>
      <c r="J84" s="2"/>
      <c r="K84" s="1" t="s">
        <v>152</v>
      </c>
    </row>
    <row r="85" spans="1:12" x14ac:dyDescent="0.2">
      <c r="B85" s="2"/>
      <c r="C85" s="2"/>
      <c r="D85" s="2"/>
      <c r="E85" s="2"/>
      <c r="F85" s="2"/>
      <c r="G85" s="2"/>
      <c r="H85" s="2"/>
      <c r="I85" s="2"/>
      <c r="J85" s="2"/>
      <c r="K85" s="1"/>
    </row>
    <row r="86" spans="1:12" x14ac:dyDescent="0.2">
      <c r="A86" t="b">
        <v>1</v>
      </c>
      <c r="B86" s="2" t="s">
        <v>5</v>
      </c>
      <c r="C86" s="2" t="s">
        <v>630</v>
      </c>
      <c r="D86" s="2" t="s">
        <v>73</v>
      </c>
      <c r="E86" s="2"/>
      <c r="F86" s="2" t="s">
        <v>472</v>
      </c>
      <c r="G86" s="2" t="s">
        <v>471</v>
      </c>
      <c r="H86" s="2" t="s">
        <v>703</v>
      </c>
      <c r="I86" s="2"/>
      <c r="J86" s="2"/>
      <c r="K86" s="2"/>
    </row>
    <row r="87" spans="1:12" x14ac:dyDescent="0.2">
      <c r="A87" t="b">
        <v>1</v>
      </c>
      <c r="B87" s="2" t="s">
        <v>5</v>
      </c>
      <c r="C87" s="2" t="s">
        <v>630</v>
      </c>
      <c r="D87" s="2" t="s">
        <v>74</v>
      </c>
      <c r="E87" s="2"/>
      <c r="F87" s="2" t="s">
        <v>474</v>
      </c>
      <c r="G87" s="2" t="s">
        <v>473</v>
      </c>
      <c r="H87" s="2" t="s">
        <v>704</v>
      </c>
      <c r="I87" s="2"/>
      <c r="J87" s="2"/>
      <c r="K87" s="2"/>
      <c r="L87" s="17"/>
    </row>
  </sheetData>
  <autoFilter ref="A1:L87" xr:uid="{3154BFCE-06D9-9649-B340-B23DCF20DD83}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maps</vt:lpstr>
      <vt:lpstr>wide_measures</vt:lpstr>
      <vt:lpstr>wide_qualityReports</vt:lpstr>
      <vt:lpstr>wide_protocolSteps</vt:lpstr>
      <vt:lpstr>wide_protocolRelationships</vt:lpstr>
      <vt:lpstr>enums</vt:lpstr>
      <vt:lpstr>id_gen</vt:lpstr>
      <vt:lpstr>maps 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Mathew Thomson</dc:creator>
  <cp:lastModifiedBy>Martin Wellman</cp:lastModifiedBy>
  <dcterms:created xsi:type="dcterms:W3CDTF">2024-03-15T18:17:59Z</dcterms:created>
  <dcterms:modified xsi:type="dcterms:W3CDTF">2024-07-23T16:41:51Z</dcterms:modified>
</cp:coreProperties>
</file>